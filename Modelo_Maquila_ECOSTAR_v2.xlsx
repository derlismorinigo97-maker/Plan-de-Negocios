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Supuestos" sheetId="2" state="visible" r:id="rId4"/>
    <sheet name="Productos" sheetId="3" state="visible" r:id="rId5"/>
    <sheet name="Costos" sheetId="4" state="visible" r:id="rId6"/>
    <sheet name="Inversion" sheetId="5" state="visible" r:id="rId7"/>
    <sheet name="Reales" sheetId="6" state="visible" r:id="rId8"/>
    <sheet name="Calculo" sheetId="7" state="visible" r:id="rId9"/>
    <sheet name="Resultados" sheetId="8" state="visible" r:id="rId10"/>
    <sheet name="Control" sheetId="9" state="visible" r:id="rId11"/>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Productos!$E$6:$E$17</definedName>
    <definedName function="false" hidden="false" name="Cap_Anio" vbProcedure="false">Productos!$F$6:$F$17</definedName>
    <definedName function="false" hidden="false" name="Cap_Ini" vbProcedure="false">Productos!$D$6:$D$17</definedName>
    <definedName function="false" hidden="false" name="Corte" vbProcedure="false">Supuestos!$D$119</definedName>
    <definedName function="false" hidden="false" name="c_Alertas" vbProcedure="false">Control!$C$22</definedName>
    <definedName function="false" hidden="false" name="c_CapExceso" vbProcedure="false">Productos!$N$53:$N$64</definedName>
    <definedName function="false" hidden="false" name="c_EscIdx" vbProcedure="false">Supuestos!$D$72</definedName>
    <definedName function="false" hidden="false" name="c_Modificados" vbProcedure="false">Control!$C$23</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Productos!$K$6:$K$17</definedName>
    <definedName function="false" hidden="false" name="INS_V" vbProcedure="false">Productos!$L$6:$L$17</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Productos!$I$6:$I$17</definedName>
    <definedName function="false" hidden="false" name="MP_V" vbProcedure="false">Productos!$J$6:$J$17</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OV_O" vbProcedure="false">Productos!$M$6:$M$17</definedName>
    <definedName function="false" hidden="false" name="OV_V" vbProcedure="false">Productos!$N$6:$N$17</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Productos!$G$6:$G$17</definedName>
    <definedName function="false" hidden="false" name="Precio_V" vbProcedure="false">Productos!$H$6:$H$17</definedName>
    <definedName function="false" hidden="false" name="Prod_Nombre" vbProcedure="false">Productos!$B$6:$B$17</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Productos!$N$21:$N$32</definedName>
    <definedName function="false" hidden="false" name="VolTot_V" vbProcedure="false">Productos!$N$37:$N$48</definedName>
    <definedName function="false" hidden="false" name="Vol_O" vbProcedure="false">Productos!$D$21:$M$32</definedName>
    <definedName function="false" hidden="false" name="Vol_V" vbProcedure="false">Productos!$D$37:$M$48</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<sst xmlns="http://schemas.openxmlformats.org/spreadsheetml/2006/main" count="1864" uniqueCount="1082">
  <si>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</si>
  <si>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</si>
  <si>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</si>
  <si>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</si>
  <si>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</si>
  <si>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</si>
  <si>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ECOSTAR — Maquila CIE–PERG</t>
  </si>
  <si>
    <t xml:space="preserve">Texto libre.</t>
  </si>
  <si>
    <t xml:space="preserve">Socios / empresas</t>
  </si>
  <si>
    <t xml:space="preserve">CIE S.A. / PERG</t>
  </si>
  <si>
    <t xml:space="preserve">Actividad / productos</t>
  </si>
  <si>
    <t xml:space="preserve">Procesamiento de chapas: gabinetes metálicos (153 kg) y cajas metálicas (13 kg)</t>
  </si>
  <si>
    <t xml:space="preserve">Etapa del negocio</t>
  </si>
  <si>
    <t xml:space="preserve">Operación</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</si>
  <si>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</si>
  <si>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</si>
  <si>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</si>
  <si>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</si>
  <si>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</si>
  <si>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</si>
  <si>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</si>
  <si>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</si>
  <si>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</si>
  <si>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</si>
  <si>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</si>
  <si>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</si>
  <si>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</si>
  <si>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</si>
  <si>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</si>
  <si>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</si>
  <si>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</si>
  <si>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</si>
  <si>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</si>
  <si>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3. Cómo cargar y actualizar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</si>
  <si>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</si>
  <si>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</si>
  <si>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</si>
  <si>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</si>
  <si>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</si>
  <si>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</si>
  <si>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</si>
  <si>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</si>
  <si>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</si>
  <si>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</si>
  <si>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</si>
  <si>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</si>
  <si>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</si>
  <si>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</si>
  <si>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</si>
  <si>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</si>
  <si>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</si>
  <si>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</si>
  <si>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</si>
  <si>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</si>
  <si>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</si>
  <si>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</si>
  <si>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</si>
  <si>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Supuestos</t>
  </si>
  <si>
    <t xml:space="preserve">Parámetros generales, supuestos por año, escenarios y referencia del plan publicado.</t>
  </si>
  <si>
    <t xml:space="preserve">Productos</t>
  </si>
  <si>
    <t xml:space="preserve">Hasta 12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</si>
  <si>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</si>
  <si>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</si>
  <si>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</si>
  <si>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</si>
  <si>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</si>
  <si>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</si>
  <si>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</si>
  <si>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</si>
  <si>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Resultados</t>
  </si>
  <si>
    <t xml:space="preserve">Indicadores, resúmenes anuales, desvíos y gráficos.</t>
  </si>
  <si>
    <t xml:space="preserve">Control</t>
  </si>
  <si>
    <t xml:space="preserve">Validaciones y datos faltantes.</t>
  </si>
  <si>
    <t xml:space="preserve">6. Datos pendientes de este negocio (editable)</t>
  </si>
  <si>
    <t xml:space="preserve">1.</t>
  </si>
  <si>
    <t xml:space="preserve">Fecha calendario del mes 1 y mes real de inicio de operación.</t>
  </si>
  <si>
    <t xml:space="preserve">2.</t>
  </si>
  <si>
    <t xml:space="preserve">Ventas, costos, CAPEX, deuda y saldos reales desde octubre de 2025 (hoja Reales).</t>
  </si>
  <si>
    <t xml:space="preserve">3.</t>
  </si>
  <si>
    <t xml:space="preserve">CAPEX ejecutado, pagado, comprometido y por contratar por ítem (hoja Inversion).</t>
  </si>
  <si>
    <t xml:space="preserve">4.</t>
  </si>
  <si>
    <t xml:space="preserve">Contrato CIE–PERG: venta de producto o servicio de maquila; propiedad de materiales; logística de exportación.</t>
  </si>
  <si>
    <t xml:space="preserve">5.</t>
  </si>
  <si>
    <t xml:space="preserve">Régimen de la Ley 7547/2025 y Decreto 5714/2026: base del tributo y recuperación de IVA.</t>
  </si>
  <si>
    <t xml:space="preserve">6.</t>
  </si>
  <si>
    <t xml:space="preserve">Naturaleza del alquiler (pago real, relacionada o costo de oportunidad).</t>
  </si>
  <si>
    <t xml:space="preserve">7.</t>
  </si>
  <si>
    <t xml:space="preserve">Tasas vigentes (WACC, Ke) y tipo de cambio proyectado.</t>
  </si>
  <si>
    <t xml:space="preserve">8.</t>
  </si>
  <si>
    <t xml:space="preserve">Nómina actual y desglose de cargas sociales.</t>
  </si>
  <si>
    <t xml:space="preserve">9.</t>
  </si>
  <si>
    <t xml:space="preserve">10.</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</si>
  <si>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</si>
  <si>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</si>
  <si>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</si>
  <si>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</si>
  <si>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</si>
  <si>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</si>
  <si>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</si>
  <si>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</si>
  <si>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</si>
  <si>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</si>
  <si>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PDF: inversión en el año 0 y operación desde el año 1 (mes 1 del modelo).</t>
  </si>
  <si>
    <t xml:space="preserve">G02</t>
  </si>
  <si>
    <t xml:space="preserve">Años de operación evaluados</t>
  </si>
  <si>
    <t xml:space="preserve">años</t>
  </si>
  <si>
    <t xml:space="preserve">PDF: 10 años de operación. Horizonte común a ambas versiones: se define solo en el presupuesto.</t>
  </si>
  <si>
    <t xml:space="preserve">G03</t>
  </si>
  <si>
    <t xml:space="preserve">Merma entre producción y venta</t>
  </si>
  <si>
    <t xml:space="preserve">%</t>
  </si>
  <si>
    <t xml:space="preserve">PDF: producción = ventas.</t>
  </si>
  <si>
    <t xml:space="preserve">G04</t>
  </si>
  <si>
    <t xml:space="preserve">Cargas sociales sobre salarios (aguinaldo, IPS, vacaciones)</t>
  </si>
  <si>
    <t xml:space="preserve">PDF p. 19: coeficiente del plan (no validado como tasa legal).</t>
  </si>
  <si>
    <t xml:space="preserve">G05</t>
  </si>
  <si>
    <t xml:space="preserve">Alimentación del personal</t>
  </si>
  <si>
    <t xml:space="preserve">Gs/persona/mes</t>
  </si>
  <si>
    <t xml:space="preserve">Inferido del PDF: USD 946,85/persona/año a Gs 7.300.</t>
  </si>
  <si>
    <t xml:space="preserve">G06</t>
  </si>
  <si>
    <t xml:space="preserve">Personal directo activo antes del inicio de operación</t>
  </si>
  <si>
    <t xml:space="preserve">% dotación año 1</t>
  </si>
  <si>
    <t xml:space="preserve">Supuesto provisional para meses de implantación (no aplica al plan original).</t>
  </si>
  <si>
    <t xml:space="preserve">G07</t>
  </si>
  <si>
    <t xml:space="preserve">Personal indirecto y administrativo activo antes del inicio</t>
  </si>
  <si>
    <t xml:space="preserve">Supuesto provisional para meses de implantación.</t>
  </si>
  <si>
    <t xml:space="preserve">G08</t>
  </si>
  <si>
    <t xml:space="preserve">Despacho y gastos de importación (s/ materia prima + insumos)</t>
  </si>
  <si>
    <t xml:space="preserve">PDF p. 19: 3% sobre materia prima + insumos.</t>
  </si>
  <si>
    <t xml:space="preserve">G09</t>
  </si>
  <si>
    <t xml:space="preserve">Packaging (s/ materiales, otros variables y personal directo)</t>
  </si>
  <si>
    <t xml:space="preserve">PDF p. 19: 1% sobre materiales, otros variables y personal directo.</t>
  </si>
  <si>
    <t xml:space="preserve">G10</t>
  </si>
  <si>
    <t xml:space="preserve">Imprevistos de producción (s/ costos de producción)</t>
  </si>
  <si>
    <t xml:space="preserve">PDF p. 19: 5% sobre costos de producción (excluye tributo).</t>
  </si>
  <si>
    <t xml:space="preserve">G11</t>
  </si>
  <si>
    <t xml:space="preserve">Imprevistos de administración (s/ gastos marcados como base)</t>
  </si>
  <si>
    <t xml:space="preserve">PDF p. 19: 5% sobre administración (excluye alquiler y expensas).</t>
  </si>
  <si>
    <t xml:space="preserve">G12</t>
  </si>
  <si>
    <t xml:space="preserve">Tributo de maquila (s/ ventas)</t>
  </si>
  <si>
    <t xml:space="preserve">PDF p. 7: 1% sobre el valor exportado (verificar Ley 7547/2025).</t>
  </si>
  <si>
    <t xml:space="preserve">G13</t>
  </si>
  <si>
    <t xml:space="preserve">Seguro de caución y otros cargos (s/ ventas)</t>
  </si>
  <si>
    <t xml:space="preserve">Seguro de caución: 0,1% de ventas (inferido del PDF).</t>
  </si>
  <si>
    <t xml:space="preserve">G14</t>
  </si>
  <si>
    <t xml:space="preserve">Comisiones y logística de venta (s/ ventas)</t>
  </si>
  <si>
    <t xml:space="preserve">PDF: sin gastos de venta (pendiente confirmar).</t>
  </si>
  <si>
    <t xml:space="preserve">G15</t>
  </si>
  <si>
    <t xml:space="preserve">Impuesto a la renta (s/ resultado)</t>
  </si>
  <si>
    <t xml:space="preserve">PDF: IRE no aplica bajo maquila (verificar).</t>
  </si>
  <si>
    <t xml:space="preserve">G16</t>
  </si>
  <si>
    <t xml:space="preserve">Días de cobro a clientes</t>
  </si>
  <si>
    <t xml:space="preserve">días</t>
  </si>
  <si>
    <t xml:space="preserve">PDF p. 8.</t>
  </si>
  <si>
    <t xml:space="preserve">G17</t>
  </si>
  <si>
    <t xml:space="preserve">Días de inventario de materiales</t>
  </si>
  <si>
    <t xml:space="preserve">PDF p. 8: materia prima e insumos.</t>
  </si>
  <si>
    <t xml:space="preserve">G18</t>
  </si>
  <si>
    <t xml:space="preserve">Días de producto terminado</t>
  </si>
  <si>
    <t xml:space="preserve">G19</t>
  </si>
  <si>
    <t xml:space="preserve">Días de pago a proveedores de materiales</t>
  </si>
  <si>
    <t xml:space="preserve">PDF p. 24.</t>
  </si>
  <si>
    <t xml:space="preserve">G20</t>
  </si>
  <si>
    <t xml:space="preserve">Días de pago a otros proveedores</t>
  </si>
  <si>
    <t xml:space="preserve">G21</t>
  </si>
  <si>
    <t xml:space="preserve">Caja mínima operativa</t>
  </si>
  <si>
    <t xml:space="preserve">días de ventas</t>
  </si>
  <si>
    <t xml:space="preserve">PDF cuadro 16: 3 días de ventas.</t>
  </si>
  <si>
    <t xml:space="preserve">G22</t>
  </si>
  <si>
    <t xml:space="preserve">IVA recuperable de los costos fijos gravados</t>
  </si>
  <si>
    <t xml:space="preserve">PDF: IVA considerado costo (criterio prudencial).</t>
  </si>
  <si>
    <t xml:space="preserve">G23</t>
  </si>
  <si>
    <t xml:space="preserve">Meses para recuperar el IVA</t>
  </si>
  <si>
    <t xml:space="preserve">meses</t>
  </si>
  <si>
    <t xml:space="preserve">Supuesto provisional.</t>
  </si>
  <si>
    <t xml:space="preserve">G24</t>
  </si>
  <si>
    <t xml:space="preserve">IVA sobre intereses</t>
  </si>
  <si>
    <t xml:space="preserve">PDF p. 4.</t>
  </si>
  <si>
    <t xml:space="preserve">G25</t>
  </si>
  <si>
    <t xml:space="preserve">Tasa de descuento del proyecto (WACC, anual)</t>
  </si>
  <si>
    <t xml:space="preserve">Tasa ponderada inicial del PDF (histórica: 93% deuda a 9%). Actualizar.</t>
  </si>
  <si>
    <t xml:space="preserve">G26</t>
  </si>
  <si>
    <t xml:space="preserve">Costo del capital propio (Ke, anual)</t>
  </si>
  <si>
    <t xml:space="preserve">PDF p. 9 (histórica).</t>
  </si>
  <si>
    <t xml:space="preserve">G27</t>
  </si>
  <si>
    <t xml:space="preserve">Recuperación del capital de trabajo al final del horizonte</t>
  </si>
  <si>
    <t xml:space="preserve">Supuesto provisional: recuperación total del capital de trabajo al final.</t>
  </si>
  <si>
    <t xml:space="preserve">G28</t>
  </si>
  <si>
    <t xml:space="preserve">Valor de realización del activo fijo al final (s/ valor contable)</t>
  </si>
  <si>
    <t xml:space="preserve">Supuesto provisional: valor contable = valor de realización (requiere tasación).</t>
  </si>
  <si>
    <t xml:space="preserve">G29</t>
  </si>
  <si>
    <t xml:space="preserve">Mes de pago de dividendos del año siguiente (1-12)</t>
  </si>
  <si>
    <t xml:space="preserve">Supuesto provisional: dividendos pagados en abril del año siguiente.</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</si>
  <si>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</si>
  <si>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</si>
  <si>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</si>
  <si>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</si>
  <si>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</si>
  <si>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</si>
  <si>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</si>
  <si>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</si>
  <si>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</si>
  <si>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</si>
  <si>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</si>
  <si>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</si>
  <si>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</si>
  <si>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</si>
  <si>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</si>
  <si>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</si>
  <si>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</si>
  <si>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</si>
  <si>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</si>
  <si>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</si>
  <si>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</si>
  <si>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</si>
  <si>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</si>
  <si>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</si>
  <si>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</si>
  <si>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</si>
  <si>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</si>
  <si>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</si>
  <si>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</si>
  <si>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</si>
  <si>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</si>
  <si>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</si>
  <si>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</si>
  <si>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</si>
  <si>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</si>
  <si>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</si>
  <si>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</si>
  <si>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</si>
  <si>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</si>
  <si>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</si>
  <si>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</si>
  <si>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</si>
  <si>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</si>
  <si>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</si>
  <si>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</si>
  <si>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</si>
  <si>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</si>
  <si>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</si>
  <si>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</si>
  <si>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</si>
  <si>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</si>
  <si>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</si>
  <si>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</si>
  <si>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</si>
  <si>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</si>
  <si>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</si>
  <si>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</si>
  <si>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</si>
  <si>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</si>
  <si>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</si>
  <si>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</si>
  <si>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</si>
  <si>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</si>
  <si>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</si>
  <si>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</si>
  <si>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</si>
  <si>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</si>
  <si>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Plan Oct-2025, cuadros 15 y 19. El VAN/TIR publicados mezclan flujo del proyecto y del accionista.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</si>
  <si>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</si>
  <si>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</si>
  <si>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</si>
  <si>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</si>
  <si>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</si>
  <si>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</si>
  <si>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</si>
  <si>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</si>
  <si>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</si>
  <si>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</si>
  <si>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12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</si>
  <si>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</si>
  <si>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</si>
  <si>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</si>
  <si>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</si>
  <si>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</si>
  <si>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</si>
  <si>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</si>
  <si>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</si>
  <si>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</si>
  <si>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</si>
  <si>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</si>
  <si>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</si>
  <si>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</si>
  <si>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</si>
  <si>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Gabinetes metálicos 153 kg</t>
  </si>
  <si>
    <t xml:space="preserve">u</t>
  </si>
  <si>
    <t xml:space="preserve">Otros variables = consumibles 4,709 (inferido) + flete 23,20 (inferido del cuadro 10a).</t>
  </si>
  <si>
    <t xml:space="preserve">Cajas metálicas 13 kg</t>
  </si>
  <si>
    <t xml:space="preserve">Insumos = 339.570/70.000. Otros variables = consumibles 0,65 + flete 2,08 (inferido).</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</si>
  <si>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</si>
  <si>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</si>
  <si>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</si>
  <si>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</si>
  <si>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</si>
  <si>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</si>
  <si>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</si>
  <si>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</si>
  <si>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</si>
  <si>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</si>
  <si>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</si>
  <si>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</si>
  <si>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</si>
  <si>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</si>
  <si>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</si>
  <si>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</si>
  <si>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</si>
  <si>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</si>
  <si>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</si>
  <si>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</si>
  <si>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</si>
  <si>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</si>
  <si>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</si>
  <si>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</si>
  <si>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Operador láser</t>
  </si>
  <si>
    <t xml:space="preserve">Directo</t>
  </si>
  <si>
    <t xml:space="preserve">PYG</t>
  </si>
  <si>
    <t xml:space="preserve">Doblador</t>
  </si>
  <si>
    <t xml:space="preserve">Soldador</t>
  </si>
  <si>
    <t xml:space="preserve">Baño</t>
  </si>
  <si>
    <t xml:space="preserve">Pintor</t>
  </si>
  <si>
    <t xml:space="preserve">Montador</t>
  </si>
  <si>
    <t xml:space="preserve">Ayudante</t>
  </si>
  <si>
    <t xml:space="preserve">Gerente General</t>
  </si>
  <si>
    <t xml:space="preserve">Administración</t>
  </si>
  <si>
    <t xml:space="preserve">Gerente Industrial</t>
  </si>
  <si>
    <t xml:space="preserve">Indirecto</t>
  </si>
  <si>
    <t xml:space="preserve">Coord. Prod. Corte y Deformación</t>
  </si>
  <si>
    <t xml:space="preserve">Coord. Prod. Soldadura</t>
  </si>
  <si>
    <t xml:space="preserve">Coord. Prod. Trat. Sup. y Pintura</t>
  </si>
  <si>
    <t xml:space="preserve">Coord. Prod. Montaje</t>
  </si>
  <si>
    <t xml:space="preserve">Ingeniería</t>
  </si>
  <si>
    <t xml:space="preserve">Mantenimiento</t>
  </si>
  <si>
    <t xml:space="preserve">PCP</t>
  </si>
  <si>
    <t xml:space="preserve">Analista PCP</t>
  </si>
  <si>
    <t xml:space="preserve">Depósito</t>
  </si>
  <si>
    <t xml:space="preserve">Compras</t>
  </si>
  <si>
    <t xml:space="preserve">Logística/Comex</t>
  </si>
  <si>
    <t xml:space="preserve">Coord. Control Calidad</t>
  </si>
  <si>
    <t xml:space="preserve">Asistente Control Calidad</t>
  </si>
  <si>
    <t xml:space="preserve">Coord. Procesos</t>
  </si>
  <si>
    <t xml:space="preserve">Asistente Procesos</t>
  </si>
  <si>
    <t xml:space="preserve">Administrador</t>
  </si>
  <si>
    <t xml:space="preserve">Asistente Administrativo</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</si>
  <si>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</si>
  <si>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</si>
  <si>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</si>
  <si>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</si>
  <si>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</si>
  <si>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</si>
  <si>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</si>
  <si>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</si>
  <si>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</si>
  <si>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</si>
  <si>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</si>
  <si>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Energía eléctrica planta</t>
  </si>
  <si>
    <t xml:space="preserve">Producción</t>
  </si>
  <si>
    <t xml:space="preserve">Gs 168 M/año (inferido del PDF).</t>
  </si>
  <si>
    <t xml:space="preserve">Mantenimiento y reparaciones planta</t>
  </si>
  <si>
    <t xml:space="preserve">USD 29.708/año; PDF crece 2% lineal (aquí 2% compuesto).</t>
  </si>
  <si>
    <t xml:space="preserve">Alquiler de nave (3.865 m2 x USD 4 + IVA)</t>
  </si>
  <si>
    <t xml:space="preserve">PDF: «costo de oportunidad». Confirmar si es pago real.</t>
  </si>
  <si>
    <t xml:space="preserve">Expensas (USD 0,20/m2)</t>
  </si>
  <si>
    <t xml:space="preserve">PDF p. 19.</t>
  </si>
  <si>
    <t xml:space="preserve">Agua, comunicaciones y electricidad</t>
  </si>
  <si>
    <t xml:space="preserve">Gs 9 M/año (inferido).</t>
  </si>
  <si>
    <t xml:space="preserve">Mantenimiento y reparaciones adm.</t>
  </si>
  <si>
    <t xml:space="preserve">Gs 36 M/año (inferido).</t>
  </si>
  <si>
    <t xml:space="preserve">Seguros sobre activos fijos</t>
  </si>
  <si>
    <t xml:space="preserve">Gs 60 M/año (inferido).</t>
  </si>
  <si>
    <t xml:space="preserve">Gastos generales</t>
  </si>
  <si>
    <t xml:space="preserve">USD 22.060/año.</t>
  </si>
  <si>
    <t xml:space="preserve">Honorarios y otros fijos</t>
  </si>
  <si>
    <t xml:space="preserve">Gs 182 M/año (inferido).</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</si>
  <si>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</si>
  <si>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</si>
  <si>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</si>
  <si>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</si>
  <si>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</si>
  <si>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</si>
  <si>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</si>
  <si>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</si>
  <si>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</si>
  <si>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</si>
  <si>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</si>
  <si>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</si>
  <si>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</si>
  <si>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</si>
  <si>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</si>
  <si>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</si>
  <si>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</si>
  <si>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</si>
  <si>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</si>
  <si>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</si>
  <si>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</si>
  <si>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</si>
  <si>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Adecuación de infraestructura</t>
  </si>
  <si>
    <t xml:space="preserve">Infraestructura</t>
  </si>
  <si>
    <t xml:space="preserve">Conjunto línea de pintura</t>
  </si>
  <si>
    <t xml:space="preserve">Maquinaria</t>
  </si>
  <si>
    <t xml:space="preserve">Cortadoras láser (2)</t>
  </si>
  <si>
    <t xml:space="preserve">Manipulador</t>
  </si>
  <si>
    <t xml:space="preserve">Dobladoras (4)</t>
  </si>
  <si>
    <t xml:space="preserve">Soldadoras (6)</t>
  </si>
  <si>
    <t xml:space="preserve">Lijadoras (4)</t>
  </si>
  <si>
    <t xml:space="preserve">Conjunto baño</t>
  </si>
  <si>
    <t xml:space="preserve">Línea de montaje</t>
  </si>
  <si>
    <t xml:space="preserve">Montacargas</t>
  </si>
  <si>
    <t xml:space="preserve">Soldadoras capacitivas (2)</t>
  </si>
  <si>
    <t xml:space="preserve">Software de gestión</t>
  </si>
  <si>
    <t xml:space="preserve">Intangible</t>
  </si>
  <si>
    <t xml:space="preserve">Mobiliario</t>
  </si>
  <si>
    <t xml:space="preserve">Inversión adicional año 2 (no desagregada)</t>
  </si>
  <si>
    <t xml:space="preserve">Pendiente</t>
  </si>
  <si>
    <t xml:space="preserve">TOTAL</t>
  </si>
  <si>
    <t xml:space="preserve">Maquinaria = CIF + despacho asignado (3% del CIF). Vida útil del ítem del año 2: provisional.</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</si>
  <si>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</si>
  <si>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</si>
  <si>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</si>
  <si>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</si>
  <si>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</si>
  <si>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</si>
  <si>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</si>
  <si>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</si>
  <si>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</si>
  <si>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Préstamo bancario inicial</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</si>
  <si>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</si>
  <si>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</si>
  <si>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</si>
  <si>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</si>
  <si>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</si>
  <si>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</si>
  <si>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</si>
  <si>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</si>
  <si>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</si>
  <si>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</si>
  <si>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</si>
  <si>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</si>
  <si>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</si>
  <si>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</si>
  <si>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</si>
  <si>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</si>
  <si>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</si>
  <si>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</si>
  <si>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</si>
  <si>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</si>
  <si>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</si>
  <si>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</si>
  <si>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</si>
  <si>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</si>
  <si>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</si>
  <si>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Aporte propio inicial</t>
  </si>
  <si>
    <t xml:space="preserve">Aporte adicional año 1 (plan)</t>
  </si>
  <si>
    <t xml:space="preserve">Aporte adicional año 2 (plan)</t>
  </si>
  <si>
    <t xml:space="preserve">Reales — carga mensual de la ejecución (un dato por celda; solo meses cerrados)</t>
  </si>
  <si>
    <t xml:space="preserve">Montos en la moneda de la columna C (USD o PYG). Un mes cerrado sin datos se informa en Control (un faltante no equivale a cero).</t>
  </si>
  <si>
    <t xml:space="preserve">Mes n°</t>
  </si>
  <si>
    <t xml:space="preserve">Total cargado</t>
  </si>
  <si>
    <t xml:space="preserve">Fecha</t>
  </si>
  <si>
    <t xml:space="preserve">Año del modelo</t>
  </si>
  <si>
    <t xml:space="preserve">Estado</t>
  </si>
  <si>
    <t xml:space="preserve">Tipo de cambio</t>
  </si>
  <si>
    <t xml:space="preserve">Tipo de cambio real del mes (Gs/USD)</t>
  </si>
  <si>
    <t xml:space="preserve">Unidades vendidas por producto</t>
  </si>
  <si>
    <t xml:space="preserve">U1</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</si>
  <si>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</si>
  <si>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</si>
  <si>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</si>
  <si>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</si>
  <si>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</si>
  <si>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</si>
  <si>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</si>
  <si>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</si>
  <si>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</si>
  <si>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</si>
  <si>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</si>
  <si>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</si>
  <si>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</si>
  <si>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</si>
  <si>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</si>
  <si>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</si>
  <si>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</si>
  <si>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</si>
  <si>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</si>
  <si>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</si>
  <si>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</si>
  <si>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</si>
  <si>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</si>
  <si>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</si>
  <si>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</si>
  <si>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</si>
  <si>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</si>
  <si>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</si>
  <si>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</si>
  <si>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</si>
  <si>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</si>
  <si>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</si>
  <si>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</si>
  <si>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</si>
  <si>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</si>
  <si>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</si>
  <si>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</si>
  <si>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</si>
  <si>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</si>
  <si>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</si>
  <si>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</si>
  <si>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</si>
  <si>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</si>
  <si>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</si>
  <si>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</si>
  <si>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</si>
  <si>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</si>
  <si>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</si>
  <si>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</si>
  <si>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</si>
  <si>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</si>
  <si>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</si>
  <si>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</si>
  <si>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</si>
  <si>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</si>
  <si>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</si>
  <si>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</si>
  <si>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</si>
  <si>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</si>
  <si>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</si>
  <si>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</si>
  <si>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</si>
  <si>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</si>
  <si>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</si>
  <si>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</si>
  <si>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</si>
  <si>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</si>
  <si>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</si>
  <si>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</si>
  <si>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</si>
  <si>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</si>
  <si>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</si>
  <si>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</si>
  <si>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</si>
  <si>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</si>
  <si>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</si>
  <si>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</si>
  <si>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</si>
  <si>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</si>
  <si>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</si>
  <si>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</si>
  <si>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</si>
  <si>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</si>
  <si>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</si>
  <si>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</si>
  <si>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</si>
  <si>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</si>
  <si>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</si>
  <si>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</si>
  <si>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</si>
  <si>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</si>
  <si>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</si>
  <si>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</si>
  <si>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</si>
  <si>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</si>
  <si>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</si>
  <si>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</si>
  <si>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</si>
  <si>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</si>
  <si>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</si>
  <si>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</si>
  <si>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</si>
  <si>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</si>
  <si>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</si>
  <si>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</si>
  <si>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</si>
  <si>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</si>
  <si>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</si>
  <si>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</si>
  <si>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</si>
  <si>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</si>
  <si>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</si>
  <si>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</si>
  <si>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</si>
  <si>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</si>
  <si>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</si>
  <si>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</si>
  <si>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</si>
  <si>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</si>
  <si>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</si>
  <si>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</si>
  <si>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</si>
  <si>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</si>
  <si>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</si>
  <si>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</si>
  <si>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</si>
  <si>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</si>
  <si>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</si>
  <si>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</si>
  <si>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</si>
  <si>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pers.</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</si>
  <si>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</si>
  <si>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</si>
  <si>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</si>
  <si>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</si>
  <si>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</si>
  <si>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</si>
  <si>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</si>
  <si>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</si>
  <si>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</si>
  <si>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</si>
  <si>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</si>
  <si>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</si>
  <si>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</si>
  <si>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</si>
  <si>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</si>
  <si>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</si>
  <si>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</si>
  <si>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</si>
  <si>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</si>
  <si>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</si>
  <si>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</si>
  <si>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</si>
  <si>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</si>
  <si>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</si>
  <si>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</si>
  <si>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</si>
  <si>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</si>
  <si>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</si>
  <si>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</si>
  <si>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</si>
  <si>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</si>
  <si>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</si>
  <si>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</si>
  <si>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</si>
  <si>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</si>
  <si>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</si>
  <si>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</si>
  <si>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</si>
  <si>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</si>
  <si>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</si>
  <si>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</si>
  <si>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</si>
  <si>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</si>
  <si>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</si>
  <si>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</si>
  <si>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</si>
  <si>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</si>
  <si>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</si>
  <si>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</si>
  <si>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</si>
  <si>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</si>
  <si>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</si>
  <si>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</si>
  <si>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</si>
  <si>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</si>
  <si>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</si>
  <si>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</si>
  <si>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</si>
  <si>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</si>
  <si>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</si>
  <si>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</si>
  <si>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</si>
  <si>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</si>
  <si>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</si>
  <si>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</si>
  <si>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</si>
  <si>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</si>
  <si>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</si>
  <si>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</si>
  <si>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</si>
  <si>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</si>
  <si>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</si>
  <si>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</si>
  <si>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</si>
  <si>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</si>
  <si>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</si>
  <si>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</si>
  <si>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</si>
  <si>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</si>
  <si>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</si>
  <si>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</si>
  <si>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</si>
  <si>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</si>
  <si>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</si>
  <si>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</si>
  <si>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</si>
  <si>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</si>
  <si>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</si>
  <si>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</si>
  <si>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</si>
  <si>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</si>
  <si>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</si>
  <si>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</si>
  <si>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</si>
  <si>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</si>
  <si>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</si>
  <si>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</si>
  <si>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</si>
  <si>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</si>
  <si>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</si>
  <si>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</si>
  <si>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</si>
  <si>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</si>
  <si>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</si>
  <si>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</si>
  <si>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</si>
  <si>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</si>
  <si>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</si>
  <si>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</si>
  <si>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</si>
  <si>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</si>
  <si>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</si>
  <si>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</si>
  <si>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</si>
  <si>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</si>
  <si>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</si>
  <si>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</si>
  <si>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</si>
  <si>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</si>
  <si>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</si>
  <si>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</si>
  <si>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</si>
  <si>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</si>
  <si>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</si>
  <si>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</si>
  <si>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</si>
  <si>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</si>
  <si>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</si>
  <si>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</si>
  <si>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</si>
  <si>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</si>
  <si>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</si>
  <si>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</si>
  <si>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</si>
  <si>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</si>
  <si>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</si>
  <si>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</si>
  <si>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</si>
  <si>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</si>
  <si>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</si>
  <si>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</si>
  <si>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</si>
  <si>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</si>
  <si>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</si>
  <si>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</si>
  <si>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</si>
  <si>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</si>
  <si>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</si>
  <si>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</si>
  <si>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</si>
  <si>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</si>
  <si>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</si>
  <si>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</si>
  <si>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</si>
  <si>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</si>
  <si>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</si>
  <si>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</si>
  <si>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</si>
  <si>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</si>
  <si>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</si>
  <si>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</si>
  <si>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</si>
  <si>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</si>
  <si>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</si>
  <si>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</si>
  <si>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</si>
  <si>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</si>
  <si>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</si>
  <si>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</si>
  <si>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</si>
  <si>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</si>
  <si>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</si>
  <si>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</si>
  <si>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</si>
  <si>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</si>
  <si>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</si>
  <si>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</si>
  <si>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</si>
  <si>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</si>
  <si>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</si>
  <si>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</si>
  <si>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</si>
  <si>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</si>
  <si>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</si>
  <si>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</si>
  <si>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</si>
  <si>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</si>
  <si>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</si>
  <si>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</si>
  <si>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</si>
  <si>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</si>
  <si>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</si>
  <si>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</si>
  <si>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</si>
  <si>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</si>
  <si>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</si>
  <si>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</si>
  <si>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</si>
  <si>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</si>
  <si>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</si>
  <si>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</si>
  <si>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</si>
  <si>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</si>
  <si>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</si>
  <si>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</si>
  <si>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</si>
  <si>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</si>
  <si>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</si>
  <si>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</si>
  <si>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</si>
  <si>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</si>
  <si>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</si>
  <si>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</si>
  <si>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</si>
  <si>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</si>
  <si>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</si>
  <si>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</si>
  <si>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</si>
  <si>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</si>
  <si>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</si>
  <si>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</si>
  <si>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</si>
  <si>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</si>
  <si>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</si>
  <si>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</si>
  <si>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</si>
  <si>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</si>
  <si>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</si>
  <si>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</si>
  <si>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</si>
  <si>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</si>
  <si>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</si>
  <si>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</si>
  <si>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</si>
  <si>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</si>
  <si>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</si>
  <si>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</si>
  <si>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</si>
  <si>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</si>
  <si>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</si>
  <si>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</si>
  <si>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</si>
  <si>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</si>
  <si>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</si>
  <si>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</si>
  <si>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</si>
  <si>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</si>
  <si>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</si>
  <si>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</si>
  <si>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</si>
  <si>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</si>
  <si>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</si>
  <si>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</si>
  <si>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</si>
  <si>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</si>
  <si>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</si>
  <si>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</si>
  <si>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</si>
  <si>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</si>
  <si>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</si>
  <si>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</si>
  <si>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</si>
  <si>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</si>
  <si>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</si>
  <si>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</si>
  <si>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</si>
  <si>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</si>
  <si>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</si>
  <si>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</si>
  <si>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</si>
  <si>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</si>
  <si>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</si>
  <si>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</si>
  <si>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</si>
  <si>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</si>
  <si>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</si>
  <si>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</si>
  <si>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</si>
  <si>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</si>
  <si>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</si>
  <si>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</si>
  <si>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</si>
  <si>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</si>
  <si>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</si>
  <si>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</si>
  <si>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</si>
  <si>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</si>
  <si>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</si>
  <si>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</si>
  <si>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</si>
  <si>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</si>
  <si>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</si>
  <si>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</si>
  <si>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</si>
  <si>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</si>
  <si>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</si>
  <si>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</si>
  <si>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</si>
  <si>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</si>
  <si>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</si>
  <si>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</si>
  <si>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</si>
  <si>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</si>
  <si>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</si>
  <si>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</si>
  <si>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</si>
  <si>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</si>
  <si>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</si>
  <si>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</si>
  <si>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</si>
  <si>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</si>
  <si>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</si>
  <si>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</si>
  <si>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</si>
  <si>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</si>
  <si>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</si>
  <si>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</si>
  <si>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</si>
  <si>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</si>
  <si>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</si>
  <si>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</si>
  <si>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</si>
  <si>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</si>
  <si>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</si>
  <si>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</si>
  <si>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</si>
  <si>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</si>
  <si>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</si>
  <si>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</si>
  <si>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</si>
  <si>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</si>
  <si>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</si>
  <si>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</si>
  <si>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</si>
  <si>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</si>
  <si>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</si>
  <si>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</si>
  <si>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</si>
  <si>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</si>
  <si>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</si>
  <si>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Gastos de administración</t>
  </si>
  <si>
    <t xml:space="preserve">V_TRIB</t>
  </si>
  <si>
    <t xml:space="preserve">V_IVAR</t>
  </si>
  <si>
    <t xml:space="preserve">(+) IVA recuperable</t>
  </si>
  <si>
    <t xml:space="preserve">V_EBITDA</t>
  </si>
  <si>
    <t xml:space="preserve">V_DEP</t>
  </si>
  <si>
    <t xml:space="preserve">Depreciación</t>
  </si>
  <si>
    <t xml:space="preserve">V_INT</t>
  </si>
  <si>
    <t xml:space="preserve">V_IRE</t>
  </si>
  <si>
    <t xml:space="preserve">V_NI</t>
  </si>
  <si>
    <t xml:space="preserve">Resultado neto</t>
  </si>
  <si>
    <t xml:space="preserve">V_CFO</t>
  </si>
  <si>
    <t xml:space="preserve">Flujo operativo</t>
  </si>
  <si>
    <t xml:space="preserve">V_CAPEX</t>
  </si>
  <si>
    <t xml:space="preserve">V_FCFF</t>
  </si>
  <si>
    <t xml:space="preserve">FCFF (incluye valor terminal)</t>
  </si>
  <si>
    <t xml:space="preserve">V_APORTE</t>
  </si>
  <si>
    <t xml:space="preserve">V_DESEMB</t>
  </si>
  <si>
    <t xml:space="preserve">V_AMORT</t>
  </si>
  <si>
    <t xml:space="preserve">Amortizaciones (préstamos + línea)</t>
  </si>
  <si>
    <t xml:space="preserve">V_AML</t>
  </si>
  <si>
    <t xml:space="preserve">   de las cuales: cuotas de préstamos</t>
  </si>
  <si>
    <t xml:space="preserve">V_DIV</t>
  </si>
  <si>
    <t xml:space="preserve">V_CAJA</t>
  </si>
  <si>
    <t xml:space="preserve">Caja al cierre</t>
  </si>
  <si>
    <t xml:space="preserve">V_DEUDA</t>
  </si>
  <si>
    <t xml:space="preserve">Deuda al cierre</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</si>
  <si>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</si>
  <si>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</si>
  <si>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</si>
  <si>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</si>
  <si>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</si>
  <si>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</si>
  <si>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</si>
  <si>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Margen EBITDA</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</si>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</sst>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1">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 numFmtId="174" formatCode="General"/>
  </numFmts>
  <fonts count="16">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0000FF"/>
        <sz val="9"/>
      </font>
      <fill>
        <patternFill>
          <bgColor rgb="FFFFF2CC"/>
        </patternFill>
      </fill>
    </dxf>
    <dxf>
      <font>
        <name val="Arial"/>
        <charset val="1"/>
        <family val="0"/>
        <b val="1"/>
        <color rgb="FF000000"/>
        <sz val="9"/>
      </font>
      <fill>
        <patternFill>
          <bgColor rgb="FFE2EFDA"/>
        </patternFill>
      </fill>
    </dxf>
    <dxf>
      <fill>
        <patternFill>
          <bgColor rgb="FFC6EFCE"/>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Resultados!$D$88:$O$88</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gapWidth val="150"/>
        <c:overlap val="0"/>
        <c:axId val="29355012"/>
        <c:axId val="85484763"/>
      </c:barChart>
      <c:catAx>
        <c:axId val="293550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484763"/>
        <c:crosses val="autoZero"/>
        <c:auto val="1"/>
        <c:lblAlgn val="ctr"/>
        <c:lblOffset val="100"/>
        <c:noMultiLvlLbl val="0"/>
      </c:catAx>
      <c:valAx>
        <c:axId val="8548476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3550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Resultados!$D$89:$O$89</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Resultados!$D$98:$O$98</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hiLowLines>
          <c:spPr>
            <a:ln w="0">
              <a:noFill/>
            </a:ln>
          </c:spPr>
        </c:hiLowLines>
        <c:marker val="0"/>
        <c:axId val="45505203"/>
        <c:axId val="24590766"/>
      </c:lineChart>
      <c:catAx>
        <c:axId val="4550520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4590766"/>
        <c:crosses val="autoZero"/>
        <c:auto val="1"/>
        <c:lblAlgn val="ctr"/>
        <c:lblOffset val="100"/>
        <c:noMultiLvlLbl val="0"/>
      </c:catAx>
      <c:valAx>
        <c:axId val="2459076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50520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142</xdr:row>
      <xdr:rowOff>176040</xdr:rowOff>
    </xdr:from>
    <xdr:to>
      <xdr:col>2</xdr:col>
      <xdr:colOff>1141200</xdr:colOff>
      <xdr:row>157</xdr:row>
      <xdr:rowOff>18000</xdr:rowOff>
    </xdr:to>
    <xdr:graphicFrame>
      <xdr:nvGraphicFramePr>
        <xdr:cNvPr id="0" name="Chart 1"/>
        <xdr:cNvGraphicFramePr/>
      </xdr:nvGraphicFramePr>
      <xdr:xfrm>
        <a:off x="533520" y="2743200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142</xdr:row>
      <xdr:rowOff>176040</xdr:rowOff>
    </xdr:from>
    <xdr:to>
      <xdr:col>10</xdr:col>
      <xdr:colOff>340920</xdr:colOff>
      <xdr:row>157</xdr:row>
      <xdr:rowOff>18000</xdr:rowOff>
    </xdr:to>
    <xdr:graphicFrame>
      <xdr:nvGraphicFramePr>
        <xdr:cNvPr id="1" name="Chart 2"/>
        <xdr:cNvGraphicFramePr/>
      </xdr:nvGraphicFramePr>
      <xdr:xfrm>
        <a:off x="9245520" y="2743200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6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ECOSTAR — Maquila CIE–PERG</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t="s">
        <v>6</v>
      </c>
      <c r="D6" s="2" t="s">
        <v>7</v>
      </c>
    </row>
    <row r="7" customFormat="false" ht="15" hidden="false" customHeight="false" outlineLevel="0" collapsed="false">
      <c r="B7" s="6" t="s">
        <v>8</v>
      </c>
      <c r="C7" s="7" t="s">
        <v>9</v>
      </c>
      <c r="D7" s="2" t="s">
        <v>7</v>
      </c>
    </row>
    <row r="8" customFormat="false" ht="15" hidden="false" customHeight="false" outlineLevel="0" collapsed="false">
      <c r="B8" s="6" t="s">
        <v>10</v>
      </c>
      <c r="C8" s="7" t="s">
        <v>11</v>
      </c>
      <c r="D8" s="2" t="s">
        <v>7</v>
      </c>
    </row>
    <row r="9" customFormat="false" ht="15" hidden="false" customHeight="false" outlineLevel="0" collapsed="false">
      <c r="B9" s="6" t="s">
        <v>12</v>
      </c>
      <c r="C9" s="7" t="s">
        <v>13</v>
      </c>
      <c r="D9" s="2" t="s">
        <v>14</v>
      </c>
    </row>
    <row r="10" customFormat="false" ht="15" hidden="false" customHeight="false" outlineLevel="0" collapsed="false">
      <c r="B10" s="6" t="s">
        <v>15</v>
      </c>
      <c r="C10" s="8"/>
      <c r="D10" s="2" t="s">
        <v>16</v>
      </c>
    </row>
    <row r="11" customFormat="false" ht="15" hidden="false" customHeight="false" outlineLevel="0" collapsed="false">
      <c r="B11" s="6" t="s">
        <v>17</v>
      </c>
      <c r="C11" s="9"/>
      <c r="D11" s="2" t="s">
        <v>18</v>
      </c>
    </row>
    <row r="12" customFormat="false" ht="15" hidden="false" customHeight="false" outlineLevel="0" collapsed="false">
      <c r="B12" s="6" t="s">
        <v>19</v>
      </c>
      <c r="C12" s="9"/>
      <c r="D12" s="2" t="s">
        <v>20</v>
      </c>
    </row>
    <row r="13" customFormat="false" ht="15" hidden="false" customHeight="false" outlineLevel="0" collapsed="false">
      <c r="B13" s="6" t="s">
        <v>21</v>
      </c>
      <c r="C13" s="7" t="s">
        <v>22</v>
      </c>
      <c r="D13" s="2" t="s">
        <v>23</v>
      </c>
    </row>
    <row r="14" customFormat="false" ht="15" hidden="false" customHeight="false" outlineLevel="0" collapsed="false">
      <c r="B14" s="6" t="s">
        <v>24</v>
      </c>
      <c r="C14" s="6" t="s">
        <v>25</v>
      </c>
    </row>
    <row r="16" customFormat="false" ht="15" hidden="false" customHeight="false" outlineLevel="0" collapsed="false">
      <c r="A16" s="3" t="s">
        <v>26</v>
      </c>
      <c r="B16" s="4"/>
      <c r="C16" s="4"/>
      <c r="D16" s="4"/>
    </row>
    <row r="17" customFormat="false" ht="15" hidden="false" customHeight="false" outlineLevel="0" collapsed="false">
      <c r="B17" s="6" t="s">
        <v>27</v>
      </c>
      <c r="C17" s="10" t="str">
        <f aca="false">IF(Corte=0,"Sin datos reales",IF(n_Fecha1="","Mes "&amp;Corte,"Mes "&amp;Corte&amp;" ("&amp;TEXT(MONTH(EOMONTH(n_Fecha1,Corte-1)),"00")&amp;"/"&amp;YEAR(EOMONTH(n_Fecha1,Corte-1))&amp;")"))</f>
        <v>Sin datos reales</v>
      </c>
    </row>
    <row r="18" customFormat="false" ht="15" hidden="false" customHeight="false" outlineLevel="0" collapsed="false">
      <c r="B18" s="6" t="s">
        <v>28</v>
      </c>
      <c r="C18" s="10" t="str">
        <f aca="false">"Mes "&amp;P_Inicio&amp;" / mes "&amp;V_Inicio</f>
        <v>Mes 1 / mes 1</v>
      </c>
    </row>
    <row r="19" customFormat="false" ht="15" hidden="false" customHeight="false" outlineLevel="0" collapsed="false">
      <c r="B19" s="6" t="s">
        <v>29</v>
      </c>
      <c r="C19" s="10" t="str">
        <f aca="false">"Mes "&amp;Fin&amp;" ("&amp;P_Anios&amp;" años de operación desde el inicio presupuestado)"</f>
        <v>Mes 120 (10 años de operación desde el inicio presupuestado)</v>
      </c>
    </row>
    <row r="20" customFormat="false" ht="15" hidden="false" customHeight="false" outlineLevel="0" collapsed="false">
      <c r="B20" s="6" t="s">
        <v>30</v>
      </c>
      <c r="C20" s="10" t="n">
        <f aca="false">c_Modificados</f>
        <v>0</v>
      </c>
    </row>
    <row r="21" customFormat="false" ht="15" hidden="false" customHeight="false" outlineLevel="0" collapsed="false">
      <c r="B21" s="6" t="s">
        <v>31</v>
      </c>
      <c r="C21" s="10" t="n">
        <f aca="false">c_Alertas</f>
        <v>2</v>
      </c>
    </row>
    <row r="22" customFormat="false" ht="15" hidden="false" customHeight="false" outlineLevel="0" collapsed="false">
      <c r="B22" s="6" t="s">
        <v>32</v>
      </c>
      <c r="C22" s="10" t="n">
        <f aca="false">r_BrechaV</f>
        <v>373700.713193166</v>
      </c>
    </row>
    <row r="24" customFormat="false" ht="15" hidden="false" customHeight="false" outlineLevel="0" collapsed="false">
      <c r="A24" s="3" t="s">
        <v>33</v>
      </c>
      <c r="B24" s="4"/>
      <c r="C24" s="4"/>
      <c r="D24" s="4"/>
    </row>
    <row r="25" customFormat="false" ht="25.5" hidden="false" customHeight="true" outlineLevel="0" collapsed="false">
      <c r="B25" s="11" t="s">
        <v>34</v>
      </c>
      <c r="C25" s="12" t="s">
        <v>35</v>
      </c>
      <c r="D25" s="12"/>
    </row>
    <row r="26" customFormat="false" ht="25.5" hidden="false" customHeight="true" outlineLevel="0" collapsed="false">
      <c r="B26" s="11" t="s">
        <v>36</v>
      </c>
      <c r="C26" s="12" t="s">
        <v>37</v>
      </c>
      <c r="D26" s="12"/>
    </row>
    <row r="27" customFormat="false" ht="25.5" hidden="false" customHeight="true" outlineLevel="0" collapsed="false">
      <c r="B27" s="11" t="s">
        <v>38</v>
      </c>
      <c r="C27" s="12" t="s">
        <v>39</v>
      </c>
      <c r="D27" s="12"/>
    </row>
    <row r="28" customFormat="false" ht="25.5" hidden="false" customHeight="true" outlineLevel="0" collapsed="false">
      <c r="B28" s="11" t="s">
        <v>40</v>
      </c>
      <c r="C28" s="12" t="s">
        <v>41</v>
      </c>
      <c r="D28" s="12"/>
    </row>
    <row r="29" customFormat="false" ht="25.5" hidden="false" customHeight="true" outlineLevel="0" collapsed="false">
      <c r="B29" s="11" t="s">
        <v>42</v>
      </c>
      <c r="C29" s="12" t="s">
        <v>43</v>
      </c>
      <c r="D29" s="12"/>
    </row>
    <row r="30" customFormat="false" ht="25.5" hidden="false" customHeight="true" outlineLevel="0" collapsed="false">
      <c r="B30" s="11" t="s">
        <v>44</v>
      </c>
      <c r="C30" s="12" t="s">
        <v>45</v>
      </c>
      <c r="D30" s="12"/>
    </row>
    <row r="31" customFormat="false" ht="25.5" hidden="false" customHeight="true" outlineLevel="0" collapsed="false">
      <c r="B31" s="11" t="s">
        <v>46</v>
      </c>
      <c r="C31" s="12" t="s">
        <v>47</v>
      </c>
      <c r="D31" s="12"/>
    </row>
    <row r="33" customFormat="false" ht="15" hidden="false" customHeight="false" outlineLevel="0" collapsed="false">
      <c r="A33" s="3" t="s">
        <v>48</v>
      </c>
      <c r="B33" s="4"/>
      <c r="C33" s="4"/>
      <c r="D33" s="4"/>
    </row>
    <row r="34" customFormat="false" ht="15" hidden="false" customHeight="false" outlineLevel="0" collapsed="false">
      <c r="B34" s="7" t="s">
        <v>49</v>
      </c>
      <c r="C34" s="6" t="s">
        <v>50</v>
      </c>
    </row>
    <row r="35" customFormat="false" ht="15" hidden="false" customHeight="false" outlineLevel="0" collapsed="false">
      <c r="B35" s="13" t="s">
        <v>49</v>
      </c>
      <c r="C35" s="6" t="s">
        <v>51</v>
      </c>
    </row>
    <row r="36" customFormat="false" ht="15" hidden="false" customHeight="false" outlineLevel="0" collapsed="false">
      <c r="B36" s="6" t="s">
        <v>49</v>
      </c>
      <c r="C36" s="6" t="s">
        <v>52</v>
      </c>
    </row>
    <row r="37" customFormat="false" ht="15" hidden="false" customHeight="false" outlineLevel="0" collapsed="false">
      <c r="B37" s="14" t="s">
        <v>49</v>
      </c>
      <c r="C37" s="6" t="s">
        <v>53</v>
      </c>
    </row>
    <row r="38" customFormat="false" ht="15" hidden="false" customHeight="false" outlineLevel="0" collapsed="false">
      <c r="B38" s="15" t="s">
        <v>49</v>
      </c>
      <c r="C38" s="6" t="s">
        <v>54</v>
      </c>
    </row>
    <row r="39" customFormat="false" ht="15" hidden="false" customHeight="false" outlineLevel="0" collapsed="false">
      <c r="B39" s="2" t="s">
        <v>55</v>
      </c>
    </row>
    <row r="41" customFormat="false" ht="15" hidden="false" customHeight="false" outlineLevel="0" collapsed="false">
      <c r="A41" s="3" t="s">
        <v>56</v>
      </c>
      <c r="B41" s="4"/>
      <c r="C41" s="4"/>
      <c r="D41" s="4"/>
    </row>
    <row r="42" customFormat="false" ht="15" hidden="false" customHeight="false" outlineLevel="0" collapsed="false">
      <c r="B42" s="11" t="s">
        <v>57</v>
      </c>
      <c r="C42" s="6" t="s">
        <v>58</v>
      </c>
    </row>
    <row r="43" customFormat="false" ht="15" hidden="false" customHeight="false" outlineLevel="0" collapsed="false">
      <c r="B43" s="11" t="s">
        <v>59</v>
      </c>
      <c r="C43" s="6" t="s">
        <v>60</v>
      </c>
    </row>
    <row r="44" customFormat="false" ht="15" hidden="false" customHeight="false" outlineLevel="0" collapsed="false">
      <c r="B44" s="11" t="s">
        <v>61</v>
      </c>
      <c r="C44" s="6" t="s">
        <v>62</v>
      </c>
    </row>
    <row r="45" customFormat="false" ht="15" hidden="false" customHeight="false" outlineLevel="0" collapsed="false">
      <c r="B45" s="11" t="s">
        <v>63</v>
      </c>
      <c r="C45" s="6" t="s">
        <v>64</v>
      </c>
    </row>
    <row r="46" customFormat="false" ht="15" hidden="false" customHeight="false" outlineLevel="0" collapsed="false">
      <c r="B46" s="11" t="s">
        <v>65</v>
      </c>
      <c r="C46" s="6" t="s">
        <v>66</v>
      </c>
    </row>
    <row r="47" customFormat="false" ht="15" hidden="false" customHeight="false" outlineLevel="0" collapsed="false">
      <c r="B47" s="11" t="s">
        <v>67</v>
      </c>
      <c r="C47" s="6" t="s">
        <v>68</v>
      </c>
    </row>
    <row r="48" customFormat="false" ht="15" hidden="false" customHeight="false" outlineLevel="0" collapsed="false">
      <c r="B48" s="11" t="s">
        <v>69</v>
      </c>
      <c r="C48" s="6" t="s">
        <v>70</v>
      </c>
    </row>
    <row r="49" customFormat="false" ht="15" hidden="false" customHeight="false" outlineLevel="0" collapsed="false">
      <c r="B49" s="11" t="s">
        <v>71</v>
      </c>
      <c r="C49" s="6" t="s">
        <v>72</v>
      </c>
    </row>
    <row r="51" customFormat="false" ht="15" hidden="false" customHeight="false" outlineLevel="0" collapsed="false">
      <c r="A51" s="3" t="s">
        <v>73</v>
      </c>
      <c r="B51" s="4"/>
      <c r="C51" s="4"/>
      <c r="D51" s="4"/>
    </row>
    <row r="52" customFormat="false" ht="15" hidden="false" customHeight="false" outlineLevel="0" collapsed="false">
      <c r="B52" s="6" t="s">
        <v>74</v>
      </c>
      <c r="C52" s="16" t="s">
        <v>75</v>
      </c>
      <c r="D52" s="16"/>
    </row>
    <row r="53" customFormat="false" ht="15" hidden="false" customHeight="false" outlineLevel="0" collapsed="false">
      <c r="B53" s="6" t="s">
        <v>76</v>
      </c>
      <c r="C53" s="16" t="s">
        <v>77</v>
      </c>
      <c r="D53" s="16"/>
    </row>
    <row r="54" customFormat="false" ht="15" hidden="false" customHeight="false" outlineLevel="0" collapsed="false">
      <c r="B54" s="6" t="s">
        <v>78</v>
      </c>
      <c r="C54" s="16" t="s">
        <v>79</v>
      </c>
      <c r="D54" s="16"/>
    </row>
    <row r="55" customFormat="false" ht="15" hidden="false" customHeight="false" outlineLevel="0" collapsed="false">
      <c r="B55" s="6" t="s">
        <v>80</v>
      </c>
      <c r="C55" s="16" t="s">
        <v>81</v>
      </c>
      <c r="D55" s="16"/>
    </row>
    <row r="56" customFormat="false" ht="15" hidden="false" customHeight="false" outlineLevel="0" collapsed="false">
      <c r="B56" s="6" t="s">
        <v>82</v>
      </c>
      <c r="C56" s="16" t="s">
        <v>83</v>
      </c>
      <c r="D56" s="16"/>
    </row>
    <row r="57" customFormat="false" ht="15" hidden="false" customHeight="false" outlineLevel="0" collapsed="false">
      <c r="B57" s="6" t="s">
        <v>84</v>
      </c>
      <c r="C57" s="16" t="s">
        <v>85</v>
      </c>
      <c r="D57" s="16"/>
    </row>
    <row r="58" customFormat="false" ht="15" hidden="false" customHeight="false" outlineLevel="0" collapsed="false">
      <c r="B58" s="6" t="s">
        <v>86</v>
      </c>
      <c r="C58" s="16" t="s">
        <v>87</v>
      </c>
      <c r="D58" s="16"/>
    </row>
    <row r="59" customFormat="false" ht="15" hidden="false" customHeight="false" outlineLevel="0" collapsed="false">
      <c r="B59" s="6" t="s">
        <v>88</v>
      </c>
      <c r="C59" s="16" t="s">
        <v>89</v>
      </c>
      <c r="D59" s="16"/>
    </row>
    <row r="60" customFormat="false" ht="15" hidden="false" customHeight="false" outlineLevel="0" collapsed="false">
      <c r="B60" s="6" t="s">
        <v>90</v>
      </c>
      <c r="C60" s="16"/>
      <c r="D60" s="16"/>
    </row>
    <row r="61" customFormat="false" ht="15" hidden="false" customHeight="false" outlineLevel="0" collapsed="false">
      <c r="B61" s="6" t="s">
        <v>91</v>
      </c>
      <c r="C61" s="16"/>
      <c r="D61" s="16"/>
    </row>
  </sheetData>
  <mergeCells count="17">
    <mergeCell ref="C25:D25"/>
    <mergeCell ref="C26:D26"/>
    <mergeCell ref="C27:D27"/>
    <mergeCell ref="C28:D28"/>
    <mergeCell ref="C29:D29"/>
    <mergeCell ref="C30:D30"/>
    <mergeCell ref="C31:D31"/>
    <mergeCell ref="C52:D52"/>
    <mergeCell ref="C53:D53"/>
    <mergeCell ref="C54:D54"/>
    <mergeCell ref="C55:D55"/>
    <mergeCell ref="C56:D56"/>
    <mergeCell ref="C57:D57"/>
    <mergeCell ref="C58:D58"/>
    <mergeCell ref="C59:D59"/>
    <mergeCell ref="C60:D60"/>
    <mergeCell ref="C61:D61"/>
  </mergeCells>
  <dataValidations count="2">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92</v>
      </c>
    </row>
    <row r="2" customFormat="false" ht="15" hidden="false" customHeight="false" outlineLevel="0" collapsed="false">
      <c r="A2" s="2" t="s">
        <v>93</v>
      </c>
    </row>
    <row r="4" customFormat="false" ht="15" hidden="false" customHeight="false" outlineLevel="0" collapsed="false">
      <c r="A4" s="3" t="s">
        <v>94</v>
      </c>
      <c r="B4" s="4"/>
      <c r="C4" s="4"/>
      <c r="D4" s="4"/>
      <c r="E4" s="4"/>
      <c r="F4" s="4"/>
      <c r="G4" s="4"/>
      <c r="H4" s="4"/>
      <c r="I4" s="4"/>
      <c r="J4" s="4"/>
      <c r="K4" s="4"/>
      <c r="L4" s="4"/>
      <c r="M4" s="4"/>
      <c r="N4" s="4"/>
    </row>
    <row r="5" customFormat="false" ht="30" hidden="false" customHeight="true" outlineLevel="0" collapsed="false">
      <c r="A5" s="5" t="s">
        <v>95</v>
      </c>
      <c r="B5" s="5" t="s">
        <v>96</v>
      </c>
      <c r="C5" s="5" t="s">
        <v>97</v>
      </c>
      <c r="D5" s="5" t="s">
        <v>36</v>
      </c>
      <c r="E5" s="5" t="s">
        <v>22</v>
      </c>
      <c r="F5" s="17" t="s">
        <v>98</v>
      </c>
      <c r="G5" s="17"/>
      <c r="H5" s="17"/>
      <c r="I5" s="17"/>
      <c r="J5" s="17"/>
      <c r="K5" s="17"/>
      <c r="L5" s="17"/>
      <c r="M5" s="17"/>
      <c r="N5" s="17"/>
    </row>
    <row r="6" customFormat="false" ht="15" hidden="false" customHeight="false" outlineLevel="0" collapsed="false">
      <c r="A6" s="6" t="s">
        <v>99</v>
      </c>
      <c r="B6" s="6" t="s">
        <v>100</v>
      </c>
      <c r="C6" s="6" t="s">
        <v>101</v>
      </c>
      <c r="D6" s="9" t="n">
        <v>1</v>
      </c>
      <c r="E6" s="18" t="n">
        <f aca="false">D6</f>
        <v>1</v>
      </c>
      <c r="F6" s="2" t="s">
        <v>102</v>
      </c>
    </row>
    <row r="7" customFormat="false" ht="15" hidden="false" customHeight="false" outlineLevel="0" collapsed="false">
      <c r="A7" s="6" t="s">
        <v>103</v>
      </c>
      <c r="B7" s="6" t="s">
        <v>104</v>
      </c>
      <c r="C7" s="6" t="s">
        <v>105</v>
      </c>
      <c r="D7" s="9" t="n">
        <v>10</v>
      </c>
      <c r="E7" s="19" t="n">
        <f aca="false">D7</f>
        <v>10</v>
      </c>
      <c r="F7" s="2" t="s">
        <v>106</v>
      </c>
    </row>
    <row r="8" customFormat="false" ht="15" hidden="false" customHeight="false" outlineLevel="0" collapsed="false">
      <c r="A8" s="6" t="s">
        <v>107</v>
      </c>
      <c r="B8" s="6" t="s">
        <v>108</v>
      </c>
      <c r="C8" s="6" t="s">
        <v>109</v>
      </c>
      <c r="D8" s="20" t="n">
        <v>0</v>
      </c>
      <c r="E8" s="21" t="n">
        <f aca="false">D8</f>
        <v>0</v>
      </c>
      <c r="F8" s="2" t="s">
        <v>110</v>
      </c>
    </row>
    <row r="9" customFormat="false" ht="15" hidden="false" customHeight="false" outlineLevel="0" collapsed="false">
      <c r="A9" s="6" t="s">
        <v>111</v>
      </c>
      <c r="B9" s="6" t="s">
        <v>112</v>
      </c>
      <c r="C9" s="6" t="s">
        <v>109</v>
      </c>
      <c r="D9" s="20" t="n">
        <v>0.4309</v>
      </c>
      <c r="E9" s="21" t="n">
        <f aca="false">D9</f>
        <v>0.4309</v>
      </c>
      <c r="F9" s="2" t="s">
        <v>113</v>
      </c>
    </row>
    <row r="10" customFormat="false" ht="15" hidden="false" customHeight="false" outlineLevel="0" collapsed="false">
      <c r="A10" s="6" t="s">
        <v>114</v>
      </c>
      <c r="B10" s="6" t="s">
        <v>115</v>
      </c>
      <c r="C10" s="6" t="s">
        <v>116</v>
      </c>
      <c r="D10" s="22" t="n">
        <v>576000</v>
      </c>
      <c r="E10" s="23" t="n">
        <f aca="false">D10</f>
        <v>576000</v>
      </c>
      <c r="F10" s="2" t="s">
        <v>117</v>
      </c>
    </row>
    <row r="11" customFormat="false" ht="15" hidden="false" customHeight="false" outlineLevel="0" collapsed="false">
      <c r="A11" s="6" t="s">
        <v>118</v>
      </c>
      <c r="B11" s="6" t="s">
        <v>119</v>
      </c>
      <c r="C11" s="6" t="s">
        <v>120</v>
      </c>
      <c r="D11" s="24" t="n">
        <v>0.5</v>
      </c>
      <c r="E11" s="25" t="n">
        <f aca="false">D11</f>
        <v>0.5</v>
      </c>
      <c r="F11" s="2" t="s">
        <v>121</v>
      </c>
    </row>
    <row r="12" customFormat="false" ht="15" hidden="false" customHeight="false" outlineLevel="0" collapsed="false">
      <c r="A12" s="6" t="s">
        <v>122</v>
      </c>
      <c r="B12" s="6" t="s">
        <v>123</v>
      </c>
      <c r="C12" s="6" t="s">
        <v>120</v>
      </c>
      <c r="D12" s="24" t="n">
        <v>1</v>
      </c>
      <c r="E12" s="25" t="n">
        <f aca="false">D12</f>
        <v>1</v>
      </c>
      <c r="F12" s="2" t="s">
        <v>124</v>
      </c>
    </row>
    <row r="13" customFormat="false" ht="15" hidden="false" customHeight="false" outlineLevel="0" collapsed="false">
      <c r="A13" s="6" t="s">
        <v>125</v>
      </c>
      <c r="B13" s="6" t="s">
        <v>126</v>
      </c>
      <c r="C13" s="6" t="s">
        <v>109</v>
      </c>
      <c r="D13" s="20" t="n">
        <v>0.03</v>
      </c>
      <c r="E13" s="21" t="n">
        <f aca="false">D13</f>
        <v>0.03</v>
      </c>
      <c r="F13" s="2" t="s">
        <v>127</v>
      </c>
    </row>
    <row r="14" customFormat="false" ht="15" hidden="false" customHeight="false" outlineLevel="0" collapsed="false">
      <c r="A14" s="6" t="s">
        <v>128</v>
      </c>
      <c r="B14" s="6" t="s">
        <v>129</v>
      </c>
      <c r="C14" s="6" t="s">
        <v>109</v>
      </c>
      <c r="D14" s="20" t="n">
        <v>0.01</v>
      </c>
      <c r="E14" s="21" t="n">
        <f aca="false">D14</f>
        <v>0.01</v>
      </c>
      <c r="F14" s="2" t="s">
        <v>130</v>
      </c>
    </row>
    <row r="15" customFormat="false" ht="15" hidden="false" customHeight="false" outlineLevel="0" collapsed="false">
      <c r="A15" s="6" t="s">
        <v>131</v>
      </c>
      <c r="B15" s="6" t="s">
        <v>132</v>
      </c>
      <c r="C15" s="6" t="s">
        <v>109</v>
      </c>
      <c r="D15" s="20" t="n">
        <v>0.05</v>
      </c>
      <c r="E15" s="21" t="n">
        <f aca="false">D15</f>
        <v>0.05</v>
      </c>
      <c r="F15" s="2" t="s">
        <v>133</v>
      </c>
    </row>
    <row r="16" customFormat="false" ht="15" hidden="false" customHeight="false" outlineLevel="0" collapsed="false">
      <c r="A16" s="6" t="s">
        <v>134</v>
      </c>
      <c r="B16" s="6" t="s">
        <v>135</v>
      </c>
      <c r="C16" s="6" t="s">
        <v>109</v>
      </c>
      <c r="D16" s="20" t="n">
        <v>0.05</v>
      </c>
      <c r="E16" s="21" t="n">
        <f aca="false">D16</f>
        <v>0.05</v>
      </c>
      <c r="F16" s="2" t="s">
        <v>136</v>
      </c>
    </row>
    <row r="17" customFormat="false" ht="15" hidden="false" customHeight="false" outlineLevel="0" collapsed="false">
      <c r="A17" s="6" t="s">
        <v>137</v>
      </c>
      <c r="B17" s="6" t="s">
        <v>138</v>
      </c>
      <c r="C17" s="6" t="s">
        <v>109</v>
      </c>
      <c r="D17" s="20" t="n">
        <v>0.01</v>
      </c>
      <c r="E17" s="21" t="n">
        <f aca="false">D17</f>
        <v>0.01</v>
      </c>
      <c r="F17" s="2" t="s">
        <v>139</v>
      </c>
    </row>
    <row r="18" customFormat="false" ht="15" hidden="false" customHeight="false" outlineLevel="0" collapsed="false">
      <c r="A18" s="6" t="s">
        <v>140</v>
      </c>
      <c r="B18" s="6" t="s">
        <v>141</v>
      </c>
      <c r="C18" s="6" t="s">
        <v>109</v>
      </c>
      <c r="D18" s="20" t="n">
        <v>0.001</v>
      </c>
      <c r="E18" s="21" t="n">
        <f aca="false">D18</f>
        <v>0.001</v>
      </c>
      <c r="F18" s="2" t="s">
        <v>142</v>
      </c>
    </row>
    <row r="19" customFormat="false" ht="15" hidden="false" customHeight="false" outlineLevel="0" collapsed="false">
      <c r="A19" s="6" t="s">
        <v>143</v>
      </c>
      <c r="B19" s="6" t="s">
        <v>144</v>
      </c>
      <c r="C19" s="6" t="s">
        <v>109</v>
      </c>
      <c r="D19" s="20" t="n">
        <v>0</v>
      </c>
      <c r="E19" s="21" t="n">
        <f aca="false">D19</f>
        <v>0</v>
      </c>
      <c r="F19" s="2" t="s">
        <v>145</v>
      </c>
    </row>
    <row r="20" customFormat="false" ht="15" hidden="false" customHeight="false" outlineLevel="0" collapsed="false">
      <c r="A20" s="6" t="s">
        <v>146</v>
      </c>
      <c r="B20" s="6" t="s">
        <v>147</v>
      </c>
      <c r="C20" s="6" t="s">
        <v>109</v>
      </c>
      <c r="D20" s="20" t="n">
        <v>0</v>
      </c>
      <c r="E20" s="21" t="n">
        <f aca="false">D20</f>
        <v>0</v>
      </c>
      <c r="F20" s="2" t="s">
        <v>148</v>
      </c>
    </row>
    <row r="21" customFormat="false" ht="15" hidden="false" customHeight="false" outlineLevel="0" collapsed="false">
      <c r="A21" s="6" t="s">
        <v>149</v>
      </c>
      <c r="B21" s="6" t="s">
        <v>150</v>
      </c>
      <c r="C21" s="6" t="s">
        <v>151</v>
      </c>
      <c r="D21" s="9" t="n">
        <v>120</v>
      </c>
      <c r="E21" s="18" t="n">
        <f aca="false">D21</f>
        <v>120</v>
      </c>
      <c r="F21" s="2" t="s">
        <v>152</v>
      </c>
    </row>
    <row r="22" customFormat="false" ht="15" hidden="false" customHeight="false" outlineLevel="0" collapsed="false">
      <c r="A22" s="6" t="s">
        <v>153</v>
      </c>
      <c r="B22" s="6" t="s">
        <v>154</v>
      </c>
      <c r="C22" s="6" t="s">
        <v>151</v>
      </c>
      <c r="D22" s="9" t="n">
        <v>120</v>
      </c>
      <c r="E22" s="18" t="n">
        <f aca="false">D22</f>
        <v>120</v>
      </c>
      <c r="F22" s="2" t="s">
        <v>155</v>
      </c>
    </row>
    <row r="23" customFormat="false" ht="15" hidden="false" customHeight="false" outlineLevel="0" collapsed="false">
      <c r="A23" s="6" t="s">
        <v>156</v>
      </c>
      <c r="B23" s="6" t="s">
        <v>157</v>
      </c>
      <c r="C23" s="6" t="s">
        <v>151</v>
      </c>
      <c r="D23" s="9" t="n">
        <v>10</v>
      </c>
      <c r="E23" s="18" t="n">
        <f aca="false">D23</f>
        <v>10</v>
      </c>
      <c r="F23" s="2" t="s">
        <v>152</v>
      </c>
    </row>
    <row r="24" customFormat="false" ht="15" hidden="false" customHeight="false" outlineLevel="0" collapsed="false">
      <c r="A24" s="6" t="s">
        <v>158</v>
      </c>
      <c r="B24" s="6" t="s">
        <v>159</v>
      </c>
      <c r="C24" s="6" t="s">
        <v>151</v>
      </c>
      <c r="D24" s="9" t="n">
        <v>0</v>
      </c>
      <c r="E24" s="18" t="n">
        <f aca="false">D24</f>
        <v>0</v>
      </c>
      <c r="F24" s="2" t="s">
        <v>160</v>
      </c>
    </row>
    <row r="25" customFormat="false" ht="15" hidden="false" customHeight="false" outlineLevel="0" collapsed="false">
      <c r="A25" s="6" t="s">
        <v>161</v>
      </c>
      <c r="B25" s="6" t="s">
        <v>162</v>
      </c>
      <c r="C25" s="6" t="s">
        <v>151</v>
      </c>
      <c r="D25" s="9" t="n">
        <v>30</v>
      </c>
      <c r="E25" s="18" t="n">
        <f aca="false">D25</f>
        <v>30</v>
      </c>
      <c r="F25" s="2" t="s">
        <v>152</v>
      </c>
    </row>
    <row r="26" customFormat="false" ht="15" hidden="false" customHeight="false" outlineLevel="0" collapsed="false">
      <c r="A26" s="6" t="s">
        <v>163</v>
      </c>
      <c r="B26" s="6" t="s">
        <v>164</v>
      </c>
      <c r="C26" s="6" t="s">
        <v>165</v>
      </c>
      <c r="D26" s="9" t="n">
        <v>3</v>
      </c>
      <c r="E26" s="18" t="n">
        <f aca="false">D26</f>
        <v>3</v>
      </c>
      <c r="F26" s="2" t="s">
        <v>166</v>
      </c>
    </row>
    <row r="27" customFormat="false" ht="15" hidden="false" customHeight="false" outlineLevel="0" collapsed="false">
      <c r="A27" s="6" t="s">
        <v>167</v>
      </c>
      <c r="B27" s="6" t="s">
        <v>168</v>
      </c>
      <c r="C27" s="6" t="s">
        <v>109</v>
      </c>
      <c r="D27" s="24" t="n">
        <v>0</v>
      </c>
      <c r="E27" s="25" t="n">
        <f aca="false">D27</f>
        <v>0</v>
      </c>
      <c r="F27" s="2" t="s">
        <v>169</v>
      </c>
    </row>
    <row r="28" customFormat="false" ht="15" hidden="false" customHeight="false" outlineLevel="0" collapsed="false">
      <c r="A28" s="6" t="s">
        <v>170</v>
      </c>
      <c r="B28" s="6" t="s">
        <v>171</v>
      </c>
      <c r="C28" s="6" t="s">
        <v>172</v>
      </c>
      <c r="D28" s="9" t="n">
        <v>6</v>
      </c>
      <c r="E28" s="18" t="n">
        <f aca="false">D28</f>
        <v>6</v>
      </c>
      <c r="F28" s="2" t="s">
        <v>173</v>
      </c>
    </row>
    <row r="29" customFormat="false" ht="15" hidden="false" customHeight="false" outlineLevel="0" collapsed="false">
      <c r="A29" s="6" t="s">
        <v>174</v>
      </c>
      <c r="B29" s="6" t="s">
        <v>175</v>
      </c>
      <c r="C29" s="6" t="s">
        <v>109</v>
      </c>
      <c r="D29" s="24" t="n">
        <v>0.1</v>
      </c>
      <c r="E29" s="25" t="n">
        <f aca="false">D29</f>
        <v>0.1</v>
      </c>
      <c r="F29" s="2" t="s">
        <v>176</v>
      </c>
    </row>
    <row r="30" customFormat="false" ht="15" hidden="false" customHeight="false" outlineLevel="0" collapsed="false">
      <c r="A30" s="6" t="s">
        <v>177</v>
      </c>
      <c r="B30" s="6" t="s">
        <v>178</v>
      </c>
      <c r="C30" s="6" t="s">
        <v>109</v>
      </c>
      <c r="D30" s="20" t="n">
        <v>0.0948937</v>
      </c>
      <c r="E30" s="21" t="n">
        <f aca="false">D30</f>
        <v>0.0948937</v>
      </c>
      <c r="F30" s="2" t="s">
        <v>179</v>
      </c>
    </row>
    <row r="31" customFormat="false" ht="15" hidden="false" customHeight="false" outlineLevel="0" collapsed="false">
      <c r="A31" s="6" t="s">
        <v>180</v>
      </c>
      <c r="B31" s="6" t="s">
        <v>181</v>
      </c>
      <c r="C31" s="6" t="s">
        <v>109</v>
      </c>
      <c r="D31" s="20" t="n">
        <v>0.1632</v>
      </c>
      <c r="E31" s="21" t="n">
        <f aca="false">D31</f>
        <v>0.1632</v>
      </c>
      <c r="F31" s="2" t="s">
        <v>182</v>
      </c>
    </row>
    <row r="32" customFormat="false" ht="15" hidden="false" customHeight="false" outlineLevel="0" collapsed="false">
      <c r="A32" s="6" t="s">
        <v>183</v>
      </c>
      <c r="B32" s="6" t="s">
        <v>184</v>
      </c>
      <c r="C32" s="6" t="s">
        <v>109</v>
      </c>
      <c r="D32" s="24" t="n">
        <v>1</v>
      </c>
      <c r="E32" s="25" t="n">
        <f aca="false">D32</f>
        <v>1</v>
      </c>
      <c r="F32" s="2" t="s">
        <v>185</v>
      </c>
    </row>
    <row r="33" customFormat="false" ht="15" hidden="false" customHeight="false" outlineLevel="0" collapsed="false">
      <c r="A33" s="6" t="s">
        <v>186</v>
      </c>
      <c r="B33" s="6" t="s">
        <v>187</v>
      </c>
      <c r="C33" s="6" t="s">
        <v>109</v>
      </c>
      <c r="D33" s="24" t="n">
        <v>1</v>
      </c>
      <c r="E33" s="25" t="n">
        <f aca="false">D33</f>
        <v>1</v>
      </c>
      <c r="F33" s="2" t="s">
        <v>188</v>
      </c>
    </row>
    <row r="34" customFormat="false" ht="15" hidden="false" customHeight="false" outlineLevel="0" collapsed="false">
      <c r="A34" s="6" t="s">
        <v>189</v>
      </c>
      <c r="B34" s="6" t="s">
        <v>190</v>
      </c>
      <c r="C34" s="6" t="s">
        <v>101</v>
      </c>
      <c r="D34" s="9" t="n">
        <v>4</v>
      </c>
      <c r="E34" s="18" t="n">
        <f aca="false">D34</f>
        <v>4</v>
      </c>
      <c r="F34" s="2" t="s">
        <v>191</v>
      </c>
    </row>
    <row r="36" customFormat="false" ht="15" hidden="false" customHeight="false" outlineLevel="0" collapsed="false">
      <c r="A36" s="3" t="s">
        <v>192</v>
      </c>
      <c r="B36" s="4"/>
      <c r="C36" s="4"/>
      <c r="D36" s="4"/>
      <c r="E36" s="4"/>
      <c r="F36" s="4"/>
      <c r="G36" s="4"/>
      <c r="H36" s="4"/>
      <c r="I36" s="4"/>
      <c r="J36" s="4"/>
      <c r="K36" s="4"/>
      <c r="L36" s="4"/>
      <c r="M36" s="4"/>
      <c r="N36" s="4"/>
    </row>
    <row r="37" customFormat="false" ht="15" hidden="false" customHeight="false" outlineLevel="0" collapsed="false">
      <c r="A37" s="5" t="s">
        <v>95</v>
      </c>
      <c r="B37" s="5" t="s">
        <v>193</v>
      </c>
      <c r="C37" s="5" t="s">
        <v>97</v>
      </c>
      <c r="D37" s="5" t="s">
        <v>194</v>
      </c>
      <c r="E37" s="5" t="s">
        <v>195</v>
      </c>
      <c r="F37" s="5" t="s">
        <v>196</v>
      </c>
      <c r="G37" s="5" t="s">
        <v>197</v>
      </c>
      <c r="H37" s="5" t="s">
        <v>198</v>
      </c>
      <c r="I37" s="5" t="s">
        <v>199</v>
      </c>
      <c r="J37" s="5" t="s">
        <v>200</v>
      </c>
      <c r="K37" s="5" t="s">
        <v>201</v>
      </c>
      <c r="L37" s="5" t="s">
        <v>202</v>
      </c>
      <c r="M37" s="5" t="s">
        <v>203</v>
      </c>
      <c r="N37" s="5" t="s">
        <v>204</v>
      </c>
    </row>
    <row r="38" customFormat="false" ht="15" hidden="false" customHeight="false" outlineLevel="0" collapsed="false">
      <c r="B38" s="26" t="s">
        <v>205</v>
      </c>
    </row>
    <row r="39" customFormat="false" ht="15" hidden="false" customHeight="false" outlineLevel="0" collapsed="false">
      <c r="A39" s="6" t="s">
        <v>206</v>
      </c>
      <c r="B39" s="6" t="s">
        <v>207</v>
      </c>
      <c r="C39" s="6" t="s">
        <v>208</v>
      </c>
      <c r="D39" s="22" t="n">
        <v>7300</v>
      </c>
      <c r="E39" s="22" t="n">
        <v>7300</v>
      </c>
      <c r="F39" s="22" t="n">
        <v>7300</v>
      </c>
      <c r="G39" s="22" t="n">
        <v>7300</v>
      </c>
      <c r="H39" s="22" t="n">
        <v>7300</v>
      </c>
      <c r="I39" s="22" t="n">
        <v>7300</v>
      </c>
      <c r="J39" s="22" t="n">
        <v>7300</v>
      </c>
      <c r="K39" s="22" t="n">
        <v>7300</v>
      </c>
      <c r="L39" s="22" t="n">
        <v>7300</v>
      </c>
      <c r="M39" s="22" t="n">
        <v>7300</v>
      </c>
    </row>
    <row r="40" customFormat="false" ht="15" hidden="false" customHeight="false" outlineLevel="0" collapsed="false">
      <c r="A40" s="6" t="s">
        <v>209</v>
      </c>
      <c r="B40" s="6" t="s">
        <v>210</v>
      </c>
      <c r="C40" s="6" t="s">
        <v>109</v>
      </c>
      <c r="D40" s="24" t="n">
        <v>0</v>
      </c>
      <c r="E40" s="24" t="n">
        <v>0.01</v>
      </c>
      <c r="F40" s="24" t="n">
        <v>0.01</v>
      </c>
      <c r="G40" s="24" t="n">
        <v>0.01</v>
      </c>
      <c r="H40" s="24" t="n">
        <v>0.01</v>
      </c>
      <c r="I40" s="24" t="n">
        <v>0.01</v>
      </c>
      <c r="J40" s="24" t="n">
        <v>0.01</v>
      </c>
      <c r="K40" s="24" t="n">
        <v>0.01</v>
      </c>
      <c r="L40" s="24" t="n">
        <v>0.01</v>
      </c>
      <c r="M40" s="24" t="n">
        <v>0.01</v>
      </c>
    </row>
    <row r="41" customFormat="false" ht="15" hidden="false" customHeight="false" outlineLevel="0" collapsed="false">
      <c r="A41" s="6" t="s">
        <v>211</v>
      </c>
      <c r="B41" s="6" t="s">
        <v>212</v>
      </c>
      <c r="C41" s="6" t="s">
        <v>109</v>
      </c>
      <c r="D41" s="24" t="n">
        <v>0</v>
      </c>
      <c r="E41" s="24" t="n">
        <v>0.01</v>
      </c>
      <c r="F41" s="24" t="n">
        <v>0.01</v>
      </c>
      <c r="G41" s="24" t="n">
        <v>0.01</v>
      </c>
      <c r="H41" s="24" t="n">
        <v>0.01</v>
      </c>
      <c r="I41" s="24" t="n">
        <v>0.01</v>
      </c>
      <c r="J41" s="24" t="n">
        <v>0.01</v>
      </c>
      <c r="K41" s="24" t="n">
        <v>0.01</v>
      </c>
      <c r="L41" s="24" t="n">
        <v>0.01</v>
      </c>
      <c r="M41" s="24" t="n">
        <v>0.01</v>
      </c>
    </row>
    <row r="42" customFormat="false" ht="15" hidden="false" customHeight="false" outlineLevel="0" collapsed="false">
      <c r="A42" s="6" t="s">
        <v>213</v>
      </c>
      <c r="B42" s="6" t="s">
        <v>214</v>
      </c>
      <c r="C42" s="6" t="s">
        <v>109</v>
      </c>
      <c r="D42" s="24" t="n">
        <v>0</v>
      </c>
      <c r="E42" s="24" t="n">
        <v>0</v>
      </c>
      <c r="F42" s="24" t="n">
        <v>0</v>
      </c>
      <c r="G42" s="24" t="n">
        <v>0</v>
      </c>
      <c r="H42" s="24" t="n">
        <v>0</v>
      </c>
      <c r="I42" s="24" t="n">
        <v>0</v>
      </c>
      <c r="J42" s="24" t="n">
        <v>0</v>
      </c>
      <c r="K42" s="24" t="n">
        <v>0</v>
      </c>
      <c r="L42" s="24" t="n">
        <v>0</v>
      </c>
      <c r="M42" s="24" t="n">
        <v>0</v>
      </c>
    </row>
    <row r="43" customFormat="false" ht="15" hidden="false" customHeight="false" outlineLevel="0" collapsed="false">
      <c r="A43" s="6" t="s">
        <v>215</v>
      </c>
      <c r="B43" s="6" t="s">
        <v>216</v>
      </c>
      <c r="C43" s="6" t="s">
        <v>109</v>
      </c>
      <c r="D43" s="24" t="n">
        <v>0</v>
      </c>
      <c r="E43" s="24" t="n">
        <v>0</v>
      </c>
      <c r="F43" s="24" t="n">
        <v>0</v>
      </c>
      <c r="G43" s="24" t="n">
        <v>0</v>
      </c>
      <c r="H43" s="24" t="n">
        <v>0</v>
      </c>
      <c r="I43" s="24" t="n">
        <v>0</v>
      </c>
      <c r="J43" s="24" t="n">
        <v>0</v>
      </c>
      <c r="K43" s="24" t="n">
        <v>0</v>
      </c>
      <c r="L43" s="24" t="n">
        <v>0</v>
      </c>
      <c r="M43" s="24" t="n">
        <v>0</v>
      </c>
    </row>
    <row r="44" customFormat="false" ht="15" hidden="false" customHeight="false" outlineLevel="0" collapsed="false">
      <c r="A44" s="6" t="s">
        <v>217</v>
      </c>
      <c r="B44" s="6" t="s">
        <v>218</v>
      </c>
      <c r="C44" s="6" t="s">
        <v>109</v>
      </c>
      <c r="D44" s="24" t="n">
        <v>0</v>
      </c>
      <c r="E44" s="24" t="n">
        <v>0</v>
      </c>
      <c r="F44" s="24" t="n">
        <v>0.3</v>
      </c>
      <c r="G44" s="24" t="n">
        <v>0.5</v>
      </c>
      <c r="H44" s="24" t="n">
        <v>1</v>
      </c>
      <c r="I44" s="24" t="n">
        <v>1</v>
      </c>
      <c r="J44" s="24" t="n">
        <v>1</v>
      </c>
      <c r="K44" s="24" t="n">
        <v>1</v>
      </c>
      <c r="L44" s="24" t="n">
        <v>1</v>
      </c>
      <c r="M44" s="24" t="n">
        <v>1</v>
      </c>
    </row>
    <row r="45" customFormat="false" ht="15" hidden="false" customHeight="false" outlineLevel="0" collapsed="false">
      <c r="B45" s="2" t="s">
        <v>219</v>
      </c>
      <c r="D45" s="27" t="n">
        <f aca="false">1</f>
        <v>1</v>
      </c>
      <c r="E45" s="27" t="n">
        <f aca="false">D45*(1+N(E40))</f>
        <v>1.01</v>
      </c>
      <c r="F45" s="27" t="n">
        <f aca="false">E45*(1+N(F40))</f>
        <v>1.0201</v>
      </c>
      <c r="G45" s="27" t="n">
        <f aca="false">F45*(1+N(G40))</f>
        <v>1.030301</v>
      </c>
      <c r="H45" s="27" t="n">
        <f aca="false">G45*(1+N(H40))</f>
        <v>1.04060401</v>
      </c>
      <c r="I45" s="27" t="n">
        <f aca="false">H45*(1+N(I40))</f>
        <v>1.0510100501</v>
      </c>
      <c r="J45" s="27" t="n">
        <f aca="false">I45*(1+N(J40))</f>
        <v>1.061520150601</v>
      </c>
      <c r="K45" s="27" t="n">
        <f aca="false">J45*(1+N(K40))</f>
        <v>1.07213535210701</v>
      </c>
      <c r="L45" s="27" t="n">
        <f aca="false">K45*(1+N(L40))</f>
        <v>1.08285670562808</v>
      </c>
      <c r="M45" s="27" t="n">
        <f aca="false">L45*(1+N(M40))</f>
        <v>1.09368527268436</v>
      </c>
    </row>
    <row r="46" customFormat="false" ht="15" hidden="false" customHeight="false" outlineLevel="0" collapsed="false">
      <c r="B46" s="2" t="s">
        <v>220</v>
      </c>
      <c r="D46" s="27" t="n">
        <f aca="false">1</f>
        <v>1</v>
      </c>
      <c r="E46" s="27" t="n">
        <f aca="false">D46*(1+N(E41))</f>
        <v>1.01</v>
      </c>
      <c r="F46" s="27" t="n">
        <f aca="false">E46*(1+N(F41))</f>
        <v>1.0201</v>
      </c>
      <c r="G46" s="27" t="n">
        <f aca="false">F46*(1+N(G41))</f>
        <v>1.030301</v>
      </c>
      <c r="H46" s="27" t="n">
        <f aca="false">G46*(1+N(H41))</f>
        <v>1.04060401</v>
      </c>
      <c r="I46" s="27" t="n">
        <f aca="false">H46*(1+N(I41))</f>
        <v>1.0510100501</v>
      </c>
      <c r="J46" s="27" t="n">
        <f aca="false">I46*(1+N(J41))</f>
        <v>1.061520150601</v>
      </c>
      <c r="K46" s="27" t="n">
        <f aca="false">J46*(1+N(K41))</f>
        <v>1.07213535210701</v>
      </c>
      <c r="L46" s="27" t="n">
        <f aca="false">K46*(1+N(L41))</f>
        <v>1.08285670562808</v>
      </c>
      <c r="M46" s="27" t="n">
        <f aca="false">L46*(1+N(M41))</f>
        <v>1.09368527268436</v>
      </c>
    </row>
    <row r="47" customFormat="false" ht="15" hidden="false" customHeight="false" outlineLevel="0" collapsed="false">
      <c r="B47" s="2" t="s">
        <v>221</v>
      </c>
      <c r="D47" s="27" t="n">
        <f aca="false">1</f>
        <v>1</v>
      </c>
      <c r="E47" s="27" t="n">
        <f aca="false">D47*(1+N(E42))</f>
        <v>1</v>
      </c>
      <c r="F47" s="27" t="n">
        <f aca="false">E47*(1+N(F42))</f>
        <v>1</v>
      </c>
      <c r="G47" s="27" t="n">
        <f aca="false">F47*(1+N(G42))</f>
        <v>1</v>
      </c>
      <c r="H47" s="27" t="n">
        <f aca="false">G47*(1+N(H42))</f>
        <v>1</v>
      </c>
      <c r="I47" s="27" t="n">
        <f aca="false">H47*(1+N(I42))</f>
        <v>1</v>
      </c>
      <c r="J47" s="27" t="n">
        <f aca="false">I47*(1+N(J42))</f>
        <v>1</v>
      </c>
      <c r="K47" s="27" t="n">
        <f aca="false">J47*(1+N(K42))</f>
        <v>1</v>
      </c>
      <c r="L47" s="27" t="n">
        <f aca="false">K47*(1+N(L42))</f>
        <v>1</v>
      </c>
      <c r="M47" s="27" t="n">
        <f aca="false">L47*(1+N(M42))</f>
        <v>1</v>
      </c>
    </row>
    <row r="48" customFormat="false" ht="15" hidden="false" customHeight="false" outlineLevel="0" collapsed="false">
      <c r="B48" s="2" t="s">
        <v>222</v>
      </c>
      <c r="D48" s="27" t="n">
        <f aca="false">1</f>
        <v>1</v>
      </c>
      <c r="E48" s="27" t="n">
        <f aca="false">D48*(1+N(E43))</f>
        <v>1</v>
      </c>
      <c r="F48" s="27" t="n">
        <f aca="false">E48*(1+N(F43))</f>
        <v>1</v>
      </c>
      <c r="G48" s="27" t="n">
        <f aca="false">F48*(1+N(G43))</f>
        <v>1</v>
      </c>
      <c r="H48" s="27" t="n">
        <f aca="false">G48*(1+N(H43))</f>
        <v>1</v>
      </c>
      <c r="I48" s="27" t="n">
        <f aca="false">H48*(1+N(I43))</f>
        <v>1</v>
      </c>
      <c r="J48" s="27" t="n">
        <f aca="false">I48*(1+N(J43))</f>
        <v>1</v>
      </c>
      <c r="K48" s="27" t="n">
        <f aca="false">J48*(1+N(K43))</f>
        <v>1</v>
      </c>
      <c r="L48" s="27" t="n">
        <f aca="false">K48*(1+N(L43))</f>
        <v>1</v>
      </c>
      <c r="M48" s="27" t="n">
        <f aca="false">L48*(1+N(M43))</f>
        <v>1</v>
      </c>
    </row>
    <row r="50" customFormat="false" ht="15" hidden="false" customHeight="false" outlineLevel="0" collapsed="false">
      <c r="B50" s="28" t="s">
        <v>223</v>
      </c>
    </row>
    <row r="51" customFormat="false" ht="15" hidden="false" customHeight="false" outlineLevel="0" collapsed="false">
      <c r="A51" s="6" t="s">
        <v>206</v>
      </c>
      <c r="B51" s="6" t="s">
        <v>207</v>
      </c>
      <c r="C51" s="6" t="s">
        <v>208</v>
      </c>
      <c r="D51" s="23" t="n">
        <f aca="false">D39</f>
        <v>7300</v>
      </c>
      <c r="E51" s="23" t="n">
        <f aca="false">E39</f>
        <v>7300</v>
      </c>
      <c r="F51" s="23" t="n">
        <f aca="false">F39</f>
        <v>7300</v>
      </c>
      <c r="G51" s="23" t="n">
        <f aca="false">G39</f>
        <v>7300</v>
      </c>
      <c r="H51" s="23" t="n">
        <f aca="false">H39</f>
        <v>7300</v>
      </c>
      <c r="I51" s="23" t="n">
        <f aca="false">I39</f>
        <v>7300</v>
      </c>
      <c r="J51" s="23" t="n">
        <f aca="false">J39</f>
        <v>7300</v>
      </c>
      <c r="K51" s="23" t="n">
        <f aca="false">K39</f>
        <v>7300</v>
      </c>
      <c r="L51" s="23" t="n">
        <f aca="false">L39</f>
        <v>7300</v>
      </c>
      <c r="M51" s="23" t="n">
        <f aca="false">M39</f>
        <v>7300</v>
      </c>
    </row>
    <row r="52" customFormat="false" ht="15" hidden="false" customHeight="false" outlineLevel="0" collapsed="false">
      <c r="A52" s="6" t="s">
        <v>209</v>
      </c>
      <c r="B52" s="6" t="s">
        <v>210</v>
      </c>
      <c r="C52" s="6" t="s">
        <v>109</v>
      </c>
      <c r="D52" s="25" t="n">
        <f aca="false">D40</f>
        <v>0</v>
      </c>
      <c r="E52" s="25" t="n">
        <f aca="false">E40</f>
        <v>0.01</v>
      </c>
      <c r="F52" s="25" t="n">
        <f aca="false">F40</f>
        <v>0.01</v>
      </c>
      <c r="G52" s="25" t="n">
        <f aca="false">G40</f>
        <v>0.01</v>
      </c>
      <c r="H52" s="25" t="n">
        <f aca="false">H40</f>
        <v>0.01</v>
      </c>
      <c r="I52" s="25" t="n">
        <f aca="false">I40</f>
        <v>0.01</v>
      </c>
      <c r="J52" s="25" t="n">
        <f aca="false">J40</f>
        <v>0.01</v>
      </c>
      <c r="K52" s="25" t="n">
        <f aca="false">K40</f>
        <v>0.01</v>
      </c>
      <c r="L52" s="25" t="n">
        <f aca="false">L40</f>
        <v>0.01</v>
      </c>
      <c r="M52" s="25" t="n">
        <f aca="false">M40</f>
        <v>0.01</v>
      </c>
    </row>
    <row r="53" customFormat="false" ht="15" hidden="false" customHeight="false" outlineLevel="0" collapsed="false">
      <c r="A53" s="6" t="s">
        <v>211</v>
      </c>
      <c r="B53" s="6" t="s">
        <v>212</v>
      </c>
      <c r="C53" s="6" t="s">
        <v>109</v>
      </c>
      <c r="D53" s="25" t="n">
        <f aca="false">D41</f>
        <v>0</v>
      </c>
      <c r="E53" s="25" t="n">
        <f aca="false">E41</f>
        <v>0.01</v>
      </c>
      <c r="F53" s="25" t="n">
        <f aca="false">F41</f>
        <v>0.01</v>
      </c>
      <c r="G53" s="25" t="n">
        <f aca="false">G41</f>
        <v>0.01</v>
      </c>
      <c r="H53" s="25" t="n">
        <f aca="false">H41</f>
        <v>0.01</v>
      </c>
      <c r="I53" s="25" t="n">
        <f aca="false">I41</f>
        <v>0.01</v>
      </c>
      <c r="J53" s="25" t="n">
        <f aca="false">J41</f>
        <v>0.01</v>
      </c>
      <c r="K53" s="25" t="n">
        <f aca="false">K41</f>
        <v>0.01</v>
      </c>
      <c r="L53" s="25" t="n">
        <f aca="false">L41</f>
        <v>0.01</v>
      </c>
      <c r="M53" s="25" t="n">
        <f aca="false">M41</f>
        <v>0.01</v>
      </c>
    </row>
    <row r="54" customFormat="false" ht="15" hidden="false" customHeight="false" outlineLevel="0" collapsed="false">
      <c r="A54" s="6" t="s">
        <v>213</v>
      </c>
      <c r="B54" s="6" t="s">
        <v>214</v>
      </c>
      <c r="C54" s="6" t="s">
        <v>109</v>
      </c>
      <c r="D54" s="25" t="n">
        <f aca="false">D42</f>
        <v>0</v>
      </c>
      <c r="E54" s="25" t="n">
        <f aca="false">E42</f>
        <v>0</v>
      </c>
      <c r="F54" s="25" t="n">
        <f aca="false">F42</f>
        <v>0</v>
      </c>
      <c r="G54" s="25" t="n">
        <f aca="false">G42</f>
        <v>0</v>
      </c>
      <c r="H54" s="25" t="n">
        <f aca="false">H42</f>
        <v>0</v>
      </c>
      <c r="I54" s="25" t="n">
        <f aca="false">I42</f>
        <v>0</v>
      </c>
      <c r="J54" s="25" t="n">
        <f aca="false">J42</f>
        <v>0</v>
      </c>
      <c r="K54" s="25" t="n">
        <f aca="false">K42</f>
        <v>0</v>
      </c>
      <c r="L54" s="25" t="n">
        <f aca="false">L42</f>
        <v>0</v>
      </c>
      <c r="M54" s="25" t="n">
        <f aca="false">M42</f>
        <v>0</v>
      </c>
    </row>
    <row r="55" customFormat="false" ht="15" hidden="false" customHeight="false" outlineLevel="0" collapsed="false">
      <c r="A55" s="6" t="s">
        <v>215</v>
      </c>
      <c r="B55" s="6" t="s">
        <v>216</v>
      </c>
      <c r="C55" s="6" t="s">
        <v>109</v>
      </c>
      <c r="D55" s="25" t="n">
        <f aca="false">D43</f>
        <v>0</v>
      </c>
      <c r="E55" s="25" t="n">
        <f aca="false">E43</f>
        <v>0</v>
      </c>
      <c r="F55" s="25" t="n">
        <f aca="false">F43</f>
        <v>0</v>
      </c>
      <c r="G55" s="25" t="n">
        <f aca="false">G43</f>
        <v>0</v>
      </c>
      <c r="H55" s="25" t="n">
        <f aca="false">H43</f>
        <v>0</v>
      </c>
      <c r="I55" s="25" t="n">
        <f aca="false">I43</f>
        <v>0</v>
      </c>
      <c r="J55" s="25" t="n">
        <f aca="false">J43</f>
        <v>0</v>
      </c>
      <c r="K55" s="25" t="n">
        <f aca="false">K43</f>
        <v>0</v>
      </c>
      <c r="L55" s="25" t="n">
        <f aca="false">L43</f>
        <v>0</v>
      </c>
      <c r="M55" s="25" t="n">
        <f aca="false">M43</f>
        <v>0</v>
      </c>
    </row>
    <row r="56" customFormat="false" ht="15" hidden="false" customHeight="false" outlineLevel="0" collapsed="false">
      <c r="A56" s="6" t="s">
        <v>217</v>
      </c>
      <c r="B56" s="6" t="s">
        <v>218</v>
      </c>
      <c r="C56" s="6" t="s">
        <v>109</v>
      </c>
      <c r="D56" s="25" t="n">
        <f aca="false">D44</f>
        <v>0</v>
      </c>
      <c r="E56" s="25" t="n">
        <f aca="false">E44</f>
        <v>0</v>
      </c>
      <c r="F56" s="25" t="n">
        <f aca="false">F44</f>
        <v>0.3</v>
      </c>
      <c r="G56" s="25" t="n">
        <f aca="false">G44</f>
        <v>0.5</v>
      </c>
      <c r="H56" s="25" t="n">
        <f aca="false">H44</f>
        <v>1</v>
      </c>
      <c r="I56" s="25" t="n">
        <f aca="false">I44</f>
        <v>1</v>
      </c>
      <c r="J56" s="25" t="n">
        <f aca="false">J44</f>
        <v>1</v>
      </c>
      <c r="K56" s="25" t="n">
        <f aca="false">K44</f>
        <v>1</v>
      </c>
      <c r="L56" s="25" t="n">
        <f aca="false">L44</f>
        <v>1</v>
      </c>
      <c r="M56" s="25" t="n">
        <f aca="false">M44</f>
        <v>1</v>
      </c>
    </row>
    <row r="57" customFormat="false" ht="15" hidden="false" customHeight="false" outlineLevel="0" collapsed="false">
      <c r="B57" s="2" t="s">
        <v>219</v>
      </c>
      <c r="D57" s="27" t="n">
        <f aca="false">1</f>
        <v>1</v>
      </c>
      <c r="E57" s="27" t="n">
        <f aca="false">D57*(1+N(E52))</f>
        <v>1.01</v>
      </c>
      <c r="F57" s="27" t="n">
        <f aca="false">E57*(1+N(F52))</f>
        <v>1.0201</v>
      </c>
      <c r="G57" s="27" t="n">
        <f aca="false">F57*(1+N(G52))</f>
        <v>1.030301</v>
      </c>
      <c r="H57" s="27" t="n">
        <f aca="false">G57*(1+N(H52))</f>
        <v>1.04060401</v>
      </c>
      <c r="I57" s="27" t="n">
        <f aca="false">H57*(1+N(I52))</f>
        <v>1.0510100501</v>
      </c>
      <c r="J57" s="27" t="n">
        <f aca="false">I57*(1+N(J52))</f>
        <v>1.061520150601</v>
      </c>
      <c r="K57" s="27" t="n">
        <f aca="false">J57*(1+N(K52))</f>
        <v>1.07213535210701</v>
      </c>
      <c r="L57" s="27" t="n">
        <f aca="false">K57*(1+N(L52))</f>
        <v>1.08285670562808</v>
      </c>
      <c r="M57" s="27" t="n">
        <f aca="false">L57*(1+N(M52))</f>
        <v>1.09368527268436</v>
      </c>
    </row>
    <row r="58" customFormat="false" ht="15" hidden="false" customHeight="false" outlineLevel="0" collapsed="false">
      <c r="B58" s="2" t="s">
        <v>220</v>
      </c>
      <c r="D58" s="27" t="n">
        <f aca="false">1</f>
        <v>1</v>
      </c>
      <c r="E58" s="27" t="n">
        <f aca="false">D58*(1+N(E53))</f>
        <v>1.01</v>
      </c>
      <c r="F58" s="27" t="n">
        <f aca="false">E58*(1+N(F53))</f>
        <v>1.0201</v>
      </c>
      <c r="G58" s="27" t="n">
        <f aca="false">F58*(1+N(G53))</f>
        <v>1.030301</v>
      </c>
      <c r="H58" s="27" t="n">
        <f aca="false">G58*(1+N(H53))</f>
        <v>1.04060401</v>
      </c>
      <c r="I58" s="27" t="n">
        <f aca="false">H58*(1+N(I53))</f>
        <v>1.0510100501</v>
      </c>
      <c r="J58" s="27" t="n">
        <f aca="false">I58*(1+N(J53))</f>
        <v>1.061520150601</v>
      </c>
      <c r="K58" s="27" t="n">
        <f aca="false">J58*(1+N(K53))</f>
        <v>1.07213535210701</v>
      </c>
      <c r="L58" s="27" t="n">
        <f aca="false">K58*(1+N(L53))</f>
        <v>1.08285670562808</v>
      </c>
      <c r="M58" s="27" t="n">
        <f aca="false">L58*(1+N(M53))</f>
        <v>1.09368527268436</v>
      </c>
    </row>
    <row r="59" customFormat="false" ht="15" hidden="false" customHeight="false" outlineLevel="0" collapsed="false">
      <c r="B59" s="2" t="s">
        <v>221</v>
      </c>
      <c r="D59" s="27" t="n">
        <f aca="false">1</f>
        <v>1</v>
      </c>
      <c r="E59" s="27" t="n">
        <f aca="false">D59*(1+N(E54))</f>
        <v>1</v>
      </c>
      <c r="F59" s="27" t="n">
        <f aca="false">E59*(1+N(F54))</f>
        <v>1</v>
      </c>
      <c r="G59" s="27" t="n">
        <f aca="false">F59*(1+N(G54))</f>
        <v>1</v>
      </c>
      <c r="H59" s="27" t="n">
        <f aca="false">G59*(1+N(H54))</f>
        <v>1</v>
      </c>
      <c r="I59" s="27" t="n">
        <f aca="false">H59*(1+N(I54))</f>
        <v>1</v>
      </c>
      <c r="J59" s="27" t="n">
        <f aca="false">I59*(1+N(J54))</f>
        <v>1</v>
      </c>
      <c r="K59" s="27" t="n">
        <f aca="false">J59*(1+N(K54))</f>
        <v>1</v>
      </c>
      <c r="L59" s="27" t="n">
        <f aca="false">K59*(1+N(L54))</f>
        <v>1</v>
      </c>
      <c r="M59" s="27" t="n">
        <f aca="false">L59*(1+N(M54))</f>
        <v>1</v>
      </c>
    </row>
    <row r="60" customFormat="false" ht="15" hidden="false" customHeight="false" outlineLevel="0" collapsed="false">
      <c r="B60" s="2" t="s">
        <v>222</v>
      </c>
      <c r="D60" s="27" t="n">
        <f aca="false">1</f>
        <v>1</v>
      </c>
      <c r="E60" s="27" t="n">
        <f aca="false">D60*(1+N(E55))</f>
        <v>1</v>
      </c>
      <c r="F60" s="27" t="n">
        <f aca="false">E60*(1+N(F55))</f>
        <v>1</v>
      </c>
      <c r="G60" s="27" t="n">
        <f aca="false">F60*(1+N(G55))</f>
        <v>1</v>
      </c>
      <c r="H60" s="27" t="n">
        <f aca="false">G60*(1+N(H55))</f>
        <v>1</v>
      </c>
      <c r="I60" s="27" t="n">
        <f aca="false">H60*(1+N(I55))</f>
        <v>1</v>
      </c>
      <c r="J60" s="27" t="n">
        <f aca="false">I60*(1+N(J55))</f>
        <v>1</v>
      </c>
      <c r="K60" s="27" t="n">
        <f aca="false">J60*(1+N(K55))</f>
        <v>1</v>
      </c>
      <c r="L60" s="27" t="n">
        <f aca="false">K60*(1+N(L55))</f>
        <v>1</v>
      </c>
      <c r="M60" s="27" t="n">
        <f aca="false">L60*(1+N(M55))</f>
        <v>1</v>
      </c>
    </row>
    <row r="62" customFormat="false" ht="15" hidden="false" customHeight="false" outlineLevel="0" collapsed="false">
      <c r="A62" s="3" t="s">
        <v>224</v>
      </c>
      <c r="B62" s="4"/>
      <c r="C62" s="4"/>
      <c r="D62" s="4"/>
      <c r="E62" s="4"/>
      <c r="F62" s="4"/>
      <c r="G62" s="4"/>
      <c r="H62" s="4"/>
      <c r="I62" s="4"/>
      <c r="J62" s="4"/>
      <c r="K62" s="4"/>
      <c r="L62" s="4"/>
      <c r="M62" s="4"/>
      <c r="N62" s="4"/>
    </row>
    <row r="63" customFormat="false" ht="30" hidden="false" customHeight="true" outlineLevel="0" collapsed="false">
      <c r="A63" s="5" t="s">
        <v>95</v>
      </c>
      <c r="B63" s="5" t="s">
        <v>225</v>
      </c>
      <c r="C63" s="5" t="s">
        <v>97</v>
      </c>
      <c r="D63" s="5" t="s">
        <v>22</v>
      </c>
      <c r="E63" s="5" t="s">
        <v>226</v>
      </c>
      <c r="F63" s="5" t="s">
        <v>227</v>
      </c>
      <c r="G63" s="5" t="s">
        <v>228</v>
      </c>
      <c r="H63" s="17" t="s">
        <v>204</v>
      </c>
      <c r="I63" s="17"/>
      <c r="J63" s="17"/>
      <c r="K63" s="17"/>
      <c r="L63" s="17"/>
      <c r="M63" s="17"/>
      <c r="N63" s="17"/>
    </row>
    <row r="64" customFormat="false" ht="15" hidden="false" customHeight="false" outlineLevel="0" collapsed="false">
      <c r="A64" s="6" t="s">
        <v>229</v>
      </c>
      <c r="B64" s="6" t="s">
        <v>230</v>
      </c>
      <c r="C64" s="6" t="s">
        <v>109</v>
      </c>
      <c r="D64" s="29" t="n">
        <v>0</v>
      </c>
      <c r="E64" s="24" t="n">
        <v>-0.1</v>
      </c>
      <c r="F64" s="24" t="n">
        <v>0.05</v>
      </c>
      <c r="G64" s="30" t="n">
        <f aca="false">IF(INDEX(D64:F64,1,c_EscIdx)="","",INDEX(D64:F64,1,c_EscIdx))</f>
        <v>0</v>
      </c>
    </row>
    <row r="65" customFormat="false" ht="15" hidden="false" customHeight="false" outlineLevel="0" collapsed="false">
      <c r="A65" s="6" t="s">
        <v>231</v>
      </c>
      <c r="B65" s="6" t="s">
        <v>232</v>
      </c>
      <c r="C65" s="6" t="s">
        <v>109</v>
      </c>
      <c r="D65" s="29" t="n">
        <v>0</v>
      </c>
      <c r="E65" s="24" t="n">
        <v>-0.05</v>
      </c>
      <c r="F65" s="24" t="n">
        <v>0.02</v>
      </c>
      <c r="G65" s="30" t="n">
        <f aca="false">IF(INDEX(D65:F65,1,c_EscIdx)="","",INDEX(D65:F65,1,c_EscIdx))</f>
        <v>0</v>
      </c>
    </row>
    <row r="66" customFormat="false" ht="15" hidden="false" customHeight="false" outlineLevel="0" collapsed="false">
      <c r="A66" s="6" t="s">
        <v>233</v>
      </c>
      <c r="B66" s="6" t="s">
        <v>234</v>
      </c>
      <c r="C66" s="6" t="s">
        <v>109</v>
      </c>
      <c r="D66" s="29" t="n">
        <v>0</v>
      </c>
      <c r="E66" s="24" t="n">
        <v>0.1</v>
      </c>
      <c r="F66" s="24" t="n">
        <v>-0.03</v>
      </c>
      <c r="G66" s="30" t="n">
        <f aca="false">IF(INDEX(D66:F66,1,c_EscIdx)="","",INDEX(D66:F66,1,c_EscIdx))</f>
        <v>0</v>
      </c>
    </row>
    <row r="67" customFormat="false" ht="15" hidden="false" customHeight="false" outlineLevel="0" collapsed="false">
      <c r="A67" s="6" t="s">
        <v>235</v>
      </c>
      <c r="B67" s="6" t="s">
        <v>236</v>
      </c>
      <c r="C67" s="6" t="s">
        <v>109</v>
      </c>
      <c r="D67" s="29" t="n">
        <v>0</v>
      </c>
      <c r="E67" s="24" t="n">
        <v>0</v>
      </c>
      <c r="F67" s="24" t="n">
        <v>0</v>
      </c>
      <c r="G67" s="30" t="n">
        <f aca="false">IF(INDEX(D67:F67,1,c_EscIdx)="","",INDEX(D67:F67,1,c_EscIdx))</f>
        <v>0</v>
      </c>
    </row>
    <row r="68" customFormat="false" ht="15" hidden="false" customHeight="false" outlineLevel="0" collapsed="false">
      <c r="A68" s="6" t="s">
        <v>237</v>
      </c>
      <c r="B68" s="6" t="s">
        <v>238</v>
      </c>
      <c r="C68" s="6" t="s">
        <v>172</v>
      </c>
      <c r="D68" s="31" t="n">
        <v>0</v>
      </c>
      <c r="E68" s="9" t="n">
        <v>3</v>
      </c>
      <c r="F68" s="9" t="n">
        <v>0</v>
      </c>
      <c r="G68" s="32" t="n">
        <f aca="false">IF(INDEX(D68:F68,1,c_EscIdx)="","",INDEX(D68:F68,1,c_EscIdx))</f>
        <v>0</v>
      </c>
    </row>
    <row r="69" customFormat="false" ht="15" hidden="false" customHeight="false" outlineLevel="0" collapsed="false">
      <c r="A69" s="6" t="s">
        <v>239</v>
      </c>
      <c r="B69" s="6" t="s">
        <v>240</v>
      </c>
      <c r="C69" s="6" t="s">
        <v>109</v>
      </c>
      <c r="D69" s="29" t="n">
        <v>0</v>
      </c>
      <c r="E69" s="24" t="n">
        <v>0.1</v>
      </c>
      <c r="F69" s="24" t="n">
        <v>0</v>
      </c>
      <c r="G69" s="30" t="n">
        <f aca="false">IF(INDEX(D69:F69,1,c_EscIdx)="","",INDEX(D69:F69,1,c_EscIdx))</f>
        <v>0</v>
      </c>
    </row>
    <row r="70" customFormat="false" ht="15" hidden="false" customHeight="false" outlineLevel="0" collapsed="false">
      <c r="A70" s="6" t="s">
        <v>241</v>
      </c>
      <c r="B70" s="6" t="s">
        <v>242</v>
      </c>
      <c r="C70" s="6" t="s">
        <v>151</v>
      </c>
      <c r="D70" s="31"/>
      <c r="E70" s="9" t="n">
        <v>150</v>
      </c>
      <c r="F70" s="9" t="n">
        <v>90</v>
      </c>
      <c r="G70" s="32" t="str">
        <f aca="false">IF(INDEX(D70:F70,1,c_EscIdx)="","",INDEX(D70:F70,1,c_EscIdx))</f>
        <v/>
      </c>
    </row>
    <row r="71" customFormat="false" ht="15" hidden="false" customHeight="false" outlineLevel="0" collapsed="false">
      <c r="A71" s="6" t="s">
        <v>243</v>
      </c>
      <c r="B71" s="6" t="s">
        <v>244</v>
      </c>
      <c r="C71" s="6" t="s">
        <v>151</v>
      </c>
      <c r="D71" s="31"/>
      <c r="E71" s="9"/>
      <c r="F71" s="9" t="n">
        <v>90</v>
      </c>
      <c r="G71" s="32" t="str">
        <f aca="false">IF(INDEX(D71:F71,1,c_EscIdx)="","",INDEX(D71:F71,1,c_EscIdx))</f>
        <v/>
      </c>
    </row>
    <row r="72" customFormat="false" ht="15" hidden="false" customHeight="false" outlineLevel="0" collapsed="false">
      <c r="B72" s="6" t="s">
        <v>245</v>
      </c>
      <c r="D72" s="19" t="n">
        <f aca="false">IF(n_Escenario="Conservador",2,IF(n_Escenario="Optimista",3,1))</f>
        <v>1</v>
      </c>
      <c r="H72" s="2" t="s">
        <v>246</v>
      </c>
    </row>
    <row r="74" customFormat="false" ht="15" hidden="false" customHeight="false" outlineLevel="0" collapsed="false">
      <c r="A74" s="3" t="s">
        <v>247</v>
      </c>
      <c r="B74" s="4"/>
      <c r="C74" s="4"/>
      <c r="D74" s="4"/>
      <c r="E74" s="4"/>
      <c r="F74" s="4"/>
      <c r="G74" s="4"/>
      <c r="H74" s="4"/>
      <c r="I74" s="4"/>
      <c r="J74" s="4"/>
      <c r="K74" s="4"/>
      <c r="L74" s="4"/>
      <c r="M74" s="4"/>
      <c r="N74" s="4"/>
    </row>
    <row r="75" customFormat="false" ht="15" hidden="false" customHeight="false" outlineLevel="0" collapsed="false">
      <c r="A75" s="5" t="s">
        <v>95</v>
      </c>
      <c r="B75" s="5" t="s">
        <v>193</v>
      </c>
      <c r="C75" s="5" t="s">
        <v>97</v>
      </c>
      <c r="D75" s="5" t="s">
        <v>194</v>
      </c>
      <c r="E75" s="5" t="s">
        <v>195</v>
      </c>
      <c r="F75" s="5" t="s">
        <v>196</v>
      </c>
      <c r="G75" s="5" t="s">
        <v>197</v>
      </c>
      <c r="H75" s="5" t="s">
        <v>198</v>
      </c>
      <c r="I75" s="5" t="s">
        <v>199</v>
      </c>
      <c r="J75" s="5" t="s">
        <v>200</v>
      </c>
      <c r="K75" s="5" t="s">
        <v>201</v>
      </c>
      <c r="L75" s="5" t="s">
        <v>202</v>
      </c>
      <c r="M75" s="5" t="s">
        <v>203</v>
      </c>
      <c r="N75" s="5" t="s">
        <v>204</v>
      </c>
    </row>
    <row r="76" customFormat="false" ht="15" hidden="false" customHeight="false" outlineLevel="0" collapsed="false">
      <c r="A76" s="6" t="s">
        <v>248</v>
      </c>
      <c r="B76" s="6" t="s">
        <v>249</v>
      </c>
      <c r="C76" s="6" t="s">
        <v>250</v>
      </c>
      <c r="D76" s="22" t="n">
        <v>4850000</v>
      </c>
      <c r="E76" s="22" t="n">
        <v>6181200</v>
      </c>
      <c r="F76" s="22" t="n">
        <v>7538539</v>
      </c>
      <c r="G76" s="22" t="n">
        <v>8685437</v>
      </c>
      <c r="H76" s="22" t="n">
        <v>8772292</v>
      </c>
      <c r="I76" s="22" t="n">
        <v>8860015</v>
      </c>
      <c r="J76" s="22" t="n">
        <v>8948615</v>
      </c>
      <c r="K76" s="22" t="n">
        <v>9038101</v>
      </c>
      <c r="L76" s="22" t="n">
        <v>9128482</v>
      </c>
      <c r="M76" s="22" t="n">
        <v>9219767</v>
      </c>
    </row>
    <row r="77" customFormat="false" ht="15" hidden="false" customHeight="false" outlineLevel="0" collapsed="false">
      <c r="A77" s="6" t="s">
        <v>251</v>
      </c>
      <c r="B77" s="6" t="s">
        <v>252</v>
      </c>
      <c r="C77" s="6" t="s">
        <v>250</v>
      </c>
      <c r="D77" s="22" t="n">
        <v>573024</v>
      </c>
      <c r="E77" s="22" t="n">
        <v>1029011</v>
      </c>
      <c r="F77" s="22" t="n">
        <v>1479759</v>
      </c>
      <c r="G77" s="22" t="n">
        <v>1886306</v>
      </c>
      <c r="H77" s="22" t="n">
        <v>1914796</v>
      </c>
      <c r="I77" s="22" t="n">
        <v>1973999</v>
      </c>
      <c r="J77" s="22" t="n">
        <v>2033657</v>
      </c>
      <c r="K77" s="22" t="n">
        <v>2093768</v>
      </c>
      <c r="L77" s="22" t="n">
        <v>2154335</v>
      </c>
      <c r="M77" s="22" t="n">
        <v>2215355</v>
      </c>
    </row>
    <row r="78" customFormat="false" ht="15" hidden="false" customHeight="false" outlineLevel="0" collapsed="false">
      <c r="A78" s="6" t="s">
        <v>253</v>
      </c>
      <c r="B78" s="6" t="s">
        <v>254</v>
      </c>
      <c r="C78" s="6" t="s">
        <v>250</v>
      </c>
      <c r="D78" s="22" t="n">
        <v>301922</v>
      </c>
      <c r="E78" s="22" t="n">
        <v>731144</v>
      </c>
      <c r="F78" s="22" t="n">
        <v>1238751</v>
      </c>
      <c r="G78" s="22" t="n">
        <v>1707489</v>
      </c>
      <c r="H78" s="22" t="n">
        <v>1804006</v>
      </c>
      <c r="I78" s="22" t="n">
        <v>1902407</v>
      </c>
      <c r="J78" s="22" t="n">
        <v>1974240</v>
      </c>
      <c r="K78" s="22" t="n">
        <v>2034352</v>
      </c>
      <c r="L78" s="22" t="n">
        <v>2094918</v>
      </c>
      <c r="M78" s="22" t="n">
        <v>2155939</v>
      </c>
    </row>
    <row r="79" customFormat="false" ht="15" hidden="false" customHeight="false" outlineLevel="0" collapsed="false">
      <c r="A79" s="6" t="s">
        <v>255</v>
      </c>
      <c r="B79" s="6" t="s">
        <v>256</v>
      </c>
      <c r="D79" s="22" t="n">
        <v>4588736</v>
      </c>
    </row>
    <row r="80" customFormat="false" ht="15" hidden="false" customHeight="false" outlineLevel="0" collapsed="false">
      <c r="A80" s="6" t="s">
        <v>257</v>
      </c>
      <c r="B80" s="6" t="s">
        <v>258</v>
      </c>
      <c r="D80" s="20" t="n">
        <v>0.2261</v>
      </c>
    </row>
    <row r="81" customFormat="false" ht="15" hidden="false" customHeight="false" outlineLevel="0" collapsed="false">
      <c r="B81" s="2" t="s">
        <v>259</v>
      </c>
    </row>
    <row r="83" customFormat="false" ht="15" hidden="false" customHeight="false" outlineLevel="0" collapsed="false">
      <c r="A83" s="3" t="s">
        <v>260</v>
      </c>
      <c r="B83" s="4"/>
      <c r="C83" s="4"/>
      <c r="D83" s="4"/>
      <c r="E83" s="4"/>
      <c r="F83" s="4"/>
      <c r="G83" s="4"/>
      <c r="H83" s="4"/>
      <c r="I83" s="4"/>
      <c r="J83" s="4"/>
      <c r="K83" s="4"/>
      <c r="L83" s="4"/>
      <c r="M83" s="4"/>
      <c r="N83" s="4"/>
    </row>
    <row r="84" customFormat="false" ht="15" hidden="false" customHeight="false" outlineLevel="0" collapsed="false">
      <c r="A84" s="5"/>
      <c r="B84" s="5" t="s">
        <v>96</v>
      </c>
      <c r="C84" s="5"/>
      <c r="D84" s="5" t="s">
        <v>261</v>
      </c>
      <c r="E84" s="5" t="s">
        <v>262</v>
      </c>
    </row>
    <row r="85" customFormat="false" ht="15" hidden="false" customHeight="false" outlineLevel="0" collapsed="false">
      <c r="B85" s="2" t="s">
        <v>100</v>
      </c>
      <c r="D85" s="19" t="n">
        <f aca="false">MAX(1,N(o_Inicio))</f>
        <v>1</v>
      </c>
      <c r="E85" s="19" t="n">
        <f aca="false">MAX(1,IF(ISNUMBER(n_InicioReal),n_InicioReal,IF(N(vg_Inicio)&lt;=Corte,N(vg_Inicio),N(vg_Inicio)+ROUND(N(e_Atraso),0))))</f>
        <v>1</v>
      </c>
    </row>
    <row r="86" customFormat="false" ht="15" hidden="false" customHeight="false" outlineLevel="0" collapsed="false">
      <c r="B86" s="2" t="s">
        <v>104</v>
      </c>
      <c r="D86" s="19" t="n">
        <f aca="false">N(o_Anios)</f>
        <v>10</v>
      </c>
      <c r="E86" s="19" t="n">
        <f aca="false">N(vg_Anios)</f>
        <v>10</v>
      </c>
    </row>
    <row r="87" customFormat="false" ht="15" hidden="false" customHeight="false" outlineLevel="0" collapsed="false">
      <c r="B87" s="2" t="s">
        <v>108</v>
      </c>
      <c r="D87" s="33" t="n">
        <f aca="false">N(o_Merma)</f>
        <v>0</v>
      </c>
      <c r="E87" s="33" t="n">
        <f aca="false">N(vg_Merma)</f>
        <v>0</v>
      </c>
    </row>
    <row r="88" customFormat="false" ht="15" hidden="false" customHeight="false" outlineLevel="0" collapsed="false">
      <c r="B88" s="2" t="s">
        <v>112</v>
      </c>
      <c r="D88" s="33" t="n">
        <f aca="false">N(o_Cargas)</f>
        <v>0.4309</v>
      </c>
      <c r="E88" s="33" t="n">
        <f aca="false">N(vg_Cargas)</f>
        <v>0.4309</v>
      </c>
    </row>
    <row r="89" customFormat="false" ht="15" hidden="false" customHeight="false" outlineLevel="0" collapsed="false">
      <c r="B89" s="2" t="s">
        <v>115</v>
      </c>
      <c r="D89" s="34" t="n">
        <f aca="false">N(o_Alim)</f>
        <v>576000</v>
      </c>
      <c r="E89" s="34" t="n">
        <f aca="false">N(vg_Alim)</f>
        <v>576000</v>
      </c>
    </row>
    <row r="90" customFormat="false" ht="15" hidden="false" customHeight="false" outlineLevel="0" collapsed="false">
      <c r="B90" s="2" t="s">
        <v>119</v>
      </c>
      <c r="D90" s="35" t="n">
        <f aca="false">N(o_PreDir)</f>
        <v>0.5</v>
      </c>
      <c r="E90" s="35" t="n">
        <f aca="false">N(vg_PreDir)</f>
        <v>0.5</v>
      </c>
    </row>
    <row r="91" customFormat="false" ht="15" hidden="false" customHeight="false" outlineLevel="0" collapsed="false">
      <c r="B91" s="2" t="s">
        <v>123</v>
      </c>
      <c r="D91" s="35" t="n">
        <f aca="false">N(o_PreInd)</f>
        <v>1</v>
      </c>
      <c r="E91" s="35" t="n">
        <f aca="false">N(vg_PreInd)</f>
        <v>1</v>
      </c>
    </row>
    <row r="92" customFormat="false" ht="15" hidden="false" customHeight="false" outlineLevel="0" collapsed="false">
      <c r="B92" s="2" t="s">
        <v>126</v>
      </c>
      <c r="D92" s="33" t="n">
        <f aca="false">N(o_Desp)</f>
        <v>0.03</v>
      </c>
      <c r="E92" s="33" t="n">
        <f aca="false">N(vg_Desp)</f>
        <v>0.03</v>
      </c>
    </row>
    <row r="93" customFormat="false" ht="15" hidden="false" customHeight="false" outlineLevel="0" collapsed="false">
      <c r="B93" s="2" t="s">
        <v>129</v>
      </c>
      <c r="D93" s="33" t="n">
        <f aca="false">N(o_Pkg)</f>
        <v>0.01</v>
      </c>
      <c r="E93" s="33" t="n">
        <f aca="false">N(vg_Pkg)</f>
        <v>0.01</v>
      </c>
    </row>
    <row r="94" customFormat="false" ht="15" hidden="false" customHeight="false" outlineLevel="0" collapsed="false">
      <c r="B94" s="2" t="s">
        <v>132</v>
      </c>
      <c r="D94" s="33" t="n">
        <f aca="false">N(o_ImpP)</f>
        <v>0.05</v>
      </c>
      <c r="E94" s="33" t="n">
        <f aca="false">N(vg_ImpP)</f>
        <v>0.05</v>
      </c>
    </row>
    <row r="95" customFormat="false" ht="15" hidden="false" customHeight="false" outlineLevel="0" collapsed="false">
      <c r="B95" s="2" t="s">
        <v>135</v>
      </c>
      <c r="D95" s="33" t="n">
        <f aca="false">N(o_ImpA)</f>
        <v>0.05</v>
      </c>
      <c r="E95" s="33" t="n">
        <f aca="false">N(vg_ImpA)</f>
        <v>0.05</v>
      </c>
    </row>
    <row r="96" customFormat="false" ht="15" hidden="false" customHeight="false" outlineLevel="0" collapsed="false">
      <c r="B96" s="2" t="s">
        <v>138</v>
      </c>
      <c r="D96" s="33" t="n">
        <f aca="false">N(o_Trib)</f>
        <v>0.01</v>
      </c>
      <c r="E96" s="33" t="n">
        <f aca="false">N(vg_Trib)</f>
        <v>0.01</v>
      </c>
    </row>
    <row r="97" customFormat="false" ht="15" hidden="false" customHeight="false" outlineLevel="0" collapsed="false">
      <c r="B97" s="2" t="s">
        <v>141</v>
      </c>
      <c r="D97" s="33" t="n">
        <f aca="false">N(o_SegV)</f>
        <v>0.001</v>
      </c>
      <c r="E97" s="33" t="n">
        <f aca="false">N(vg_SegV)</f>
        <v>0.001</v>
      </c>
    </row>
    <row r="98" customFormat="false" ht="15" hidden="false" customHeight="false" outlineLevel="0" collapsed="false">
      <c r="B98" s="2" t="s">
        <v>144</v>
      </c>
      <c r="D98" s="33" t="n">
        <f aca="false">N(o_ComV)</f>
        <v>0</v>
      </c>
      <c r="E98" s="33" t="n">
        <f aca="false">N(vg_ComV)</f>
        <v>0</v>
      </c>
    </row>
    <row r="99" customFormat="false" ht="15" hidden="false" customHeight="false" outlineLevel="0" collapsed="false">
      <c r="B99" s="2" t="s">
        <v>147</v>
      </c>
      <c r="D99" s="33" t="n">
        <f aca="false">N(o_IRE)</f>
        <v>0</v>
      </c>
      <c r="E99" s="33" t="n">
        <f aca="false">N(vg_IRE)</f>
        <v>0</v>
      </c>
    </row>
    <row r="100" customFormat="false" ht="15" hidden="false" customHeight="false" outlineLevel="0" collapsed="false">
      <c r="B100" s="2" t="s">
        <v>150</v>
      </c>
      <c r="D100" s="19" t="n">
        <f aca="false">N(o_DSO)</f>
        <v>120</v>
      </c>
      <c r="E100" s="19" t="n">
        <f aca="false">IF(e_DSOesc="",N(vg_DSO),e_DSOesc)</f>
        <v>120</v>
      </c>
    </row>
    <row r="101" customFormat="false" ht="15" hidden="false" customHeight="false" outlineLevel="0" collapsed="false">
      <c r="B101" s="2" t="s">
        <v>154</v>
      </c>
      <c r="D101" s="19" t="n">
        <f aca="false">N(o_DInv)</f>
        <v>120</v>
      </c>
      <c r="E101" s="19" t="n">
        <f aca="false">IF(e_DInvEsc="",N(vg_DInv),e_DInvEsc)</f>
        <v>120</v>
      </c>
    </row>
    <row r="102" customFormat="false" ht="15" hidden="false" customHeight="false" outlineLevel="0" collapsed="false">
      <c r="B102" s="2" t="s">
        <v>157</v>
      </c>
      <c r="D102" s="19" t="n">
        <f aca="false">N(o_DPT)</f>
        <v>10</v>
      </c>
      <c r="E102" s="19" t="n">
        <f aca="false">N(vg_DPT)</f>
        <v>10</v>
      </c>
    </row>
    <row r="103" customFormat="false" ht="15" hidden="false" customHeight="false" outlineLevel="0" collapsed="false">
      <c r="B103" s="2" t="s">
        <v>159</v>
      </c>
      <c r="D103" s="19" t="n">
        <f aca="false">N(o_DPOmp)</f>
        <v>0</v>
      </c>
      <c r="E103" s="19" t="n">
        <f aca="false">N(vg_DPOmp)</f>
        <v>0</v>
      </c>
    </row>
    <row r="104" customFormat="false" ht="15" hidden="false" customHeight="false" outlineLevel="0" collapsed="false">
      <c r="B104" s="2" t="s">
        <v>162</v>
      </c>
      <c r="D104" s="19" t="n">
        <f aca="false">N(o_DPOot)</f>
        <v>30</v>
      </c>
      <c r="E104" s="19" t="n">
        <f aca="false">N(vg_DPOot)</f>
        <v>30</v>
      </c>
    </row>
    <row r="105" customFormat="false" ht="15" hidden="false" customHeight="false" outlineLevel="0" collapsed="false">
      <c r="B105" s="2" t="s">
        <v>164</v>
      </c>
      <c r="D105" s="19" t="n">
        <f aca="false">N(o_CajaMin)</f>
        <v>3</v>
      </c>
      <c r="E105" s="19" t="n">
        <f aca="false">N(vg_CajaMin)</f>
        <v>3</v>
      </c>
    </row>
    <row r="106" customFormat="false" ht="15" hidden="false" customHeight="false" outlineLevel="0" collapsed="false">
      <c r="B106" s="2" t="s">
        <v>168</v>
      </c>
      <c r="D106" s="35" t="n">
        <f aca="false">N(o_IVArec)</f>
        <v>0</v>
      </c>
      <c r="E106" s="35" t="n">
        <f aca="false">N(vg_IVArec)</f>
        <v>0</v>
      </c>
    </row>
    <row r="107" customFormat="false" ht="15" hidden="false" customHeight="false" outlineLevel="0" collapsed="false">
      <c r="B107" s="2" t="s">
        <v>171</v>
      </c>
      <c r="D107" s="19" t="n">
        <f aca="false">N(o_IVAmeses)</f>
        <v>6</v>
      </c>
      <c r="E107" s="19" t="n">
        <f aca="false">N(vg_IVAmeses)</f>
        <v>6</v>
      </c>
    </row>
    <row r="108" customFormat="false" ht="15" hidden="false" customHeight="false" outlineLevel="0" collapsed="false">
      <c r="B108" s="2" t="s">
        <v>175</v>
      </c>
      <c r="D108" s="35" t="n">
        <f aca="false">N(o_IVAint)</f>
        <v>0.1</v>
      </c>
      <c r="E108" s="35" t="n">
        <f aca="false">N(vg_IVAint)</f>
        <v>0.1</v>
      </c>
    </row>
    <row r="109" customFormat="false" ht="15" hidden="false" customHeight="false" outlineLevel="0" collapsed="false">
      <c r="B109" s="2" t="s">
        <v>178</v>
      </c>
      <c r="D109" s="33" t="n">
        <f aca="false">N(o_WACC)</f>
        <v>0.0948937</v>
      </c>
      <c r="E109" s="33" t="n">
        <f aca="false">N(vg_WACC)</f>
        <v>0.0948937</v>
      </c>
    </row>
    <row r="110" customFormat="false" ht="15" hidden="false" customHeight="false" outlineLevel="0" collapsed="false">
      <c r="B110" s="2" t="s">
        <v>181</v>
      </c>
      <c r="D110" s="33" t="n">
        <f aca="false">N(o_Ke)</f>
        <v>0.1632</v>
      </c>
      <c r="E110" s="33" t="n">
        <f aca="false">N(vg_Ke)</f>
        <v>0.1632</v>
      </c>
    </row>
    <row r="111" customFormat="false" ht="15" hidden="false" customHeight="false" outlineLevel="0" collapsed="false">
      <c r="B111" s="2" t="s">
        <v>184</v>
      </c>
      <c r="D111" s="35" t="n">
        <f aca="false">N(o_RealCT)</f>
        <v>1</v>
      </c>
      <c r="E111" s="35" t="n">
        <f aca="false">N(vg_RealCT)</f>
        <v>1</v>
      </c>
    </row>
    <row r="112" customFormat="false" ht="15" hidden="false" customHeight="false" outlineLevel="0" collapsed="false">
      <c r="B112" s="2" t="s">
        <v>187</v>
      </c>
      <c r="D112" s="35" t="n">
        <f aca="false">N(o_RealAF)</f>
        <v>1</v>
      </c>
      <c r="E112" s="35" t="n">
        <f aca="false">N(vg_RealAF)</f>
        <v>1</v>
      </c>
    </row>
    <row r="113" customFormat="false" ht="15" hidden="false" customHeight="false" outlineLevel="0" collapsed="false">
      <c r="B113" s="2" t="s">
        <v>190</v>
      </c>
      <c r="D113" s="19" t="n">
        <f aca="false">N(o_MesDiv)</f>
        <v>4</v>
      </c>
      <c r="E113" s="19" t="n">
        <f aca="false">N(vg_MesDiv)</f>
        <v>4</v>
      </c>
    </row>
    <row r="114" customFormat="false" ht="15" hidden="false" customHeight="false" outlineLevel="0" collapsed="false">
      <c r="B114" s="2" t="s">
        <v>230</v>
      </c>
      <c r="D114" s="35" t="n">
        <v>0</v>
      </c>
      <c r="E114" s="35" t="n">
        <f aca="false">N(e_dVol)</f>
        <v>0</v>
      </c>
    </row>
    <row r="115" customFormat="false" ht="15" hidden="false" customHeight="false" outlineLevel="0" collapsed="false">
      <c r="B115" s="2" t="s">
        <v>232</v>
      </c>
      <c r="D115" s="35" t="n">
        <v>0</v>
      </c>
      <c r="E115" s="35" t="n">
        <f aca="false">N(e_dPrecio)</f>
        <v>0</v>
      </c>
    </row>
    <row r="116" customFormat="false" ht="15" hidden="false" customHeight="false" outlineLevel="0" collapsed="false">
      <c r="B116" s="2" t="s">
        <v>263</v>
      </c>
      <c r="D116" s="35" t="n">
        <v>0</v>
      </c>
      <c r="E116" s="35" t="n">
        <f aca="false">N(e_dMat)</f>
        <v>0</v>
      </c>
    </row>
    <row r="117" customFormat="false" ht="15" hidden="false" customHeight="false" outlineLevel="0" collapsed="false">
      <c r="B117" s="2" t="s">
        <v>264</v>
      </c>
      <c r="D117" s="35" t="n">
        <v>0</v>
      </c>
      <c r="E117" s="35" t="n">
        <f aca="false">N(e_dTC)</f>
        <v>0</v>
      </c>
    </row>
    <row r="118" customFormat="false" ht="15" hidden="false" customHeight="false" outlineLevel="0" collapsed="false">
      <c r="B118" s="2" t="s">
        <v>265</v>
      </c>
      <c r="D118" s="35" t="n">
        <v>0</v>
      </c>
      <c r="E118" s="35" t="n">
        <f aca="false">N(e_dCapex)</f>
        <v>0</v>
      </c>
    </row>
    <row r="119" customFormat="false" ht="15" hidden="false" customHeight="false" outlineLevel="0" collapsed="false">
      <c r="B119" s="2" t="s">
        <v>266</v>
      </c>
      <c r="D119" s="19" t="n">
        <f aca="false">IF(ISNUMBER(n_Corte),n_Corte,0)</f>
        <v>0</v>
      </c>
    </row>
    <row r="120" customFormat="false" ht="15" hidden="false" customHeight="false" outlineLevel="0" collapsed="false">
      <c r="B120" s="2" t="s">
        <v>267</v>
      </c>
      <c r="D120" s="19" t="n">
        <f aca="false">P_Inicio+12*P_Anios-1</f>
        <v>120</v>
      </c>
    </row>
    <row r="121" customFormat="false" ht="15" hidden="false" customHeight="false" outlineLevel="0" collapsed="false">
      <c r="B121" s="2" t="s">
        <v>268</v>
      </c>
      <c r="D121" s="36" t="n">
        <f aca="false">365/12</f>
        <v>30.4166666666667</v>
      </c>
    </row>
  </sheetData>
  <mergeCells count="2">
    <mergeCell ref="F5:N5"/>
    <mergeCell ref="H63:N63"/>
  </mergeCells>
  <conditionalFormatting sqref="E6:E34">
    <cfRule type="expression" priority="2" aboveAverage="0" equalAverage="0" bottom="0" percent="0" rank="0" text="" dxfId="0">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269</v>
      </c>
    </row>
    <row r="2" customFormat="false" ht="15" hidden="false" customHeight="false" outlineLevel="0" collapsed="false">
      <c r="A2" s="2" t="s">
        <v>270</v>
      </c>
    </row>
    <row r="4" customFormat="false" ht="15" hidden="false" customHeight="false" outlineLevel="0" collapsed="false">
      <c r="A4" s="3" t="s">
        <v>271</v>
      </c>
      <c r="B4" s="4"/>
      <c r="C4" s="4"/>
      <c r="D4" s="4"/>
      <c r="E4" s="4"/>
      <c r="F4" s="4"/>
      <c r="G4" s="4"/>
      <c r="H4" s="4"/>
      <c r="I4" s="4"/>
      <c r="J4" s="4"/>
      <c r="K4" s="4"/>
      <c r="L4" s="4"/>
      <c r="M4" s="4"/>
      <c r="N4" s="4"/>
      <c r="O4" s="4"/>
    </row>
    <row r="5" customFormat="false" ht="54" hidden="false" customHeight="true" outlineLevel="0" collapsed="false">
      <c r="A5" s="5" t="s">
        <v>272</v>
      </c>
      <c r="B5" s="5" t="s">
        <v>273</v>
      </c>
      <c r="C5" s="5" t="s">
        <v>97</v>
      </c>
      <c r="D5" s="5" t="s">
        <v>274</v>
      </c>
      <c r="E5" s="5" t="s">
        <v>275</v>
      </c>
      <c r="F5" s="5" t="s">
        <v>276</v>
      </c>
      <c r="G5" s="5" t="s">
        <v>277</v>
      </c>
      <c r="H5" s="5" t="s">
        <v>278</v>
      </c>
      <c r="I5" s="5" t="s">
        <v>279</v>
      </c>
      <c r="J5" s="5" t="s">
        <v>280</v>
      </c>
      <c r="K5" s="5" t="s">
        <v>281</v>
      </c>
      <c r="L5" s="5" t="s">
        <v>282</v>
      </c>
      <c r="M5" s="5" t="s">
        <v>283</v>
      </c>
      <c r="N5" s="5" t="s">
        <v>284</v>
      </c>
      <c r="O5" s="5" t="s">
        <v>204</v>
      </c>
    </row>
    <row r="6" customFormat="false" ht="15" hidden="false" customHeight="false" outlineLevel="0" collapsed="false">
      <c r="A6" s="6" t="n">
        <v>1</v>
      </c>
      <c r="B6" s="7" t="s">
        <v>285</v>
      </c>
      <c r="C6" s="7" t="s">
        <v>286</v>
      </c>
      <c r="D6" s="22" t="n">
        <v>15000</v>
      </c>
      <c r="E6" s="22" t="n">
        <v>22000</v>
      </c>
      <c r="F6" s="9" t="n">
        <v>3</v>
      </c>
      <c r="G6" s="37" t="n">
        <v>270</v>
      </c>
      <c r="H6" s="38" t="n">
        <f aca="false">G6</f>
        <v>270</v>
      </c>
      <c r="I6" s="37" t="n">
        <v>82.65</v>
      </c>
      <c r="J6" s="38" t="n">
        <f aca="false">I6</f>
        <v>82.65</v>
      </c>
      <c r="K6" s="37" t="n">
        <v>45</v>
      </c>
      <c r="L6" s="38" t="n">
        <f aca="false">K6</f>
        <v>45</v>
      </c>
      <c r="M6" s="37" t="n">
        <v>27.909333</v>
      </c>
      <c r="N6" s="38" t="n">
        <f aca="false">M6</f>
        <v>27.909333</v>
      </c>
      <c r="O6" s="2" t="s">
        <v>287</v>
      </c>
    </row>
    <row r="7" customFormat="false" ht="15" hidden="false" customHeight="false" outlineLevel="0" collapsed="false">
      <c r="A7" s="6" t="n">
        <v>2</v>
      </c>
      <c r="B7" s="7" t="s">
        <v>288</v>
      </c>
      <c r="C7" s="7" t="s">
        <v>286</v>
      </c>
      <c r="D7" s="22" t="n">
        <v>90000</v>
      </c>
      <c r="E7" s="22" t="n">
        <v>121000</v>
      </c>
      <c r="F7" s="9" t="n">
        <v>3</v>
      </c>
      <c r="G7" s="37" t="n">
        <v>23</v>
      </c>
      <c r="H7" s="38" t="n">
        <f aca="false">G7</f>
        <v>23</v>
      </c>
      <c r="I7" s="37" t="n">
        <v>7.41</v>
      </c>
      <c r="J7" s="38" t="n">
        <f aca="false">I7</f>
        <v>7.41</v>
      </c>
      <c r="K7" s="37" t="n">
        <v>4.851</v>
      </c>
      <c r="L7" s="38" t="n">
        <f aca="false">K7</f>
        <v>4.851</v>
      </c>
      <c r="M7" s="37" t="n">
        <v>2.73</v>
      </c>
      <c r="N7" s="38" t="n">
        <f aca="false">M7</f>
        <v>2.73</v>
      </c>
      <c r="O7" s="2" t="s">
        <v>289</v>
      </c>
    </row>
    <row r="8" customFormat="false" ht="15" hidden="false" customHeight="false" outlineLevel="0" collapsed="false">
      <c r="A8" s="6" t="n">
        <v>3</v>
      </c>
      <c r="B8" s="7"/>
      <c r="C8" s="7"/>
      <c r="D8" s="22"/>
      <c r="E8" s="22"/>
      <c r="F8" s="9"/>
      <c r="G8" s="37"/>
      <c r="H8" s="38" t="n">
        <f aca="false">G8</f>
        <v>0</v>
      </c>
      <c r="I8" s="37"/>
      <c r="J8" s="38" t="n">
        <f aca="false">I8</f>
        <v>0</v>
      </c>
      <c r="K8" s="37"/>
      <c r="L8" s="38" t="n">
        <f aca="false">K8</f>
        <v>0</v>
      </c>
      <c r="M8" s="37"/>
      <c r="N8" s="38" t="n">
        <f aca="false">M8</f>
        <v>0</v>
      </c>
      <c r="O8" s="2"/>
    </row>
    <row r="9" customFormat="false" ht="15" hidden="false" customHeight="false" outlineLevel="0" collapsed="false">
      <c r="A9" s="6" t="n">
        <v>4</v>
      </c>
      <c r="B9" s="7"/>
      <c r="C9" s="7"/>
      <c r="D9" s="22"/>
      <c r="E9" s="22"/>
      <c r="F9" s="9"/>
      <c r="G9" s="37"/>
      <c r="H9" s="38" t="n">
        <f aca="false">G9</f>
        <v>0</v>
      </c>
      <c r="I9" s="37"/>
      <c r="J9" s="38" t="n">
        <f aca="false">I9</f>
        <v>0</v>
      </c>
      <c r="K9" s="37"/>
      <c r="L9" s="38" t="n">
        <f aca="false">K9</f>
        <v>0</v>
      </c>
      <c r="M9" s="37"/>
      <c r="N9" s="38" t="n">
        <f aca="false">M9</f>
        <v>0</v>
      </c>
      <c r="O9" s="2"/>
    </row>
    <row r="10" customFormat="false" ht="15" hidden="false" customHeight="false" outlineLevel="0" collapsed="false">
      <c r="A10" s="6" t="n">
        <v>5</v>
      </c>
      <c r="B10" s="7"/>
      <c r="C10" s="7"/>
      <c r="D10" s="22"/>
      <c r="E10" s="22"/>
      <c r="F10" s="9"/>
      <c r="G10" s="37"/>
      <c r="H10" s="38" t="n">
        <f aca="false">G10</f>
        <v>0</v>
      </c>
      <c r="I10" s="37"/>
      <c r="J10" s="38" t="n">
        <f aca="false">I10</f>
        <v>0</v>
      </c>
      <c r="K10" s="37"/>
      <c r="L10" s="38" t="n">
        <f aca="false">K10</f>
        <v>0</v>
      </c>
      <c r="M10" s="37"/>
      <c r="N10" s="38" t="n">
        <f aca="false">M10</f>
        <v>0</v>
      </c>
      <c r="O10" s="2"/>
    </row>
    <row r="11" customFormat="false" ht="15" hidden="false" customHeight="false" outlineLevel="0" collapsed="false">
      <c r="A11" s="6" t="n">
        <v>6</v>
      </c>
      <c r="B11" s="7"/>
      <c r="C11" s="7"/>
      <c r="D11" s="22"/>
      <c r="E11" s="22"/>
      <c r="F11" s="9"/>
      <c r="G11" s="37"/>
      <c r="H11" s="38" t="n">
        <f aca="false">G11</f>
        <v>0</v>
      </c>
      <c r="I11" s="37"/>
      <c r="J11" s="38" t="n">
        <f aca="false">I11</f>
        <v>0</v>
      </c>
      <c r="K11" s="37"/>
      <c r="L11" s="38" t="n">
        <f aca="false">K11</f>
        <v>0</v>
      </c>
      <c r="M11" s="37"/>
      <c r="N11" s="38" t="n">
        <f aca="false">M11</f>
        <v>0</v>
      </c>
      <c r="O11" s="2"/>
    </row>
    <row r="12" customFormat="false" ht="15" hidden="false" customHeight="false" outlineLevel="0" collapsed="false">
      <c r="A12" s="6" t="n">
        <v>7</v>
      </c>
      <c r="B12" s="7"/>
      <c r="C12" s="7"/>
      <c r="D12" s="22"/>
      <c r="E12" s="22"/>
      <c r="F12" s="9"/>
      <c r="G12" s="37"/>
      <c r="H12" s="38" t="n">
        <f aca="false">G12</f>
        <v>0</v>
      </c>
      <c r="I12" s="37"/>
      <c r="J12" s="38" t="n">
        <f aca="false">I12</f>
        <v>0</v>
      </c>
      <c r="K12" s="37"/>
      <c r="L12" s="38" t="n">
        <f aca="false">K12</f>
        <v>0</v>
      </c>
      <c r="M12" s="37"/>
      <c r="N12" s="38" t="n">
        <f aca="false">M12</f>
        <v>0</v>
      </c>
      <c r="O12" s="2"/>
    </row>
    <row r="13" customFormat="false" ht="15" hidden="false" customHeight="false" outlineLevel="0" collapsed="false">
      <c r="A13" s="6" t="n">
        <v>8</v>
      </c>
      <c r="B13" s="7"/>
      <c r="C13" s="7"/>
      <c r="D13" s="22"/>
      <c r="E13" s="22"/>
      <c r="F13" s="9"/>
      <c r="G13" s="37"/>
      <c r="H13" s="38" t="n">
        <f aca="false">G13</f>
        <v>0</v>
      </c>
      <c r="I13" s="37"/>
      <c r="J13" s="38" t="n">
        <f aca="false">I13</f>
        <v>0</v>
      </c>
      <c r="K13" s="37"/>
      <c r="L13" s="38" t="n">
        <f aca="false">K13</f>
        <v>0</v>
      </c>
      <c r="M13" s="37"/>
      <c r="N13" s="38" t="n">
        <f aca="false">M13</f>
        <v>0</v>
      </c>
      <c r="O13" s="2"/>
    </row>
    <row r="14" customFormat="false" ht="15" hidden="false" customHeight="false" outlineLevel="0" collapsed="false">
      <c r="A14" s="6" t="n">
        <v>9</v>
      </c>
      <c r="B14" s="7"/>
      <c r="C14" s="7"/>
      <c r="D14" s="22"/>
      <c r="E14" s="22"/>
      <c r="F14" s="9"/>
      <c r="G14" s="37"/>
      <c r="H14" s="38" t="n">
        <f aca="false">G14</f>
        <v>0</v>
      </c>
      <c r="I14" s="37"/>
      <c r="J14" s="38" t="n">
        <f aca="false">I14</f>
        <v>0</v>
      </c>
      <c r="K14" s="37"/>
      <c r="L14" s="38" t="n">
        <f aca="false">K14</f>
        <v>0</v>
      </c>
      <c r="M14" s="37"/>
      <c r="N14" s="38" t="n">
        <f aca="false">M14</f>
        <v>0</v>
      </c>
      <c r="O14" s="2"/>
    </row>
    <row r="15" customFormat="false" ht="15" hidden="false" customHeight="false" outlineLevel="0" collapsed="false">
      <c r="A15" s="6" t="n">
        <v>10</v>
      </c>
      <c r="B15" s="7"/>
      <c r="C15" s="7"/>
      <c r="D15" s="22"/>
      <c r="E15" s="22"/>
      <c r="F15" s="9"/>
      <c r="G15" s="37"/>
      <c r="H15" s="38" t="n">
        <f aca="false">G15</f>
        <v>0</v>
      </c>
      <c r="I15" s="37"/>
      <c r="J15" s="38" t="n">
        <f aca="false">I15</f>
        <v>0</v>
      </c>
      <c r="K15" s="37"/>
      <c r="L15" s="38" t="n">
        <f aca="false">K15</f>
        <v>0</v>
      </c>
      <c r="M15" s="37"/>
      <c r="N15" s="38" t="n">
        <f aca="false">M15</f>
        <v>0</v>
      </c>
      <c r="O15" s="2"/>
    </row>
    <row r="16" customFormat="false" ht="15" hidden="false" customHeight="false" outlineLevel="0" collapsed="false">
      <c r="A16" s="6" t="n">
        <v>11</v>
      </c>
      <c r="B16" s="7"/>
      <c r="C16" s="7"/>
      <c r="D16" s="22"/>
      <c r="E16" s="22"/>
      <c r="F16" s="9"/>
      <c r="G16" s="37"/>
      <c r="H16" s="38" t="n">
        <f aca="false">G16</f>
        <v>0</v>
      </c>
      <c r="I16" s="37"/>
      <c r="J16" s="38" t="n">
        <f aca="false">I16</f>
        <v>0</v>
      </c>
      <c r="K16" s="37"/>
      <c r="L16" s="38" t="n">
        <f aca="false">K16</f>
        <v>0</v>
      </c>
      <c r="M16" s="37"/>
      <c r="N16" s="38" t="n">
        <f aca="false">M16</f>
        <v>0</v>
      </c>
      <c r="O16" s="2"/>
    </row>
    <row r="17" customFormat="false" ht="15" hidden="false" customHeight="false" outlineLevel="0" collapsed="false">
      <c r="A17" s="6" t="n">
        <v>12</v>
      </c>
      <c r="B17" s="7"/>
      <c r="C17" s="7"/>
      <c r="D17" s="22"/>
      <c r="E17" s="22"/>
      <c r="F17" s="9"/>
      <c r="G17" s="37"/>
      <c r="H17" s="38" t="n">
        <f aca="false">G17</f>
        <v>0</v>
      </c>
      <c r="I17" s="37"/>
      <c r="J17" s="38" t="n">
        <f aca="false">I17</f>
        <v>0</v>
      </c>
      <c r="K17" s="37"/>
      <c r="L17" s="38" t="n">
        <f aca="false">K17</f>
        <v>0</v>
      </c>
      <c r="M17" s="37"/>
      <c r="N17" s="38" t="n">
        <f aca="false">M17</f>
        <v>0</v>
      </c>
      <c r="O17" s="2"/>
    </row>
    <row r="19" customFormat="false" ht="15" hidden="false" customHeight="false" outlineLevel="0" collapsed="false">
      <c r="A19" s="3" t="s">
        <v>290</v>
      </c>
      <c r="B19" s="4"/>
      <c r="C19" s="4"/>
      <c r="D19" s="4"/>
      <c r="E19" s="4"/>
      <c r="F19" s="4"/>
      <c r="G19" s="4"/>
      <c r="H19" s="4"/>
      <c r="I19" s="4"/>
      <c r="J19" s="4"/>
      <c r="K19" s="4"/>
      <c r="L19" s="4"/>
      <c r="M19" s="4"/>
      <c r="N19" s="4"/>
      <c r="O19" s="4"/>
    </row>
    <row r="20" customFormat="false" ht="15" hidden="false" customHeight="false" outlineLevel="0" collapsed="false">
      <c r="A20" s="5" t="s">
        <v>272</v>
      </c>
      <c r="B20" s="5" t="s">
        <v>273</v>
      </c>
      <c r="C20" s="5" t="s">
        <v>97</v>
      </c>
      <c r="D20" s="5" t="s">
        <v>194</v>
      </c>
      <c r="E20" s="5" t="s">
        <v>195</v>
      </c>
      <c r="F20" s="5" t="s">
        <v>196</v>
      </c>
      <c r="G20" s="5" t="s">
        <v>197</v>
      </c>
      <c r="H20" s="5" t="s">
        <v>198</v>
      </c>
      <c r="I20" s="5" t="s">
        <v>199</v>
      </c>
      <c r="J20" s="5" t="s">
        <v>200</v>
      </c>
      <c r="K20" s="5" t="s">
        <v>201</v>
      </c>
      <c r="L20" s="5" t="s">
        <v>202</v>
      </c>
      <c r="M20" s="5" t="s">
        <v>203</v>
      </c>
      <c r="N20" s="5" t="s">
        <v>291</v>
      </c>
    </row>
    <row r="21" customFormat="false" ht="15" hidden="false" customHeight="false" outlineLevel="0" collapsed="false">
      <c r="A21" s="6" t="n">
        <v>1</v>
      </c>
      <c r="B21" s="39" t="str">
        <f aca="false">IF(B6="","",B6)</f>
        <v>Gabinetes metálicos 153 kg</v>
      </c>
      <c r="C21" s="39" t="str">
        <f aca="false">IF(C6="","",C6)</f>
        <v>u</v>
      </c>
      <c r="D21" s="22" t="n">
        <v>12000</v>
      </c>
      <c r="E21" s="22" t="n">
        <v>15000</v>
      </c>
      <c r="F21" s="22" t="n">
        <v>18000</v>
      </c>
      <c r="G21" s="22" t="n">
        <v>21000</v>
      </c>
      <c r="H21" s="22" t="n">
        <v>21000</v>
      </c>
      <c r="I21" s="22" t="n">
        <v>21000</v>
      </c>
      <c r="J21" s="22" t="n">
        <v>21000</v>
      </c>
      <c r="K21" s="22" t="n">
        <v>21000</v>
      </c>
      <c r="L21" s="22" t="n">
        <v>21000</v>
      </c>
      <c r="M21" s="22" t="n">
        <v>21000</v>
      </c>
      <c r="N21" s="10" t="n">
        <f aca="false">SUM(D21:M21)</f>
        <v>192000</v>
      </c>
    </row>
    <row r="22" customFormat="false" ht="15" hidden="false" customHeight="false" outlineLevel="0" collapsed="false">
      <c r="A22" s="6" t="n">
        <v>2</v>
      </c>
      <c r="B22" s="39" t="str">
        <f aca="false">IF(B7="","",B7)</f>
        <v>Cajas metálicas 13 kg</v>
      </c>
      <c r="C22" s="39" t="str">
        <f aca="false">IF(C7="","",C7)</f>
        <v>u</v>
      </c>
      <c r="D22" s="22" t="n">
        <v>70000</v>
      </c>
      <c r="E22" s="22" t="n">
        <v>90000</v>
      </c>
      <c r="F22" s="22" t="n">
        <v>110000</v>
      </c>
      <c r="G22" s="22" t="n">
        <v>120000</v>
      </c>
      <c r="H22" s="22" t="n">
        <v>120000</v>
      </c>
      <c r="I22" s="22" t="n">
        <v>120000</v>
      </c>
      <c r="J22" s="22" t="n">
        <v>120000</v>
      </c>
      <c r="K22" s="22" t="n">
        <v>120000</v>
      </c>
      <c r="L22" s="22" t="n">
        <v>120000</v>
      </c>
      <c r="M22" s="22" t="n">
        <v>120000</v>
      </c>
      <c r="N22" s="10" t="n">
        <f aca="false">SUM(D22:M22)</f>
        <v>1110000</v>
      </c>
    </row>
    <row r="23" customFormat="false" ht="15" hidden="false" customHeight="false" outlineLevel="0" collapsed="false">
      <c r="A23" s="6" t="n">
        <v>3</v>
      </c>
      <c r="B23" s="39" t="str">
        <f aca="false">IF(B8="","",B8)</f>
        <v/>
      </c>
      <c r="C23" s="39" t="str">
        <f aca="false">IF(C8="","",C8)</f>
        <v/>
      </c>
      <c r="D23" s="22"/>
      <c r="E23" s="22"/>
      <c r="F23" s="22"/>
      <c r="G23" s="22"/>
      <c r="H23" s="22"/>
      <c r="I23" s="22"/>
      <c r="J23" s="22"/>
      <c r="K23" s="22"/>
      <c r="L23" s="22"/>
      <c r="M23" s="22"/>
      <c r="N23" s="10" t="n">
        <f aca="false">SUM(D23:M23)</f>
        <v>0</v>
      </c>
    </row>
    <row r="24" customFormat="false" ht="15" hidden="false" customHeight="false" outlineLevel="0" collapsed="false">
      <c r="A24" s="6" t="n">
        <v>4</v>
      </c>
      <c r="B24" s="39" t="str">
        <f aca="false">IF(B9="","",B9)</f>
        <v/>
      </c>
      <c r="C24" s="39" t="str">
        <f aca="false">IF(C9="","",C9)</f>
        <v/>
      </c>
      <c r="D24" s="22"/>
      <c r="E24" s="22"/>
      <c r="F24" s="22"/>
      <c r="G24" s="22"/>
      <c r="H24" s="22"/>
      <c r="I24" s="22"/>
      <c r="J24" s="22"/>
      <c r="K24" s="22"/>
      <c r="L24" s="22"/>
      <c r="M24" s="22"/>
      <c r="N24" s="10" t="n">
        <f aca="false">SUM(D24:M24)</f>
        <v>0</v>
      </c>
    </row>
    <row r="25" customFormat="false" ht="15" hidden="false" customHeight="false" outlineLevel="0" collapsed="false">
      <c r="A25" s="6" t="n">
        <v>5</v>
      </c>
      <c r="B25" s="39" t="str">
        <f aca="false">IF(B10="","",B10)</f>
        <v/>
      </c>
      <c r="C25" s="39" t="str">
        <f aca="false">IF(C10="","",C10)</f>
        <v/>
      </c>
      <c r="D25" s="22"/>
      <c r="E25" s="22"/>
      <c r="F25" s="22"/>
      <c r="G25" s="22"/>
      <c r="H25" s="22"/>
      <c r="I25" s="22"/>
      <c r="J25" s="22"/>
      <c r="K25" s="22"/>
      <c r="L25" s="22"/>
      <c r="M25" s="22"/>
      <c r="N25" s="10" t="n">
        <f aca="false">SUM(D25:M25)</f>
        <v>0</v>
      </c>
    </row>
    <row r="26" customFormat="false" ht="15" hidden="false" customHeight="false" outlineLevel="0" collapsed="false">
      <c r="A26" s="6" t="n">
        <v>6</v>
      </c>
      <c r="B26" s="39" t="str">
        <f aca="false">IF(B11="","",B11)</f>
        <v/>
      </c>
      <c r="C26" s="39" t="str">
        <f aca="false">IF(C11="","",C11)</f>
        <v/>
      </c>
      <c r="D26" s="22"/>
      <c r="E26" s="22"/>
      <c r="F26" s="22"/>
      <c r="G26" s="22"/>
      <c r="H26" s="22"/>
      <c r="I26" s="22"/>
      <c r="J26" s="22"/>
      <c r="K26" s="22"/>
      <c r="L26" s="22"/>
      <c r="M26" s="22"/>
      <c r="N26" s="10" t="n">
        <f aca="false">SUM(D26:M26)</f>
        <v>0</v>
      </c>
    </row>
    <row r="27" customFormat="false" ht="15" hidden="false" customHeight="false" outlineLevel="0" collapsed="false">
      <c r="A27" s="6" t="n">
        <v>7</v>
      </c>
      <c r="B27" s="39" t="str">
        <f aca="false">IF(B12="","",B12)</f>
        <v/>
      </c>
      <c r="C27" s="39" t="str">
        <f aca="false">IF(C12="","",C12)</f>
        <v/>
      </c>
      <c r="D27" s="22"/>
      <c r="E27" s="22"/>
      <c r="F27" s="22"/>
      <c r="G27" s="22"/>
      <c r="H27" s="22"/>
      <c r="I27" s="22"/>
      <c r="J27" s="22"/>
      <c r="K27" s="22"/>
      <c r="L27" s="22"/>
      <c r="M27" s="22"/>
      <c r="N27" s="10" t="n">
        <f aca="false">SUM(D27:M27)</f>
        <v>0</v>
      </c>
    </row>
    <row r="28" customFormat="false" ht="15" hidden="false" customHeight="false" outlineLevel="0" collapsed="false">
      <c r="A28" s="6" t="n">
        <v>8</v>
      </c>
      <c r="B28" s="39" t="str">
        <f aca="false">IF(B13="","",B13)</f>
        <v/>
      </c>
      <c r="C28" s="39" t="str">
        <f aca="false">IF(C13="","",C13)</f>
        <v/>
      </c>
      <c r="D28" s="22"/>
      <c r="E28" s="22"/>
      <c r="F28" s="22"/>
      <c r="G28" s="22"/>
      <c r="H28" s="22"/>
      <c r="I28" s="22"/>
      <c r="J28" s="22"/>
      <c r="K28" s="22"/>
      <c r="L28" s="22"/>
      <c r="M28" s="22"/>
      <c r="N28" s="10" t="n">
        <f aca="false">SUM(D28:M28)</f>
        <v>0</v>
      </c>
    </row>
    <row r="29" customFormat="false" ht="15" hidden="false" customHeight="false" outlineLevel="0" collapsed="false">
      <c r="A29" s="6" t="n">
        <v>9</v>
      </c>
      <c r="B29" s="39" t="str">
        <f aca="false">IF(B14="","",B14)</f>
        <v/>
      </c>
      <c r="C29" s="39" t="str">
        <f aca="false">IF(C14="","",C14)</f>
        <v/>
      </c>
      <c r="D29" s="22"/>
      <c r="E29" s="22"/>
      <c r="F29" s="22"/>
      <c r="G29" s="22"/>
      <c r="H29" s="22"/>
      <c r="I29" s="22"/>
      <c r="J29" s="22"/>
      <c r="K29" s="22"/>
      <c r="L29" s="22"/>
      <c r="M29" s="22"/>
      <c r="N29" s="10" t="n">
        <f aca="false">SUM(D29:M29)</f>
        <v>0</v>
      </c>
    </row>
    <row r="30" customFormat="false" ht="15" hidden="false" customHeight="false" outlineLevel="0" collapsed="false">
      <c r="A30" s="6" t="n">
        <v>10</v>
      </c>
      <c r="B30" s="39" t="str">
        <f aca="false">IF(B15="","",B15)</f>
        <v/>
      </c>
      <c r="C30" s="39" t="str">
        <f aca="false">IF(C15="","",C15)</f>
        <v/>
      </c>
      <c r="D30" s="22"/>
      <c r="E30" s="22"/>
      <c r="F30" s="22"/>
      <c r="G30" s="22"/>
      <c r="H30" s="22"/>
      <c r="I30" s="22"/>
      <c r="J30" s="22"/>
      <c r="K30" s="22"/>
      <c r="L30" s="22"/>
      <c r="M30" s="22"/>
      <c r="N30" s="10" t="n">
        <f aca="false">SUM(D30:M30)</f>
        <v>0</v>
      </c>
    </row>
    <row r="31" customFormat="false" ht="15" hidden="false" customHeight="false" outlineLevel="0" collapsed="false">
      <c r="A31" s="6" t="n">
        <v>11</v>
      </c>
      <c r="B31" s="39" t="str">
        <f aca="false">IF(B16="","",B16)</f>
        <v/>
      </c>
      <c r="C31" s="39" t="str">
        <f aca="false">IF(C16="","",C16)</f>
        <v/>
      </c>
      <c r="D31" s="22"/>
      <c r="E31" s="22"/>
      <c r="F31" s="22"/>
      <c r="G31" s="22"/>
      <c r="H31" s="22"/>
      <c r="I31" s="22"/>
      <c r="J31" s="22"/>
      <c r="K31" s="22"/>
      <c r="L31" s="22"/>
      <c r="M31" s="22"/>
      <c r="N31" s="10" t="n">
        <f aca="false">SUM(D31:M31)</f>
        <v>0</v>
      </c>
    </row>
    <row r="32" customFormat="false" ht="15" hidden="false" customHeight="false" outlineLevel="0" collapsed="false">
      <c r="A32" s="6" t="n">
        <v>12</v>
      </c>
      <c r="B32" s="39" t="str">
        <f aca="false">IF(B17="","",B17)</f>
        <v/>
      </c>
      <c r="C32" s="39" t="str">
        <f aca="false">IF(C17="","",C17)</f>
        <v/>
      </c>
      <c r="D32" s="22"/>
      <c r="E32" s="22"/>
      <c r="F32" s="22"/>
      <c r="G32" s="22"/>
      <c r="H32" s="22"/>
      <c r="I32" s="22"/>
      <c r="J32" s="22"/>
      <c r="K32" s="22"/>
      <c r="L32" s="22"/>
      <c r="M32" s="22"/>
      <c r="N32" s="10" t="n">
        <f aca="false">SUM(D32:M32)</f>
        <v>0</v>
      </c>
    </row>
    <row r="33" customFormat="false" ht="15" hidden="false" customHeight="false" outlineLevel="0" collapsed="false">
      <c r="B33" s="11" t="s">
        <v>291</v>
      </c>
      <c r="D33" s="40" t="n">
        <f aca="false">SUM(D21:D32)</f>
        <v>82000</v>
      </c>
      <c r="E33" s="40" t="n">
        <f aca="false">SUM(E21:E32)</f>
        <v>105000</v>
      </c>
      <c r="F33" s="40" t="n">
        <f aca="false">SUM(F21:F32)</f>
        <v>128000</v>
      </c>
      <c r="G33" s="40" t="n">
        <f aca="false">SUM(G21:G32)</f>
        <v>141000</v>
      </c>
      <c r="H33" s="40" t="n">
        <f aca="false">SUM(H21:H32)</f>
        <v>141000</v>
      </c>
      <c r="I33" s="40" t="n">
        <f aca="false">SUM(I21:I32)</f>
        <v>141000</v>
      </c>
      <c r="J33" s="40" t="n">
        <f aca="false">SUM(J21:J32)</f>
        <v>141000</v>
      </c>
      <c r="K33" s="40" t="n">
        <f aca="false">SUM(K21:K32)</f>
        <v>141000</v>
      </c>
      <c r="L33" s="40" t="n">
        <f aca="false">SUM(L21:L32)</f>
        <v>141000</v>
      </c>
      <c r="M33" s="40" t="n">
        <f aca="false">SUM(M21:M32)</f>
        <v>141000</v>
      </c>
      <c r="N33" s="40" t="n">
        <f aca="false">SUM(N21:N32)</f>
        <v>1302000</v>
      </c>
    </row>
    <row r="35" customFormat="false" ht="15" hidden="false" customHeight="false" outlineLevel="0" collapsed="false">
      <c r="A35" s="3" t="s">
        <v>292</v>
      </c>
      <c r="B35" s="4"/>
      <c r="C35" s="4"/>
      <c r="D35" s="4"/>
      <c r="E35" s="4"/>
      <c r="F35" s="4"/>
      <c r="G35" s="4"/>
      <c r="H35" s="4"/>
      <c r="I35" s="4"/>
      <c r="J35" s="4"/>
      <c r="K35" s="4"/>
      <c r="L35" s="4"/>
      <c r="M35" s="4"/>
      <c r="N35" s="4"/>
      <c r="O35" s="4"/>
    </row>
    <row r="36" customFormat="false" ht="15" hidden="false" customHeight="false" outlineLevel="0" collapsed="false">
      <c r="A36" s="5" t="s">
        <v>272</v>
      </c>
      <c r="B36" s="5" t="s">
        <v>273</v>
      </c>
      <c r="C36" s="5" t="s">
        <v>97</v>
      </c>
      <c r="D36" s="5" t="s">
        <v>194</v>
      </c>
      <c r="E36" s="5" t="s">
        <v>195</v>
      </c>
      <c r="F36" s="5" t="s">
        <v>196</v>
      </c>
      <c r="G36" s="5" t="s">
        <v>197</v>
      </c>
      <c r="H36" s="5" t="s">
        <v>198</v>
      </c>
      <c r="I36" s="5" t="s">
        <v>199</v>
      </c>
      <c r="J36" s="5" t="s">
        <v>200</v>
      </c>
      <c r="K36" s="5" t="s">
        <v>201</v>
      </c>
      <c r="L36" s="5" t="s">
        <v>202</v>
      </c>
      <c r="M36" s="5" t="s">
        <v>203</v>
      </c>
      <c r="N36" s="5" t="s">
        <v>291</v>
      </c>
    </row>
    <row r="37" customFormat="false" ht="15" hidden="false" customHeight="false" outlineLevel="0" collapsed="false">
      <c r="A37" s="6" t="n">
        <v>1</v>
      </c>
      <c r="B37" s="39" t="str">
        <f aca="false">IF(B6="","",B6)</f>
        <v>Gabinetes metálicos 153 kg</v>
      </c>
      <c r="C37" s="39" t="str">
        <f aca="false">IF(C6="","",C6)</f>
        <v>u</v>
      </c>
      <c r="D37" s="23" t="n">
        <f aca="false">D21</f>
        <v>12000</v>
      </c>
      <c r="E37" s="23" t="n">
        <f aca="false">E21</f>
        <v>15000</v>
      </c>
      <c r="F37" s="23" t="n">
        <f aca="false">F21</f>
        <v>18000</v>
      </c>
      <c r="G37" s="23" t="n">
        <f aca="false">G21</f>
        <v>21000</v>
      </c>
      <c r="H37" s="23" t="n">
        <f aca="false">H21</f>
        <v>21000</v>
      </c>
      <c r="I37" s="23" t="n">
        <f aca="false">I21</f>
        <v>21000</v>
      </c>
      <c r="J37" s="23" t="n">
        <f aca="false">J21</f>
        <v>21000</v>
      </c>
      <c r="K37" s="23" t="n">
        <f aca="false">K21</f>
        <v>21000</v>
      </c>
      <c r="L37" s="23" t="n">
        <f aca="false">L21</f>
        <v>21000</v>
      </c>
      <c r="M37" s="23" t="n">
        <f aca="false">M21</f>
        <v>21000</v>
      </c>
      <c r="N37" s="10" t="n">
        <f aca="false">SUM(D37:M37)</f>
        <v>192000</v>
      </c>
    </row>
    <row r="38" customFormat="false" ht="15" hidden="false" customHeight="false" outlineLevel="0" collapsed="false">
      <c r="A38" s="6" t="n">
        <v>2</v>
      </c>
      <c r="B38" s="39" t="str">
        <f aca="false">IF(B7="","",B7)</f>
        <v>Cajas metálicas 13 kg</v>
      </c>
      <c r="C38" s="39" t="str">
        <f aca="false">IF(C7="","",C7)</f>
        <v>u</v>
      </c>
      <c r="D38" s="23" t="n">
        <f aca="false">D22</f>
        <v>70000</v>
      </c>
      <c r="E38" s="23" t="n">
        <f aca="false">E22</f>
        <v>90000</v>
      </c>
      <c r="F38" s="23" t="n">
        <f aca="false">F22</f>
        <v>110000</v>
      </c>
      <c r="G38" s="23" t="n">
        <f aca="false">G22</f>
        <v>120000</v>
      </c>
      <c r="H38" s="23" t="n">
        <f aca="false">H22</f>
        <v>120000</v>
      </c>
      <c r="I38" s="23" t="n">
        <f aca="false">I22</f>
        <v>120000</v>
      </c>
      <c r="J38" s="23" t="n">
        <f aca="false">J22</f>
        <v>120000</v>
      </c>
      <c r="K38" s="23" t="n">
        <f aca="false">K22</f>
        <v>120000</v>
      </c>
      <c r="L38" s="23" t="n">
        <f aca="false">L22</f>
        <v>120000</v>
      </c>
      <c r="M38" s="23" t="n">
        <f aca="false">M22</f>
        <v>120000</v>
      </c>
      <c r="N38" s="10" t="n">
        <f aca="false">SUM(D38:M38)</f>
        <v>1110000</v>
      </c>
    </row>
    <row r="39" customFormat="false" ht="15" hidden="false" customHeight="false" outlineLevel="0" collapsed="false">
      <c r="A39" s="6" t="n">
        <v>3</v>
      </c>
      <c r="B39" s="39" t="str">
        <f aca="false">IF(B8="","",B8)</f>
        <v/>
      </c>
      <c r="C39" s="39" t="str">
        <f aca="false">IF(C8="","",C8)</f>
        <v/>
      </c>
      <c r="D39" s="23" t="n">
        <f aca="false">D23</f>
        <v>0</v>
      </c>
      <c r="E39" s="23" t="n">
        <f aca="false">E23</f>
        <v>0</v>
      </c>
      <c r="F39" s="23" t="n">
        <f aca="false">F23</f>
        <v>0</v>
      </c>
      <c r="G39" s="23" t="n">
        <f aca="false">G23</f>
        <v>0</v>
      </c>
      <c r="H39" s="23" t="n">
        <f aca="false">H23</f>
        <v>0</v>
      </c>
      <c r="I39" s="23" t="n">
        <f aca="false">I23</f>
        <v>0</v>
      </c>
      <c r="J39" s="23" t="n">
        <f aca="false">J23</f>
        <v>0</v>
      </c>
      <c r="K39" s="23" t="n">
        <f aca="false">K23</f>
        <v>0</v>
      </c>
      <c r="L39" s="23" t="n">
        <f aca="false">L23</f>
        <v>0</v>
      </c>
      <c r="M39" s="23" t="n">
        <f aca="false">M23</f>
        <v>0</v>
      </c>
      <c r="N39" s="10" t="n">
        <f aca="false">SUM(D39:M39)</f>
        <v>0</v>
      </c>
    </row>
    <row r="40" customFormat="false" ht="15" hidden="false" customHeight="false" outlineLevel="0" collapsed="false">
      <c r="A40" s="6" t="n">
        <v>4</v>
      </c>
      <c r="B40" s="39" t="str">
        <f aca="false">IF(B9="","",B9)</f>
        <v/>
      </c>
      <c r="C40" s="39" t="str">
        <f aca="false">IF(C9="","",C9)</f>
        <v/>
      </c>
      <c r="D40" s="23" t="n">
        <f aca="false">D24</f>
        <v>0</v>
      </c>
      <c r="E40" s="23" t="n">
        <f aca="false">E24</f>
        <v>0</v>
      </c>
      <c r="F40" s="23" t="n">
        <f aca="false">F24</f>
        <v>0</v>
      </c>
      <c r="G40" s="23" t="n">
        <f aca="false">G24</f>
        <v>0</v>
      </c>
      <c r="H40" s="23" t="n">
        <f aca="false">H24</f>
        <v>0</v>
      </c>
      <c r="I40" s="23" t="n">
        <f aca="false">I24</f>
        <v>0</v>
      </c>
      <c r="J40" s="23" t="n">
        <f aca="false">J24</f>
        <v>0</v>
      </c>
      <c r="K40" s="23" t="n">
        <f aca="false">K24</f>
        <v>0</v>
      </c>
      <c r="L40" s="23" t="n">
        <f aca="false">L24</f>
        <v>0</v>
      </c>
      <c r="M40" s="23" t="n">
        <f aca="false">M24</f>
        <v>0</v>
      </c>
      <c r="N40" s="10" t="n">
        <f aca="false">SUM(D40:M40)</f>
        <v>0</v>
      </c>
    </row>
    <row r="41" customFormat="false" ht="15" hidden="false" customHeight="false" outlineLevel="0" collapsed="false">
      <c r="A41" s="6" t="n">
        <v>5</v>
      </c>
      <c r="B41" s="39" t="str">
        <f aca="false">IF(B10="","",B10)</f>
        <v/>
      </c>
      <c r="C41" s="39" t="str">
        <f aca="false">IF(C10="","",C10)</f>
        <v/>
      </c>
      <c r="D41" s="23" t="n">
        <f aca="false">D25</f>
        <v>0</v>
      </c>
      <c r="E41" s="23" t="n">
        <f aca="false">E25</f>
        <v>0</v>
      </c>
      <c r="F41" s="23" t="n">
        <f aca="false">F25</f>
        <v>0</v>
      </c>
      <c r="G41" s="23" t="n">
        <f aca="false">G25</f>
        <v>0</v>
      </c>
      <c r="H41" s="23" t="n">
        <f aca="false">H25</f>
        <v>0</v>
      </c>
      <c r="I41" s="23" t="n">
        <f aca="false">I25</f>
        <v>0</v>
      </c>
      <c r="J41" s="23" t="n">
        <f aca="false">J25</f>
        <v>0</v>
      </c>
      <c r="K41" s="23" t="n">
        <f aca="false">K25</f>
        <v>0</v>
      </c>
      <c r="L41" s="23" t="n">
        <f aca="false">L25</f>
        <v>0</v>
      </c>
      <c r="M41" s="23" t="n">
        <f aca="false">M25</f>
        <v>0</v>
      </c>
      <c r="N41" s="10" t="n">
        <f aca="false">SUM(D41:M41)</f>
        <v>0</v>
      </c>
    </row>
    <row r="42" customFormat="false" ht="15" hidden="false" customHeight="false" outlineLevel="0" collapsed="false">
      <c r="A42" s="6" t="n">
        <v>6</v>
      </c>
      <c r="B42" s="39" t="str">
        <f aca="false">IF(B11="","",B11)</f>
        <v/>
      </c>
      <c r="C42" s="39" t="str">
        <f aca="false">IF(C11="","",C11)</f>
        <v/>
      </c>
      <c r="D42" s="23" t="n">
        <f aca="false">D26</f>
        <v>0</v>
      </c>
      <c r="E42" s="23" t="n">
        <f aca="false">E26</f>
        <v>0</v>
      </c>
      <c r="F42" s="23" t="n">
        <f aca="false">F26</f>
        <v>0</v>
      </c>
      <c r="G42" s="23" t="n">
        <f aca="false">G26</f>
        <v>0</v>
      </c>
      <c r="H42" s="23" t="n">
        <f aca="false">H26</f>
        <v>0</v>
      </c>
      <c r="I42" s="23" t="n">
        <f aca="false">I26</f>
        <v>0</v>
      </c>
      <c r="J42" s="23" t="n">
        <f aca="false">J26</f>
        <v>0</v>
      </c>
      <c r="K42" s="23" t="n">
        <f aca="false">K26</f>
        <v>0</v>
      </c>
      <c r="L42" s="23" t="n">
        <f aca="false">L26</f>
        <v>0</v>
      </c>
      <c r="M42" s="23" t="n">
        <f aca="false">M26</f>
        <v>0</v>
      </c>
      <c r="N42" s="10" t="n">
        <f aca="false">SUM(D42:M42)</f>
        <v>0</v>
      </c>
    </row>
    <row r="43" customFormat="false" ht="15" hidden="false" customHeight="false" outlineLevel="0" collapsed="false">
      <c r="A43" s="6" t="n">
        <v>7</v>
      </c>
      <c r="B43" s="39" t="str">
        <f aca="false">IF(B12="","",B12)</f>
        <v/>
      </c>
      <c r="C43" s="39" t="str">
        <f aca="false">IF(C12="","",C12)</f>
        <v/>
      </c>
      <c r="D43" s="23" t="n">
        <f aca="false">D27</f>
        <v>0</v>
      </c>
      <c r="E43" s="23" t="n">
        <f aca="false">E27</f>
        <v>0</v>
      </c>
      <c r="F43" s="23" t="n">
        <f aca="false">F27</f>
        <v>0</v>
      </c>
      <c r="G43" s="23" t="n">
        <f aca="false">G27</f>
        <v>0</v>
      </c>
      <c r="H43" s="23" t="n">
        <f aca="false">H27</f>
        <v>0</v>
      </c>
      <c r="I43" s="23" t="n">
        <f aca="false">I27</f>
        <v>0</v>
      </c>
      <c r="J43" s="23" t="n">
        <f aca="false">J27</f>
        <v>0</v>
      </c>
      <c r="K43" s="23" t="n">
        <f aca="false">K27</f>
        <v>0</v>
      </c>
      <c r="L43" s="23" t="n">
        <f aca="false">L27</f>
        <v>0</v>
      </c>
      <c r="M43" s="23" t="n">
        <f aca="false">M27</f>
        <v>0</v>
      </c>
      <c r="N43" s="10" t="n">
        <f aca="false">SUM(D43:M43)</f>
        <v>0</v>
      </c>
    </row>
    <row r="44" customFormat="false" ht="15" hidden="false" customHeight="false" outlineLevel="0" collapsed="false">
      <c r="A44" s="6" t="n">
        <v>8</v>
      </c>
      <c r="B44" s="39" t="str">
        <f aca="false">IF(B13="","",B13)</f>
        <v/>
      </c>
      <c r="C44" s="39" t="str">
        <f aca="false">IF(C13="","",C13)</f>
        <v/>
      </c>
      <c r="D44" s="23" t="n">
        <f aca="false">D28</f>
        <v>0</v>
      </c>
      <c r="E44" s="23" t="n">
        <f aca="false">E28</f>
        <v>0</v>
      </c>
      <c r="F44" s="23" t="n">
        <f aca="false">F28</f>
        <v>0</v>
      </c>
      <c r="G44" s="23" t="n">
        <f aca="false">G28</f>
        <v>0</v>
      </c>
      <c r="H44" s="23" t="n">
        <f aca="false">H28</f>
        <v>0</v>
      </c>
      <c r="I44" s="23" t="n">
        <f aca="false">I28</f>
        <v>0</v>
      </c>
      <c r="J44" s="23" t="n">
        <f aca="false">J28</f>
        <v>0</v>
      </c>
      <c r="K44" s="23" t="n">
        <f aca="false">K28</f>
        <v>0</v>
      </c>
      <c r="L44" s="23" t="n">
        <f aca="false">L28</f>
        <v>0</v>
      </c>
      <c r="M44" s="23" t="n">
        <f aca="false">M28</f>
        <v>0</v>
      </c>
      <c r="N44" s="10" t="n">
        <f aca="false">SUM(D44:M44)</f>
        <v>0</v>
      </c>
    </row>
    <row r="45" customFormat="false" ht="15" hidden="false" customHeight="false" outlineLevel="0" collapsed="false">
      <c r="A45" s="6" t="n">
        <v>9</v>
      </c>
      <c r="B45" s="39" t="str">
        <f aca="false">IF(B14="","",B14)</f>
        <v/>
      </c>
      <c r="C45" s="39" t="str">
        <f aca="false">IF(C14="","",C14)</f>
        <v/>
      </c>
      <c r="D45" s="23" t="n">
        <f aca="false">D29</f>
        <v>0</v>
      </c>
      <c r="E45" s="23" t="n">
        <f aca="false">E29</f>
        <v>0</v>
      </c>
      <c r="F45" s="23" t="n">
        <f aca="false">F29</f>
        <v>0</v>
      </c>
      <c r="G45" s="23" t="n">
        <f aca="false">G29</f>
        <v>0</v>
      </c>
      <c r="H45" s="23" t="n">
        <f aca="false">H29</f>
        <v>0</v>
      </c>
      <c r="I45" s="23" t="n">
        <f aca="false">I29</f>
        <v>0</v>
      </c>
      <c r="J45" s="23" t="n">
        <f aca="false">J29</f>
        <v>0</v>
      </c>
      <c r="K45" s="23" t="n">
        <f aca="false">K29</f>
        <v>0</v>
      </c>
      <c r="L45" s="23" t="n">
        <f aca="false">L29</f>
        <v>0</v>
      </c>
      <c r="M45" s="23" t="n">
        <f aca="false">M29</f>
        <v>0</v>
      </c>
      <c r="N45" s="10" t="n">
        <f aca="false">SUM(D45:M45)</f>
        <v>0</v>
      </c>
    </row>
    <row r="46" customFormat="false" ht="15" hidden="false" customHeight="false" outlineLevel="0" collapsed="false">
      <c r="A46" s="6" t="n">
        <v>10</v>
      </c>
      <c r="B46" s="39" t="str">
        <f aca="false">IF(B15="","",B15)</f>
        <v/>
      </c>
      <c r="C46" s="39" t="str">
        <f aca="false">IF(C15="","",C15)</f>
        <v/>
      </c>
      <c r="D46" s="23" t="n">
        <f aca="false">D30</f>
        <v>0</v>
      </c>
      <c r="E46" s="23" t="n">
        <f aca="false">E30</f>
        <v>0</v>
      </c>
      <c r="F46" s="23" t="n">
        <f aca="false">F30</f>
        <v>0</v>
      </c>
      <c r="G46" s="23" t="n">
        <f aca="false">G30</f>
        <v>0</v>
      </c>
      <c r="H46" s="23" t="n">
        <f aca="false">H30</f>
        <v>0</v>
      </c>
      <c r="I46" s="23" t="n">
        <f aca="false">I30</f>
        <v>0</v>
      </c>
      <c r="J46" s="23" t="n">
        <f aca="false">J30</f>
        <v>0</v>
      </c>
      <c r="K46" s="23" t="n">
        <f aca="false">K30</f>
        <v>0</v>
      </c>
      <c r="L46" s="23" t="n">
        <f aca="false">L30</f>
        <v>0</v>
      </c>
      <c r="M46" s="23" t="n">
        <f aca="false">M30</f>
        <v>0</v>
      </c>
      <c r="N46" s="10" t="n">
        <f aca="false">SUM(D46:M46)</f>
        <v>0</v>
      </c>
    </row>
    <row r="47" customFormat="false" ht="15" hidden="false" customHeight="false" outlineLevel="0" collapsed="false">
      <c r="A47" s="6" t="n">
        <v>11</v>
      </c>
      <c r="B47" s="39" t="str">
        <f aca="false">IF(B16="","",B16)</f>
        <v/>
      </c>
      <c r="C47" s="39" t="str">
        <f aca="false">IF(C16="","",C16)</f>
        <v/>
      </c>
      <c r="D47" s="23" t="n">
        <f aca="false">D31</f>
        <v>0</v>
      </c>
      <c r="E47" s="23" t="n">
        <f aca="false">E31</f>
        <v>0</v>
      </c>
      <c r="F47" s="23" t="n">
        <f aca="false">F31</f>
        <v>0</v>
      </c>
      <c r="G47" s="23" t="n">
        <f aca="false">G31</f>
        <v>0</v>
      </c>
      <c r="H47" s="23" t="n">
        <f aca="false">H31</f>
        <v>0</v>
      </c>
      <c r="I47" s="23" t="n">
        <f aca="false">I31</f>
        <v>0</v>
      </c>
      <c r="J47" s="23" t="n">
        <f aca="false">J31</f>
        <v>0</v>
      </c>
      <c r="K47" s="23" t="n">
        <f aca="false">K31</f>
        <v>0</v>
      </c>
      <c r="L47" s="23" t="n">
        <f aca="false">L31</f>
        <v>0</v>
      </c>
      <c r="M47" s="23" t="n">
        <f aca="false">M31</f>
        <v>0</v>
      </c>
      <c r="N47" s="10" t="n">
        <f aca="false">SUM(D47:M47)</f>
        <v>0</v>
      </c>
    </row>
    <row r="48" customFormat="false" ht="15" hidden="false" customHeight="false" outlineLevel="0" collapsed="false">
      <c r="A48" s="6" t="n">
        <v>12</v>
      </c>
      <c r="B48" s="39" t="str">
        <f aca="false">IF(B17="","",B17)</f>
        <v/>
      </c>
      <c r="C48" s="39" t="str">
        <f aca="false">IF(C17="","",C17)</f>
        <v/>
      </c>
      <c r="D48" s="23" t="n">
        <f aca="false">D32</f>
        <v>0</v>
      </c>
      <c r="E48" s="23" t="n">
        <f aca="false">E32</f>
        <v>0</v>
      </c>
      <c r="F48" s="23" t="n">
        <f aca="false">F32</f>
        <v>0</v>
      </c>
      <c r="G48" s="23" t="n">
        <f aca="false">G32</f>
        <v>0</v>
      </c>
      <c r="H48" s="23" t="n">
        <f aca="false">H32</f>
        <v>0</v>
      </c>
      <c r="I48" s="23" t="n">
        <f aca="false">I32</f>
        <v>0</v>
      </c>
      <c r="J48" s="23" t="n">
        <f aca="false">J32</f>
        <v>0</v>
      </c>
      <c r="K48" s="23" t="n">
        <f aca="false">K32</f>
        <v>0</v>
      </c>
      <c r="L48" s="23" t="n">
        <f aca="false">L32</f>
        <v>0</v>
      </c>
      <c r="M48" s="23" t="n">
        <f aca="false">M32</f>
        <v>0</v>
      </c>
      <c r="N48" s="10" t="n">
        <f aca="false">SUM(D48:M48)</f>
        <v>0</v>
      </c>
    </row>
    <row r="49" customFormat="false" ht="15" hidden="false" customHeight="false" outlineLevel="0" collapsed="false">
      <c r="B49" s="11" t="s">
        <v>291</v>
      </c>
      <c r="D49" s="40" t="n">
        <f aca="false">SUM(D37:D48)</f>
        <v>82000</v>
      </c>
      <c r="E49" s="40" t="n">
        <f aca="false">SUM(E37:E48)</f>
        <v>105000</v>
      </c>
      <c r="F49" s="40" t="n">
        <f aca="false">SUM(F37:F48)</f>
        <v>128000</v>
      </c>
      <c r="G49" s="40" t="n">
        <f aca="false">SUM(G37:G48)</f>
        <v>141000</v>
      </c>
      <c r="H49" s="40" t="n">
        <f aca="false">SUM(H37:H48)</f>
        <v>141000</v>
      </c>
      <c r="I49" s="40" t="n">
        <f aca="false">SUM(I37:I48)</f>
        <v>141000</v>
      </c>
      <c r="J49" s="40" t="n">
        <f aca="false">SUM(J37:J48)</f>
        <v>141000</v>
      </c>
      <c r="K49" s="40" t="n">
        <f aca="false">SUM(K37:K48)</f>
        <v>141000</v>
      </c>
      <c r="L49" s="40" t="n">
        <f aca="false">SUM(L37:L48)</f>
        <v>141000</v>
      </c>
      <c r="M49" s="40" t="n">
        <f aca="false">SUM(M37:M48)</f>
        <v>141000</v>
      </c>
      <c r="N49" s="40" t="n">
        <f aca="false">SUM(N37:N48)</f>
        <v>1302000</v>
      </c>
    </row>
    <row r="51" customFormat="false" ht="15" hidden="false" customHeight="false" outlineLevel="0" collapsed="false">
      <c r="A51" s="3" t="s">
        <v>293</v>
      </c>
      <c r="B51" s="4"/>
      <c r="C51" s="4"/>
      <c r="D51" s="4"/>
      <c r="E51" s="4"/>
      <c r="F51" s="4"/>
      <c r="G51" s="4"/>
      <c r="H51" s="4"/>
      <c r="I51" s="4"/>
      <c r="J51" s="4"/>
      <c r="K51" s="4"/>
      <c r="L51" s="4"/>
      <c r="M51" s="4"/>
      <c r="N51" s="4"/>
      <c r="O51" s="4"/>
    </row>
    <row r="52" customFormat="false" ht="15" hidden="false" customHeight="false" outlineLevel="0" collapsed="false">
      <c r="A52" s="5" t="s">
        <v>272</v>
      </c>
      <c r="B52" s="5" t="s">
        <v>273</v>
      </c>
      <c r="C52" s="5"/>
      <c r="D52" s="5" t="s">
        <v>194</v>
      </c>
      <c r="E52" s="5" t="s">
        <v>195</v>
      </c>
      <c r="F52" s="5" t="s">
        <v>196</v>
      </c>
      <c r="G52" s="5" t="s">
        <v>197</v>
      </c>
      <c r="H52" s="5" t="s">
        <v>198</v>
      </c>
      <c r="I52" s="5" t="s">
        <v>199</v>
      </c>
      <c r="J52" s="5" t="s">
        <v>200</v>
      </c>
      <c r="K52" s="5" t="s">
        <v>201</v>
      </c>
      <c r="L52" s="5" t="s">
        <v>202</v>
      </c>
      <c r="M52" s="5" t="s">
        <v>203</v>
      </c>
      <c r="N52" s="5" t="s">
        <v>294</v>
      </c>
    </row>
    <row r="53" customFormat="false" ht="15" hidden="false" customHeight="false" outlineLevel="0" collapsed="false">
      <c r="A53" s="6" t="n">
        <v>1</v>
      </c>
      <c r="B53" s="39" t="str">
        <f aca="false">IF(B6="","",B6)</f>
        <v>Gabinetes metálicos 153 kg</v>
      </c>
      <c r="D53" s="34" t="n">
        <f aca="false">IF(IF(AND(N($F6)&gt;0,1&gt;=$F6),N($E6),N($D6))=0,0,MAX(0,D37/(1-V_Merma)-IF(AND(N($F6)&gt;0,1&gt;=$F6),N($E6),N($D6))))</f>
        <v>0</v>
      </c>
      <c r="E53" s="34" t="n">
        <f aca="false">IF(IF(AND(N($F6)&gt;0,2&gt;=$F6),N($E6),N($D6))=0,0,MAX(0,E37/(1-V_Merma)-IF(AND(N($F6)&gt;0,2&gt;=$F6),N($E6),N($D6))))</f>
        <v>0</v>
      </c>
      <c r="F53" s="34" t="n">
        <f aca="false">IF(IF(AND(N($F6)&gt;0,3&gt;=$F6),N($E6),N($D6))=0,0,MAX(0,F37/(1-V_Merma)-IF(AND(N($F6)&gt;0,3&gt;=$F6),N($E6),N($D6))))</f>
        <v>0</v>
      </c>
      <c r="G53" s="34" t="n">
        <f aca="false">IF(IF(AND(N($F6)&gt;0,4&gt;=$F6),N($E6),N($D6))=0,0,MAX(0,G37/(1-V_Merma)-IF(AND(N($F6)&gt;0,4&gt;=$F6),N($E6),N($D6))))</f>
        <v>0</v>
      </c>
      <c r="H53" s="34" t="n">
        <f aca="false">IF(IF(AND(N($F6)&gt;0,5&gt;=$F6),N($E6),N($D6))=0,0,MAX(0,H37/(1-V_Merma)-IF(AND(N($F6)&gt;0,5&gt;=$F6),N($E6),N($D6))))</f>
        <v>0</v>
      </c>
      <c r="I53" s="34" t="n">
        <f aca="false">IF(IF(AND(N($F6)&gt;0,6&gt;=$F6),N($E6),N($D6))=0,0,MAX(0,I37/(1-V_Merma)-IF(AND(N($F6)&gt;0,6&gt;=$F6),N($E6),N($D6))))</f>
        <v>0</v>
      </c>
      <c r="J53" s="34" t="n">
        <f aca="false">IF(IF(AND(N($F6)&gt;0,7&gt;=$F6),N($E6),N($D6))=0,0,MAX(0,J37/(1-V_Merma)-IF(AND(N($F6)&gt;0,7&gt;=$F6),N($E6),N($D6))))</f>
        <v>0</v>
      </c>
      <c r="K53" s="34" t="n">
        <f aca="false">IF(IF(AND(N($F6)&gt;0,8&gt;=$F6),N($E6),N($D6))=0,0,MAX(0,K37/(1-V_Merma)-IF(AND(N($F6)&gt;0,8&gt;=$F6),N($E6),N($D6))))</f>
        <v>0</v>
      </c>
      <c r="L53" s="34" t="n">
        <f aca="false">IF(IF(AND(N($F6)&gt;0,9&gt;=$F6),N($E6),N($D6))=0,0,MAX(0,L37/(1-V_Merma)-IF(AND(N($F6)&gt;0,9&gt;=$F6),N($E6),N($D6))))</f>
        <v>0</v>
      </c>
      <c r="M53" s="34" t="n">
        <f aca="false">IF(IF(AND(N($F6)&gt;0,10&gt;=$F6),N($E6),N($D6))=0,0,MAX(0,M37/(1-V_Merma)-IF(AND(N($F6)&gt;0,10&gt;=$F6),N($E6),N($D6))))</f>
        <v>0</v>
      </c>
      <c r="N53" s="32" t="n">
        <f aca="false">COUNTIF(D53:M53,"&gt;0.5")</f>
        <v>0</v>
      </c>
    </row>
    <row r="54" customFormat="false" ht="15" hidden="false" customHeight="false" outlineLevel="0" collapsed="false">
      <c r="A54" s="6" t="n">
        <v>2</v>
      </c>
      <c r="B54" s="39" t="str">
        <f aca="false">IF(B7="","",B7)</f>
        <v>Cajas metálicas 13 kg</v>
      </c>
      <c r="D54" s="34" t="n">
        <f aca="false">IF(IF(AND(N($F7)&gt;0,1&gt;=$F7),N($E7),N($D7))=0,0,MAX(0,D38/(1-V_Merma)-IF(AND(N($F7)&gt;0,1&gt;=$F7),N($E7),N($D7))))</f>
        <v>0</v>
      </c>
      <c r="E54" s="34" t="n">
        <f aca="false">IF(IF(AND(N($F7)&gt;0,2&gt;=$F7),N($E7),N($D7))=0,0,MAX(0,E38/(1-V_Merma)-IF(AND(N($F7)&gt;0,2&gt;=$F7),N($E7),N($D7))))</f>
        <v>0</v>
      </c>
      <c r="F54" s="34" t="n">
        <f aca="false">IF(IF(AND(N($F7)&gt;0,3&gt;=$F7),N($E7),N($D7))=0,0,MAX(0,F38/(1-V_Merma)-IF(AND(N($F7)&gt;0,3&gt;=$F7),N($E7),N($D7))))</f>
        <v>0</v>
      </c>
      <c r="G54" s="34" t="n">
        <f aca="false">IF(IF(AND(N($F7)&gt;0,4&gt;=$F7),N($E7),N($D7))=0,0,MAX(0,G38/(1-V_Merma)-IF(AND(N($F7)&gt;0,4&gt;=$F7),N($E7),N($D7))))</f>
        <v>0</v>
      </c>
      <c r="H54" s="34" t="n">
        <f aca="false">IF(IF(AND(N($F7)&gt;0,5&gt;=$F7),N($E7),N($D7))=0,0,MAX(0,H38/(1-V_Merma)-IF(AND(N($F7)&gt;0,5&gt;=$F7),N($E7),N($D7))))</f>
        <v>0</v>
      </c>
      <c r="I54" s="34" t="n">
        <f aca="false">IF(IF(AND(N($F7)&gt;0,6&gt;=$F7),N($E7),N($D7))=0,0,MAX(0,I38/(1-V_Merma)-IF(AND(N($F7)&gt;0,6&gt;=$F7),N($E7),N($D7))))</f>
        <v>0</v>
      </c>
      <c r="J54" s="34" t="n">
        <f aca="false">IF(IF(AND(N($F7)&gt;0,7&gt;=$F7),N($E7),N($D7))=0,0,MAX(0,J38/(1-V_Merma)-IF(AND(N($F7)&gt;0,7&gt;=$F7),N($E7),N($D7))))</f>
        <v>0</v>
      </c>
      <c r="K54" s="34" t="n">
        <f aca="false">IF(IF(AND(N($F7)&gt;0,8&gt;=$F7),N($E7),N($D7))=0,0,MAX(0,K38/(1-V_Merma)-IF(AND(N($F7)&gt;0,8&gt;=$F7),N($E7),N($D7))))</f>
        <v>0</v>
      </c>
      <c r="L54" s="34" t="n">
        <f aca="false">IF(IF(AND(N($F7)&gt;0,9&gt;=$F7),N($E7),N($D7))=0,0,MAX(0,L38/(1-V_Merma)-IF(AND(N($F7)&gt;0,9&gt;=$F7),N($E7),N($D7))))</f>
        <v>0</v>
      </c>
      <c r="M54" s="34" t="n">
        <f aca="false">IF(IF(AND(N($F7)&gt;0,10&gt;=$F7),N($E7),N($D7))=0,0,MAX(0,M38/(1-V_Merma)-IF(AND(N($F7)&gt;0,10&gt;=$F7),N($E7),N($D7))))</f>
        <v>0</v>
      </c>
      <c r="N54" s="32" t="n">
        <f aca="false">COUNTIF(D54:M54,"&gt;0.5")</f>
        <v>0</v>
      </c>
    </row>
    <row r="55" customFormat="false" ht="15" hidden="false" customHeight="false" outlineLevel="0" collapsed="false">
      <c r="A55" s="6" t="n">
        <v>3</v>
      </c>
      <c r="B55" s="39" t="str">
        <f aca="false">IF(B8="","",B8)</f>
        <v/>
      </c>
      <c r="D55" s="34" t="n">
        <f aca="false">IF(IF(AND(N($F8)&gt;0,1&gt;=$F8),N($E8),N($D8))=0,0,MAX(0,D39/(1-V_Merma)-IF(AND(N($F8)&gt;0,1&gt;=$F8),N($E8),N($D8))))</f>
        <v>0</v>
      </c>
      <c r="E55" s="34" t="n">
        <f aca="false">IF(IF(AND(N($F8)&gt;0,2&gt;=$F8),N($E8),N($D8))=0,0,MAX(0,E39/(1-V_Merma)-IF(AND(N($F8)&gt;0,2&gt;=$F8),N($E8),N($D8))))</f>
        <v>0</v>
      </c>
      <c r="F55" s="34" t="n">
        <f aca="false">IF(IF(AND(N($F8)&gt;0,3&gt;=$F8),N($E8),N($D8))=0,0,MAX(0,F39/(1-V_Merma)-IF(AND(N($F8)&gt;0,3&gt;=$F8),N($E8),N($D8))))</f>
        <v>0</v>
      </c>
      <c r="G55" s="34" t="n">
        <f aca="false">IF(IF(AND(N($F8)&gt;0,4&gt;=$F8),N($E8),N($D8))=0,0,MAX(0,G39/(1-V_Merma)-IF(AND(N($F8)&gt;0,4&gt;=$F8),N($E8),N($D8))))</f>
        <v>0</v>
      </c>
      <c r="H55" s="34" t="n">
        <f aca="false">IF(IF(AND(N($F8)&gt;0,5&gt;=$F8),N($E8),N($D8))=0,0,MAX(0,H39/(1-V_Merma)-IF(AND(N($F8)&gt;0,5&gt;=$F8),N($E8),N($D8))))</f>
        <v>0</v>
      </c>
      <c r="I55" s="34" t="n">
        <f aca="false">IF(IF(AND(N($F8)&gt;0,6&gt;=$F8),N($E8),N($D8))=0,0,MAX(0,I39/(1-V_Merma)-IF(AND(N($F8)&gt;0,6&gt;=$F8),N($E8),N($D8))))</f>
        <v>0</v>
      </c>
      <c r="J55" s="34" t="n">
        <f aca="false">IF(IF(AND(N($F8)&gt;0,7&gt;=$F8),N($E8),N($D8))=0,0,MAX(0,J39/(1-V_Merma)-IF(AND(N($F8)&gt;0,7&gt;=$F8),N($E8),N($D8))))</f>
        <v>0</v>
      </c>
      <c r="K55" s="34" t="n">
        <f aca="false">IF(IF(AND(N($F8)&gt;0,8&gt;=$F8),N($E8),N($D8))=0,0,MAX(0,K39/(1-V_Merma)-IF(AND(N($F8)&gt;0,8&gt;=$F8),N($E8),N($D8))))</f>
        <v>0</v>
      </c>
      <c r="L55" s="34" t="n">
        <f aca="false">IF(IF(AND(N($F8)&gt;0,9&gt;=$F8),N($E8),N($D8))=0,0,MAX(0,L39/(1-V_Merma)-IF(AND(N($F8)&gt;0,9&gt;=$F8),N($E8),N($D8))))</f>
        <v>0</v>
      </c>
      <c r="M55" s="34" t="n">
        <f aca="false">IF(IF(AND(N($F8)&gt;0,10&gt;=$F8),N($E8),N($D8))=0,0,MAX(0,M39/(1-V_Merma)-IF(AND(N($F8)&gt;0,10&gt;=$F8),N($E8),N($D8))))</f>
        <v>0</v>
      </c>
      <c r="N55" s="32" t="n">
        <f aca="false">COUNTIF(D55:M55,"&gt;0.5")</f>
        <v>0</v>
      </c>
    </row>
    <row r="56" customFormat="false" ht="15" hidden="false" customHeight="false" outlineLevel="0" collapsed="false">
      <c r="A56" s="6" t="n">
        <v>4</v>
      </c>
      <c r="B56" s="39" t="str">
        <f aca="false">IF(B9="","",B9)</f>
        <v/>
      </c>
      <c r="D56" s="34" t="n">
        <f aca="false">IF(IF(AND(N($F9)&gt;0,1&gt;=$F9),N($E9),N($D9))=0,0,MAX(0,D40/(1-V_Merma)-IF(AND(N($F9)&gt;0,1&gt;=$F9),N($E9),N($D9))))</f>
        <v>0</v>
      </c>
      <c r="E56" s="34" t="n">
        <f aca="false">IF(IF(AND(N($F9)&gt;0,2&gt;=$F9),N($E9),N($D9))=0,0,MAX(0,E40/(1-V_Merma)-IF(AND(N($F9)&gt;0,2&gt;=$F9),N($E9),N($D9))))</f>
        <v>0</v>
      </c>
      <c r="F56" s="34" t="n">
        <f aca="false">IF(IF(AND(N($F9)&gt;0,3&gt;=$F9),N($E9),N($D9))=0,0,MAX(0,F40/(1-V_Merma)-IF(AND(N($F9)&gt;0,3&gt;=$F9),N($E9),N($D9))))</f>
        <v>0</v>
      </c>
      <c r="G56" s="34" t="n">
        <f aca="false">IF(IF(AND(N($F9)&gt;0,4&gt;=$F9),N($E9),N($D9))=0,0,MAX(0,G40/(1-V_Merma)-IF(AND(N($F9)&gt;0,4&gt;=$F9),N($E9),N($D9))))</f>
        <v>0</v>
      </c>
      <c r="H56" s="34" t="n">
        <f aca="false">IF(IF(AND(N($F9)&gt;0,5&gt;=$F9),N($E9),N($D9))=0,0,MAX(0,H40/(1-V_Merma)-IF(AND(N($F9)&gt;0,5&gt;=$F9),N($E9),N($D9))))</f>
        <v>0</v>
      </c>
      <c r="I56" s="34" t="n">
        <f aca="false">IF(IF(AND(N($F9)&gt;0,6&gt;=$F9),N($E9),N($D9))=0,0,MAX(0,I40/(1-V_Merma)-IF(AND(N($F9)&gt;0,6&gt;=$F9),N($E9),N($D9))))</f>
        <v>0</v>
      </c>
      <c r="J56" s="34" t="n">
        <f aca="false">IF(IF(AND(N($F9)&gt;0,7&gt;=$F9),N($E9),N($D9))=0,0,MAX(0,J40/(1-V_Merma)-IF(AND(N($F9)&gt;0,7&gt;=$F9),N($E9),N($D9))))</f>
        <v>0</v>
      </c>
      <c r="K56" s="34" t="n">
        <f aca="false">IF(IF(AND(N($F9)&gt;0,8&gt;=$F9),N($E9),N($D9))=0,0,MAX(0,K40/(1-V_Merma)-IF(AND(N($F9)&gt;0,8&gt;=$F9),N($E9),N($D9))))</f>
        <v>0</v>
      </c>
      <c r="L56" s="34" t="n">
        <f aca="false">IF(IF(AND(N($F9)&gt;0,9&gt;=$F9),N($E9),N($D9))=0,0,MAX(0,L40/(1-V_Merma)-IF(AND(N($F9)&gt;0,9&gt;=$F9),N($E9),N($D9))))</f>
        <v>0</v>
      </c>
      <c r="M56" s="34" t="n">
        <f aca="false">IF(IF(AND(N($F9)&gt;0,10&gt;=$F9),N($E9),N($D9))=0,0,MAX(0,M40/(1-V_Merma)-IF(AND(N($F9)&gt;0,10&gt;=$F9),N($E9),N($D9))))</f>
        <v>0</v>
      </c>
      <c r="N56" s="32" t="n">
        <f aca="false">COUNTIF(D56:M56,"&gt;0.5")</f>
        <v>0</v>
      </c>
    </row>
    <row r="57" customFormat="false" ht="15" hidden="false" customHeight="false" outlineLevel="0" collapsed="false">
      <c r="A57" s="6" t="n">
        <v>5</v>
      </c>
      <c r="B57" s="39" t="str">
        <f aca="false">IF(B10="","",B10)</f>
        <v/>
      </c>
      <c r="D57" s="34" t="n">
        <f aca="false">IF(IF(AND(N($F10)&gt;0,1&gt;=$F10),N($E10),N($D10))=0,0,MAX(0,D41/(1-V_Merma)-IF(AND(N($F10)&gt;0,1&gt;=$F10),N($E10),N($D10))))</f>
        <v>0</v>
      </c>
      <c r="E57" s="34" t="n">
        <f aca="false">IF(IF(AND(N($F10)&gt;0,2&gt;=$F10),N($E10),N($D10))=0,0,MAX(0,E41/(1-V_Merma)-IF(AND(N($F10)&gt;0,2&gt;=$F10),N($E10),N($D10))))</f>
        <v>0</v>
      </c>
      <c r="F57" s="34" t="n">
        <f aca="false">IF(IF(AND(N($F10)&gt;0,3&gt;=$F10),N($E10),N($D10))=0,0,MAX(0,F41/(1-V_Merma)-IF(AND(N($F10)&gt;0,3&gt;=$F10),N($E10),N($D10))))</f>
        <v>0</v>
      </c>
      <c r="G57" s="34" t="n">
        <f aca="false">IF(IF(AND(N($F10)&gt;0,4&gt;=$F10),N($E10),N($D10))=0,0,MAX(0,G41/(1-V_Merma)-IF(AND(N($F10)&gt;0,4&gt;=$F10),N($E10),N($D10))))</f>
        <v>0</v>
      </c>
      <c r="H57" s="34" t="n">
        <f aca="false">IF(IF(AND(N($F10)&gt;0,5&gt;=$F10),N($E10),N($D10))=0,0,MAX(0,H41/(1-V_Merma)-IF(AND(N($F10)&gt;0,5&gt;=$F10),N($E10),N($D10))))</f>
        <v>0</v>
      </c>
      <c r="I57" s="34" t="n">
        <f aca="false">IF(IF(AND(N($F10)&gt;0,6&gt;=$F10),N($E10),N($D10))=0,0,MAX(0,I41/(1-V_Merma)-IF(AND(N($F10)&gt;0,6&gt;=$F10),N($E10),N($D10))))</f>
        <v>0</v>
      </c>
      <c r="J57" s="34" t="n">
        <f aca="false">IF(IF(AND(N($F10)&gt;0,7&gt;=$F10),N($E10),N($D10))=0,0,MAX(0,J41/(1-V_Merma)-IF(AND(N($F10)&gt;0,7&gt;=$F10),N($E10),N($D10))))</f>
        <v>0</v>
      </c>
      <c r="K57" s="34" t="n">
        <f aca="false">IF(IF(AND(N($F10)&gt;0,8&gt;=$F10),N($E10),N($D10))=0,0,MAX(0,K41/(1-V_Merma)-IF(AND(N($F10)&gt;0,8&gt;=$F10),N($E10),N($D10))))</f>
        <v>0</v>
      </c>
      <c r="L57" s="34" t="n">
        <f aca="false">IF(IF(AND(N($F10)&gt;0,9&gt;=$F10),N($E10),N($D10))=0,0,MAX(0,L41/(1-V_Merma)-IF(AND(N($F10)&gt;0,9&gt;=$F10),N($E10),N($D10))))</f>
        <v>0</v>
      </c>
      <c r="M57" s="34" t="n">
        <f aca="false">IF(IF(AND(N($F10)&gt;0,10&gt;=$F10),N($E10),N($D10))=0,0,MAX(0,M41/(1-V_Merma)-IF(AND(N($F10)&gt;0,10&gt;=$F10),N($E10),N($D10))))</f>
        <v>0</v>
      </c>
      <c r="N57" s="32" t="n">
        <f aca="false">COUNTIF(D57:M57,"&gt;0.5")</f>
        <v>0</v>
      </c>
    </row>
    <row r="58" customFormat="false" ht="15" hidden="false" customHeight="false" outlineLevel="0" collapsed="false">
      <c r="A58" s="6" t="n">
        <v>6</v>
      </c>
      <c r="B58" s="39" t="str">
        <f aca="false">IF(B11="","",B11)</f>
        <v/>
      </c>
      <c r="D58" s="34" t="n">
        <f aca="false">IF(IF(AND(N($F11)&gt;0,1&gt;=$F11),N($E11),N($D11))=0,0,MAX(0,D42/(1-V_Merma)-IF(AND(N($F11)&gt;0,1&gt;=$F11),N($E11),N($D11))))</f>
        <v>0</v>
      </c>
      <c r="E58" s="34" t="n">
        <f aca="false">IF(IF(AND(N($F11)&gt;0,2&gt;=$F11),N($E11),N($D11))=0,0,MAX(0,E42/(1-V_Merma)-IF(AND(N($F11)&gt;0,2&gt;=$F11),N($E11),N($D11))))</f>
        <v>0</v>
      </c>
      <c r="F58" s="34" t="n">
        <f aca="false">IF(IF(AND(N($F11)&gt;0,3&gt;=$F11),N($E11),N($D11))=0,0,MAX(0,F42/(1-V_Merma)-IF(AND(N($F11)&gt;0,3&gt;=$F11),N($E11),N($D11))))</f>
        <v>0</v>
      </c>
      <c r="G58" s="34" t="n">
        <f aca="false">IF(IF(AND(N($F11)&gt;0,4&gt;=$F11),N($E11),N($D11))=0,0,MAX(0,G42/(1-V_Merma)-IF(AND(N($F11)&gt;0,4&gt;=$F11),N($E11),N($D11))))</f>
        <v>0</v>
      </c>
      <c r="H58" s="34" t="n">
        <f aca="false">IF(IF(AND(N($F11)&gt;0,5&gt;=$F11),N($E11),N($D11))=0,0,MAX(0,H42/(1-V_Merma)-IF(AND(N($F11)&gt;0,5&gt;=$F11),N($E11),N($D11))))</f>
        <v>0</v>
      </c>
      <c r="I58" s="34" t="n">
        <f aca="false">IF(IF(AND(N($F11)&gt;0,6&gt;=$F11),N($E11),N($D11))=0,0,MAX(0,I42/(1-V_Merma)-IF(AND(N($F11)&gt;0,6&gt;=$F11),N($E11),N($D11))))</f>
        <v>0</v>
      </c>
      <c r="J58" s="34" t="n">
        <f aca="false">IF(IF(AND(N($F11)&gt;0,7&gt;=$F11),N($E11),N($D11))=0,0,MAX(0,J42/(1-V_Merma)-IF(AND(N($F11)&gt;0,7&gt;=$F11),N($E11),N($D11))))</f>
        <v>0</v>
      </c>
      <c r="K58" s="34" t="n">
        <f aca="false">IF(IF(AND(N($F11)&gt;0,8&gt;=$F11),N($E11),N($D11))=0,0,MAX(0,K42/(1-V_Merma)-IF(AND(N($F11)&gt;0,8&gt;=$F11),N($E11),N($D11))))</f>
        <v>0</v>
      </c>
      <c r="L58" s="34" t="n">
        <f aca="false">IF(IF(AND(N($F11)&gt;0,9&gt;=$F11),N($E11),N($D11))=0,0,MAX(0,L42/(1-V_Merma)-IF(AND(N($F11)&gt;0,9&gt;=$F11),N($E11),N($D11))))</f>
        <v>0</v>
      </c>
      <c r="M58" s="34" t="n">
        <f aca="false">IF(IF(AND(N($F11)&gt;0,10&gt;=$F11),N($E11),N($D11))=0,0,MAX(0,M42/(1-V_Merma)-IF(AND(N($F11)&gt;0,10&gt;=$F11),N($E11),N($D11))))</f>
        <v>0</v>
      </c>
      <c r="N58" s="32" t="n">
        <f aca="false">COUNTIF(D58:M58,"&gt;0.5")</f>
        <v>0</v>
      </c>
    </row>
    <row r="59" customFormat="false" ht="15" hidden="false" customHeight="false" outlineLevel="0" collapsed="false">
      <c r="A59" s="6" t="n">
        <v>7</v>
      </c>
      <c r="B59" s="39" t="str">
        <f aca="false">IF(B12="","",B12)</f>
        <v/>
      </c>
      <c r="D59" s="34" t="n">
        <f aca="false">IF(IF(AND(N($F12)&gt;0,1&gt;=$F12),N($E12),N($D12))=0,0,MAX(0,D43/(1-V_Merma)-IF(AND(N($F12)&gt;0,1&gt;=$F12),N($E12),N($D12))))</f>
        <v>0</v>
      </c>
      <c r="E59" s="34" t="n">
        <f aca="false">IF(IF(AND(N($F12)&gt;0,2&gt;=$F12),N($E12),N($D12))=0,0,MAX(0,E43/(1-V_Merma)-IF(AND(N($F12)&gt;0,2&gt;=$F12),N($E12),N($D12))))</f>
        <v>0</v>
      </c>
      <c r="F59" s="34" t="n">
        <f aca="false">IF(IF(AND(N($F12)&gt;0,3&gt;=$F12),N($E12),N($D12))=0,0,MAX(0,F43/(1-V_Merma)-IF(AND(N($F12)&gt;0,3&gt;=$F12),N($E12),N($D12))))</f>
        <v>0</v>
      </c>
      <c r="G59" s="34" t="n">
        <f aca="false">IF(IF(AND(N($F12)&gt;0,4&gt;=$F12),N($E12),N($D12))=0,0,MAX(0,G43/(1-V_Merma)-IF(AND(N($F12)&gt;0,4&gt;=$F12),N($E12),N($D12))))</f>
        <v>0</v>
      </c>
      <c r="H59" s="34" t="n">
        <f aca="false">IF(IF(AND(N($F12)&gt;0,5&gt;=$F12),N($E12),N($D12))=0,0,MAX(0,H43/(1-V_Merma)-IF(AND(N($F12)&gt;0,5&gt;=$F12),N($E12),N($D12))))</f>
        <v>0</v>
      </c>
      <c r="I59" s="34" t="n">
        <f aca="false">IF(IF(AND(N($F12)&gt;0,6&gt;=$F12),N($E12),N($D12))=0,0,MAX(0,I43/(1-V_Merma)-IF(AND(N($F12)&gt;0,6&gt;=$F12),N($E12),N($D12))))</f>
        <v>0</v>
      </c>
      <c r="J59" s="34" t="n">
        <f aca="false">IF(IF(AND(N($F12)&gt;0,7&gt;=$F12),N($E12),N($D12))=0,0,MAX(0,J43/(1-V_Merma)-IF(AND(N($F12)&gt;0,7&gt;=$F12),N($E12),N($D12))))</f>
        <v>0</v>
      </c>
      <c r="K59" s="34" t="n">
        <f aca="false">IF(IF(AND(N($F12)&gt;0,8&gt;=$F12),N($E12),N($D12))=0,0,MAX(0,K43/(1-V_Merma)-IF(AND(N($F12)&gt;0,8&gt;=$F12),N($E12),N($D12))))</f>
        <v>0</v>
      </c>
      <c r="L59" s="34" t="n">
        <f aca="false">IF(IF(AND(N($F12)&gt;0,9&gt;=$F12),N($E12),N($D12))=0,0,MAX(0,L43/(1-V_Merma)-IF(AND(N($F12)&gt;0,9&gt;=$F12),N($E12),N($D12))))</f>
        <v>0</v>
      </c>
      <c r="M59" s="34" t="n">
        <f aca="false">IF(IF(AND(N($F12)&gt;0,10&gt;=$F12),N($E12),N($D12))=0,0,MAX(0,M43/(1-V_Merma)-IF(AND(N($F12)&gt;0,10&gt;=$F12),N($E12),N($D12))))</f>
        <v>0</v>
      </c>
      <c r="N59" s="32" t="n">
        <f aca="false">COUNTIF(D59:M59,"&gt;0.5")</f>
        <v>0</v>
      </c>
    </row>
    <row r="60" customFormat="false" ht="15" hidden="false" customHeight="false" outlineLevel="0" collapsed="false">
      <c r="A60" s="6" t="n">
        <v>8</v>
      </c>
      <c r="B60" s="39" t="str">
        <f aca="false">IF(B13="","",B13)</f>
        <v/>
      </c>
      <c r="D60" s="34" t="n">
        <f aca="false">IF(IF(AND(N($F13)&gt;0,1&gt;=$F13),N($E13),N($D13))=0,0,MAX(0,D44/(1-V_Merma)-IF(AND(N($F13)&gt;0,1&gt;=$F13),N($E13),N($D13))))</f>
        <v>0</v>
      </c>
      <c r="E60" s="34" t="n">
        <f aca="false">IF(IF(AND(N($F13)&gt;0,2&gt;=$F13),N($E13),N($D13))=0,0,MAX(0,E44/(1-V_Merma)-IF(AND(N($F13)&gt;0,2&gt;=$F13),N($E13),N($D13))))</f>
        <v>0</v>
      </c>
      <c r="F60" s="34" t="n">
        <f aca="false">IF(IF(AND(N($F13)&gt;0,3&gt;=$F13),N($E13),N($D13))=0,0,MAX(0,F44/(1-V_Merma)-IF(AND(N($F13)&gt;0,3&gt;=$F13),N($E13),N($D13))))</f>
        <v>0</v>
      </c>
      <c r="G60" s="34" t="n">
        <f aca="false">IF(IF(AND(N($F13)&gt;0,4&gt;=$F13),N($E13),N($D13))=0,0,MAX(0,G44/(1-V_Merma)-IF(AND(N($F13)&gt;0,4&gt;=$F13),N($E13),N($D13))))</f>
        <v>0</v>
      </c>
      <c r="H60" s="34" t="n">
        <f aca="false">IF(IF(AND(N($F13)&gt;0,5&gt;=$F13),N($E13),N($D13))=0,0,MAX(0,H44/(1-V_Merma)-IF(AND(N($F13)&gt;0,5&gt;=$F13),N($E13),N($D13))))</f>
        <v>0</v>
      </c>
      <c r="I60" s="34" t="n">
        <f aca="false">IF(IF(AND(N($F13)&gt;0,6&gt;=$F13),N($E13),N($D13))=0,0,MAX(0,I44/(1-V_Merma)-IF(AND(N($F13)&gt;0,6&gt;=$F13),N($E13),N($D13))))</f>
        <v>0</v>
      </c>
      <c r="J60" s="34" t="n">
        <f aca="false">IF(IF(AND(N($F13)&gt;0,7&gt;=$F13),N($E13),N($D13))=0,0,MAX(0,J44/(1-V_Merma)-IF(AND(N($F13)&gt;0,7&gt;=$F13),N($E13),N($D13))))</f>
        <v>0</v>
      </c>
      <c r="K60" s="34" t="n">
        <f aca="false">IF(IF(AND(N($F13)&gt;0,8&gt;=$F13),N($E13),N($D13))=0,0,MAX(0,K44/(1-V_Merma)-IF(AND(N($F13)&gt;0,8&gt;=$F13),N($E13),N($D13))))</f>
        <v>0</v>
      </c>
      <c r="L60" s="34" t="n">
        <f aca="false">IF(IF(AND(N($F13)&gt;0,9&gt;=$F13),N($E13),N($D13))=0,0,MAX(0,L44/(1-V_Merma)-IF(AND(N($F13)&gt;0,9&gt;=$F13),N($E13),N($D13))))</f>
        <v>0</v>
      </c>
      <c r="M60" s="34" t="n">
        <f aca="false">IF(IF(AND(N($F13)&gt;0,10&gt;=$F13),N($E13),N($D13))=0,0,MAX(0,M44/(1-V_Merma)-IF(AND(N($F13)&gt;0,10&gt;=$F13),N($E13),N($D13))))</f>
        <v>0</v>
      </c>
      <c r="N60" s="32" t="n">
        <f aca="false">COUNTIF(D60:M60,"&gt;0.5")</f>
        <v>0</v>
      </c>
    </row>
    <row r="61" customFormat="false" ht="15" hidden="false" customHeight="false" outlineLevel="0" collapsed="false">
      <c r="A61" s="6" t="n">
        <v>9</v>
      </c>
      <c r="B61" s="39" t="str">
        <f aca="false">IF(B14="","",B14)</f>
        <v/>
      </c>
      <c r="D61" s="34" t="n">
        <f aca="false">IF(IF(AND(N($F14)&gt;0,1&gt;=$F14),N($E14),N($D14))=0,0,MAX(0,D45/(1-V_Merma)-IF(AND(N($F14)&gt;0,1&gt;=$F14),N($E14),N($D14))))</f>
        <v>0</v>
      </c>
      <c r="E61" s="34" t="n">
        <f aca="false">IF(IF(AND(N($F14)&gt;0,2&gt;=$F14),N($E14),N($D14))=0,0,MAX(0,E45/(1-V_Merma)-IF(AND(N($F14)&gt;0,2&gt;=$F14),N($E14),N($D14))))</f>
        <v>0</v>
      </c>
      <c r="F61" s="34" t="n">
        <f aca="false">IF(IF(AND(N($F14)&gt;0,3&gt;=$F14),N($E14),N($D14))=0,0,MAX(0,F45/(1-V_Merma)-IF(AND(N($F14)&gt;0,3&gt;=$F14),N($E14),N($D14))))</f>
        <v>0</v>
      </c>
      <c r="G61" s="34" t="n">
        <f aca="false">IF(IF(AND(N($F14)&gt;0,4&gt;=$F14),N($E14),N($D14))=0,0,MAX(0,G45/(1-V_Merma)-IF(AND(N($F14)&gt;0,4&gt;=$F14),N($E14),N($D14))))</f>
        <v>0</v>
      </c>
      <c r="H61" s="34" t="n">
        <f aca="false">IF(IF(AND(N($F14)&gt;0,5&gt;=$F14),N($E14),N($D14))=0,0,MAX(0,H45/(1-V_Merma)-IF(AND(N($F14)&gt;0,5&gt;=$F14),N($E14),N($D14))))</f>
        <v>0</v>
      </c>
      <c r="I61" s="34" t="n">
        <f aca="false">IF(IF(AND(N($F14)&gt;0,6&gt;=$F14),N($E14),N($D14))=0,0,MAX(0,I45/(1-V_Merma)-IF(AND(N($F14)&gt;0,6&gt;=$F14),N($E14),N($D14))))</f>
        <v>0</v>
      </c>
      <c r="J61" s="34" t="n">
        <f aca="false">IF(IF(AND(N($F14)&gt;0,7&gt;=$F14),N($E14),N($D14))=0,0,MAX(0,J45/(1-V_Merma)-IF(AND(N($F14)&gt;0,7&gt;=$F14),N($E14),N($D14))))</f>
        <v>0</v>
      </c>
      <c r="K61" s="34" t="n">
        <f aca="false">IF(IF(AND(N($F14)&gt;0,8&gt;=$F14),N($E14),N($D14))=0,0,MAX(0,K45/(1-V_Merma)-IF(AND(N($F14)&gt;0,8&gt;=$F14),N($E14),N($D14))))</f>
        <v>0</v>
      </c>
      <c r="L61" s="34" t="n">
        <f aca="false">IF(IF(AND(N($F14)&gt;0,9&gt;=$F14),N($E14),N($D14))=0,0,MAX(0,L45/(1-V_Merma)-IF(AND(N($F14)&gt;0,9&gt;=$F14),N($E14),N($D14))))</f>
        <v>0</v>
      </c>
      <c r="M61" s="34" t="n">
        <f aca="false">IF(IF(AND(N($F14)&gt;0,10&gt;=$F14),N($E14),N($D14))=0,0,MAX(0,M45/(1-V_Merma)-IF(AND(N($F14)&gt;0,10&gt;=$F14),N($E14),N($D14))))</f>
        <v>0</v>
      </c>
      <c r="N61" s="32" t="n">
        <f aca="false">COUNTIF(D61:M61,"&gt;0.5")</f>
        <v>0</v>
      </c>
    </row>
    <row r="62" customFormat="false" ht="15" hidden="false" customHeight="false" outlineLevel="0" collapsed="false">
      <c r="A62" s="6" t="n">
        <v>10</v>
      </c>
      <c r="B62" s="39" t="str">
        <f aca="false">IF(B15="","",B15)</f>
        <v/>
      </c>
      <c r="D62" s="34" t="n">
        <f aca="false">IF(IF(AND(N($F15)&gt;0,1&gt;=$F15),N($E15),N($D15))=0,0,MAX(0,D46/(1-V_Merma)-IF(AND(N($F15)&gt;0,1&gt;=$F15),N($E15),N($D15))))</f>
        <v>0</v>
      </c>
      <c r="E62" s="34" t="n">
        <f aca="false">IF(IF(AND(N($F15)&gt;0,2&gt;=$F15),N($E15),N($D15))=0,0,MAX(0,E46/(1-V_Merma)-IF(AND(N($F15)&gt;0,2&gt;=$F15),N($E15),N($D15))))</f>
        <v>0</v>
      </c>
      <c r="F62" s="34" t="n">
        <f aca="false">IF(IF(AND(N($F15)&gt;0,3&gt;=$F15),N($E15),N($D15))=0,0,MAX(0,F46/(1-V_Merma)-IF(AND(N($F15)&gt;0,3&gt;=$F15),N($E15),N($D15))))</f>
        <v>0</v>
      </c>
      <c r="G62" s="34" t="n">
        <f aca="false">IF(IF(AND(N($F15)&gt;0,4&gt;=$F15),N($E15),N($D15))=0,0,MAX(0,G46/(1-V_Merma)-IF(AND(N($F15)&gt;0,4&gt;=$F15),N($E15),N($D15))))</f>
        <v>0</v>
      </c>
      <c r="H62" s="34" t="n">
        <f aca="false">IF(IF(AND(N($F15)&gt;0,5&gt;=$F15),N($E15),N($D15))=0,0,MAX(0,H46/(1-V_Merma)-IF(AND(N($F15)&gt;0,5&gt;=$F15),N($E15),N($D15))))</f>
        <v>0</v>
      </c>
      <c r="I62" s="34" t="n">
        <f aca="false">IF(IF(AND(N($F15)&gt;0,6&gt;=$F15),N($E15),N($D15))=0,0,MAX(0,I46/(1-V_Merma)-IF(AND(N($F15)&gt;0,6&gt;=$F15),N($E15),N($D15))))</f>
        <v>0</v>
      </c>
      <c r="J62" s="34" t="n">
        <f aca="false">IF(IF(AND(N($F15)&gt;0,7&gt;=$F15),N($E15),N($D15))=0,0,MAX(0,J46/(1-V_Merma)-IF(AND(N($F15)&gt;0,7&gt;=$F15),N($E15),N($D15))))</f>
        <v>0</v>
      </c>
      <c r="K62" s="34" t="n">
        <f aca="false">IF(IF(AND(N($F15)&gt;0,8&gt;=$F15),N($E15),N($D15))=0,0,MAX(0,K46/(1-V_Merma)-IF(AND(N($F15)&gt;0,8&gt;=$F15),N($E15),N($D15))))</f>
        <v>0</v>
      </c>
      <c r="L62" s="34" t="n">
        <f aca="false">IF(IF(AND(N($F15)&gt;0,9&gt;=$F15),N($E15),N($D15))=0,0,MAX(0,L46/(1-V_Merma)-IF(AND(N($F15)&gt;0,9&gt;=$F15),N($E15),N($D15))))</f>
        <v>0</v>
      </c>
      <c r="M62" s="34" t="n">
        <f aca="false">IF(IF(AND(N($F15)&gt;0,10&gt;=$F15),N($E15),N($D15))=0,0,MAX(0,M46/(1-V_Merma)-IF(AND(N($F15)&gt;0,10&gt;=$F15),N($E15),N($D15))))</f>
        <v>0</v>
      </c>
      <c r="N62" s="32" t="n">
        <f aca="false">COUNTIF(D62:M62,"&gt;0.5")</f>
        <v>0</v>
      </c>
    </row>
    <row r="63" customFormat="false" ht="15" hidden="false" customHeight="false" outlineLevel="0" collapsed="false">
      <c r="A63" s="6" t="n">
        <v>11</v>
      </c>
      <c r="B63" s="39" t="str">
        <f aca="false">IF(B16="","",B16)</f>
        <v/>
      </c>
      <c r="D63" s="34" t="n">
        <f aca="false">IF(IF(AND(N($F16)&gt;0,1&gt;=$F16),N($E16),N($D16))=0,0,MAX(0,D47/(1-V_Merma)-IF(AND(N($F16)&gt;0,1&gt;=$F16),N($E16),N($D16))))</f>
        <v>0</v>
      </c>
      <c r="E63" s="34" t="n">
        <f aca="false">IF(IF(AND(N($F16)&gt;0,2&gt;=$F16),N($E16),N($D16))=0,0,MAX(0,E47/(1-V_Merma)-IF(AND(N($F16)&gt;0,2&gt;=$F16),N($E16),N($D16))))</f>
        <v>0</v>
      </c>
      <c r="F63" s="34" t="n">
        <f aca="false">IF(IF(AND(N($F16)&gt;0,3&gt;=$F16),N($E16),N($D16))=0,0,MAX(0,F47/(1-V_Merma)-IF(AND(N($F16)&gt;0,3&gt;=$F16),N($E16),N($D16))))</f>
        <v>0</v>
      </c>
      <c r="G63" s="34" t="n">
        <f aca="false">IF(IF(AND(N($F16)&gt;0,4&gt;=$F16),N($E16),N($D16))=0,0,MAX(0,G47/(1-V_Merma)-IF(AND(N($F16)&gt;0,4&gt;=$F16),N($E16),N($D16))))</f>
        <v>0</v>
      </c>
      <c r="H63" s="34" t="n">
        <f aca="false">IF(IF(AND(N($F16)&gt;0,5&gt;=$F16),N($E16),N($D16))=0,0,MAX(0,H47/(1-V_Merma)-IF(AND(N($F16)&gt;0,5&gt;=$F16),N($E16),N($D16))))</f>
        <v>0</v>
      </c>
      <c r="I63" s="34" t="n">
        <f aca="false">IF(IF(AND(N($F16)&gt;0,6&gt;=$F16),N($E16),N($D16))=0,0,MAX(0,I47/(1-V_Merma)-IF(AND(N($F16)&gt;0,6&gt;=$F16),N($E16),N($D16))))</f>
        <v>0</v>
      </c>
      <c r="J63" s="34" t="n">
        <f aca="false">IF(IF(AND(N($F16)&gt;0,7&gt;=$F16),N($E16),N($D16))=0,0,MAX(0,J47/(1-V_Merma)-IF(AND(N($F16)&gt;0,7&gt;=$F16),N($E16),N($D16))))</f>
        <v>0</v>
      </c>
      <c r="K63" s="34" t="n">
        <f aca="false">IF(IF(AND(N($F16)&gt;0,8&gt;=$F16),N($E16),N($D16))=0,0,MAX(0,K47/(1-V_Merma)-IF(AND(N($F16)&gt;0,8&gt;=$F16),N($E16),N($D16))))</f>
        <v>0</v>
      </c>
      <c r="L63" s="34" t="n">
        <f aca="false">IF(IF(AND(N($F16)&gt;0,9&gt;=$F16),N($E16),N($D16))=0,0,MAX(0,L47/(1-V_Merma)-IF(AND(N($F16)&gt;0,9&gt;=$F16),N($E16),N($D16))))</f>
        <v>0</v>
      </c>
      <c r="M63" s="34" t="n">
        <f aca="false">IF(IF(AND(N($F16)&gt;0,10&gt;=$F16),N($E16),N($D16))=0,0,MAX(0,M47/(1-V_Merma)-IF(AND(N($F16)&gt;0,10&gt;=$F16),N($E16),N($D16))))</f>
        <v>0</v>
      </c>
      <c r="N63" s="32" t="n">
        <f aca="false">COUNTIF(D63:M63,"&gt;0.5")</f>
        <v>0</v>
      </c>
    </row>
    <row r="64" customFormat="false" ht="15" hidden="false" customHeight="false" outlineLevel="0" collapsed="false">
      <c r="A64" s="6" t="n">
        <v>12</v>
      </c>
      <c r="B64" s="39" t="str">
        <f aca="false">IF(B17="","",B17)</f>
        <v/>
      </c>
      <c r="D64" s="34" t="n">
        <f aca="false">IF(IF(AND(N($F17)&gt;0,1&gt;=$F17),N($E17),N($D17))=0,0,MAX(0,D48/(1-V_Merma)-IF(AND(N($F17)&gt;0,1&gt;=$F17),N($E17),N($D17))))</f>
        <v>0</v>
      </c>
      <c r="E64" s="34" t="n">
        <f aca="false">IF(IF(AND(N($F17)&gt;0,2&gt;=$F17),N($E17),N($D17))=0,0,MAX(0,E48/(1-V_Merma)-IF(AND(N($F17)&gt;0,2&gt;=$F17),N($E17),N($D17))))</f>
        <v>0</v>
      </c>
      <c r="F64" s="34" t="n">
        <f aca="false">IF(IF(AND(N($F17)&gt;0,3&gt;=$F17),N($E17),N($D17))=0,0,MAX(0,F48/(1-V_Merma)-IF(AND(N($F17)&gt;0,3&gt;=$F17),N($E17),N($D17))))</f>
        <v>0</v>
      </c>
      <c r="G64" s="34" t="n">
        <f aca="false">IF(IF(AND(N($F17)&gt;0,4&gt;=$F17),N($E17),N($D17))=0,0,MAX(0,G48/(1-V_Merma)-IF(AND(N($F17)&gt;0,4&gt;=$F17),N($E17),N($D17))))</f>
        <v>0</v>
      </c>
      <c r="H64" s="34" t="n">
        <f aca="false">IF(IF(AND(N($F17)&gt;0,5&gt;=$F17),N($E17),N($D17))=0,0,MAX(0,H48/(1-V_Merma)-IF(AND(N($F17)&gt;0,5&gt;=$F17),N($E17),N($D17))))</f>
        <v>0</v>
      </c>
      <c r="I64" s="34" t="n">
        <f aca="false">IF(IF(AND(N($F17)&gt;0,6&gt;=$F17),N($E17),N($D17))=0,0,MAX(0,I48/(1-V_Merma)-IF(AND(N($F17)&gt;0,6&gt;=$F17),N($E17),N($D17))))</f>
        <v>0</v>
      </c>
      <c r="J64" s="34" t="n">
        <f aca="false">IF(IF(AND(N($F17)&gt;0,7&gt;=$F17),N($E17),N($D17))=0,0,MAX(0,J48/(1-V_Merma)-IF(AND(N($F17)&gt;0,7&gt;=$F17),N($E17),N($D17))))</f>
        <v>0</v>
      </c>
      <c r="K64" s="34" t="n">
        <f aca="false">IF(IF(AND(N($F17)&gt;0,8&gt;=$F17),N($E17),N($D17))=0,0,MAX(0,K48/(1-V_Merma)-IF(AND(N($F17)&gt;0,8&gt;=$F17),N($E17),N($D17))))</f>
        <v>0</v>
      </c>
      <c r="L64" s="34" t="n">
        <f aca="false">IF(IF(AND(N($F17)&gt;0,9&gt;=$F17),N($E17),N($D17))=0,0,MAX(0,L48/(1-V_Merma)-IF(AND(N($F17)&gt;0,9&gt;=$F17),N($E17),N($D17))))</f>
        <v>0</v>
      </c>
      <c r="M64" s="34" t="n">
        <f aca="false">IF(IF(AND(N($F17)&gt;0,10&gt;=$F17),N($E17),N($D17))=0,0,MAX(0,M48/(1-V_Merma)-IF(AND(N($F17)&gt;0,10&gt;=$F17),N($E17),N($D17))))</f>
        <v>0</v>
      </c>
      <c r="N64" s="32" t="n">
        <f aca="false">COUNTIF(D64:M64,"&gt;0.5")</f>
        <v>0</v>
      </c>
    </row>
    <row r="65" customFormat="false" ht="15" hidden="false" customHeight="false" outlineLevel="0" collapsed="false">
      <c r="B65" s="2" t="s">
        <v>295</v>
      </c>
    </row>
  </sheetData>
  <conditionalFormatting sqref="H6:H17">
    <cfRule type="expression" priority="2" aboveAverage="0" equalAverage="0" bottom="0" percent="0" rank="0" text="" dxfId="0">
      <formula>H6&lt;&gt;G6</formula>
    </cfRule>
  </conditionalFormatting>
  <conditionalFormatting sqref="J6:J17">
    <cfRule type="expression" priority="3" aboveAverage="0" equalAverage="0" bottom="0" percent="0" rank="0" text="" dxfId="0">
      <formula>J6&lt;&gt;I6</formula>
    </cfRule>
  </conditionalFormatting>
  <conditionalFormatting sqref="L6:L17">
    <cfRule type="expression" priority="4" aboveAverage="0" equalAverage="0" bottom="0" percent="0" rank="0" text="" dxfId="0">
      <formula>L6&lt;&gt;K6</formula>
    </cfRule>
  </conditionalFormatting>
  <conditionalFormatting sqref="N6:N17">
    <cfRule type="expression" priority="5" aboveAverage="0" equalAverage="0" bottom="0" percent="0" rank="0" text="" dxfId="0">
      <formula>N6&lt;&gt;M6</formula>
    </cfRule>
  </conditionalFormatting>
  <conditionalFormatting sqref="D37:M48">
    <cfRule type="expression" priority="6" aboveAverage="0" equalAverage="0" bottom="0" percent="0" rank="0" text="" dxfId="0">
      <formula>D37&lt;&gt;D21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296</v>
      </c>
    </row>
    <row r="2" customFormat="false" ht="15" hidden="false" customHeight="false" outlineLevel="0" collapsed="false">
      <c r="A2" s="2" t="s">
        <v>297</v>
      </c>
    </row>
    <row r="4" customFormat="false" ht="15" hidden="false" customHeight="false" outlineLevel="0" collapsed="false">
      <c r="A4" s="3" t="s">
        <v>298</v>
      </c>
      <c r="B4" s="4"/>
      <c r="C4" s="4"/>
      <c r="D4" s="4"/>
      <c r="E4" s="4"/>
      <c r="F4" s="4"/>
      <c r="G4" s="4"/>
      <c r="H4" s="4"/>
      <c r="I4" s="4"/>
      <c r="J4" s="4"/>
      <c r="K4" s="4"/>
      <c r="L4" s="4"/>
      <c r="M4" s="4"/>
      <c r="N4" s="4"/>
      <c r="O4" s="4"/>
      <c r="P4" s="4"/>
      <c r="Q4" s="4"/>
    </row>
    <row r="5" customFormat="false" ht="39.75" hidden="false" customHeight="true" outlineLevel="0" collapsed="false">
      <c r="A5" s="5" t="s">
        <v>272</v>
      </c>
      <c r="B5" s="5" t="s">
        <v>299</v>
      </c>
      <c r="C5" s="5" t="s">
        <v>300</v>
      </c>
      <c r="D5" s="5" t="s">
        <v>301</v>
      </c>
      <c r="E5" s="5" t="s">
        <v>302</v>
      </c>
      <c r="F5" s="5" t="s">
        <v>303</v>
      </c>
      <c r="G5" s="5" t="s">
        <v>304</v>
      </c>
      <c r="H5" s="5" t="s">
        <v>305</v>
      </c>
      <c r="I5" s="5" t="s">
        <v>306</v>
      </c>
      <c r="J5" s="5" t="s">
        <v>307</v>
      </c>
      <c r="K5" s="5" t="s">
        <v>308</v>
      </c>
      <c r="L5" s="5" t="s">
        <v>309</v>
      </c>
      <c r="M5" s="5" t="s">
        <v>310</v>
      </c>
      <c r="N5" s="5" t="s">
        <v>311</v>
      </c>
      <c r="O5" s="5" t="s">
        <v>312</v>
      </c>
      <c r="P5" s="5" t="s">
        <v>313</v>
      </c>
      <c r="Q5" s="5" t="s">
        <v>204</v>
      </c>
    </row>
    <row r="6" customFormat="false" ht="15" hidden="false" customHeight="false" outlineLevel="0" collapsed="false">
      <c r="A6" s="6" t="n">
        <v>1</v>
      </c>
      <c r="B6" s="7" t="s">
        <v>314</v>
      </c>
      <c r="C6" s="7" t="s">
        <v>315</v>
      </c>
      <c r="D6" s="7" t="s">
        <v>316</v>
      </c>
      <c r="E6" s="22" t="n">
        <v>4668900</v>
      </c>
      <c r="F6" s="23" t="n">
        <f aca="false">E6</f>
        <v>4668900</v>
      </c>
      <c r="G6" s="22" t="n">
        <v>4</v>
      </c>
      <c r="H6" s="22" t="n">
        <v>4</v>
      </c>
      <c r="I6" s="22" t="n">
        <v>5</v>
      </c>
      <c r="J6" s="22" t="n">
        <v>5</v>
      </c>
      <c r="K6" s="22" t="n">
        <v>6</v>
      </c>
      <c r="L6" s="22" t="n">
        <v>6</v>
      </c>
      <c r="M6" s="22" t="n">
        <v>6</v>
      </c>
      <c r="N6" s="22" t="n">
        <v>6</v>
      </c>
      <c r="O6" s="22" t="n">
        <v>6</v>
      </c>
      <c r="P6" s="22" t="n">
        <v>6</v>
      </c>
    </row>
    <row r="7" customFormat="false" ht="15" hidden="false" customHeight="false" outlineLevel="0" collapsed="false">
      <c r="A7" s="6" t="n">
        <v>2</v>
      </c>
      <c r="B7" s="7" t="s">
        <v>317</v>
      </c>
      <c r="C7" s="7" t="s">
        <v>315</v>
      </c>
      <c r="D7" s="7" t="s">
        <v>316</v>
      </c>
      <c r="E7" s="22" t="n">
        <v>3650655</v>
      </c>
      <c r="F7" s="23" t="n">
        <f aca="false">E7</f>
        <v>3650655</v>
      </c>
      <c r="G7" s="22" t="n">
        <v>8</v>
      </c>
      <c r="H7" s="22" t="n">
        <v>8</v>
      </c>
      <c r="I7" s="22" t="n">
        <v>9</v>
      </c>
      <c r="J7" s="22" t="n">
        <v>9</v>
      </c>
      <c r="K7" s="22" t="n">
        <v>10</v>
      </c>
      <c r="L7" s="22" t="n">
        <v>10</v>
      </c>
      <c r="M7" s="22" t="n">
        <v>10</v>
      </c>
      <c r="N7" s="22" t="n">
        <v>10</v>
      </c>
      <c r="O7" s="22" t="n">
        <v>10</v>
      </c>
      <c r="P7" s="22" t="n">
        <v>10</v>
      </c>
    </row>
    <row r="8" customFormat="false" ht="15" hidden="false" customHeight="false" outlineLevel="0" collapsed="false">
      <c r="A8" s="6" t="n">
        <v>3</v>
      </c>
      <c r="B8" s="7" t="s">
        <v>318</v>
      </c>
      <c r="C8" s="7" t="s">
        <v>315</v>
      </c>
      <c r="D8" s="7" t="s">
        <v>316</v>
      </c>
      <c r="E8" s="22" t="n">
        <v>3968900</v>
      </c>
      <c r="F8" s="23" t="n">
        <f aca="false">E8</f>
        <v>3968900</v>
      </c>
      <c r="G8" s="22" t="n">
        <v>5</v>
      </c>
      <c r="H8" s="22" t="n">
        <v>5</v>
      </c>
      <c r="I8" s="22" t="n">
        <v>6</v>
      </c>
      <c r="J8" s="22" t="n">
        <v>6</v>
      </c>
      <c r="K8" s="22" t="n">
        <v>6</v>
      </c>
      <c r="L8" s="22" t="n">
        <v>6</v>
      </c>
      <c r="M8" s="22" t="n">
        <v>6</v>
      </c>
      <c r="N8" s="22" t="n">
        <v>6</v>
      </c>
      <c r="O8" s="22" t="n">
        <v>6</v>
      </c>
      <c r="P8" s="22" t="n">
        <v>6</v>
      </c>
    </row>
    <row r="9" customFormat="false" ht="15" hidden="false" customHeight="false" outlineLevel="0" collapsed="false">
      <c r="A9" s="6" t="n">
        <v>4</v>
      </c>
      <c r="B9" s="7" t="s">
        <v>319</v>
      </c>
      <c r="C9" s="7" t="s">
        <v>315</v>
      </c>
      <c r="D9" s="7" t="s">
        <v>316</v>
      </c>
      <c r="E9" s="22" t="n">
        <v>3650655</v>
      </c>
      <c r="F9" s="23" t="n">
        <f aca="false">E9</f>
        <v>3650655</v>
      </c>
      <c r="G9" s="22" t="n">
        <v>2</v>
      </c>
      <c r="H9" s="22" t="n">
        <v>2</v>
      </c>
      <c r="I9" s="22" t="n">
        <v>2</v>
      </c>
      <c r="J9" s="22" t="n">
        <v>2</v>
      </c>
      <c r="K9" s="22" t="n">
        <v>3</v>
      </c>
      <c r="L9" s="22" t="n">
        <v>3</v>
      </c>
      <c r="M9" s="22" t="n">
        <v>3</v>
      </c>
      <c r="N9" s="22" t="n">
        <v>3</v>
      </c>
      <c r="O9" s="22" t="n">
        <v>3</v>
      </c>
      <c r="P9" s="22" t="n">
        <v>3</v>
      </c>
    </row>
    <row r="10" customFormat="false" ht="15" hidden="false" customHeight="false" outlineLevel="0" collapsed="false">
      <c r="A10" s="6" t="n">
        <v>5</v>
      </c>
      <c r="B10" s="7" t="s">
        <v>320</v>
      </c>
      <c r="C10" s="7" t="s">
        <v>315</v>
      </c>
      <c r="D10" s="7" t="s">
        <v>316</v>
      </c>
      <c r="E10" s="22" t="n">
        <v>3650655</v>
      </c>
      <c r="F10" s="23" t="n">
        <f aca="false">E10</f>
        <v>3650655</v>
      </c>
      <c r="G10" s="22" t="n">
        <v>4</v>
      </c>
      <c r="H10" s="22" t="n">
        <v>4</v>
      </c>
      <c r="I10" s="22" t="n">
        <v>4</v>
      </c>
      <c r="J10" s="22" t="n">
        <v>5</v>
      </c>
      <c r="K10" s="22" t="n">
        <v>5</v>
      </c>
      <c r="L10" s="22" t="n">
        <v>5</v>
      </c>
      <c r="M10" s="22" t="n">
        <v>5</v>
      </c>
      <c r="N10" s="22" t="n">
        <v>5</v>
      </c>
      <c r="O10" s="22" t="n">
        <v>5</v>
      </c>
      <c r="P10" s="22" t="n">
        <v>5</v>
      </c>
    </row>
    <row r="11" customFormat="false" ht="15" hidden="false" customHeight="false" outlineLevel="0" collapsed="false">
      <c r="A11" s="6" t="n">
        <v>6</v>
      </c>
      <c r="B11" s="7" t="s">
        <v>321</v>
      </c>
      <c r="C11" s="7" t="s">
        <v>315</v>
      </c>
      <c r="D11" s="7" t="s">
        <v>316</v>
      </c>
      <c r="E11" s="22" t="n">
        <v>3150655</v>
      </c>
      <c r="F11" s="23" t="n">
        <f aca="false">E11</f>
        <v>3150655</v>
      </c>
      <c r="G11" s="22" t="n">
        <v>10</v>
      </c>
      <c r="H11" s="22" t="n">
        <v>10</v>
      </c>
      <c r="I11" s="22" t="n">
        <v>10</v>
      </c>
      <c r="J11" s="22" t="n">
        <v>11</v>
      </c>
      <c r="K11" s="22" t="n">
        <v>11</v>
      </c>
      <c r="L11" s="22" t="n">
        <v>11</v>
      </c>
      <c r="M11" s="22" t="n">
        <v>11</v>
      </c>
      <c r="N11" s="22" t="n">
        <v>11</v>
      </c>
      <c r="O11" s="22" t="n">
        <v>11</v>
      </c>
      <c r="P11" s="22" t="n">
        <v>11</v>
      </c>
    </row>
    <row r="12" customFormat="false" ht="15" hidden="false" customHeight="false" outlineLevel="0" collapsed="false">
      <c r="A12" s="6" t="n">
        <v>7</v>
      </c>
      <c r="B12" s="7" t="s">
        <v>322</v>
      </c>
      <c r="C12" s="7" t="s">
        <v>315</v>
      </c>
      <c r="D12" s="7" t="s">
        <v>316</v>
      </c>
      <c r="E12" s="22" t="n">
        <v>2798309</v>
      </c>
      <c r="F12" s="23" t="n">
        <f aca="false">E12</f>
        <v>2798309</v>
      </c>
      <c r="G12" s="22" t="n">
        <v>10</v>
      </c>
      <c r="H12" s="22" t="n">
        <v>10</v>
      </c>
      <c r="I12" s="22" t="n">
        <v>10</v>
      </c>
      <c r="J12" s="22" t="n">
        <v>11</v>
      </c>
      <c r="K12" s="22" t="n">
        <v>11</v>
      </c>
      <c r="L12" s="22" t="n">
        <v>11</v>
      </c>
      <c r="M12" s="22" t="n">
        <v>11</v>
      </c>
      <c r="N12" s="22" t="n">
        <v>11</v>
      </c>
      <c r="O12" s="22" t="n">
        <v>11</v>
      </c>
      <c r="P12" s="22" t="n">
        <v>11</v>
      </c>
    </row>
    <row r="13" customFormat="false" ht="15" hidden="false" customHeight="false" outlineLevel="0" collapsed="false">
      <c r="A13" s="6" t="n">
        <v>8</v>
      </c>
      <c r="B13" s="7" t="s">
        <v>323</v>
      </c>
      <c r="C13" s="7" t="s">
        <v>324</v>
      </c>
      <c r="D13" s="7" t="s">
        <v>316</v>
      </c>
      <c r="E13" s="22" t="n">
        <v>18000000</v>
      </c>
      <c r="F13" s="23" t="n">
        <f aca="false">E13</f>
        <v>18000000</v>
      </c>
      <c r="G13" s="22" t="n">
        <v>1</v>
      </c>
      <c r="H13" s="22" t="n">
        <v>1</v>
      </c>
      <c r="I13" s="22" t="n">
        <v>1</v>
      </c>
      <c r="J13" s="22" t="n">
        <v>1</v>
      </c>
      <c r="K13" s="22" t="n">
        <v>1</v>
      </c>
      <c r="L13" s="22" t="n">
        <v>1</v>
      </c>
      <c r="M13" s="22" t="n">
        <v>1</v>
      </c>
      <c r="N13" s="22" t="n">
        <v>1</v>
      </c>
      <c r="O13" s="22" t="n">
        <v>1</v>
      </c>
      <c r="P13" s="22" t="n">
        <v>1</v>
      </c>
    </row>
    <row r="14" customFormat="false" ht="15" hidden="false" customHeight="false" outlineLevel="0" collapsed="false">
      <c r="A14" s="6" t="n">
        <v>9</v>
      </c>
      <c r="B14" s="7" t="s">
        <v>325</v>
      </c>
      <c r="C14" s="7" t="s">
        <v>326</v>
      </c>
      <c r="D14" s="7" t="s">
        <v>316</v>
      </c>
      <c r="E14" s="22" t="n">
        <v>9800000</v>
      </c>
      <c r="F14" s="23" t="n">
        <f aca="false">E14</f>
        <v>9800000</v>
      </c>
      <c r="G14" s="22" t="n">
        <v>1</v>
      </c>
      <c r="H14" s="22" t="n">
        <v>1</v>
      </c>
      <c r="I14" s="22" t="n">
        <v>1</v>
      </c>
      <c r="J14" s="22" t="n">
        <v>1</v>
      </c>
      <c r="K14" s="22" t="n">
        <v>1</v>
      </c>
      <c r="L14" s="22" t="n">
        <v>1</v>
      </c>
      <c r="M14" s="22" t="n">
        <v>1</v>
      </c>
      <c r="N14" s="22" t="n">
        <v>1</v>
      </c>
      <c r="O14" s="22" t="n">
        <v>1</v>
      </c>
      <c r="P14" s="22" t="n">
        <v>1</v>
      </c>
    </row>
    <row r="15" customFormat="false" ht="15" hidden="false" customHeight="false" outlineLevel="0" collapsed="false">
      <c r="A15" s="6" t="n">
        <v>10</v>
      </c>
      <c r="B15" s="7" t="s">
        <v>327</v>
      </c>
      <c r="C15" s="7" t="s">
        <v>326</v>
      </c>
      <c r="D15" s="7" t="s">
        <v>316</v>
      </c>
      <c r="E15" s="22" t="n">
        <v>6550000</v>
      </c>
      <c r="F15" s="23" t="n">
        <f aca="false">E15</f>
        <v>6550000</v>
      </c>
      <c r="G15" s="22" t="n">
        <v>1</v>
      </c>
      <c r="H15" s="22" t="n">
        <v>1</v>
      </c>
      <c r="I15" s="22" t="n">
        <v>1</v>
      </c>
      <c r="J15" s="22" t="n">
        <v>1</v>
      </c>
      <c r="K15" s="22" t="n">
        <v>1</v>
      </c>
      <c r="L15" s="22" t="n">
        <v>1</v>
      </c>
      <c r="M15" s="22" t="n">
        <v>1</v>
      </c>
      <c r="N15" s="22" t="n">
        <v>1</v>
      </c>
      <c r="O15" s="22" t="n">
        <v>1</v>
      </c>
      <c r="P15" s="22" t="n">
        <v>1</v>
      </c>
    </row>
    <row r="16" customFormat="false" ht="15" hidden="false" customHeight="false" outlineLevel="0" collapsed="false">
      <c r="A16" s="6" t="n">
        <v>11</v>
      </c>
      <c r="B16" s="7" t="s">
        <v>328</v>
      </c>
      <c r="C16" s="7" t="s">
        <v>326</v>
      </c>
      <c r="D16" s="7" t="s">
        <v>316</v>
      </c>
      <c r="E16" s="22" t="n">
        <v>6550000</v>
      </c>
      <c r="F16" s="23" t="n">
        <f aca="false">E16</f>
        <v>6550000</v>
      </c>
      <c r="G16" s="22" t="n">
        <v>1</v>
      </c>
      <c r="H16" s="22" t="n">
        <v>1</v>
      </c>
      <c r="I16" s="22" t="n">
        <v>1</v>
      </c>
      <c r="J16" s="22" t="n">
        <v>1</v>
      </c>
      <c r="K16" s="22" t="n">
        <v>1</v>
      </c>
      <c r="L16" s="22" t="n">
        <v>1</v>
      </c>
      <c r="M16" s="22" t="n">
        <v>1</v>
      </c>
      <c r="N16" s="22" t="n">
        <v>1</v>
      </c>
      <c r="O16" s="22" t="n">
        <v>1</v>
      </c>
      <c r="P16" s="22" t="n">
        <v>1</v>
      </c>
    </row>
    <row r="17" customFormat="false" ht="15" hidden="false" customHeight="false" outlineLevel="0" collapsed="false">
      <c r="A17" s="6" t="n">
        <v>12</v>
      </c>
      <c r="B17" s="7" t="s">
        <v>329</v>
      </c>
      <c r="C17" s="7" t="s">
        <v>326</v>
      </c>
      <c r="D17" s="7" t="s">
        <v>316</v>
      </c>
      <c r="E17" s="22" t="n">
        <v>6550000</v>
      </c>
      <c r="F17" s="23" t="n">
        <f aca="false">E17</f>
        <v>6550000</v>
      </c>
      <c r="G17" s="22" t="n">
        <v>1</v>
      </c>
      <c r="H17" s="22" t="n">
        <v>1</v>
      </c>
      <c r="I17" s="22" t="n">
        <v>1</v>
      </c>
      <c r="J17" s="22" t="n">
        <v>1</v>
      </c>
      <c r="K17" s="22" t="n">
        <v>1</v>
      </c>
      <c r="L17" s="22" t="n">
        <v>1</v>
      </c>
      <c r="M17" s="22" t="n">
        <v>1</v>
      </c>
      <c r="N17" s="22" t="n">
        <v>1</v>
      </c>
      <c r="O17" s="22" t="n">
        <v>1</v>
      </c>
      <c r="P17" s="22" t="n">
        <v>1</v>
      </c>
    </row>
    <row r="18" customFormat="false" ht="15" hidden="false" customHeight="false" outlineLevel="0" collapsed="false">
      <c r="A18" s="6" t="n">
        <v>13</v>
      </c>
      <c r="B18" s="7" t="s">
        <v>330</v>
      </c>
      <c r="C18" s="7" t="s">
        <v>326</v>
      </c>
      <c r="D18" s="7" t="s">
        <v>316</v>
      </c>
      <c r="E18" s="22" t="n">
        <v>6550000</v>
      </c>
      <c r="F18" s="23" t="n">
        <f aca="false">E18</f>
        <v>6550000</v>
      </c>
      <c r="G18" s="22" t="n">
        <v>1</v>
      </c>
      <c r="H18" s="22" t="n">
        <v>1</v>
      </c>
      <c r="I18" s="22" t="n">
        <v>1</v>
      </c>
      <c r="J18" s="22" t="n">
        <v>1</v>
      </c>
      <c r="K18" s="22" t="n">
        <v>1</v>
      </c>
      <c r="L18" s="22" t="n">
        <v>1</v>
      </c>
      <c r="M18" s="22" t="n">
        <v>1</v>
      </c>
      <c r="N18" s="22" t="n">
        <v>1</v>
      </c>
      <c r="O18" s="22" t="n">
        <v>1</v>
      </c>
      <c r="P18" s="22" t="n">
        <v>1</v>
      </c>
    </row>
    <row r="19" customFormat="false" ht="15" hidden="false" customHeight="false" outlineLevel="0" collapsed="false">
      <c r="A19" s="6" t="n">
        <v>14</v>
      </c>
      <c r="B19" s="7" t="s">
        <v>331</v>
      </c>
      <c r="C19" s="7" t="s">
        <v>326</v>
      </c>
      <c r="D19" s="7" t="s">
        <v>316</v>
      </c>
      <c r="E19" s="22" t="n">
        <v>6550000</v>
      </c>
      <c r="F19" s="23" t="n">
        <f aca="false">E19</f>
        <v>6550000</v>
      </c>
      <c r="G19" s="22" t="n">
        <v>3</v>
      </c>
      <c r="H19" s="22" t="n">
        <v>3</v>
      </c>
      <c r="I19" s="22" t="n">
        <v>3</v>
      </c>
      <c r="J19" s="22" t="n">
        <v>3</v>
      </c>
      <c r="K19" s="22" t="n">
        <v>3</v>
      </c>
      <c r="L19" s="22" t="n">
        <v>3</v>
      </c>
      <c r="M19" s="22" t="n">
        <v>3</v>
      </c>
      <c r="N19" s="22" t="n">
        <v>3</v>
      </c>
      <c r="O19" s="22" t="n">
        <v>3</v>
      </c>
      <c r="P19" s="22" t="n">
        <v>3</v>
      </c>
    </row>
    <row r="20" customFormat="false" ht="15" hidden="false" customHeight="false" outlineLevel="0" collapsed="false">
      <c r="A20" s="6" t="n">
        <v>15</v>
      </c>
      <c r="B20" s="7" t="s">
        <v>332</v>
      </c>
      <c r="C20" s="7" t="s">
        <v>326</v>
      </c>
      <c r="D20" s="7" t="s">
        <v>316</v>
      </c>
      <c r="E20" s="22" t="n">
        <v>3650655</v>
      </c>
      <c r="F20" s="23" t="n">
        <f aca="false">E20</f>
        <v>3650655</v>
      </c>
      <c r="G20" s="22" t="n">
        <v>2</v>
      </c>
      <c r="H20" s="22" t="n">
        <v>2</v>
      </c>
      <c r="I20" s="22" t="n">
        <v>2</v>
      </c>
      <c r="J20" s="22" t="n">
        <v>2</v>
      </c>
      <c r="K20" s="22" t="n">
        <v>2</v>
      </c>
      <c r="L20" s="22" t="n">
        <v>2</v>
      </c>
      <c r="M20" s="22" t="n">
        <v>2</v>
      </c>
      <c r="N20" s="22" t="n">
        <v>2</v>
      </c>
      <c r="O20" s="22" t="n">
        <v>2</v>
      </c>
      <c r="P20" s="22" t="n">
        <v>2</v>
      </c>
    </row>
    <row r="21" customFormat="false" ht="15" hidden="false" customHeight="false" outlineLevel="0" collapsed="false">
      <c r="A21" s="6" t="n">
        <v>16</v>
      </c>
      <c r="B21" s="7" t="s">
        <v>333</v>
      </c>
      <c r="C21" s="7" t="s">
        <v>326</v>
      </c>
      <c r="D21" s="7" t="s">
        <v>316</v>
      </c>
      <c r="E21" s="22" t="n">
        <v>9800000</v>
      </c>
      <c r="F21" s="23" t="n">
        <f aca="false">E21</f>
        <v>9800000</v>
      </c>
      <c r="G21" s="22" t="n">
        <v>1</v>
      </c>
      <c r="H21" s="22" t="n">
        <v>1</v>
      </c>
      <c r="I21" s="22" t="n">
        <v>1</v>
      </c>
      <c r="J21" s="22" t="n">
        <v>1</v>
      </c>
      <c r="K21" s="22" t="n">
        <v>1</v>
      </c>
      <c r="L21" s="22" t="n">
        <v>1</v>
      </c>
      <c r="M21" s="22" t="n">
        <v>1</v>
      </c>
      <c r="N21" s="22" t="n">
        <v>1</v>
      </c>
      <c r="O21" s="22" t="n">
        <v>1</v>
      </c>
      <c r="P21" s="22" t="n">
        <v>1</v>
      </c>
    </row>
    <row r="22" customFormat="false" ht="15" hidden="false" customHeight="false" outlineLevel="0" collapsed="false">
      <c r="A22" s="6" t="n">
        <v>17</v>
      </c>
      <c r="B22" s="7" t="s">
        <v>334</v>
      </c>
      <c r="C22" s="7" t="s">
        <v>326</v>
      </c>
      <c r="D22" s="7" t="s">
        <v>316</v>
      </c>
      <c r="E22" s="22" t="n">
        <v>2798309</v>
      </c>
      <c r="F22" s="23" t="n">
        <f aca="false">E22</f>
        <v>2798309</v>
      </c>
      <c r="G22" s="22" t="n">
        <v>1</v>
      </c>
      <c r="H22" s="22" t="n">
        <v>1</v>
      </c>
      <c r="I22" s="22" t="n">
        <v>1</v>
      </c>
      <c r="J22" s="22" t="n">
        <v>1</v>
      </c>
      <c r="K22" s="22" t="n">
        <v>1</v>
      </c>
      <c r="L22" s="22" t="n">
        <v>1</v>
      </c>
      <c r="M22" s="22" t="n">
        <v>1</v>
      </c>
      <c r="N22" s="22" t="n">
        <v>1</v>
      </c>
      <c r="O22" s="22" t="n">
        <v>1</v>
      </c>
      <c r="P22" s="22" t="n">
        <v>1</v>
      </c>
    </row>
    <row r="23" customFormat="false" ht="15" hidden="false" customHeight="false" outlineLevel="0" collapsed="false">
      <c r="A23" s="6" t="n">
        <v>18</v>
      </c>
      <c r="B23" s="7" t="s">
        <v>335</v>
      </c>
      <c r="C23" s="7" t="s">
        <v>326</v>
      </c>
      <c r="D23" s="7" t="s">
        <v>316</v>
      </c>
      <c r="E23" s="22" t="n">
        <v>3150655</v>
      </c>
      <c r="F23" s="23" t="n">
        <f aca="false">E23</f>
        <v>3150655</v>
      </c>
      <c r="G23" s="22" t="n">
        <v>1</v>
      </c>
      <c r="H23" s="22" t="n">
        <v>1</v>
      </c>
      <c r="I23" s="22" t="n">
        <v>1</v>
      </c>
      <c r="J23" s="22" t="n">
        <v>1</v>
      </c>
      <c r="K23" s="22" t="n">
        <v>1</v>
      </c>
      <c r="L23" s="22" t="n">
        <v>1</v>
      </c>
      <c r="M23" s="22" t="n">
        <v>1</v>
      </c>
      <c r="N23" s="22" t="n">
        <v>1</v>
      </c>
      <c r="O23" s="22" t="n">
        <v>1</v>
      </c>
      <c r="P23" s="22" t="n">
        <v>1</v>
      </c>
    </row>
    <row r="24" customFormat="false" ht="15" hidden="false" customHeight="false" outlineLevel="0" collapsed="false">
      <c r="A24" s="6" t="n">
        <v>19</v>
      </c>
      <c r="B24" s="7" t="s">
        <v>336</v>
      </c>
      <c r="C24" s="7" t="s">
        <v>324</v>
      </c>
      <c r="D24" s="7" t="s">
        <v>316</v>
      </c>
      <c r="E24" s="22" t="n">
        <v>6550000</v>
      </c>
      <c r="F24" s="23" t="n">
        <f aca="false">E24</f>
        <v>6550000</v>
      </c>
      <c r="G24" s="22" t="n">
        <v>1</v>
      </c>
      <c r="H24" s="22" t="n">
        <v>1</v>
      </c>
      <c r="I24" s="22" t="n">
        <v>1</v>
      </c>
      <c r="J24" s="22" t="n">
        <v>1</v>
      </c>
      <c r="K24" s="22" t="n">
        <v>1</v>
      </c>
      <c r="L24" s="22" t="n">
        <v>1</v>
      </c>
      <c r="M24" s="22" t="n">
        <v>1</v>
      </c>
      <c r="N24" s="22" t="n">
        <v>1</v>
      </c>
      <c r="O24" s="22" t="n">
        <v>1</v>
      </c>
      <c r="P24" s="22" t="n">
        <v>1</v>
      </c>
    </row>
    <row r="25" customFormat="false" ht="15" hidden="false" customHeight="false" outlineLevel="0" collapsed="false">
      <c r="A25" s="6" t="n">
        <v>20</v>
      </c>
      <c r="B25" s="7" t="s">
        <v>337</v>
      </c>
      <c r="C25" s="7" t="s">
        <v>324</v>
      </c>
      <c r="D25" s="7" t="s">
        <v>316</v>
      </c>
      <c r="E25" s="22" t="n">
        <v>6550000</v>
      </c>
      <c r="F25" s="23" t="n">
        <f aca="false">E25</f>
        <v>6550000</v>
      </c>
      <c r="G25" s="22" t="n">
        <v>1</v>
      </c>
      <c r="H25" s="22" t="n">
        <v>1</v>
      </c>
      <c r="I25" s="22" t="n">
        <v>1</v>
      </c>
      <c r="J25" s="22" t="n">
        <v>1</v>
      </c>
      <c r="K25" s="22" t="n">
        <v>1</v>
      </c>
      <c r="L25" s="22" t="n">
        <v>1</v>
      </c>
      <c r="M25" s="22" t="n">
        <v>1</v>
      </c>
      <c r="N25" s="22" t="n">
        <v>1</v>
      </c>
      <c r="O25" s="22" t="n">
        <v>1</v>
      </c>
      <c r="P25" s="22" t="n">
        <v>1</v>
      </c>
    </row>
    <row r="26" customFormat="false" ht="15" hidden="false" customHeight="false" outlineLevel="0" collapsed="false">
      <c r="A26" s="6" t="n">
        <v>21</v>
      </c>
      <c r="B26" s="7" t="s">
        <v>338</v>
      </c>
      <c r="C26" s="7" t="s">
        <v>326</v>
      </c>
      <c r="D26" s="7" t="s">
        <v>316</v>
      </c>
      <c r="E26" s="22" t="n">
        <v>6550000</v>
      </c>
      <c r="F26" s="23" t="n">
        <f aca="false">E26</f>
        <v>6550000</v>
      </c>
      <c r="G26" s="22" t="n">
        <v>1</v>
      </c>
      <c r="H26" s="22" t="n">
        <v>1</v>
      </c>
      <c r="I26" s="22" t="n">
        <v>1</v>
      </c>
      <c r="J26" s="22" t="n">
        <v>1</v>
      </c>
      <c r="K26" s="22" t="n">
        <v>1</v>
      </c>
      <c r="L26" s="22" t="n">
        <v>1</v>
      </c>
      <c r="M26" s="22" t="n">
        <v>1</v>
      </c>
      <c r="N26" s="22" t="n">
        <v>1</v>
      </c>
      <c r="O26" s="22" t="n">
        <v>1</v>
      </c>
      <c r="P26" s="22" t="n">
        <v>1</v>
      </c>
    </row>
    <row r="27" customFormat="false" ht="15" hidden="false" customHeight="false" outlineLevel="0" collapsed="false">
      <c r="A27" s="6" t="n">
        <v>22</v>
      </c>
      <c r="B27" s="7" t="s">
        <v>339</v>
      </c>
      <c r="C27" s="7" t="s">
        <v>326</v>
      </c>
      <c r="D27" s="7" t="s">
        <v>316</v>
      </c>
      <c r="E27" s="22" t="n">
        <v>2798309</v>
      </c>
      <c r="F27" s="23" t="n">
        <f aca="false">E27</f>
        <v>2798309</v>
      </c>
      <c r="G27" s="22" t="n">
        <v>1</v>
      </c>
      <c r="H27" s="22" t="n">
        <v>1</v>
      </c>
      <c r="I27" s="22" t="n">
        <v>1</v>
      </c>
      <c r="J27" s="22" t="n">
        <v>1</v>
      </c>
      <c r="K27" s="22" t="n">
        <v>1</v>
      </c>
      <c r="L27" s="22" t="n">
        <v>1</v>
      </c>
      <c r="M27" s="22" t="n">
        <v>1</v>
      </c>
      <c r="N27" s="22" t="n">
        <v>1</v>
      </c>
      <c r="O27" s="22" t="n">
        <v>1</v>
      </c>
      <c r="P27" s="22" t="n">
        <v>1</v>
      </c>
    </row>
    <row r="28" customFormat="false" ht="15" hidden="false" customHeight="false" outlineLevel="0" collapsed="false">
      <c r="A28" s="6" t="n">
        <v>23</v>
      </c>
      <c r="B28" s="7" t="s">
        <v>340</v>
      </c>
      <c r="C28" s="7" t="s">
        <v>326</v>
      </c>
      <c r="D28" s="7" t="s">
        <v>316</v>
      </c>
      <c r="E28" s="22" t="n">
        <v>6550000</v>
      </c>
      <c r="F28" s="23" t="n">
        <f aca="false">E28</f>
        <v>6550000</v>
      </c>
      <c r="G28" s="22" t="n">
        <v>1</v>
      </c>
      <c r="H28" s="22" t="n">
        <v>1</v>
      </c>
      <c r="I28" s="22" t="n">
        <v>1</v>
      </c>
      <c r="J28" s="22" t="n">
        <v>1</v>
      </c>
      <c r="K28" s="22" t="n">
        <v>1</v>
      </c>
      <c r="L28" s="22" t="n">
        <v>1</v>
      </c>
      <c r="M28" s="22" t="n">
        <v>1</v>
      </c>
      <c r="N28" s="22" t="n">
        <v>1</v>
      </c>
      <c r="O28" s="22" t="n">
        <v>1</v>
      </c>
      <c r="P28" s="22" t="n">
        <v>1</v>
      </c>
    </row>
    <row r="29" customFormat="false" ht="15" hidden="false" customHeight="false" outlineLevel="0" collapsed="false">
      <c r="A29" s="6" t="n">
        <v>24</v>
      </c>
      <c r="B29" s="7" t="s">
        <v>341</v>
      </c>
      <c r="C29" s="7" t="s">
        <v>326</v>
      </c>
      <c r="D29" s="7" t="s">
        <v>316</v>
      </c>
      <c r="E29" s="22" t="n">
        <v>2798309</v>
      </c>
      <c r="F29" s="23" t="n">
        <f aca="false">E29</f>
        <v>2798309</v>
      </c>
      <c r="G29" s="22" t="n">
        <v>1</v>
      </c>
      <c r="H29" s="22" t="n">
        <v>1</v>
      </c>
      <c r="I29" s="22" t="n">
        <v>1</v>
      </c>
      <c r="J29" s="22" t="n">
        <v>1</v>
      </c>
      <c r="K29" s="22" t="n">
        <v>1</v>
      </c>
      <c r="L29" s="22" t="n">
        <v>1</v>
      </c>
      <c r="M29" s="22" t="n">
        <v>1</v>
      </c>
      <c r="N29" s="22" t="n">
        <v>1</v>
      </c>
      <c r="O29" s="22" t="n">
        <v>1</v>
      </c>
      <c r="P29" s="22" t="n">
        <v>1</v>
      </c>
    </row>
    <row r="30" customFormat="false" ht="15" hidden="false" customHeight="false" outlineLevel="0" collapsed="false">
      <c r="A30" s="6" t="n">
        <v>25</v>
      </c>
      <c r="B30" s="7" t="s">
        <v>342</v>
      </c>
      <c r="C30" s="7" t="s">
        <v>324</v>
      </c>
      <c r="D30" s="7" t="s">
        <v>316</v>
      </c>
      <c r="E30" s="22" t="n">
        <v>9800000</v>
      </c>
      <c r="F30" s="23" t="n">
        <f aca="false">E30</f>
        <v>9800000</v>
      </c>
      <c r="G30" s="22" t="n">
        <v>1</v>
      </c>
      <c r="H30" s="22" t="n">
        <v>1</v>
      </c>
      <c r="I30" s="22" t="n">
        <v>1</v>
      </c>
      <c r="J30" s="22" t="n">
        <v>1</v>
      </c>
      <c r="K30" s="22" t="n">
        <v>1</v>
      </c>
      <c r="L30" s="22" t="n">
        <v>1</v>
      </c>
      <c r="M30" s="22" t="n">
        <v>1</v>
      </c>
      <c r="N30" s="22" t="n">
        <v>1</v>
      </c>
      <c r="O30" s="22" t="n">
        <v>1</v>
      </c>
      <c r="P30" s="22" t="n">
        <v>1</v>
      </c>
    </row>
    <row r="31" customFormat="false" ht="15" hidden="false" customHeight="false" outlineLevel="0" collapsed="false">
      <c r="A31" s="6" t="n">
        <v>26</v>
      </c>
      <c r="B31" s="7" t="s">
        <v>343</v>
      </c>
      <c r="C31" s="7" t="s">
        <v>324</v>
      </c>
      <c r="D31" s="7" t="s">
        <v>316</v>
      </c>
      <c r="E31" s="22" t="n">
        <v>2798309</v>
      </c>
      <c r="F31" s="23" t="n">
        <f aca="false">E31</f>
        <v>2798309</v>
      </c>
      <c r="G31" s="22" t="n">
        <v>1</v>
      </c>
      <c r="H31" s="22" t="n">
        <v>1</v>
      </c>
      <c r="I31" s="22" t="n">
        <v>1</v>
      </c>
      <c r="J31" s="22" t="n">
        <v>1</v>
      </c>
      <c r="K31" s="22" t="n">
        <v>1</v>
      </c>
      <c r="L31" s="22" t="n">
        <v>1</v>
      </c>
      <c r="M31" s="22" t="n">
        <v>1</v>
      </c>
      <c r="N31" s="22" t="n">
        <v>1</v>
      </c>
      <c r="O31" s="22" t="n">
        <v>1</v>
      </c>
      <c r="P31" s="22" t="n">
        <v>1</v>
      </c>
    </row>
    <row r="32" customFormat="false" ht="15" hidden="false" customHeight="false" outlineLevel="0" collapsed="false">
      <c r="A32" s="6" t="n">
        <v>27</v>
      </c>
      <c r="B32" s="7"/>
      <c r="C32" s="7"/>
      <c r="D32" s="7"/>
      <c r="E32" s="22"/>
      <c r="F32" s="23" t="n">
        <f aca="false">E32</f>
        <v>0</v>
      </c>
      <c r="G32" s="22"/>
      <c r="H32" s="22"/>
      <c r="I32" s="22"/>
      <c r="J32" s="22"/>
      <c r="K32" s="22"/>
      <c r="L32" s="22"/>
      <c r="M32" s="22"/>
      <c r="N32" s="22"/>
      <c r="O32" s="22"/>
      <c r="P32" s="22"/>
    </row>
    <row r="33" customFormat="false" ht="15" hidden="false" customHeight="false" outlineLevel="0" collapsed="false">
      <c r="A33" s="6" t="n">
        <v>28</v>
      </c>
      <c r="B33" s="7"/>
      <c r="C33" s="7"/>
      <c r="D33" s="7"/>
      <c r="E33" s="22"/>
      <c r="F33" s="23" t="n">
        <f aca="false">E33</f>
        <v>0</v>
      </c>
      <c r="G33" s="22"/>
      <c r="H33" s="22"/>
      <c r="I33" s="22"/>
      <c r="J33" s="22"/>
      <c r="K33" s="22"/>
      <c r="L33" s="22"/>
      <c r="M33" s="22"/>
      <c r="N33" s="22"/>
      <c r="O33" s="22"/>
      <c r="P33" s="22"/>
    </row>
    <row r="34" customFormat="false" ht="15" hidden="false" customHeight="false" outlineLevel="0" collapsed="false">
      <c r="A34" s="6" t="n">
        <v>29</v>
      </c>
      <c r="B34" s="7"/>
      <c r="C34" s="7"/>
      <c r="D34" s="7"/>
      <c r="E34" s="22"/>
      <c r="F34" s="23" t="n">
        <f aca="false">E34</f>
        <v>0</v>
      </c>
      <c r="G34" s="22"/>
      <c r="H34" s="22"/>
      <c r="I34" s="22"/>
      <c r="J34" s="22"/>
      <c r="K34" s="22"/>
      <c r="L34" s="22"/>
      <c r="M34" s="22"/>
      <c r="N34" s="22"/>
      <c r="O34" s="22"/>
      <c r="P34" s="22"/>
    </row>
    <row r="35" customFormat="false" ht="15" hidden="false" customHeight="false" outlineLevel="0" collapsed="false">
      <c r="A35" s="6" t="n">
        <v>30</v>
      </c>
      <c r="B35" s="7"/>
      <c r="C35" s="7"/>
      <c r="D35" s="7"/>
      <c r="E35" s="22"/>
      <c r="F35" s="23" t="n">
        <f aca="false">E35</f>
        <v>0</v>
      </c>
      <c r="G35" s="22"/>
      <c r="H35" s="22"/>
      <c r="I35" s="22"/>
      <c r="J35" s="22"/>
      <c r="K35" s="22"/>
      <c r="L35" s="22"/>
      <c r="M35" s="22"/>
      <c r="N35" s="22"/>
      <c r="O35" s="22"/>
      <c r="P35" s="22"/>
    </row>
    <row r="36" customFormat="false" ht="15" hidden="false" customHeight="false" outlineLevel="0" collapsed="false">
      <c r="B36" s="11" t="s">
        <v>344</v>
      </c>
      <c r="G36" s="40" t="n">
        <f aca="false">SUM(G6:G35)</f>
        <v>65</v>
      </c>
      <c r="H36" s="40" t="n">
        <f aca="false">SUM(H6:H35)</f>
        <v>65</v>
      </c>
      <c r="I36" s="40" t="n">
        <f aca="false">SUM(I6:I35)</f>
        <v>68</v>
      </c>
      <c r="J36" s="40" t="n">
        <f aca="false">SUM(J6:J35)</f>
        <v>71</v>
      </c>
      <c r="K36" s="40" t="n">
        <f aca="false">SUM(K6:K35)</f>
        <v>74</v>
      </c>
      <c r="L36" s="40" t="n">
        <f aca="false">SUM(L6:L35)</f>
        <v>74</v>
      </c>
      <c r="M36" s="40" t="n">
        <f aca="false">SUM(M6:M35)</f>
        <v>74</v>
      </c>
      <c r="N36" s="40" t="n">
        <f aca="false">SUM(N6:N35)</f>
        <v>74</v>
      </c>
      <c r="O36" s="40" t="n">
        <f aca="false">SUM(O6:O35)</f>
        <v>74</v>
      </c>
      <c r="P36" s="40" t="n">
        <f aca="false">SUM(P6:P35)</f>
        <v>74</v>
      </c>
    </row>
    <row r="37" customFormat="false" ht="15" hidden="false" customHeight="false" outlineLevel="0" collapsed="false">
      <c r="B37" s="2" t="s">
        <v>345</v>
      </c>
    </row>
    <row r="39" customFormat="false" ht="15" hidden="false" customHeight="false" outlineLevel="0" collapsed="false">
      <c r="A39" s="3" t="s">
        <v>346</v>
      </c>
      <c r="B39" s="4"/>
      <c r="C39" s="4"/>
      <c r="D39" s="4"/>
      <c r="E39" s="4"/>
      <c r="F39" s="4"/>
      <c r="G39" s="4"/>
      <c r="H39" s="4"/>
      <c r="I39" s="4"/>
      <c r="J39" s="4"/>
      <c r="K39" s="4"/>
      <c r="L39" s="4"/>
      <c r="M39" s="4"/>
      <c r="N39" s="4"/>
      <c r="O39" s="4"/>
      <c r="P39" s="4"/>
      <c r="Q39" s="4"/>
    </row>
    <row r="40" customFormat="false" ht="15" hidden="false" customHeight="false" outlineLevel="0" collapsed="false">
      <c r="A40" s="5" t="s">
        <v>272</v>
      </c>
      <c r="B40" s="5" t="s">
        <v>299</v>
      </c>
      <c r="C40" s="5" t="s">
        <v>300</v>
      </c>
      <c r="D40" s="5"/>
      <c r="E40" s="5"/>
      <c r="F40" s="5"/>
      <c r="G40" s="5" t="s">
        <v>304</v>
      </c>
      <c r="H40" s="5" t="s">
        <v>305</v>
      </c>
      <c r="I40" s="5" t="s">
        <v>306</v>
      </c>
      <c r="J40" s="5" t="s">
        <v>307</v>
      </c>
      <c r="K40" s="5" t="s">
        <v>308</v>
      </c>
      <c r="L40" s="5" t="s">
        <v>309</v>
      </c>
      <c r="M40" s="5" t="s">
        <v>310</v>
      </c>
      <c r="N40" s="5" t="s">
        <v>311</v>
      </c>
      <c r="O40" s="5" t="s">
        <v>312</v>
      </c>
      <c r="P40" s="5" t="s">
        <v>313</v>
      </c>
    </row>
    <row r="41" customFormat="false" ht="15" hidden="false" customHeight="false" outlineLevel="0" collapsed="false">
      <c r="A41" s="6" t="n">
        <v>1</v>
      </c>
      <c r="B41" s="39" t="str">
        <f aca="false">IF(B6="","",B6)</f>
        <v>Operador láser</v>
      </c>
      <c r="C41" s="39" t="str">
        <f aca="false">IF(C6="","",C6)</f>
        <v>Directo</v>
      </c>
      <c r="G41" s="23" t="n">
        <f aca="false">G6</f>
        <v>4</v>
      </c>
      <c r="H41" s="23" t="n">
        <f aca="false">H6</f>
        <v>4</v>
      </c>
      <c r="I41" s="23" t="n">
        <f aca="false">I6</f>
        <v>5</v>
      </c>
      <c r="J41" s="23" t="n">
        <f aca="false">J6</f>
        <v>5</v>
      </c>
      <c r="K41" s="23" t="n">
        <f aca="false">K6</f>
        <v>6</v>
      </c>
      <c r="L41" s="23" t="n">
        <f aca="false">L6</f>
        <v>6</v>
      </c>
      <c r="M41" s="23" t="n">
        <f aca="false">M6</f>
        <v>6</v>
      </c>
      <c r="N41" s="23" t="n">
        <f aca="false">N6</f>
        <v>6</v>
      </c>
      <c r="O41" s="23" t="n">
        <f aca="false">O6</f>
        <v>6</v>
      </c>
      <c r="P41" s="23" t="n">
        <f aca="false">P6</f>
        <v>6</v>
      </c>
    </row>
    <row r="42" customFormat="false" ht="15" hidden="false" customHeight="false" outlineLevel="0" collapsed="false">
      <c r="A42" s="6" t="n">
        <v>2</v>
      </c>
      <c r="B42" s="39" t="str">
        <f aca="false">IF(B7="","",B7)</f>
        <v>Doblador</v>
      </c>
      <c r="C42" s="39" t="str">
        <f aca="false">IF(C7="","",C7)</f>
        <v>Directo</v>
      </c>
      <c r="G42" s="23" t="n">
        <f aca="false">G7</f>
        <v>8</v>
      </c>
      <c r="H42" s="23" t="n">
        <f aca="false">H7</f>
        <v>8</v>
      </c>
      <c r="I42" s="23" t="n">
        <f aca="false">I7</f>
        <v>9</v>
      </c>
      <c r="J42" s="23" t="n">
        <f aca="false">J7</f>
        <v>9</v>
      </c>
      <c r="K42" s="23" t="n">
        <f aca="false">K7</f>
        <v>10</v>
      </c>
      <c r="L42" s="23" t="n">
        <f aca="false">L7</f>
        <v>10</v>
      </c>
      <c r="M42" s="23" t="n">
        <f aca="false">M7</f>
        <v>10</v>
      </c>
      <c r="N42" s="23" t="n">
        <f aca="false">N7</f>
        <v>10</v>
      </c>
      <c r="O42" s="23" t="n">
        <f aca="false">O7</f>
        <v>10</v>
      </c>
      <c r="P42" s="23" t="n">
        <f aca="false">P7</f>
        <v>10</v>
      </c>
    </row>
    <row r="43" customFormat="false" ht="15" hidden="false" customHeight="false" outlineLevel="0" collapsed="false">
      <c r="A43" s="6" t="n">
        <v>3</v>
      </c>
      <c r="B43" s="39" t="str">
        <f aca="false">IF(B8="","",B8)</f>
        <v>Soldador</v>
      </c>
      <c r="C43" s="39" t="str">
        <f aca="false">IF(C8="","",C8)</f>
        <v>Directo</v>
      </c>
      <c r="G43" s="23" t="n">
        <f aca="false">G8</f>
        <v>5</v>
      </c>
      <c r="H43" s="23" t="n">
        <f aca="false">H8</f>
        <v>5</v>
      </c>
      <c r="I43" s="23" t="n">
        <f aca="false">I8</f>
        <v>6</v>
      </c>
      <c r="J43" s="23" t="n">
        <f aca="false">J8</f>
        <v>6</v>
      </c>
      <c r="K43" s="23" t="n">
        <f aca="false">K8</f>
        <v>6</v>
      </c>
      <c r="L43" s="23" t="n">
        <f aca="false">L8</f>
        <v>6</v>
      </c>
      <c r="M43" s="23" t="n">
        <f aca="false">M8</f>
        <v>6</v>
      </c>
      <c r="N43" s="23" t="n">
        <f aca="false">N8</f>
        <v>6</v>
      </c>
      <c r="O43" s="23" t="n">
        <f aca="false">O8</f>
        <v>6</v>
      </c>
      <c r="P43" s="23" t="n">
        <f aca="false">P8</f>
        <v>6</v>
      </c>
    </row>
    <row r="44" customFormat="false" ht="15" hidden="false" customHeight="false" outlineLevel="0" collapsed="false">
      <c r="A44" s="6" t="n">
        <v>4</v>
      </c>
      <c r="B44" s="39" t="str">
        <f aca="false">IF(B9="","",B9)</f>
        <v>Baño</v>
      </c>
      <c r="C44" s="39" t="str">
        <f aca="false">IF(C9="","",C9)</f>
        <v>Directo</v>
      </c>
      <c r="G44" s="23" t="n">
        <f aca="false">G9</f>
        <v>2</v>
      </c>
      <c r="H44" s="23" t="n">
        <f aca="false">H9</f>
        <v>2</v>
      </c>
      <c r="I44" s="23" t="n">
        <f aca="false">I9</f>
        <v>2</v>
      </c>
      <c r="J44" s="23" t="n">
        <f aca="false">J9</f>
        <v>2</v>
      </c>
      <c r="K44" s="23" t="n">
        <f aca="false">K9</f>
        <v>3</v>
      </c>
      <c r="L44" s="23" t="n">
        <f aca="false">L9</f>
        <v>3</v>
      </c>
      <c r="M44" s="23" t="n">
        <f aca="false">M9</f>
        <v>3</v>
      </c>
      <c r="N44" s="23" t="n">
        <f aca="false">N9</f>
        <v>3</v>
      </c>
      <c r="O44" s="23" t="n">
        <f aca="false">O9</f>
        <v>3</v>
      </c>
      <c r="P44" s="23" t="n">
        <f aca="false">P9</f>
        <v>3</v>
      </c>
    </row>
    <row r="45" customFormat="false" ht="15" hidden="false" customHeight="false" outlineLevel="0" collapsed="false">
      <c r="A45" s="6" t="n">
        <v>5</v>
      </c>
      <c r="B45" s="39" t="str">
        <f aca="false">IF(B10="","",B10)</f>
        <v>Pintor</v>
      </c>
      <c r="C45" s="39" t="str">
        <f aca="false">IF(C10="","",C10)</f>
        <v>Directo</v>
      </c>
      <c r="G45" s="23" t="n">
        <f aca="false">G10</f>
        <v>4</v>
      </c>
      <c r="H45" s="23" t="n">
        <f aca="false">H10</f>
        <v>4</v>
      </c>
      <c r="I45" s="23" t="n">
        <f aca="false">I10</f>
        <v>4</v>
      </c>
      <c r="J45" s="23" t="n">
        <f aca="false">J10</f>
        <v>5</v>
      </c>
      <c r="K45" s="23" t="n">
        <f aca="false">K10</f>
        <v>5</v>
      </c>
      <c r="L45" s="23" t="n">
        <f aca="false">L10</f>
        <v>5</v>
      </c>
      <c r="M45" s="23" t="n">
        <f aca="false">M10</f>
        <v>5</v>
      </c>
      <c r="N45" s="23" t="n">
        <f aca="false">N10</f>
        <v>5</v>
      </c>
      <c r="O45" s="23" t="n">
        <f aca="false">O10</f>
        <v>5</v>
      </c>
      <c r="P45" s="23" t="n">
        <f aca="false">P10</f>
        <v>5</v>
      </c>
    </row>
    <row r="46" customFormat="false" ht="15" hidden="false" customHeight="false" outlineLevel="0" collapsed="false">
      <c r="A46" s="6" t="n">
        <v>6</v>
      </c>
      <c r="B46" s="39" t="str">
        <f aca="false">IF(B11="","",B11)</f>
        <v>Montador</v>
      </c>
      <c r="C46" s="39" t="str">
        <f aca="false">IF(C11="","",C11)</f>
        <v>Directo</v>
      </c>
      <c r="G46" s="23" t="n">
        <f aca="false">G11</f>
        <v>10</v>
      </c>
      <c r="H46" s="23" t="n">
        <f aca="false">H11</f>
        <v>10</v>
      </c>
      <c r="I46" s="23" t="n">
        <f aca="false">I11</f>
        <v>10</v>
      </c>
      <c r="J46" s="23" t="n">
        <f aca="false">J11</f>
        <v>11</v>
      </c>
      <c r="K46" s="23" t="n">
        <f aca="false">K11</f>
        <v>11</v>
      </c>
      <c r="L46" s="23" t="n">
        <f aca="false">L11</f>
        <v>11</v>
      </c>
      <c r="M46" s="23" t="n">
        <f aca="false">M11</f>
        <v>11</v>
      </c>
      <c r="N46" s="23" t="n">
        <f aca="false">N11</f>
        <v>11</v>
      </c>
      <c r="O46" s="23" t="n">
        <f aca="false">O11</f>
        <v>11</v>
      </c>
      <c r="P46" s="23" t="n">
        <f aca="false">P11</f>
        <v>11</v>
      </c>
    </row>
    <row r="47" customFormat="false" ht="15" hidden="false" customHeight="false" outlineLevel="0" collapsed="false">
      <c r="A47" s="6" t="n">
        <v>7</v>
      </c>
      <c r="B47" s="39" t="str">
        <f aca="false">IF(B12="","",B12)</f>
        <v>Ayudante</v>
      </c>
      <c r="C47" s="39" t="str">
        <f aca="false">IF(C12="","",C12)</f>
        <v>Directo</v>
      </c>
      <c r="G47" s="23" t="n">
        <f aca="false">G12</f>
        <v>10</v>
      </c>
      <c r="H47" s="23" t="n">
        <f aca="false">H12</f>
        <v>10</v>
      </c>
      <c r="I47" s="23" t="n">
        <f aca="false">I12</f>
        <v>10</v>
      </c>
      <c r="J47" s="23" t="n">
        <f aca="false">J12</f>
        <v>11</v>
      </c>
      <c r="K47" s="23" t="n">
        <f aca="false">K12</f>
        <v>11</v>
      </c>
      <c r="L47" s="23" t="n">
        <f aca="false">L12</f>
        <v>11</v>
      </c>
      <c r="M47" s="23" t="n">
        <f aca="false">M12</f>
        <v>11</v>
      </c>
      <c r="N47" s="23" t="n">
        <f aca="false">N12</f>
        <v>11</v>
      </c>
      <c r="O47" s="23" t="n">
        <f aca="false">O12</f>
        <v>11</v>
      </c>
      <c r="P47" s="23" t="n">
        <f aca="false">P12</f>
        <v>11</v>
      </c>
    </row>
    <row r="48" customFormat="false" ht="15" hidden="false" customHeight="false" outlineLevel="0" collapsed="false">
      <c r="A48" s="6" t="n">
        <v>8</v>
      </c>
      <c r="B48" s="39" t="str">
        <f aca="false">IF(B13="","",B13)</f>
        <v>Gerente General</v>
      </c>
      <c r="C48" s="39" t="str">
        <f aca="false">IF(C13="","",C13)</f>
        <v>Administración</v>
      </c>
      <c r="G48" s="23" t="n">
        <f aca="false">G13</f>
        <v>1</v>
      </c>
      <c r="H48" s="23" t="n">
        <f aca="false">H13</f>
        <v>1</v>
      </c>
      <c r="I48" s="23" t="n">
        <f aca="false">I13</f>
        <v>1</v>
      </c>
      <c r="J48" s="23" t="n">
        <f aca="false">J13</f>
        <v>1</v>
      </c>
      <c r="K48" s="23" t="n">
        <f aca="false">K13</f>
        <v>1</v>
      </c>
      <c r="L48" s="23" t="n">
        <f aca="false">L13</f>
        <v>1</v>
      </c>
      <c r="M48" s="23" t="n">
        <f aca="false">M13</f>
        <v>1</v>
      </c>
      <c r="N48" s="23" t="n">
        <f aca="false">N13</f>
        <v>1</v>
      </c>
      <c r="O48" s="23" t="n">
        <f aca="false">O13</f>
        <v>1</v>
      </c>
      <c r="P48" s="23" t="n">
        <f aca="false">P13</f>
        <v>1</v>
      </c>
    </row>
    <row r="49" customFormat="false" ht="15" hidden="false" customHeight="false" outlineLevel="0" collapsed="false">
      <c r="A49" s="6" t="n">
        <v>9</v>
      </c>
      <c r="B49" s="39" t="str">
        <f aca="false">IF(B14="","",B14)</f>
        <v>Gerente Industrial</v>
      </c>
      <c r="C49" s="39" t="str">
        <f aca="false">IF(C14="","",C14)</f>
        <v>Indirecto</v>
      </c>
      <c r="G49" s="23" t="n">
        <f aca="false">G14</f>
        <v>1</v>
      </c>
      <c r="H49" s="23" t="n">
        <f aca="false">H14</f>
        <v>1</v>
      </c>
      <c r="I49" s="23" t="n">
        <f aca="false">I14</f>
        <v>1</v>
      </c>
      <c r="J49" s="23" t="n">
        <f aca="false">J14</f>
        <v>1</v>
      </c>
      <c r="K49" s="23" t="n">
        <f aca="false">K14</f>
        <v>1</v>
      </c>
      <c r="L49" s="23" t="n">
        <f aca="false">L14</f>
        <v>1</v>
      </c>
      <c r="M49" s="23" t="n">
        <f aca="false">M14</f>
        <v>1</v>
      </c>
      <c r="N49" s="23" t="n">
        <f aca="false">N14</f>
        <v>1</v>
      </c>
      <c r="O49" s="23" t="n">
        <f aca="false">O14</f>
        <v>1</v>
      </c>
      <c r="P49" s="23" t="n">
        <f aca="false">P14</f>
        <v>1</v>
      </c>
    </row>
    <row r="50" customFormat="false" ht="15" hidden="false" customHeight="false" outlineLevel="0" collapsed="false">
      <c r="A50" s="6" t="n">
        <v>10</v>
      </c>
      <c r="B50" s="39" t="str">
        <f aca="false">IF(B15="","",B15)</f>
        <v>Coord. Prod. Corte y Deformación</v>
      </c>
      <c r="C50" s="39" t="str">
        <f aca="false">IF(C15="","",C15)</f>
        <v>Indirecto</v>
      </c>
      <c r="G50" s="23" t="n">
        <f aca="false">G15</f>
        <v>1</v>
      </c>
      <c r="H50" s="23" t="n">
        <f aca="false">H15</f>
        <v>1</v>
      </c>
      <c r="I50" s="23" t="n">
        <f aca="false">I15</f>
        <v>1</v>
      </c>
      <c r="J50" s="23" t="n">
        <f aca="false">J15</f>
        <v>1</v>
      </c>
      <c r="K50" s="23" t="n">
        <f aca="false">K15</f>
        <v>1</v>
      </c>
      <c r="L50" s="23" t="n">
        <f aca="false">L15</f>
        <v>1</v>
      </c>
      <c r="M50" s="23" t="n">
        <f aca="false">M15</f>
        <v>1</v>
      </c>
      <c r="N50" s="23" t="n">
        <f aca="false">N15</f>
        <v>1</v>
      </c>
      <c r="O50" s="23" t="n">
        <f aca="false">O15</f>
        <v>1</v>
      </c>
      <c r="P50" s="23" t="n">
        <f aca="false">P15</f>
        <v>1</v>
      </c>
    </row>
    <row r="51" customFormat="false" ht="15" hidden="false" customHeight="false" outlineLevel="0" collapsed="false">
      <c r="A51" s="6" t="n">
        <v>11</v>
      </c>
      <c r="B51" s="39" t="str">
        <f aca="false">IF(B16="","",B16)</f>
        <v>Coord. Prod. Soldadura</v>
      </c>
      <c r="C51" s="39" t="str">
        <f aca="false">IF(C16="","",C16)</f>
        <v>Indirecto</v>
      </c>
      <c r="G51" s="23" t="n">
        <f aca="false">G16</f>
        <v>1</v>
      </c>
      <c r="H51" s="23" t="n">
        <f aca="false">H16</f>
        <v>1</v>
      </c>
      <c r="I51" s="23" t="n">
        <f aca="false">I16</f>
        <v>1</v>
      </c>
      <c r="J51" s="23" t="n">
        <f aca="false">J16</f>
        <v>1</v>
      </c>
      <c r="K51" s="23" t="n">
        <f aca="false">K16</f>
        <v>1</v>
      </c>
      <c r="L51" s="23" t="n">
        <f aca="false">L16</f>
        <v>1</v>
      </c>
      <c r="M51" s="23" t="n">
        <f aca="false">M16</f>
        <v>1</v>
      </c>
      <c r="N51" s="23" t="n">
        <f aca="false">N16</f>
        <v>1</v>
      </c>
      <c r="O51" s="23" t="n">
        <f aca="false">O16</f>
        <v>1</v>
      </c>
      <c r="P51" s="23" t="n">
        <f aca="false">P16</f>
        <v>1</v>
      </c>
    </row>
    <row r="52" customFormat="false" ht="15" hidden="false" customHeight="false" outlineLevel="0" collapsed="false">
      <c r="A52" s="6" t="n">
        <v>12</v>
      </c>
      <c r="B52" s="39" t="str">
        <f aca="false">IF(B17="","",B17)</f>
        <v>Coord. Prod. Trat. Sup. y Pintura</v>
      </c>
      <c r="C52" s="39" t="str">
        <f aca="false">IF(C17="","",C17)</f>
        <v>Indirecto</v>
      </c>
      <c r="G52" s="23" t="n">
        <f aca="false">G17</f>
        <v>1</v>
      </c>
      <c r="H52" s="23" t="n">
        <f aca="false">H17</f>
        <v>1</v>
      </c>
      <c r="I52" s="23" t="n">
        <f aca="false">I17</f>
        <v>1</v>
      </c>
      <c r="J52" s="23" t="n">
        <f aca="false">J17</f>
        <v>1</v>
      </c>
      <c r="K52" s="23" t="n">
        <f aca="false">K17</f>
        <v>1</v>
      </c>
      <c r="L52" s="23" t="n">
        <f aca="false">L17</f>
        <v>1</v>
      </c>
      <c r="M52" s="23" t="n">
        <f aca="false">M17</f>
        <v>1</v>
      </c>
      <c r="N52" s="23" t="n">
        <f aca="false">N17</f>
        <v>1</v>
      </c>
      <c r="O52" s="23" t="n">
        <f aca="false">O17</f>
        <v>1</v>
      </c>
      <c r="P52" s="23" t="n">
        <f aca="false">P17</f>
        <v>1</v>
      </c>
    </row>
    <row r="53" customFormat="false" ht="15" hidden="false" customHeight="false" outlineLevel="0" collapsed="false">
      <c r="A53" s="6" t="n">
        <v>13</v>
      </c>
      <c r="B53" s="39" t="str">
        <f aca="false">IF(B18="","",B18)</f>
        <v>Coord. Prod. Montaje</v>
      </c>
      <c r="C53" s="39" t="str">
        <f aca="false">IF(C18="","",C18)</f>
        <v>Indirecto</v>
      </c>
      <c r="G53" s="23" t="n">
        <f aca="false">G18</f>
        <v>1</v>
      </c>
      <c r="H53" s="23" t="n">
        <f aca="false">H18</f>
        <v>1</v>
      </c>
      <c r="I53" s="23" t="n">
        <f aca="false">I18</f>
        <v>1</v>
      </c>
      <c r="J53" s="23" t="n">
        <f aca="false">J18</f>
        <v>1</v>
      </c>
      <c r="K53" s="23" t="n">
        <f aca="false">K18</f>
        <v>1</v>
      </c>
      <c r="L53" s="23" t="n">
        <f aca="false">L18</f>
        <v>1</v>
      </c>
      <c r="M53" s="23" t="n">
        <f aca="false">M18</f>
        <v>1</v>
      </c>
      <c r="N53" s="23" t="n">
        <f aca="false">N18</f>
        <v>1</v>
      </c>
      <c r="O53" s="23" t="n">
        <f aca="false">O18</f>
        <v>1</v>
      </c>
      <c r="P53" s="23" t="n">
        <f aca="false">P18</f>
        <v>1</v>
      </c>
    </row>
    <row r="54" customFormat="false" ht="15" hidden="false" customHeight="false" outlineLevel="0" collapsed="false">
      <c r="A54" s="6" t="n">
        <v>14</v>
      </c>
      <c r="B54" s="39" t="str">
        <f aca="false">IF(B19="","",B19)</f>
        <v>Ingeniería</v>
      </c>
      <c r="C54" s="39" t="str">
        <f aca="false">IF(C19="","",C19)</f>
        <v>Indirecto</v>
      </c>
      <c r="G54" s="23" t="n">
        <f aca="false">G19</f>
        <v>3</v>
      </c>
      <c r="H54" s="23" t="n">
        <f aca="false">H19</f>
        <v>3</v>
      </c>
      <c r="I54" s="23" t="n">
        <f aca="false">I19</f>
        <v>3</v>
      </c>
      <c r="J54" s="23" t="n">
        <f aca="false">J19</f>
        <v>3</v>
      </c>
      <c r="K54" s="23" t="n">
        <f aca="false">K19</f>
        <v>3</v>
      </c>
      <c r="L54" s="23" t="n">
        <f aca="false">L19</f>
        <v>3</v>
      </c>
      <c r="M54" s="23" t="n">
        <f aca="false">M19</f>
        <v>3</v>
      </c>
      <c r="N54" s="23" t="n">
        <f aca="false">N19</f>
        <v>3</v>
      </c>
      <c r="O54" s="23" t="n">
        <f aca="false">O19</f>
        <v>3</v>
      </c>
      <c r="P54" s="23" t="n">
        <f aca="false">P19</f>
        <v>3</v>
      </c>
    </row>
    <row r="55" customFormat="false" ht="15" hidden="false" customHeight="false" outlineLevel="0" collapsed="false">
      <c r="A55" s="6" t="n">
        <v>15</v>
      </c>
      <c r="B55" s="39" t="str">
        <f aca="false">IF(B20="","",B20)</f>
        <v>Mantenimiento</v>
      </c>
      <c r="C55" s="39" t="str">
        <f aca="false">IF(C20="","",C20)</f>
        <v>Indirecto</v>
      </c>
      <c r="G55" s="23" t="n">
        <f aca="false">G20</f>
        <v>2</v>
      </c>
      <c r="H55" s="23" t="n">
        <f aca="false">H20</f>
        <v>2</v>
      </c>
      <c r="I55" s="23" t="n">
        <f aca="false">I20</f>
        <v>2</v>
      </c>
      <c r="J55" s="23" t="n">
        <f aca="false">J20</f>
        <v>2</v>
      </c>
      <c r="K55" s="23" t="n">
        <f aca="false">K20</f>
        <v>2</v>
      </c>
      <c r="L55" s="23" t="n">
        <f aca="false">L20</f>
        <v>2</v>
      </c>
      <c r="M55" s="23" t="n">
        <f aca="false">M20</f>
        <v>2</v>
      </c>
      <c r="N55" s="23" t="n">
        <f aca="false">N20</f>
        <v>2</v>
      </c>
      <c r="O55" s="23" t="n">
        <f aca="false">O20</f>
        <v>2</v>
      </c>
      <c r="P55" s="23" t="n">
        <f aca="false">P20</f>
        <v>2</v>
      </c>
    </row>
    <row r="56" customFormat="false" ht="15" hidden="false" customHeight="false" outlineLevel="0" collapsed="false">
      <c r="A56" s="6" t="n">
        <v>16</v>
      </c>
      <c r="B56" s="39" t="str">
        <f aca="false">IF(B21="","",B21)</f>
        <v>PCP</v>
      </c>
      <c r="C56" s="39" t="str">
        <f aca="false">IF(C21="","",C21)</f>
        <v>Indirecto</v>
      </c>
      <c r="G56" s="23" t="n">
        <f aca="false">G21</f>
        <v>1</v>
      </c>
      <c r="H56" s="23" t="n">
        <f aca="false">H21</f>
        <v>1</v>
      </c>
      <c r="I56" s="23" t="n">
        <f aca="false">I21</f>
        <v>1</v>
      </c>
      <c r="J56" s="23" t="n">
        <f aca="false">J21</f>
        <v>1</v>
      </c>
      <c r="K56" s="23" t="n">
        <f aca="false">K21</f>
        <v>1</v>
      </c>
      <c r="L56" s="23" t="n">
        <f aca="false">L21</f>
        <v>1</v>
      </c>
      <c r="M56" s="23" t="n">
        <f aca="false">M21</f>
        <v>1</v>
      </c>
      <c r="N56" s="23" t="n">
        <f aca="false">N21</f>
        <v>1</v>
      </c>
      <c r="O56" s="23" t="n">
        <f aca="false">O21</f>
        <v>1</v>
      </c>
      <c r="P56" s="23" t="n">
        <f aca="false">P21</f>
        <v>1</v>
      </c>
    </row>
    <row r="57" customFormat="false" ht="15" hidden="false" customHeight="false" outlineLevel="0" collapsed="false">
      <c r="A57" s="6" t="n">
        <v>17</v>
      </c>
      <c r="B57" s="39" t="str">
        <f aca="false">IF(B22="","",B22)</f>
        <v>Analista PCP</v>
      </c>
      <c r="C57" s="39" t="str">
        <f aca="false">IF(C22="","",C22)</f>
        <v>Indirecto</v>
      </c>
      <c r="G57" s="23" t="n">
        <f aca="false">G22</f>
        <v>1</v>
      </c>
      <c r="H57" s="23" t="n">
        <f aca="false">H22</f>
        <v>1</v>
      </c>
      <c r="I57" s="23" t="n">
        <f aca="false">I22</f>
        <v>1</v>
      </c>
      <c r="J57" s="23" t="n">
        <f aca="false">J22</f>
        <v>1</v>
      </c>
      <c r="K57" s="23" t="n">
        <f aca="false">K22</f>
        <v>1</v>
      </c>
      <c r="L57" s="23" t="n">
        <f aca="false">L22</f>
        <v>1</v>
      </c>
      <c r="M57" s="23" t="n">
        <f aca="false">M22</f>
        <v>1</v>
      </c>
      <c r="N57" s="23" t="n">
        <f aca="false">N22</f>
        <v>1</v>
      </c>
      <c r="O57" s="23" t="n">
        <f aca="false">O22</f>
        <v>1</v>
      </c>
      <c r="P57" s="23" t="n">
        <f aca="false">P22</f>
        <v>1</v>
      </c>
    </row>
    <row r="58" customFormat="false" ht="15" hidden="false" customHeight="false" outlineLevel="0" collapsed="false">
      <c r="A58" s="6" t="n">
        <v>18</v>
      </c>
      <c r="B58" s="39" t="str">
        <f aca="false">IF(B23="","",B23)</f>
        <v>Depósito</v>
      </c>
      <c r="C58" s="39" t="str">
        <f aca="false">IF(C23="","",C23)</f>
        <v>Indirecto</v>
      </c>
      <c r="G58" s="23" t="n">
        <f aca="false">G23</f>
        <v>1</v>
      </c>
      <c r="H58" s="23" t="n">
        <f aca="false">H23</f>
        <v>1</v>
      </c>
      <c r="I58" s="23" t="n">
        <f aca="false">I23</f>
        <v>1</v>
      </c>
      <c r="J58" s="23" t="n">
        <f aca="false">J23</f>
        <v>1</v>
      </c>
      <c r="K58" s="23" t="n">
        <f aca="false">K23</f>
        <v>1</v>
      </c>
      <c r="L58" s="23" t="n">
        <f aca="false">L23</f>
        <v>1</v>
      </c>
      <c r="M58" s="23" t="n">
        <f aca="false">M23</f>
        <v>1</v>
      </c>
      <c r="N58" s="23" t="n">
        <f aca="false">N23</f>
        <v>1</v>
      </c>
      <c r="O58" s="23" t="n">
        <f aca="false">O23</f>
        <v>1</v>
      </c>
      <c r="P58" s="23" t="n">
        <f aca="false">P23</f>
        <v>1</v>
      </c>
    </row>
    <row r="59" customFormat="false" ht="15" hidden="false" customHeight="false" outlineLevel="0" collapsed="false">
      <c r="A59" s="6" t="n">
        <v>19</v>
      </c>
      <c r="B59" s="39" t="str">
        <f aca="false">IF(B24="","",B24)</f>
        <v>Compras</v>
      </c>
      <c r="C59" s="39" t="str">
        <f aca="false">IF(C24="","",C24)</f>
        <v>Administración</v>
      </c>
      <c r="G59" s="23" t="n">
        <f aca="false">G24</f>
        <v>1</v>
      </c>
      <c r="H59" s="23" t="n">
        <f aca="false">H24</f>
        <v>1</v>
      </c>
      <c r="I59" s="23" t="n">
        <f aca="false">I24</f>
        <v>1</v>
      </c>
      <c r="J59" s="23" t="n">
        <f aca="false">J24</f>
        <v>1</v>
      </c>
      <c r="K59" s="23" t="n">
        <f aca="false">K24</f>
        <v>1</v>
      </c>
      <c r="L59" s="23" t="n">
        <f aca="false">L24</f>
        <v>1</v>
      </c>
      <c r="M59" s="23" t="n">
        <f aca="false">M24</f>
        <v>1</v>
      </c>
      <c r="N59" s="23" t="n">
        <f aca="false">N24</f>
        <v>1</v>
      </c>
      <c r="O59" s="23" t="n">
        <f aca="false">O24</f>
        <v>1</v>
      </c>
      <c r="P59" s="23" t="n">
        <f aca="false">P24</f>
        <v>1</v>
      </c>
    </row>
    <row r="60" customFormat="false" ht="15" hidden="false" customHeight="false" outlineLevel="0" collapsed="false">
      <c r="A60" s="6" t="n">
        <v>20</v>
      </c>
      <c r="B60" s="39" t="str">
        <f aca="false">IF(B25="","",B25)</f>
        <v>Logística/Comex</v>
      </c>
      <c r="C60" s="39" t="str">
        <f aca="false">IF(C25="","",C25)</f>
        <v>Administración</v>
      </c>
      <c r="G60" s="23" t="n">
        <f aca="false">G25</f>
        <v>1</v>
      </c>
      <c r="H60" s="23" t="n">
        <f aca="false">H25</f>
        <v>1</v>
      </c>
      <c r="I60" s="23" t="n">
        <f aca="false">I25</f>
        <v>1</v>
      </c>
      <c r="J60" s="23" t="n">
        <f aca="false">J25</f>
        <v>1</v>
      </c>
      <c r="K60" s="23" t="n">
        <f aca="false">K25</f>
        <v>1</v>
      </c>
      <c r="L60" s="23" t="n">
        <f aca="false">L25</f>
        <v>1</v>
      </c>
      <c r="M60" s="23" t="n">
        <f aca="false">M25</f>
        <v>1</v>
      </c>
      <c r="N60" s="23" t="n">
        <f aca="false">N25</f>
        <v>1</v>
      </c>
      <c r="O60" s="23" t="n">
        <f aca="false">O25</f>
        <v>1</v>
      </c>
      <c r="P60" s="23" t="n">
        <f aca="false">P25</f>
        <v>1</v>
      </c>
    </row>
    <row r="61" customFormat="false" ht="15" hidden="false" customHeight="false" outlineLevel="0" collapsed="false">
      <c r="A61" s="6" t="n">
        <v>21</v>
      </c>
      <c r="B61" s="39" t="str">
        <f aca="false">IF(B26="","",B26)</f>
        <v>Coord. Control Calidad</v>
      </c>
      <c r="C61" s="39" t="str">
        <f aca="false">IF(C26="","",C26)</f>
        <v>Indirecto</v>
      </c>
      <c r="G61" s="23" t="n">
        <f aca="false">G26</f>
        <v>1</v>
      </c>
      <c r="H61" s="23" t="n">
        <f aca="false">H26</f>
        <v>1</v>
      </c>
      <c r="I61" s="23" t="n">
        <f aca="false">I26</f>
        <v>1</v>
      </c>
      <c r="J61" s="23" t="n">
        <f aca="false">J26</f>
        <v>1</v>
      </c>
      <c r="K61" s="23" t="n">
        <f aca="false">K26</f>
        <v>1</v>
      </c>
      <c r="L61" s="23" t="n">
        <f aca="false">L26</f>
        <v>1</v>
      </c>
      <c r="M61" s="23" t="n">
        <f aca="false">M26</f>
        <v>1</v>
      </c>
      <c r="N61" s="23" t="n">
        <f aca="false">N26</f>
        <v>1</v>
      </c>
      <c r="O61" s="23" t="n">
        <f aca="false">O26</f>
        <v>1</v>
      </c>
      <c r="P61" s="23" t="n">
        <f aca="false">P26</f>
        <v>1</v>
      </c>
    </row>
    <row r="62" customFormat="false" ht="15" hidden="false" customHeight="false" outlineLevel="0" collapsed="false">
      <c r="A62" s="6" t="n">
        <v>22</v>
      </c>
      <c r="B62" s="39" t="str">
        <f aca="false">IF(B27="","",B27)</f>
        <v>Asistente Control Calidad</v>
      </c>
      <c r="C62" s="39" t="str">
        <f aca="false">IF(C27="","",C27)</f>
        <v>Indirecto</v>
      </c>
      <c r="G62" s="23" t="n">
        <f aca="false">G27</f>
        <v>1</v>
      </c>
      <c r="H62" s="23" t="n">
        <f aca="false">H27</f>
        <v>1</v>
      </c>
      <c r="I62" s="23" t="n">
        <f aca="false">I27</f>
        <v>1</v>
      </c>
      <c r="J62" s="23" t="n">
        <f aca="false">J27</f>
        <v>1</v>
      </c>
      <c r="K62" s="23" t="n">
        <f aca="false">K27</f>
        <v>1</v>
      </c>
      <c r="L62" s="23" t="n">
        <f aca="false">L27</f>
        <v>1</v>
      </c>
      <c r="M62" s="23" t="n">
        <f aca="false">M27</f>
        <v>1</v>
      </c>
      <c r="N62" s="23" t="n">
        <f aca="false">N27</f>
        <v>1</v>
      </c>
      <c r="O62" s="23" t="n">
        <f aca="false">O27</f>
        <v>1</v>
      </c>
      <c r="P62" s="23" t="n">
        <f aca="false">P27</f>
        <v>1</v>
      </c>
    </row>
    <row r="63" customFormat="false" ht="15" hidden="false" customHeight="false" outlineLevel="0" collapsed="false">
      <c r="A63" s="6" t="n">
        <v>23</v>
      </c>
      <c r="B63" s="39" t="str">
        <f aca="false">IF(B28="","",B28)</f>
        <v>Coord. Procesos</v>
      </c>
      <c r="C63" s="39" t="str">
        <f aca="false">IF(C28="","",C28)</f>
        <v>Indirecto</v>
      </c>
      <c r="G63" s="23" t="n">
        <f aca="false">G28</f>
        <v>1</v>
      </c>
      <c r="H63" s="23" t="n">
        <f aca="false">H28</f>
        <v>1</v>
      </c>
      <c r="I63" s="23" t="n">
        <f aca="false">I28</f>
        <v>1</v>
      </c>
      <c r="J63" s="23" t="n">
        <f aca="false">J28</f>
        <v>1</v>
      </c>
      <c r="K63" s="23" t="n">
        <f aca="false">K28</f>
        <v>1</v>
      </c>
      <c r="L63" s="23" t="n">
        <f aca="false">L28</f>
        <v>1</v>
      </c>
      <c r="M63" s="23" t="n">
        <f aca="false">M28</f>
        <v>1</v>
      </c>
      <c r="N63" s="23" t="n">
        <f aca="false">N28</f>
        <v>1</v>
      </c>
      <c r="O63" s="23" t="n">
        <f aca="false">O28</f>
        <v>1</v>
      </c>
      <c r="P63" s="23" t="n">
        <f aca="false">P28</f>
        <v>1</v>
      </c>
    </row>
    <row r="64" customFormat="false" ht="15" hidden="false" customHeight="false" outlineLevel="0" collapsed="false">
      <c r="A64" s="6" t="n">
        <v>24</v>
      </c>
      <c r="B64" s="39" t="str">
        <f aca="false">IF(B29="","",B29)</f>
        <v>Asistente Procesos</v>
      </c>
      <c r="C64" s="39" t="str">
        <f aca="false">IF(C29="","",C29)</f>
        <v>Indirecto</v>
      </c>
      <c r="G64" s="23" t="n">
        <f aca="false">G29</f>
        <v>1</v>
      </c>
      <c r="H64" s="23" t="n">
        <f aca="false">H29</f>
        <v>1</v>
      </c>
      <c r="I64" s="23" t="n">
        <f aca="false">I29</f>
        <v>1</v>
      </c>
      <c r="J64" s="23" t="n">
        <f aca="false">J29</f>
        <v>1</v>
      </c>
      <c r="K64" s="23" t="n">
        <f aca="false">K29</f>
        <v>1</v>
      </c>
      <c r="L64" s="23" t="n">
        <f aca="false">L29</f>
        <v>1</v>
      </c>
      <c r="M64" s="23" t="n">
        <f aca="false">M29</f>
        <v>1</v>
      </c>
      <c r="N64" s="23" t="n">
        <f aca="false">N29</f>
        <v>1</v>
      </c>
      <c r="O64" s="23" t="n">
        <f aca="false">O29</f>
        <v>1</v>
      </c>
      <c r="P64" s="23" t="n">
        <f aca="false">P29</f>
        <v>1</v>
      </c>
    </row>
    <row r="65" customFormat="false" ht="15" hidden="false" customHeight="false" outlineLevel="0" collapsed="false">
      <c r="A65" s="6" t="n">
        <v>25</v>
      </c>
      <c r="B65" s="39" t="str">
        <f aca="false">IF(B30="","",B30)</f>
        <v>Administrador</v>
      </c>
      <c r="C65" s="39" t="str">
        <f aca="false">IF(C30="","",C30)</f>
        <v>Administración</v>
      </c>
      <c r="G65" s="23" t="n">
        <f aca="false">G30</f>
        <v>1</v>
      </c>
      <c r="H65" s="23" t="n">
        <f aca="false">H30</f>
        <v>1</v>
      </c>
      <c r="I65" s="23" t="n">
        <f aca="false">I30</f>
        <v>1</v>
      </c>
      <c r="J65" s="23" t="n">
        <f aca="false">J30</f>
        <v>1</v>
      </c>
      <c r="K65" s="23" t="n">
        <f aca="false">K30</f>
        <v>1</v>
      </c>
      <c r="L65" s="23" t="n">
        <f aca="false">L30</f>
        <v>1</v>
      </c>
      <c r="M65" s="23" t="n">
        <f aca="false">M30</f>
        <v>1</v>
      </c>
      <c r="N65" s="23" t="n">
        <f aca="false">N30</f>
        <v>1</v>
      </c>
      <c r="O65" s="23" t="n">
        <f aca="false">O30</f>
        <v>1</v>
      </c>
      <c r="P65" s="23" t="n">
        <f aca="false">P30</f>
        <v>1</v>
      </c>
    </row>
    <row r="66" customFormat="false" ht="15" hidden="false" customHeight="false" outlineLevel="0" collapsed="false">
      <c r="A66" s="6" t="n">
        <v>26</v>
      </c>
      <c r="B66" s="39" t="str">
        <f aca="false">IF(B31="","",B31)</f>
        <v>Asistente Administrativo</v>
      </c>
      <c r="C66" s="39" t="str">
        <f aca="false">IF(C31="","",C31)</f>
        <v>Administración</v>
      </c>
      <c r="G66" s="23" t="n">
        <f aca="false">G31</f>
        <v>1</v>
      </c>
      <c r="H66" s="23" t="n">
        <f aca="false">H31</f>
        <v>1</v>
      </c>
      <c r="I66" s="23" t="n">
        <f aca="false">I31</f>
        <v>1</v>
      </c>
      <c r="J66" s="23" t="n">
        <f aca="false">J31</f>
        <v>1</v>
      </c>
      <c r="K66" s="23" t="n">
        <f aca="false">K31</f>
        <v>1</v>
      </c>
      <c r="L66" s="23" t="n">
        <f aca="false">L31</f>
        <v>1</v>
      </c>
      <c r="M66" s="23" t="n">
        <f aca="false">M31</f>
        <v>1</v>
      </c>
      <c r="N66" s="23" t="n">
        <f aca="false">N31</f>
        <v>1</v>
      </c>
      <c r="O66" s="23" t="n">
        <f aca="false">O31</f>
        <v>1</v>
      </c>
      <c r="P66" s="23" t="n">
        <f aca="false">P31</f>
        <v>1</v>
      </c>
    </row>
    <row r="67" customFormat="false" ht="15" hidden="false" customHeight="false" outlineLevel="0" collapsed="false">
      <c r="A67" s="6" t="n">
        <v>27</v>
      </c>
      <c r="B67" s="39" t="str">
        <f aca="false">IF(B32="","",B32)</f>
        <v/>
      </c>
      <c r="C67" s="39" t="str">
        <f aca="false">IF(C32="","",C32)</f>
        <v/>
      </c>
      <c r="G67" s="23" t="n">
        <f aca="false">G32</f>
        <v>0</v>
      </c>
      <c r="H67" s="23" t="n">
        <f aca="false">H32</f>
        <v>0</v>
      </c>
      <c r="I67" s="23" t="n">
        <f aca="false">I32</f>
        <v>0</v>
      </c>
      <c r="J67" s="23" t="n">
        <f aca="false">J32</f>
        <v>0</v>
      </c>
      <c r="K67" s="23" t="n">
        <f aca="false">K32</f>
        <v>0</v>
      </c>
      <c r="L67" s="23" t="n">
        <f aca="false">L32</f>
        <v>0</v>
      </c>
      <c r="M67" s="23" t="n">
        <f aca="false">M32</f>
        <v>0</v>
      </c>
      <c r="N67" s="23" t="n">
        <f aca="false">N32</f>
        <v>0</v>
      </c>
      <c r="O67" s="23" t="n">
        <f aca="false">O32</f>
        <v>0</v>
      </c>
      <c r="P67" s="23" t="n">
        <f aca="false">P32</f>
        <v>0</v>
      </c>
    </row>
    <row r="68" customFormat="false" ht="15" hidden="false" customHeight="false" outlineLevel="0" collapsed="false">
      <c r="A68" s="6" t="n">
        <v>28</v>
      </c>
      <c r="B68" s="39" t="str">
        <f aca="false">IF(B33="","",B33)</f>
        <v/>
      </c>
      <c r="C68" s="39" t="str">
        <f aca="false">IF(C33="","",C33)</f>
        <v/>
      </c>
      <c r="G68" s="23" t="n">
        <f aca="false">G33</f>
        <v>0</v>
      </c>
      <c r="H68" s="23" t="n">
        <f aca="false">H33</f>
        <v>0</v>
      </c>
      <c r="I68" s="23" t="n">
        <f aca="false">I33</f>
        <v>0</v>
      </c>
      <c r="J68" s="23" t="n">
        <f aca="false">J33</f>
        <v>0</v>
      </c>
      <c r="K68" s="23" t="n">
        <f aca="false">K33</f>
        <v>0</v>
      </c>
      <c r="L68" s="23" t="n">
        <f aca="false">L33</f>
        <v>0</v>
      </c>
      <c r="M68" s="23" t="n">
        <f aca="false">M33</f>
        <v>0</v>
      </c>
      <c r="N68" s="23" t="n">
        <f aca="false">N33</f>
        <v>0</v>
      </c>
      <c r="O68" s="23" t="n">
        <f aca="false">O33</f>
        <v>0</v>
      </c>
      <c r="P68" s="23" t="n">
        <f aca="false">P33</f>
        <v>0</v>
      </c>
    </row>
    <row r="69" customFormat="false" ht="15" hidden="false" customHeight="false" outlineLevel="0" collapsed="false">
      <c r="A69" s="6" t="n">
        <v>29</v>
      </c>
      <c r="B69" s="39" t="str">
        <f aca="false">IF(B34="","",B34)</f>
        <v/>
      </c>
      <c r="C69" s="39" t="str">
        <f aca="false">IF(C34="","",C34)</f>
        <v/>
      </c>
      <c r="G69" s="23" t="n">
        <f aca="false">G34</f>
        <v>0</v>
      </c>
      <c r="H69" s="23" t="n">
        <f aca="false">H34</f>
        <v>0</v>
      </c>
      <c r="I69" s="23" t="n">
        <f aca="false">I34</f>
        <v>0</v>
      </c>
      <c r="J69" s="23" t="n">
        <f aca="false">J34</f>
        <v>0</v>
      </c>
      <c r="K69" s="23" t="n">
        <f aca="false">K34</f>
        <v>0</v>
      </c>
      <c r="L69" s="23" t="n">
        <f aca="false">L34</f>
        <v>0</v>
      </c>
      <c r="M69" s="23" t="n">
        <f aca="false">M34</f>
        <v>0</v>
      </c>
      <c r="N69" s="23" t="n">
        <f aca="false">N34</f>
        <v>0</v>
      </c>
      <c r="O69" s="23" t="n">
        <f aca="false">O34</f>
        <v>0</v>
      </c>
      <c r="P69" s="23" t="n">
        <f aca="false">P34</f>
        <v>0</v>
      </c>
    </row>
    <row r="70" customFormat="false" ht="15" hidden="false" customHeight="false" outlineLevel="0" collapsed="false">
      <c r="A70" s="6" t="n">
        <v>30</v>
      </c>
      <c r="B70" s="39" t="str">
        <f aca="false">IF(B35="","",B35)</f>
        <v/>
      </c>
      <c r="C70" s="39" t="str">
        <f aca="false">IF(C35="","",C35)</f>
        <v/>
      </c>
      <c r="G70" s="23" t="n">
        <f aca="false">G35</f>
        <v>0</v>
      </c>
      <c r="H70" s="23" t="n">
        <f aca="false">H35</f>
        <v>0</v>
      </c>
      <c r="I70" s="23" t="n">
        <f aca="false">I35</f>
        <v>0</v>
      </c>
      <c r="J70" s="23" t="n">
        <f aca="false">J35</f>
        <v>0</v>
      </c>
      <c r="K70" s="23" t="n">
        <f aca="false">K35</f>
        <v>0</v>
      </c>
      <c r="L70" s="23" t="n">
        <f aca="false">L35</f>
        <v>0</v>
      </c>
      <c r="M70" s="23" t="n">
        <f aca="false">M35</f>
        <v>0</v>
      </c>
      <c r="N70" s="23" t="n">
        <f aca="false">N35</f>
        <v>0</v>
      </c>
      <c r="O70" s="23" t="n">
        <f aca="false">O35</f>
        <v>0</v>
      </c>
      <c r="P70" s="23" t="n">
        <f aca="false">P35</f>
        <v>0</v>
      </c>
    </row>
    <row r="71" customFormat="false" ht="15" hidden="false" customHeight="false" outlineLevel="0" collapsed="false">
      <c r="B71" s="11" t="s">
        <v>347</v>
      </c>
      <c r="G71" s="40" t="n">
        <f aca="false">SUM(G41:G70)</f>
        <v>65</v>
      </c>
      <c r="H71" s="40" t="n">
        <f aca="false">SUM(H41:H70)</f>
        <v>65</v>
      </c>
      <c r="I71" s="40" t="n">
        <f aca="false">SUM(I41:I70)</f>
        <v>68</v>
      </c>
      <c r="J71" s="40" t="n">
        <f aca="false">SUM(J41:J70)</f>
        <v>71</v>
      </c>
      <c r="K71" s="40" t="n">
        <f aca="false">SUM(K41:K70)</f>
        <v>74</v>
      </c>
      <c r="L71" s="40" t="n">
        <f aca="false">SUM(L41:L70)</f>
        <v>74</v>
      </c>
      <c r="M71" s="40" t="n">
        <f aca="false">SUM(M41:M70)</f>
        <v>74</v>
      </c>
      <c r="N71" s="40" t="n">
        <f aca="false">SUM(N41:N70)</f>
        <v>74</v>
      </c>
      <c r="O71" s="40" t="n">
        <f aca="false">SUM(O41:O70)</f>
        <v>74</v>
      </c>
      <c r="P71" s="40" t="n">
        <f aca="false">SUM(P41:P70)</f>
        <v>74</v>
      </c>
    </row>
    <row r="73" customFormat="false" ht="15" hidden="false" customHeight="false" outlineLevel="0" collapsed="false">
      <c r="A73" s="3" t="s">
        <v>348</v>
      </c>
      <c r="B73" s="4"/>
      <c r="C73" s="4"/>
      <c r="D73" s="4"/>
      <c r="E73" s="4"/>
      <c r="F73" s="4"/>
      <c r="G73" s="4"/>
      <c r="H73" s="4"/>
      <c r="I73" s="4"/>
      <c r="J73" s="4"/>
      <c r="K73" s="4"/>
      <c r="L73" s="4"/>
      <c r="M73" s="4"/>
      <c r="N73" s="4"/>
      <c r="O73" s="4"/>
      <c r="P73" s="4"/>
      <c r="Q73" s="4"/>
    </row>
    <row r="74" customFormat="false" ht="54" hidden="false" customHeight="true" outlineLevel="0" collapsed="false">
      <c r="A74" s="5" t="s">
        <v>272</v>
      </c>
      <c r="B74" s="5" t="s">
        <v>193</v>
      </c>
      <c r="C74" s="5" t="s">
        <v>300</v>
      </c>
      <c r="D74" s="5" t="s">
        <v>301</v>
      </c>
      <c r="E74" s="5" t="s">
        <v>349</v>
      </c>
      <c r="F74" s="5" t="s">
        <v>350</v>
      </c>
      <c r="G74" s="5" t="s">
        <v>351</v>
      </c>
      <c r="H74" s="5" t="s">
        <v>352</v>
      </c>
      <c r="I74" s="5" t="s">
        <v>353</v>
      </c>
      <c r="J74" s="5" t="s">
        <v>354</v>
      </c>
      <c r="K74" s="17" t="s">
        <v>204</v>
      </c>
      <c r="L74" s="17"/>
      <c r="M74" s="17"/>
      <c r="N74" s="17"/>
      <c r="O74" s="17"/>
      <c r="P74" s="17"/>
      <c r="Q74" s="17"/>
    </row>
    <row r="75" customFormat="false" ht="15" hidden="false" customHeight="false" outlineLevel="0" collapsed="false">
      <c r="A75" s="6" t="n">
        <v>1</v>
      </c>
      <c r="B75" s="7" t="s">
        <v>355</v>
      </c>
      <c r="C75" s="7" t="s">
        <v>356</v>
      </c>
      <c r="D75" s="7" t="s">
        <v>316</v>
      </c>
      <c r="E75" s="41" t="n">
        <v>14000000</v>
      </c>
      <c r="F75" s="42" t="n">
        <f aca="false">E75</f>
        <v>14000000</v>
      </c>
      <c r="G75" s="24" t="n">
        <v>0</v>
      </c>
      <c r="H75" s="9" t="n">
        <v>1</v>
      </c>
      <c r="I75" s="24" t="n">
        <v>0</v>
      </c>
      <c r="J75" s="9" t="n">
        <v>1</v>
      </c>
      <c r="K75" s="2" t="s">
        <v>357</v>
      </c>
    </row>
    <row r="76" customFormat="false" ht="15" hidden="false" customHeight="false" outlineLevel="0" collapsed="false">
      <c r="A76" s="6" t="n">
        <v>2</v>
      </c>
      <c r="B76" s="7" t="s">
        <v>358</v>
      </c>
      <c r="C76" s="7" t="s">
        <v>356</v>
      </c>
      <c r="D76" s="7" t="s">
        <v>250</v>
      </c>
      <c r="E76" s="41" t="n">
        <v>2475.67</v>
      </c>
      <c r="F76" s="42" t="n">
        <f aca="false">E76</f>
        <v>2475.67</v>
      </c>
      <c r="G76" s="24" t="n">
        <v>0.02</v>
      </c>
      <c r="H76" s="9" t="n">
        <v>1</v>
      </c>
      <c r="I76" s="24" t="n">
        <v>0</v>
      </c>
      <c r="J76" s="9" t="n">
        <v>1</v>
      </c>
      <c r="K76" s="2" t="s">
        <v>359</v>
      </c>
    </row>
    <row r="77" customFormat="false" ht="15" hidden="false" customHeight="false" outlineLevel="0" collapsed="false">
      <c r="A77" s="6" t="n">
        <v>3</v>
      </c>
      <c r="B77" s="7" t="s">
        <v>360</v>
      </c>
      <c r="C77" s="7" t="s">
        <v>324</v>
      </c>
      <c r="D77" s="7" t="s">
        <v>250</v>
      </c>
      <c r="E77" s="41" t="n">
        <v>17006</v>
      </c>
      <c r="F77" s="42" t="n">
        <f aca="false">E77</f>
        <v>17006</v>
      </c>
      <c r="G77" s="24" t="n">
        <v>0.03</v>
      </c>
      <c r="H77" s="9" t="n">
        <v>0</v>
      </c>
      <c r="I77" s="24" t="n">
        <v>0.1</v>
      </c>
      <c r="J77" s="9" t="n">
        <v>0</v>
      </c>
      <c r="K77" s="2" t="s">
        <v>361</v>
      </c>
    </row>
    <row r="78" customFormat="false" ht="15" hidden="false" customHeight="false" outlineLevel="0" collapsed="false">
      <c r="A78" s="6" t="n">
        <v>4</v>
      </c>
      <c r="B78" s="7" t="s">
        <v>362</v>
      </c>
      <c r="C78" s="7" t="s">
        <v>324</v>
      </c>
      <c r="D78" s="7" t="s">
        <v>250</v>
      </c>
      <c r="E78" s="41" t="n">
        <v>773</v>
      </c>
      <c r="F78" s="42" t="n">
        <f aca="false">E78</f>
        <v>773</v>
      </c>
      <c r="G78" s="24" t="n">
        <v>0.03</v>
      </c>
      <c r="H78" s="9" t="n">
        <v>0</v>
      </c>
      <c r="I78" s="24" t="n">
        <v>0</v>
      </c>
      <c r="J78" s="9" t="n">
        <v>0</v>
      </c>
      <c r="K78" s="2" t="s">
        <v>363</v>
      </c>
    </row>
    <row r="79" customFormat="false" ht="15" hidden="false" customHeight="false" outlineLevel="0" collapsed="false">
      <c r="A79" s="6" t="n">
        <v>5</v>
      </c>
      <c r="B79" s="7" t="s">
        <v>364</v>
      </c>
      <c r="C79" s="7" t="s">
        <v>324</v>
      </c>
      <c r="D79" s="7" t="s">
        <v>316</v>
      </c>
      <c r="E79" s="41" t="n">
        <v>750000</v>
      </c>
      <c r="F79" s="42" t="n">
        <f aca="false">E79</f>
        <v>750000</v>
      </c>
      <c r="G79" s="24" t="n">
        <v>0</v>
      </c>
      <c r="H79" s="9" t="n">
        <v>0</v>
      </c>
      <c r="I79" s="24" t="n">
        <v>0</v>
      </c>
      <c r="J79" s="9" t="n">
        <v>1</v>
      </c>
      <c r="K79" s="2" t="s">
        <v>365</v>
      </c>
    </row>
    <row r="80" customFormat="false" ht="15" hidden="false" customHeight="false" outlineLevel="0" collapsed="false">
      <c r="A80" s="6" t="n">
        <v>6</v>
      </c>
      <c r="B80" s="7" t="s">
        <v>366</v>
      </c>
      <c r="C80" s="7" t="s">
        <v>324</v>
      </c>
      <c r="D80" s="7" t="s">
        <v>316</v>
      </c>
      <c r="E80" s="41" t="n">
        <v>3000000</v>
      </c>
      <c r="F80" s="42" t="n">
        <f aca="false">E80</f>
        <v>3000000</v>
      </c>
      <c r="G80" s="24" t="n">
        <v>0</v>
      </c>
      <c r="H80" s="9" t="n">
        <v>0</v>
      </c>
      <c r="I80" s="24" t="n">
        <v>0</v>
      </c>
      <c r="J80" s="9" t="n">
        <v>1</v>
      </c>
      <c r="K80" s="2" t="s">
        <v>367</v>
      </c>
    </row>
    <row r="81" customFormat="false" ht="15" hidden="false" customHeight="false" outlineLevel="0" collapsed="false">
      <c r="A81" s="6" t="n">
        <v>7</v>
      </c>
      <c r="B81" s="7" t="s">
        <v>368</v>
      </c>
      <c r="C81" s="7" t="s">
        <v>324</v>
      </c>
      <c r="D81" s="7" t="s">
        <v>316</v>
      </c>
      <c r="E81" s="41" t="n">
        <v>5000000</v>
      </c>
      <c r="F81" s="42" t="n">
        <f aca="false">E81</f>
        <v>5000000</v>
      </c>
      <c r="G81" s="24" t="n">
        <v>0</v>
      </c>
      <c r="H81" s="9" t="n">
        <v>0</v>
      </c>
      <c r="I81" s="24" t="n">
        <v>0</v>
      </c>
      <c r="J81" s="9" t="n">
        <v>1</v>
      </c>
      <c r="K81" s="2" t="s">
        <v>369</v>
      </c>
    </row>
    <row r="82" customFormat="false" ht="15" hidden="false" customHeight="false" outlineLevel="0" collapsed="false">
      <c r="A82" s="6" t="n">
        <v>8</v>
      </c>
      <c r="B82" s="7" t="s">
        <v>370</v>
      </c>
      <c r="C82" s="7" t="s">
        <v>324</v>
      </c>
      <c r="D82" s="7" t="s">
        <v>250</v>
      </c>
      <c r="E82" s="41" t="n">
        <v>1838.33</v>
      </c>
      <c r="F82" s="42" t="n">
        <f aca="false">E82</f>
        <v>1838.33</v>
      </c>
      <c r="G82" s="24" t="n">
        <v>0</v>
      </c>
      <c r="H82" s="9" t="n">
        <v>0</v>
      </c>
      <c r="I82" s="24" t="n">
        <v>0</v>
      </c>
      <c r="J82" s="9" t="n">
        <v>1</v>
      </c>
      <c r="K82" s="2" t="s">
        <v>371</v>
      </c>
    </row>
    <row r="83" customFormat="false" ht="15" hidden="false" customHeight="false" outlineLevel="0" collapsed="false">
      <c r="A83" s="6" t="n">
        <v>9</v>
      </c>
      <c r="B83" s="7" t="s">
        <v>372</v>
      </c>
      <c r="C83" s="7" t="s">
        <v>324</v>
      </c>
      <c r="D83" s="7" t="s">
        <v>316</v>
      </c>
      <c r="E83" s="41" t="n">
        <v>15166667</v>
      </c>
      <c r="F83" s="42" t="n">
        <f aca="false">E83</f>
        <v>15166667</v>
      </c>
      <c r="G83" s="24" t="n">
        <v>0</v>
      </c>
      <c r="H83" s="9" t="n">
        <v>0</v>
      </c>
      <c r="I83" s="24" t="n">
        <v>0</v>
      </c>
      <c r="J83" s="9" t="n">
        <v>1</v>
      </c>
      <c r="K83" s="2" t="s">
        <v>373</v>
      </c>
    </row>
    <row r="84" customFormat="false" ht="15" hidden="false" customHeight="false" outlineLevel="0" collapsed="false">
      <c r="A84" s="6" t="n">
        <v>10</v>
      </c>
      <c r="B84" s="7"/>
      <c r="C84" s="7"/>
      <c r="D84" s="7"/>
      <c r="E84" s="41"/>
      <c r="F84" s="42" t="n">
        <f aca="false">E84</f>
        <v>0</v>
      </c>
      <c r="G84" s="24"/>
      <c r="H84" s="9"/>
      <c r="I84" s="24"/>
      <c r="J84" s="9"/>
      <c r="K84" s="2"/>
    </row>
    <row r="85" customFormat="false" ht="15" hidden="false" customHeight="false" outlineLevel="0" collapsed="false">
      <c r="A85" s="6" t="n">
        <v>11</v>
      </c>
      <c r="B85" s="7"/>
      <c r="C85" s="7"/>
      <c r="D85" s="7"/>
      <c r="E85" s="41"/>
      <c r="F85" s="42" t="n">
        <f aca="false">E85</f>
        <v>0</v>
      </c>
      <c r="G85" s="24"/>
      <c r="H85" s="9"/>
      <c r="I85" s="24"/>
      <c r="J85" s="9"/>
      <c r="K85" s="2"/>
    </row>
    <row r="86" customFormat="false" ht="15" hidden="false" customHeight="false" outlineLevel="0" collapsed="false">
      <c r="A86" s="6" t="n">
        <v>12</v>
      </c>
      <c r="B86" s="7"/>
      <c r="C86" s="7"/>
      <c r="D86" s="7"/>
      <c r="E86" s="41"/>
      <c r="F86" s="42" t="n">
        <f aca="false">E86</f>
        <v>0</v>
      </c>
      <c r="G86" s="24"/>
      <c r="H86" s="9"/>
      <c r="I86" s="24"/>
      <c r="J86" s="9"/>
      <c r="K86" s="2"/>
    </row>
    <row r="87" customFormat="false" ht="15" hidden="false" customHeight="false" outlineLevel="0" collapsed="false">
      <c r="A87" s="6" t="n">
        <v>13</v>
      </c>
      <c r="B87" s="7"/>
      <c r="C87" s="7"/>
      <c r="D87" s="7"/>
      <c r="E87" s="41"/>
      <c r="F87" s="42" t="n">
        <f aca="false">E87</f>
        <v>0</v>
      </c>
      <c r="G87" s="24"/>
      <c r="H87" s="9"/>
      <c r="I87" s="24"/>
      <c r="J87" s="9"/>
      <c r="K87" s="2"/>
    </row>
    <row r="88" customFormat="false" ht="15" hidden="false" customHeight="false" outlineLevel="0" collapsed="false">
      <c r="A88" s="6" t="n">
        <v>14</v>
      </c>
      <c r="B88" s="7"/>
      <c r="C88" s="7"/>
      <c r="D88" s="7"/>
      <c r="E88" s="41"/>
      <c r="F88" s="42" t="n">
        <f aca="false">E88</f>
        <v>0</v>
      </c>
      <c r="G88" s="24"/>
      <c r="H88" s="9"/>
      <c r="I88" s="24"/>
      <c r="J88" s="9"/>
      <c r="K88" s="2"/>
    </row>
    <row r="89" customFormat="false" ht="15" hidden="false" customHeight="false" outlineLevel="0" collapsed="false">
      <c r="A89" s="6" t="n">
        <v>15</v>
      </c>
      <c r="B89" s="7"/>
      <c r="C89" s="7"/>
      <c r="D89" s="7"/>
      <c r="E89" s="41"/>
      <c r="F89" s="42" t="n">
        <f aca="false">E89</f>
        <v>0</v>
      </c>
      <c r="G89" s="24"/>
      <c r="H89" s="9"/>
      <c r="I89" s="24"/>
      <c r="J89" s="9"/>
      <c r="K89" s="2"/>
    </row>
    <row r="90" customFormat="false" ht="15" hidden="false" customHeight="false" outlineLevel="0" collapsed="false">
      <c r="A90" s="6" t="n">
        <v>16</v>
      </c>
      <c r="B90" s="7"/>
      <c r="C90" s="7"/>
      <c r="D90" s="7"/>
      <c r="E90" s="41"/>
      <c r="F90" s="42" t="n">
        <f aca="false">E90</f>
        <v>0</v>
      </c>
      <c r="G90" s="24"/>
      <c r="H90" s="9"/>
      <c r="I90" s="24"/>
      <c r="J90" s="9"/>
      <c r="K90" s="2"/>
    </row>
    <row r="91" customFormat="false" ht="15" hidden="false" customHeight="false" outlineLevel="0" collapsed="false">
      <c r="A91" s="6" t="n">
        <v>17</v>
      </c>
      <c r="B91" s="7"/>
      <c r="C91" s="7"/>
      <c r="D91" s="7"/>
      <c r="E91" s="41"/>
      <c r="F91" s="42" t="n">
        <f aca="false">E91</f>
        <v>0</v>
      </c>
      <c r="G91" s="24"/>
      <c r="H91" s="9"/>
      <c r="I91" s="24"/>
      <c r="J91" s="9"/>
      <c r="K91" s="2"/>
    </row>
    <row r="92" customFormat="false" ht="15" hidden="false" customHeight="false" outlineLevel="0" collapsed="false">
      <c r="A92" s="6" t="n">
        <v>18</v>
      </c>
      <c r="B92" s="7"/>
      <c r="C92" s="7"/>
      <c r="D92" s="7"/>
      <c r="E92" s="41"/>
      <c r="F92" s="42" t="n">
        <f aca="false">E92</f>
        <v>0</v>
      </c>
      <c r="G92" s="24"/>
      <c r="H92" s="9"/>
      <c r="I92" s="24"/>
      <c r="J92" s="9"/>
      <c r="K92" s="2"/>
    </row>
    <row r="93" customFormat="false" ht="15" hidden="false" customHeight="false" outlineLevel="0" collapsed="false">
      <c r="A93" s="6" t="n">
        <v>19</v>
      </c>
      <c r="B93" s="7"/>
      <c r="C93" s="7"/>
      <c r="D93" s="7"/>
      <c r="E93" s="41"/>
      <c r="F93" s="42" t="n">
        <f aca="false">E93</f>
        <v>0</v>
      </c>
      <c r="G93" s="24"/>
      <c r="H93" s="9"/>
      <c r="I93" s="24"/>
      <c r="J93" s="9"/>
      <c r="K93" s="2"/>
    </row>
    <row r="94" customFormat="false" ht="15" hidden="false" customHeight="false" outlineLevel="0" collapsed="false">
      <c r="A94" s="6" t="n">
        <v>20</v>
      </c>
      <c r="B94" s="7"/>
      <c r="C94" s="7"/>
      <c r="D94" s="7"/>
      <c r="E94" s="41"/>
      <c r="F94" s="42" t="n">
        <f aca="false">E94</f>
        <v>0</v>
      </c>
      <c r="G94" s="24"/>
      <c r="H94" s="9"/>
      <c r="I94" s="24"/>
      <c r="J94" s="9"/>
      <c r="K94" s="2"/>
    </row>
    <row r="95" customFormat="false" ht="15" hidden="false" customHeight="false" outlineLevel="0" collapsed="false">
      <c r="A95" s="6" t="n">
        <v>21</v>
      </c>
      <c r="B95" s="7"/>
      <c r="C95" s="7"/>
      <c r="D95" s="7"/>
      <c r="E95" s="41"/>
      <c r="F95" s="42" t="n">
        <f aca="false">E95</f>
        <v>0</v>
      </c>
      <c r="G95" s="24"/>
      <c r="H95" s="9"/>
      <c r="I95" s="24"/>
      <c r="J95" s="9"/>
      <c r="K95" s="2"/>
    </row>
    <row r="96" customFormat="false" ht="15" hidden="false" customHeight="false" outlineLevel="0" collapsed="false">
      <c r="A96" s="6" t="n">
        <v>22</v>
      </c>
      <c r="B96" s="7"/>
      <c r="C96" s="7"/>
      <c r="D96" s="7"/>
      <c r="E96" s="41"/>
      <c r="F96" s="42" t="n">
        <f aca="false">E96</f>
        <v>0</v>
      </c>
      <c r="G96" s="24"/>
      <c r="H96" s="9"/>
      <c r="I96" s="24"/>
      <c r="J96" s="9"/>
      <c r="K96" s="2"/>
    </row>
    <row r="97" customFormat="false" ht="15" hidden="false" customHeight="false" outlineLevel="0" collapsed="false">
      <c r="A97" s="6" t="n">
        <v>23</v>
      </c>
      <c r="B97" s="7"/>
      <c r="C97" s="7"/>
      <c r="D97" s="7"/>
      <c r="E97" s="41"/>
      <c r="F97" s="42" t="n">
        <f aca="false">E97</f>
        <v>0</v>
      </c>
      <c r="G97" s="24"/>
      <c r="H97" s="9"/>
      <c r="I97" s="24"/>
      <c r="J97" s="9"/>
      <c r="K97" s="2"/>
    </row>
    <row r="98" customFormat="false" ht="15" hidden="false" customHeight="false" outlineLevel="0" collapsed="false">
      <c r="A98" s="6" t="n">
        <v>24</v>
      </c>
      <c r="B98" s="7"/>
      <c r="C98" s="7"/>
      <c r="D98" s="7"/>
      <c r="E98" s="41"/>
      <c r="F98" s="42" t="n">
        <f aca="false">E98</f>
        <v>0</v>
      </c>
      <c r="G98" s="24"/>
      <c r="H98" s="9"/>
      <c r="I98" s="24"/>
      <c r="J98" s="9"/>
      <c r="K98" s="2"/>
    </row>
    <row r="99" customFormat="false" ht="15" hidden="false" customHeight="false" outlineLevel="0" collapsed="false">
      <c r="A99" s="6" t="n">
        <v>25</v>
      </c>
      <c r="B99" s="7"/>
      <c r="C99" s="7"/>
      <c r="D99" s="7"/>
      <c r="E99" s="41"/>
      <c r="F99" s="42" t="n">
        <f aca="false">E99</f>
        <v>0</v>
      </c>
      <c r="G99" s="24"/>
      <c r="H99" s="9"/>
      <c r="I99" s="24"/>
      <c r="J99" s="9"/>
      <c r="K99" s="2"/>
    </row>
    <row r="100" customFormat="false" ht="15" hidden="false" customHeight="false" outlineLevel="0" collapsed="false">
      <c r="B100" s="2" t="s">
        <v>374</v>
      </c>
    </row>
  </sheetData>
  <mergeCells count="1">
    <mergeCell ref="K74:Q74"/>
  </mergeCells>
  <conditionalFormatting sqref="F6:F35">
    <cfRule type="expression" priority="2" aboveAverage="0" equalAverage="0" bottom="0" percent="0" rank="0" text="" dxfId="0">
      <formula>F6&lt;&gt;E6</formula>
    </cfRule>
  </conditionalFormatting>
  <conditionalFormatting sqref="G41:P70">
    <cfRule type="expression" priority="3" aboveAverage="0" equalAverage="0" bottom="0" percent="0" rank="0" text="" dxfId="0">
      <formula>G41&lt;&gt;G6</formula>
    </cfRule>
  </conditionalFormatting>
  <conditionalFormatting sqref="F75:F99">
    <cfRule type="expression" priority="4" aboveAverage="0" equalAverage="0" bottom="0" percent="0" rank="0" text="" dxfId="0">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375</v>
      </c>
    </row>
    <row r="2" customFormat="false" ht="15" hidden="false" customHeight="false" outlineLevel="0" collapsed="false">
      <c r="A2" s="2" t="s">
        <v>376</v>
      </c>
    </row>
    <row r="4" customFormat="false" ht="15" hidden="false" customHeight="false" outlineLevel="0" collapsed="false">
      <c r="A4" s="3" t="s">
        <v>377</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272</v>
      </c>
      <c r="B5" s="5" t="s">
        <v>378</v>
      </c>
      <c r="C5" s="5" t="s">
        <v>300</v>
      </c>
      <c r="D5" s="5" t="s">
        <v>36</v>
      </c>
      <c r="E5" s="5" t="s">
        <v>379</v>
      </c>
      <c r="F5" s="5" t="s">
        <v>380</v>
      </c>
      <c r="G5" s="5" t="s">
        <v>381</v>
      </c>
      <c r="H5" s="5" t="s">
        <v>382</v>
      </c>
      <c r="I5" s="5" t="s">
        <v>383</v>
      </c>
      <c r="J5" s="5" t="s">
        <v>384</v>
      </c>
      <c r="K5" s="5" t="s">
        <v>385</v>
      </c>
      <c r="L5" s="5" t="s">
        <v>386</v>
      </c>
      <c r="M5" s="5" t="s">
        <v>387</v>
      </c>
      <c r="N5" s="5" t="s">
        <v>388</v>
      </c>
      <c r="O5" s="5" t="s">
        <v>389</v>
      </c>
      <c r="P5" s="5" t="s">
        <v>390</v>
      </c>
      <c r="Q5" s="5" t="s">
        <v>391</v>
      </c>
      <c r="R5" s="5" t="s">
        <v>392</v>
      </c>
      <c r="S5" s="5" t="s">
        <v>393</v>
      </c>
      <c r="T5" s="5" t="s">
        <v>394</v>
      </c>
      <c r="U5" s="5" t="s">
        <v>395</v>
      </c>
    </row>
    <row r="6" customFormat="false" ht="15" hidden="false" customHeight="false" outlineLevel="0" collapsed="false">
      <c r="A6" s="6" t="n">
        <v>1</v>
      </c>
      <c r="B6" s="7" t="s">
        <v>396</v>
      </c>
      <c r="C6" s="7" t="s">
        <v>397</v>
      </c>
      <c r="D6" s="22" t="n">
        <v>87000</v>
      </c>
      <c r="E6" s="9" t="n">
        <v>1</v>
      </c>
      <c r="F6" s="9" t="n">
        <v>10</v>
      </c>
      <c r="G6" s="22"/>
      <c r="H6" s="22"/>
      <c r="I6" s="22"/>
      <c r="J6" s="22"/>
      <c r="K6" s="9"/>
      <c r="L6" s="9"/>
      <c r="M6" s="34" t="n">
        <f aca="false">IF(J6&lt;&gt;"",N(J6),MAX(0,N(D6)-N(G6)-N(I6)))</f>
        <v>87000</v>
      </c>
      <c r="N6" s="10" t="n">
        <f aca="false">N(G6)+N(I6)+M6</f>
        <v>87000</v>
      </c>
      <c r="O6" s="34" t="n">
        <f aca="false">N6-N(D6)</f>
        <v>0</v>
      </c>
      <c r="P6" s="35" t="n">
        <f aca="false">IF(N6&gt;0,N(H6)/N6,"")</f>
        <v>0</v>
      </c>
      <c r="Q6" s="19" t="n">
        <f aca="false">IF(K6&lt;&gt;"",K6,MAX(N(E6),Corte+1))</f>
        <v>1</v>
      </c>
      <c r="R6" s="34" t="n">
        <f aca="false">N(G6)-N(H6)+N(I6)</f>
        <v>0</v>
      </c>
      <c r="S6" s="19" t="n">
        <f aca="false">MAX(N(E6),P_Inicio)</f>
        <v>1</v>
      </c>
      <c r="T6" s="19" t="n">
        <f aca="false">IF(L6&lt;&gt;"",L6,MAX(N(E6),V_Inicio))</f>
        <v>1</v>
      </c>
      <c r="U6" s="34" t="n">
        <f aca="false">N(G6)+N(I6)+M6*(1+V_dCapex)</f>
        <v>87000</v>
      </c>
    </row>
    <row r="7" customFormat="false" ht="15" hidden="false" customHeight="false" outlineLevel="0" collapsed="false">
      <c r="A7" s="6" t="n">
        <v>2</v>
      </c>
      <c r="B7" s="7" t="s">
        <v>398</v>
      </c>
      <c r="C7" s="7" t="s">
        <v>399</v>
      </c>
      <c r="D7" s="22" t="n">
        <v>183073.6</v>
      </c>
      <c r="E7" s="9" t="n">
        <v>1</v>
      </c>
      <c r="F7" s="9" t="n">
        <v>10</v>
      </c>
      <c r="G7" s="22"/>
      <c r="H7" s="22"/>
      <c r="I7" s="22"/>
      <c r="J7" s="22"/>
      <c r="K7" s="9"/>
      <c r="L7" s="9"/>
      <c r="M7" s="34" t="n">
        <f aca="false">IF(J7&lt;&gt;"",N(J7),MAX(0,N(D7)-N(G7)-N(I7)))</f>
        <v>183073.6</v>
      </c>
      <c r="N7" s="10" t="n">
        <f aca="false">N(G7)+N(I7)+M7</f>
        <v>183073.6</v>
      </c>
      <c r="O7" s="34" t="n">
        <f aca="false">N7-N(D7)</f>
        <v>0</v>
      </c>
      <c r="P7" s="35" t="n">
        <f aca="false">IF(N7&gt;0,N(H7)/N7,"")</f>
        <v>0</v>
      </c>
      <c r="Q7" s="19" t="n">
        <f aca="false">IF(K7&lt;&gt;"",K7,MAX(N(E7),Corte+1))</f>
        <v>1</v>
      </c>
      <c r="R7" s="34" t="n">
        <f aca="false">N(G7)-N(H7)+N(I7)</f>
        <v>0</v>
      </c>
      <c r="S7" s="19" t="n">
        <f aca="false">MAX(N(E7),P_Inicio)</f>
        <v>1</v>
      </c>
      <c r="T7" s="19" t="n">
        <f aca="false">IF(L7&lt;&gt;"",L7,MAX(N(E7),V_Inicio))</f>
        <v>1</v>
      </c>
      <c r="U7" s="34" t="n">
        <f aca="false">N(G7)+N(I7)+M7*(1+V_dCapex)</f>
        <v>183073.6</v>
      </c>
    </row>
    <row r="8" customFormat="false" ht="15" hidden="false" customHeight="false" outlineLevel="0" collapsed="false">
      <c r="A8" s="6" t="n">
        <v>3</v>
      </c>
      <c r="B8" s="7" t="s">
        <v>400</v>
      </c>
      <c r="C8" s="7" t="s">
        <v>399</v>
      </c>
      <c r="D8" s="22" t="n">
        <v>84295.23</v>
      </c>
      <c r="E8" s="9" t="n">
        <v>1</v>
      </c>
      <c r="F8" s="9" t="n">
        <v>10</v>
      </c>
      <c r="G8" s="22"/>
      <c r="H8" s="22"/>
      <c r="I8" s="22"/>
      <c r="J8" s="22"/>
      <c r="K8" s="9"/>
      <c r="L8" s="9"/>
      <c r="M8" s="34" t="n">
        <f aca="false">IF(J8&lt;&gt;"",N(J8),MAX(0,N(D8)-N(G8)-N(I8)))</f>
        <v>84295.23</v>
      </c>
      <c r="N8" s="10" t="n">
        <f aca="false">N(G8)+N(I8)+M8</f>
        <v>84295.23</v>
      </c>
      <c r="O8" s="34" t="n">
        <f aca="false">N8-N(D8)</f>
        <v>0</v>
      </c>
      <c r="P8" s="35" t="n">
        <f aca="false">IF(N8&gt;0,N(H8)/N8,"")</f>
        <v>0</v>
      </c>
      <c r="Q8" s="19" t="n">
        <f aca="false">IF(K8&lt;&gt;"",K8,MAX(N(E8),Corte+1))</f>
        <v>1</v>
      </c>
      <c r="R8" s="34" t="n">
        <f aca="false">N(G8)-N(H8)+N(I8)</f>
        <v>0</v>
      </c>
      <c r="S8" s="19" t="n">
        <f aca="false">MAX(N(E8),P_Inicio)</f>
        <v>1</v>
      </c>
      <c r="T8" s="19" t="n">
        <f aca="false">IF(L8&lt;&gt;"",L8,MAX(N(E8),V_Inicio))</f>
        <v>1</v>
      </c>
      <c r="U8" s="34" t="n">
        <f aca="false">N(G8)+N(I8)+M8*(1+V_dCapex)</f>
        <v>84295.23</v>
      </c>
    </row>
    <row r="9" customFormat="false" ht="15" hidden="false" customHeight="false" outlineLevel="0" collapsed="false">
      <c r="A9" s="6" t="n">
        <v>4</v>
      </c>
      <c r="B9" s="7" t="s">
        <v>401</v>
      </c>
      <c r="C9" s="7" t="s">
        <v>399</v>
      </c>
      <c r="D9" s="22" t="n">
        <v>10197</v>
      </c>
      <c r="E9" s="9" t="n">
        <v>1</v>
      </c>
      <c r="F9" s="9" t="n">
        <v>10</v>
      </c>
      <c r="G9" s="22"/>
      <c r="H9" s="22"/>
      <c r="I9" s="22"/>
      <c r="J9" s="22"/>
      <c r="K9" s="9"/>
      <c r="L9" s="9"/>
      <c r="M9" s="34" t="n">
        <f aca="false">IF(J9&lt;&gt;"",N(J9),MAX(0,N(D9)-N(G9)-N(I9)))</f>
        <v>10197</v>
      </c>
      <c r="N9" s="10" t="n">
        <f aca="false">N(G9)+N(I9)+M9</f>
        <v>10197</v>
      </c>
      <c r="O9" s="34" t="n">
        <f aca="false">N9-N(D9)</f>
        <v>0</v>
      </c>
      <c r="P9" s="35" t="n">
        <f aca="false">IF(N9&gt;0,N(H9)/N9,"")</f>
        <v>0</v>
      </c>
      <c r="Q9" s="19" t="n">
        <f aca="false">IF(K9&lt;&gt;"",K9,MAX(N(E9),Corte+1))</f>
        <v>1</v>
      </c>
      <c r="R9" s="34" t="n">
        <f aca="false">N(G9)-N(H9)+N(I9)</f>
        <v>0</v>
      </c>
      <c r="S9" s="19" t="n">
        <f aca="false">MAX(N(E9),P_Inicio)</f>
        <v>1</v>
      </c>
      <c r="T9" s="19" t="n">
        <f aca="false">IF(L9&lt;&gt;"",L9,MAX(N(E9),V_Inicio))</f>
        <v>1</v>
      </c>
      <c r="U9" s="34" t="n">
        <f aca="false">N(G9)+N(I9)+M9*(1+V_dCapex)</f>
        <v>10197</v>
      </c>
    </row>
    <row r="10" customFormat="false" ht="15" hidden="false" customHeight="false" outlineLevel="0" collapsed="false">
      <c r="A10" s="6" t="n">
        <v>5</v>
      </c>
      <c r="B10" s="7" t="s">
        <v>402</v>
      </c>
      <c r="C10" s="7" t="s">
        <v>399</v>
      </c>
      <c r="D10" s="22" t="n">
        <v>151967.08</v>
      </c>
      <c r="E10" s="9" t="n">
        <v>1</v>
      </c>
      <c r="F10" s="9" t="n">
        <v>10</v>
      </c>
      <c r="G10" s="22"/>
      <c r="H10" s="22"/>
      <c r="I10" s="22"/>
      <c r="J10" s="22"/>
      <c r="K10" s="9"/>
      <c r="L10" s="9"/>
      <c r="M10" s="34" t="n">
        <f aca="false">IF(J10&lt;&gt;"",N(J10),MAX(0,N(D10)-N(G10)-N(I10)))</f>
        <v>151967.08</v>
      </c>
      <c r="N10" s="10" t="n">
        <f aca="false">N(G10)+N(I10)+M10</f>
        <v>151967.08</v>
      </c>
      <c r="O10" s="34" t="n">
        <f aca="false">N10-N(D10)</f>
        <v>0</v>
      </c>
      <c r="P10" s="35" t="n">
        <f aca="false">IF(N10&gt;0,N(H10)/N10,"")</f>
        <v>0</v>
      </c>
      <c r="Q10" s="19" t="n">
        <f aca="false">IF(K10&lt;&gt;"",K10,MAX(N(E10),Corte+1))</f>
        <v>1</v>
      </c>
      <c r="R10" s="34" t="n">
        <f aca="false">N(G10)-N(H10)+N(I10)</f>
        <v>0</v>
      </c>
      <c r="S10" s="19" t="n">
        <f aca="false">MAX(N(E10),P_Inicio)</f>
        <v>1</v>
      </c>
      <c r="T10" s="19" t="n">
        <f aca="false">IF(L10&lt;&gt;"",L10,MAX(N(E10),V_Inicio))</f>
        <v>1</v>
      </c>
      <c r="U10" s="34" t="n">
        <f aca="false">N(G10)+N(I10)+M10*(1+V_dCapex)</f>
        <v>151967.08</v>
      </c>
    </row>
    <row r="11" customFormat="false" ht="15" hidden="false" customHeight="false" outlineLevel="0" collapsed="false">
      <c r="A11" s="6" t="n">
        <v>6</v>
      </c>
      <c r="B11" s="7" t="s">
        <v>403</v>
      </c>
      <c r="C11" s="7" t="s">
        <v>399</v>
      </c>
      <c r="D11" s="22" t="n">
        <v>3399</v>
      </c>
      <c r="E11" s="9" t="n">
        <v>1</v>
      </c>
      <c r="F11" s="9" t="n">
        <v>10</v>
      </c>
      <c r="G11" s="22"/>
      <c r="H11" s="22"/>
      <c r="I11" s="22"/>
      <c r="J11" s="22"/>
      <c r="K11" s="9"/>
      <c r="L11" s="9"/>
      <c r="M11" s="34" t="n">
        <f aca="false">IF(J11&lt;&gt;"",N(J11),MAX(0,N(D11)-N(G11)-N(I11)))</f>
        <v>3399</v>
      </c>
      <c r="N11" s="10" t="n">
        <f aca="false">N(G11)+N(I11)+M11</f>
        <v>3399</v>
      </c>
      <c r="O11" s="34" t="n">
        <f aca="false">N11-N(D11)</f>
        <v>0</v>
      </c>
      <c r="P11" s="35" t="n">
        <f aca="false">IF(N11&gt;0,N(H11)/N11,"")</f>
        <v>0</v>
      </c>
      <c r="Q11" s="19" t="n">
        <f aca="false">IF(K11&lt;&gt;"",K11,MAX(N(E11),Corte+1))</f>
        <v>1</v>
      </c>
      <c r="R11" s="34" t="n">
        <f aca="false">N(G11)-N(H11)+N(I11)</f>
        <v>0</v>
      </c>
      <c r="S11" s="19" t="n">
        <f aca="false">MAX(N(E11),P_Inicio)</f>
        <v>1</v>
      </c>
      <c r="T11" s="19" t="n">
        <f aca="false">IF(L11&lt;&gt;"",L11,MAX(N(E11),V_Inicio))</f>
        <v>1</v>
      </c>
      <c r="U11" s="34" t="n">
        <f aca="false">N(G11)+N(I11)+M11*(1+V_dCapex)</f>
        <v>3399</v>
      </c>
    </row>
    <row r="12" customFormat="false" ht="15" hidden="false" customHeight="false" outlineLevel="0" collapsed="false">
      <c r="A12" s="6" t="n">
        <v>7</v>
      </c>
      <c r="B12" s="7" t="s">
        <v>404</v>
      </c>
      <c r="C12" s="7" t="s">
        <v>399</v>
      </c>
      <c r="D12" s="22" t="n">
        <v>589.16</v>
      </c>
      <c r="E12" s="9" t="n">
        <v>1</v>
      </c>
      <c r="F12" s="9" t="n">
        <v>10</v>
      </c>
      <c r="G12" s="22"/>
      <c r="H12" s="22"/>
      <c r="I12" s="22"/>
      <c r="J12" s="22"/>
      <c r="K12" s="9"/>
      <c r="L12" s="9"/>
      <c r="M12" s="34" t="n">
        <f aca="false">IF(J12&lt;&gt;"",N(J12),MAX(0,N(D12)-N(G12)-N(I12)))</f>
        <v>589.16</v>
      </c>
      <c r="N12" s="10" t="n">
        <f aca="false">N(G12)+N(I12)+M12</f>
        <v>589.16</v>
      </c>
      <c r="O12" s="34" t="n">
        <f aca="false">N12-N(D12)</f>
        <v>0</v>
      </c>
      <c r="P12" s="35" t="n">
        <f aca="false">IF(N12&gt;0,N(H12)/N12,"")</f>
        <v>0</v>
      </c>
      <c r="Q12" s="19" t="n">
        <f aca="false">IF(K12&lt;&gt;"",K12,MAX(N(E12),Corte+1))</f>
        <v>1</v>
      </c>
      <c r="R12" s="34" t="n">
        <f aca="false">N(G12)-N(H12)+N(I12)</f>
        <v>0</v>
      </c>
      <c r="S12" s="19" t="n">
        <f aca="false">MAX(N(E12),P_Inicio)</f>
        <v>1</v>
      </c>
      <c r="T12" s="19" t="n">
        <f aca="false">IF(L12&lt;&gt;"",L12,MAX(N(E12),V_Inicio))</f>
        <v>1</v>
      </c>
      <c r="U12" s="34" t="n">
        <f aca="false">N(G12)+N(I12)+M12*(1+V_dCapex)</f>
        <v>589.16</v>
      </c>
    </row>
    <row r="13" customFormat="false" ht="15" hidden="false" customHeight="false" outlineLevel="0" collapsed="false">
      <c r="A13" s="6" t="n">
        <v>8</v>
      </c>
      <c r="B13" s="7" t="s">
        <v>405</v>
      </c>
      <c r="C13" s="7" t="s">
        <v>399</v>
      </c>
      <c r="D13" s="22" t="n">
        <v>28325.01</v>
      </c>
      <c r="E13" s="9" t="n">
        <v>1</v>
      </c>
      <c r="F13" s="9" t="n">
        <v>10</v>
      </c>
      <c r="G13" s="22"/>
      <c r="H13" s="22"/>
      <c r="I13" s="22"/>
      <c r="J13" s="22"/>
      <c r="K13" s="9"/>
      <c r="L13" s="9"/>
      <c r="M13" s="34" t="n">
        <f aca="false">IF(J13&lt;&gt;"",N(J13),MAX(0,N(D13)-N(G13)-N(I13)))</f>
        <v>28325.01</v>
      </c>
      <c r="N13" s="10" t="n">
        <f aca="false">N(G13)+N(I13)+M13</f>
        <v>28325.01</v>
      </c>
      <c r="O13" s="34" t="n">
        <f aca="false">N13-N(D13)</f>
        <v>0</v>
      </c>
      <c r="P13" s="35" t="n">
        <f aca="false">IF(N13&gt;0,N(H13)/N13,"")</f>
        <v>0</v>
      </c>
      <c r="Q13" s="19" t="n">
        <f aca="false">IF(K13&lt;&gt;"",K13,MAX(N(E13),Corte+1))</f>
        <v>1</v>
      </c>
      <c r="R13" s="34" t="n">
        <f aca="false">N(G13)-N(H13)+N(I13)</f>
        <v>0</v>
      </c>
      <c r="S13" s="19" t="n">
        <f aca="false">MAX(N(E13),P_Inicio)</f>
        <v>1</v>
      </c>
      <c r="T13" s="19" t="n">
        <f aca="false">IF(L13&lt;&gt;"",L13,MAX(N(E13),V_Inicio))</f>
        <v>1</v>
      </c>
      <c r="U13" s="34" t="n">
        <f aca="false">N(G13)+N(I13)+M13*(1+V_dCapex)</f>
        <v>28325.01</v>
      </c>
    </row>
    <row r="14" customFormat="false" ht="15" hidden="false" customHeight="false" outlineLevel="0" collapsed="false">
      <c r="A14" s="6" t="n">
        <v>9</v>
      </c>
      <c r="B14" s="7" t="s">
        <v>406</v>
      </c>
      <c r="C14" s="7" t="s">
        <v>399</v>
      </c>
      <c r="D14" s="22" t="n">
        <v>9857.1</v>
      </c>
      <c r="E14" s="9" t="n">
        <v>1</v>
      </c>
      <c r="F14" s="9" t="n">
        <v>10</v>
      </c>
      <c r="G14" s="22"/>
      <c r="H14" s="22"/>
      <c r="I14" s="22"/>
      <c r="J14" s="22"/>
      <c r="K14" s="9"/>
      <c r="L14" s="9"/>
      <c r="M14" s="34" t="n">
        <f aca="false">IF(J14&lt;&gt;"",N(J14),MAX(0,N(D14)-N(G14)-N(I14)))</f>
        <v>9857.1</v>
      </c>
      <c r="N14" s="10" t="n">
        <f aca="false">N(G14)+N(I14)+M14</f>
        <v>9857.1</v>
      </c>
      <c r="O14" s="34" t="n">
        <f aca="false">N14-N(D14)</f>
        <v>0</v>
      </c>
      <c r="P14" s="35" t="n">
        <f aca="false">IF(N14&gt;0,N(H14)/N14,"")</f>
        <v>0</v>
      </c>
      <c r="Q14" s="19" t="n">
        <f aca="false">IF(K14&lt;&gt;"",K14,MAX(N(E14),Corte+1))</f>
        <v>1</v>
      </c>
      <c r="R14" s="34" t="n">
        <f aca="false">N(G14)-N(H14)+N(I14)</f>
        <v>0</v>
      </c>
      <c r="S14" s="19" t="n">
        <f aca="false">MAX(N(E14),P_Inicio)</f>
        <v>1</v>
      </c>
      <c r="T14" s="19" t="n">
        <f aca="false">IF(L14&lt;&gt;"",L14,MAX(N(E14),V_Inicio))</f>
        <v>1</v>
      </c>
      <c r="U14" s="34" t="n">
        <f aca="false">N(G14)+N(I14)+M14*(1+V_dCapex)</f>
        <v>9857.1</v>
      </c>
    </row>
    <row r="15" customFormat="false" ht="15" hidden="false" customHeight="false" outlineLevel="0" collapsed="false">
      <c r="A15" s="6" t="n">
        <v>10</v>
      </c>
      <c r="B15" s="7" t="s">
        <v>407</v>
      </c>
      <c r="C15" s="7" t="s">
        <v>399</v>
      </c>
      <c r="D15" s="22" t="n">
        <v>29458.01</v>
      </c>
      <c r="E15" s="9" t="n">
        <v>1</v>
      </c>
      <c r="F15" s="9" t="n">
        <v>10</v>
      </c>
      <c r="G15" s="22"/>
      <c r="H15" s="22"/>
      <c r="I15" s="22"/>
      <c r="J15" s="22"/>
      <c r="K15" s="9"/>
      <c r="L15" s="9"/>
      <c r="M15" s="34" t="n">
        <f aca="false">IF(J15&lt;&gt;"",N(J15),MAX(0,N(D15)-N(G15)-N(I15)))</f>
        <v>29458.01</v>
      </c>
      <c r="N15" s="10" t="n">
        <f aca="false">N(G15)+N(I15)+M15</f>
        <v>29458.01</v>
      </c>
      <c r="O15" s="34" t="n">
        <f aca="false">N15-N(D15)</f>
        <v>0</v>
      </c>
      <c r="P15" s="35" t="n">
        <f aca="false">IF(N15&gt;0,N(H15)/N15,"")</f>
        <v>0</v>
      </c>
      <c r="Q15" s="19" t="n">
        <f aca="false">IF(K15&lt;&gt;"",K15,MAX(N(E15),Corte+1))</f>
        <v>1</v>
      </c>
      <c r="R15" s="34" t="n">
        <f aca="false">N(G15)-N(H15)+N(I15)</f>
        <v>0</v>
      </c>
      <c r="S15" s="19" t="n">
        <f aca="false">MAX(N(E15),P_Inicio)</f>
        <v>1</v>
      </c>
      <c r="T15" s="19" t="n">
        <f aca="false">IF(L15&lt;&gt;"",L15,MAX(N(E15),V_Inicio))</f>
        <v>1</v>
      </c>
      <c r="U15" s="34" t="n">
        <f aca="false">N(G15)+N(I15)+M15*(1+V_dCapex)</f>
        <v>29458.01</v>
      </c>
    </row>
    <row r="16" customFormat="false" ht="15" hidden="false" customHeight="false" outlineLevel="0" collapsed="false">
      <c r="A16" s="6" t="n">
        <v>11</v>
      </c>
      <c r="B16" s="7" t="s">
        <v>408</v>
      </c>
      <c r="C16" s="7" t="s">
        <v>399</v>
      </c>
      <c r="D16" s="22" t="n">
        <v>6004.9</v>
      </c>
      <c r="E16" s="9" t="n">
        <v>1</v>
      </c>
      <c r="F16" s="9" t="n">
        <v>10</v>
      </c>
      <c r="G16" s="22"/>
      <c r="H16" s="22"/>
      <c r="I16" s="22"/>
      <c r="J16" s="22"/>
      <c r="K16" s="9"/>
      <c r="L16" s="9"/>
      <c r="M16" s="34" t="n">
        <f aca="false">IF(J16&lt;&gt;"",N(J16),MAX(0,N(D16)-N(G16)-N(I16)))</f>
        <v>6004.9</v>
      </c>
      <c r="N16" s="10" t="n">
        <f aca="false">N(G16)+N(I16)+M16</f>
        <v>6004.9</v>
      </c>
      <c r="O16" s="34" t="n">
        <f aca="false">N16-N(D16)</f>
        <v>0</v>
      </c>
      <c r="P16" s="35" t="n">
        <f aca="false">IF(N16&gt;0,N(H16)/N16,"")</f>
        <v>0</v>
      </c>
      <c r="Q16" s="19" t="n">
        <f aca="false">IF(K16&lt;&gt;"",K16,MAX(N(E16),Corte+1))</f>
        <v>1</v>
      </c>
      <c r="R16" s="34" t="n">
        <f aca="false">N(G16)-N(H16)+N(I16)</f>
        <v>0</v>
      </c>
      <c r="S16" s="19" t="n">
        <f aca="false">MAX(N(E16),P_Inicio)</f>
        <v>1</v>
      </c>
      <c r="T16" s="19" t="n">
        <f aca="false">IF(L16&lt;&gt;"",L16,MAX(N(E16),V_Inicio))</f>
        <v>1</v>
      </c>
      <c r="U16" s="34" t="n">
        <f aca="false">N(G16)+N(I16)+M16*(1+V_dCapex)</f>
        <v>6004.9</v>
      </c>
    </row>
    <row r="17" customFormat="false" ht="15" hidden="false" customHeight="false" outlineLevel="0" collapsed="false">
      <c r="A17" s="6" t="n">
        <v>12</v>
      </c>
      <c r="B17" s="7" t="s">
        <v>409</v>
      </c>
      <c r="C17" s="7" t="s">
        <v>410</v>
      </c>
      <c r="D17" s="22" t="n">
        <v>43478</v>
      </c>
      <c r="E17" s="9" t="n">
        <v>1</v>
      </c>
      <c r="F17" s="9" t="n">
        <v>5</v>
      </c>
      <c r="G17" s="22"/>
      <c r="H17" s="22"/>
      <c r="I17" s="22"/>
      <c r="J17" s="22"/>
      <c r="K17" s="9"/>
      <c r="L17" s="9"/>
      <c r="M17" s="34" t="n">
        <f aca="false">IF(J17&lt;&gt;"",N(J17),MAX(0,N(D17)-N(G17)-N(I17)))</f>
        <v>43478</v>
      </c>
      <c r="N17" s="10" t="n">
        <f aca="false">N(G17)+N(I17)+M17</f>
        <v>43478</v>
      </c>
      <c r="O17" s="34" t="n">
        <f aca="false">N17-N(D17)</f>
        <v>0</v>
      </c>
      <c r="P17" s="35" t="n">
        <f aca="false">IF(N17&gt;0,N(H17)/N17,"")</f>
        <v>0</v>
      </c>
      <c r="Q17" s="19" t="n">
        <f aca="false">IF(K17&lt;&gt;"",K17,MAX(N(E17),Corte+1))</f>
        <v>1</v>
      </c>
      <c r="R17" s="34" t="n">
        <f aca="false">N(G17)-N(H17)+N(I17)</f>
        <v>0</v>
      </c>
      <c r="S17" s="19" t="n">
        <f aca="false">MAX(N(E17),P_Inicio)</f>
        <v>1</v>
      </c>
      <c r="T17" s="19" t="n">
        <f aca="false">IF(L17&lt;&gt;"",L17,MAX(N(E17),V_Inicio))</f>
        <v>1</v>
      </c>
      <c r="U17" s="34" t="n">
        <f aca="false">N(G17)+N(I17)+M17*(1+V_dCapex)</f>
        <v>43478</v>
      </c>
    </row>
    <row r="18" customFormat="false" ht="15" hidden="false" customHeight="false" outlineLevel="0" collapsed="false">
      <c r="A18" s="6" t="n">
        <v>13</v>
      </c>
      <c r="B18" s="7" t="s">
        <v>411</v>
      </c>
      <c r="C18" s="7" t="s">
        <v>411</v>
      </c>
      <c r="D18" s="22" t="n">
        <v>17400</v>
      </c>
      <c r="E18" s="9" t="n">
        <v>1</v>
      </c>
      <c r="F18" s="9" t="n">
        <v>5</v>
      </c>
      <c r="G18" s="22"/>
      <c r="H18" s="22"/>
      <c r="I18" s="22"/>
      <c r="J18" s="22"/>
      <c r="K18" s="9"/>
      <c r="L18" s="9"/>
      <c r="M18" s="34" t="n">
        <f aca="false">IF(J18&lt;&gt;"",N(J18),MAX(0,N(D18)-N(G18)-N(I18)))</f>
        <v>17400</v>
      </c>
      <c r="N18" s="10" t="n">
        <f aca="false">N(G18)+N(I18)+M18</f>
        <v>17400</v>
      </c>
      <c r="O18" s="34" t="n">
        <f aca="false">N18-N(D18)</f>
        <v>0</v>
      </c>
      <c r="P18" s="35" t="n">
        <f aca="false">IF(N18&gt;0,N(H18)/N18,"")</f>
        <v>0</v>
      </c>
      <c r="Q18" s="19" t="n">
        <f aca="false">IF(K18&lt;&gt;"",K18,MAX(N(E18),Corte+1))</f>
        <v>1</v>
      </c>
      <c r="R18" s="34" t="n">
        <f aca="false">N(G18)-N(H18)+N(I18)</f>
        <v>0</v>
      </c>
      <c r="S18" s="19" t="n">
        <f aca="false">MAX(N(E18),P_Inicio)</f>
        <v>1</v>
      </c>
      <c r="T18" s="19" t="n">
        <f aca="false">IF(L18&lt;&gt;"",L18,MAX(N(E18),V_Inicio))</f>
        <v>1</v>
      </c>
      <c r="U18" s="34" t="n">
        <f aca="false">N(G18)+N(I18)+M18*(1+V_dCapex)</f>
        <v>17400</v>
      </c>
    </row>
    <row r="19" customFormat="false" ht="15" hidden="false" customHeight="false" outlineLevel="0" collapsed="false">
      <c r="A19" s="6" t="n">
        <v>14</v>
      </c>
      <c r="B19" s="7" t="s">
        <v>412</v>
      </c>
      <c r="C19" s="7" t="s">
        <v>413</v>
      </c>
      <c r="D19" s="22" t="n">
        <v>100000</v>
      </c>
      <c r="E19" s="9" t="n">
        <v>13</v>
      </c>
      <c r="F19" s="9" t="n">
        <v>10</v>
      </c>
      <c r="G19" s="22"/>
      <c r="H19" s="22"/>
      <c r="I19" s="22"/>
      <c r="J19" s="22"/>
      <c r="K19" s="9"/>
      <c r="L19" s="9"/>
      <c r="M19" s="34" t="n">
        <f aca="false">IF(J19&lt;&gt;"",N(J19),MAX(0,N(D19)-N(G19)-N(I19)))</f>
        <v>100000</v>
      </c>
      <c r="N19" s="10" t="n">
        <f aca="false">N(G19)+N(I19)+M19</f>
        <v>100000</v>
      </c>
      <c r="O19" s="34" t="n">
        <f aca="false">N19-N(D19)</f>
        <v>0</v>
      </c>
      <c r="P19" s="35" t="n">
        <f aca="false">IF(N19&gt;0,N(H19)/N19,"")</f>
        <v>0</v>
      </c>
      <c r="Q19" s="19" t="n">
        <f aca="false">IF(K19&lt;&gt;"",K19,MAX(N(E19),Corte+1))</f>
        <v>13</v>
      </c>
      <c r="R19" s="34" t="n">
        <f aca="false">N(G19)-N(H19)+N(I19)</f>
        <v>0</v>
      </c>
      <c r="S19" s="19" t="n">
        <f aca="false">MAX(N(E19),P_Inicio)</f>
        <v>13</v>
      </c>
      <c r="T19" s="19" t="n">
        <f aca="false">IF(L19&lt;&gt;"",L19,MAX(N(E19),V_Inicio))</f>
        <v>13</v>
      </c>
      <c r="U19" s="34" t="n">
        <f aca="false">N(G19)+N(I19)+M19*(1+V_dCapex)</f>
        <v>100000</v>
      </c>
    </row>
    <row r="20" customFormat="false" ht="15" hidden="false" customHeight="false" outlineLevel="0" collapsed="false">
      <c r="A20" s="6" t="n">
        <v>15</v>
      </c>
      <c r="B20" s="7"/>
      <c r="C20" s="7"/>
      <c r="D20" s="22"/>
      <c r="E20" s="9"/>
      <c r="F20" s="9"/>
      <c r="G20" s="22"/>
      <c r="H20" s="22"/>
      <c r="I20" s="22"/>
      <c r="J20" s="22"/>
      <c r="K20" s="9"/>
      <c r="L20" s="9"/>
      <c r="M20" s="34" t="n">
        <f aca="false">IF(J20&lt;&gt;"",N(J20),MAX(0,N(D20)-N(G20)-N(I20)))</f>
        <v>0</v>
      </c>
      <c r="N20" s="10" t="n">
        <f aca="false">N(G20)+N(I20)+M20</f>
        <v>0</v>
      </c>
      <c r="O20" s="34" t="n">
        <f aca="false">N20-N(D20)</f>
        <v>0</v>
      </c>
      <c r="P20" s="35" t="str">
        <f aca="false">IF(N20&gt;0,N(H20)/N20,"")</f>
        <v/>
      </c>
      <c r="Q20" s="19" t="n">
        <f aca="false">IF(K20&lt;&gt;"",K20,MAX(N(E20),Corte+1))</f>
        <v>1</v>
      </c>
      <c r="R20" s="34" t="n">
        <f aca="false">N(G20)-N(H20)+N(I20)</f>
        <v>0</v>
      </c>
      <c r="S20" s="19" t="n">
        <f aca="false">MAX(N(E20),P_Inicio)</f>
        <v>1</v>
      </c>
      <c r="T20" s="19" t="n">
        <f aca="false">IF(L20&lt;&gt;"",L20,MAX(N(E20),V_Inicio))</f>
        <v>1</v>
      </c>
      <c r="U20" s="34" t="n">
        <f aca="false">N(G20)+N(I20)+M20*(1+V_dCapex)</f>
        <v>0</v>
      </c>
    </row>
    <row r="21" customFormat="false" ht="15" hidden="false" customHeight="false" outlineLevel="0" collapsed="false">
      <c r="A21" s="6" t="n">
        <v>16</v>
      </c>
      <c r="B21" s="7"/>
      <c r="C21" s="7"/>
      <c r="D21" s="22"/>
      <c r="E21" s="9"/>
      <c r="F21" s="9"/>
      <c r="G21" s="22"/>
      <c r="H21" s="22"/>
      <c r="I21" s="22"/>
      <c r="J21" s="22"/>
      <c r="K21" s="9"/>
      <c r="L21" s="9"/>
      <c r="M21" s="34" t="n">
        <f aca="false">IF(J21&lt;&gt;"",N(J21),MAX(0,N(D21)-N(G21)-N(I21)))</f>
        <v>0</v>
      </c>
      <c r="N21" s="10" t="n">
        <f aca="false">N(G21)+N(I21)+M21</f>
        <v>0</v>
      </c>
      <c r="O21" s="34" t="n">
        <f aca="false">N21-N(D21)</f>
        <v>0</v>
      </c>
      <c r="P21" s="35" t="str">
        <f aca="false">IF(N21&gt;0,N(H21)/N21,"")</f>
        <v/>
      </c>
      <c r="Q21" s="19" t="n">
        <f aca="false">IF(K21&lt;&gt;"",K21,MAX(N(E21),Corte+1))</f>
        <v>1</v>
      </c>
      <c r="R21" s="34" t="n">
        <f aca="false">N(G21)-N(H21)+N(I21)</f>
        <v>0</v>
      </c>
      <c r="S21" s="19" t="n">
        <f aca="false">MAX(N(E21),P_Inicio)</f>
        <v>1</v>
      </c>
      <c r="T21" s="19" t="n">
        <f aca="false">IF(L21&lt;&gt;"",L21,MAX(N(E21),V_Inicio))</f>
        <v>1</v>
      </c>
      <c r="U21" s="34" t="n">
        <f aca="false">N(G21)+N(I21)+M21*(1+V_dCapex)</f>
        <v>0</v>
      </c>
    </row>
    <row r="22" customFormat="false" ht="15" hidden="false" customHeight="false" outlineLevel="0" collapsed="false">
      <c r="A22" s="6" t="n">
        <v>17</v>
      </c>
      <c r="B22" s="7"/>
      <c r="C22" s="7"/>
      <c r="D22" s="22"/>
      <c r="E22" s="9"/>
      <c r="F22" s="9"/>
      <c r="G22" s="22"/>
      <c r="H22" s="22"/>
      <c r="I22" s="22"/>
      <c r="J22" s="22"/>
      <c r="K22" s="9"/>
      <c r="L22" s="9"/>
      <c r="M22" s="34" t="n">
        <f aca="false">IF(J22&lt;&gt;"",N(J22),MAX(0,N(D22)-N(G22)-N(I22)))</f>
        <v>0</v>
      </c>
      <c r="N22" s="10" t="n">
        <f aca="false">N(G22)+N(I22)+M22</f>
        <v>0</v>
      </c>
      <c r="O22" s="34" t="n">
        <f aca="false">N22-N(D22)</f>
        <v>0</v>
      </c>
      <c r="P22" s="35" t="str">
        <f aca="false">IF(N22&gt;0,N(H22)/N22,"")</f>
        <v/>
      </c>
      <c r="Q22" s="19" t="n">
        <f aca="false">IF(K22&lt;&gt;"",K22,MAX(N(E22),Corte+1))</f>
        <v>1</v>
      </c>
      <c r="R22" s="34" t="n">
        <f aca="false">N(G22)-N(H22)+N(I22)</f>
        <v>0</v>
      </c>
      <c r="S22" s="19" t="n">
        <f aca="false">MAX(N(E22),P_Inicio)</f>
        <v>1</v>
      </c>
      <c r="T22" s="19" t="n">
        <f aca="false">IF(L22&lt;&gt;"",L22,MAX(N(E22),V_Inicio))</f>
        <v>1</v>
      </c>
      <c r="U22" s="34" t="n">
        <f aca="false">N(G22)+N(I22)+M22*(1+V_dCapex)</f>
        <v>0</v>
      </c>
    </row>
    <row r="23" customFormat="false" ht="15" hidden="false" customHeight="false" outlineLevel="0" collapsed="false">
      <c r="A23" s="6" t="n">
        <v>18</v>
      </c>
      <c r="B23" s="7"/>
      <c r="C23" s="7"/>
      <c r="D23" s="22"/>
      <c r="E23" s="9"/>
      <c r="F23" s="9"/>
      <c r="G23" s="22"/>
      <c r="H23" s="22"/>
      <c r="I23" s="22"/>
      <c r="J23" s="22"/>
      <c r="K23" s="9"/>
      <c r="L23" s="9"/>
      <c r="M23" s="34" t="n">
        <f aca="false">IF(J23&lt;&gt;"",N(J23),MAX(0,N(D23)-N(G23)-N(I23)))</f>
        <v>0</v>
      </c>
      <c r="N23" s="10" t="n">
        <f aca="false">N(G23)+N(I23)+M23</f>
        <v>0</v>
      </c>
      <c r="O23" s="34" t="n">
        <f aca="false">N23-N(D23)</f>
        <v>0</v>
      </c>
      <c r="P23" s="35" t="str">
        <f aca="false">IF(N23&gt;0,N(H23)/N23,"")</f>
        <v/>
      </c>
      <c r="Q23" s="19" t="n">
        <f aca="false">IF(K23&lt;&gt;"",K23,MAX(N(E23),Corte+1))</f>
        <v>1</v>
      </c>
      <c r="R23" s="34" t="n">
        <f aca="false">N(G23)-N(H23)+N(I23)</f>
        <v>0</v>
      </c>
      <c r="S23" s="19" t="n">
        <f aca="false">MAX(N(E23),P_Inicio)</f>
        <v>1</v>
      </c>
      <c r="T23" s="19" t="n">
        <f aca="false">IF(L23&lt;&gt;"",L23,MAX(N(E23),V_Inicio))</f>
        <v>1</v>
      </c>
      <c r="U23" s="34" t="n">
        <f aca="false">N(G23)+N(I23)+M23*(1+V_dCapex)</f>
        <v>0</v>
      </c>
    </row>
    <row r="24" customFormat="false" ht="15" hidden="false" customHeight="false" outlineLevel="0" collapsed="false">
      <c r="A24" s="6" t="n">
        <v>19</v>
      </c>
      <c r="B24" s="7"/>
      <c r="C24" s="7"/>
      <c r="D24" s="22"/>
      <c r="E24" s="9"/>
      <c r="F24" s="9"/>
      <c r="G24" s="22"/>
      <c r="H24" s="22"/>
      <c r="I24" s="22"/>
      <c r="J24" s="22"/>
      <c r="K24" s="9"/>
      <c r="L24" s="9"/>
      <c r="M24" s="34" t="n">
        <f aca="false">IF(J24&lt;&gt;"",N(J24),MAX(0,N(D24)-N(G24)-N(I24)))</f>
        <v>0</v>
      </c>
      <c r="N24" s="10" t="n">
        <f aca="false">N(G24)+N(I24)+M24</f>
        <v>0</v>
      </c>
      <c r="O24" s="34" t="n">
        <f aca="false">N24-N(D24)</f>
        <v>0</v>
      </c>
      <c r="P24" s="35" t="str">
        <f aca="false">IF(N24&gt;0,N(H24)/N24,"")</f>
        <v/>
      </c>
      <c r="Q24" s="19" t="n">
        <f aca="false">IF(K24&lt;&gt;"",K24,MAX(N(E24),Corte+1))</f>
        <v>1</v>
      </c>
      <c r="R24" s="34" t="n">
        <f aca="false">N(G24)-N(H24)+N(I24)</f>
        <v>0</v>
      </c>
      <c r="S24" s="19" t="n">
        <f aca="false">MAX(N(E24),P_Inicio)</f>
        <v>1</v>
      </c>
      <c r="T24" s="19" t="n">
        <f aca="false">IF(L24&lt;&gt;"",L24,MAX(N(E24),V_Inicio))</f>
        <v>1</v>
      </c>
      <c r="U24" s="34" t="n">
        <f aca="false">N(G24)+N(I24)+M24*(1+V_dCapex)</f>
        <v>0</v>
      </c>
    </row>
    <row r="25" customFormat="false" ht="15" hidden="false" customHeight="false" outlineLevel="0" collapsed="false">
      <c r="A25" s="6" t="n">
        <v>20</v>
      </c>
      <c r="B25" s="7"/>
      <c r="C25" s="7"/>
      <c r="D25" s="22"/>
      <c r="E25" s="9"/>
      <c r="F25" s="9"/>
      <c r="G25" s="22"/>
      <c r="H25" s="22"/>
      <c r="I25" s="22"/>
      <c r="J25" s="22"/>
      <c r="K25" s="9"/>
      <c r="L25" s="9"/>
      <c r="M25" s="34" t="n">
        <f aca="false">IF(J25&lt;&gt;"",N(J25),MAX(0,N(D25)-N(G25)-N(I25)))</f>
        <v>0</v>
      </c>
      <c r="N25" s="10" t="n">
        <f aca="false">N(G25)+N(I25)+M25</f>
        <v>0</v>
      </c>
      <c r="O25" s="34" t="n">
        <f aca="false">N25-N(D25)</f>
        <v>0</v>
      </c>
      <c r="P25" s="35" t="str">
        <f aca="false">IF(N25&gt;0,N(H25)/N25,"")</f>
        <v/>
      </c>
      <c r="Q25" s="19" t="n">
        <f aca="false">IF(K25&lt;&gt;"",K25,MAX(N(E25),Corte+1))</f>
        <v>1</v>
      </c>
      <c r="R25" s="34" t="n">
        <f aca="false">N(G25)-N(H25)+N(I25)</f>
        <v>0</v>
      </c>
      <c r="S25" s="19" t="n">
        <f aca="false">MAX(N(E25),P_Inicio)</f>
        <v>1</v>
      </c>
      <c r="T25" s="19" t="n">
        <f aca="false">IF(L25&lt;&gt;"",L25,MAX(N(E25),V_Inicio))</f>
        <v>1</v>
      </c>
      <c r="U25" s="34" t="n">
        <f aca="false">N(G25)+N(I25)+M25*(1+V_dCapex)</f>
        <v>0</v>
      </c>
    </row>
    <row r="26" customFormat="false" ht="15" hidden="false" customHeight="false" outlineLevel="0" collapsed="false">
      <c r="B26" s="11" t="s">
        <v>414</v>
      </c>
      <c r="D26" s="40" t="n">
        <f aca="false">SUM(D6:D25)</f>
        <v>755044.09</v>
      </c>
      <c r="G26" s="40" t="n">
        <f aca="false">SUM(G6:G25)</f>
        <v>0</v>
      </c>
      <c r="H26" s="40" t="n">
        <f aca="false">SUM(H6:H25)</f>
        <v>0</v>
      </c>
      <c r="I26" s="40" t="n">
        <f aca="false">SUM(I6:I25)</f>
        <v>0</v>
      </c>
      <c r="M26" s="40" t="n">
        <f aca="false">SUM(M6:M25)</f>
        <v>755044.09</v>
      </c>
      <c r="N26" s="40" t="n">
        <f aca="false">SUM(N6:N25)</f>
        <v>755044.09</v>
      </c>
      <c r="O26" s="40" t="n">
        <f aca="false">SUM(O6:O25)</f>
        <v>0</v>
      </c>
      <c r="P26" s="30" t="n">
        <f aca="false">IF(N26&gt;0,H26/N26,"")</f>
        <v>0</v>
      </c>
      <c r="R26" s="40" t="n">
        <f aca="false">SUM(R6:R25)</f>
        <v>0</v>
      </c>
      <c r="U26" s="40" t="n">
        <f aca="false">SUM(U6:U25)</f>
        <v>755044.09</v>
      </c>
    </row>
    <row r="27" customFormat="false" ht="15" hidden="false" customHeight="false" outlineLevel="0" collapsed="false">
      <c r="B27" s="2" t="s">
        <v>415</v>
      </c>
    </row>
    <row r="29" customFormat="false" ht="15" hidden="false" customHeight="false" outlineLevel="0" collapsed="false">
      <c r="A29" s="3" t="s">
        <v>416</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417</v>
      </c>
      <c r="C30" s="5" t="s">
        <v>97</v>
      </c>
      <c r="D30" s="5" t="s">
        <v>418</v>
      </c>
      <c r="E30" s="5" t="s">
        <v>419</v>
      </c>
      <c r="F30" s="5" t="s">
        <v>420</v>
      </c>
      <c r="G30" s="5" t="s">
        <v>421</v>
      </c>
      <c r="H30" s="5" t="s">
        <v>422</v>
      </c>
      <c r="I30" s="5" t="s">
        <v>423</v>
      </c>
    </row>
    <row r="31" customFormat="false" ht="15" hidden="false" customHeight="false" outlineLevel="0" collapsed="false">
      <c r="B31" s="6" t="s">
        <v>424</v>
      </c>
      <c r="C31" s="6"/>
      <c r="D31" s="7" t="s">
        <v>425</v>
      </c>
      <c r="E31" s="13" t="str">
        <f aca="false">D31</f>
        <v>Préstamo bancario inicial</v>
      </c>
      <c r="F31" s="7"/>
      <c r="G31" s="13" t="n">
        <f aca="false">F31</f>
        <v>0</v>
      </c>
      <c r="H31" s="7"/>
      <c r="I31" s="13" t="n">
        <f aca="false">H31</f>
        <v>0</v>
      </c>
    </row>
    <row r="32" customFormat="false" ht="15" hidden="false" customHeight="false" outlineLevel="0" collapsed="false">
      <c r="B32" s="6" t="s">
        <v>426</v>
      </c>
      <c r="C32" s="6" t="s">
        <v>250</v>
      </c>
      <c r="D32" s="22" t="n">
        <v>2791587</v>
      </c>
      <c r="E32" s="23" t="n">
        <f aca="false">D32</f>
        <v>2791587</v>
      </c>
      <c r="F32" s="22"/>
      <c r="G32" s="23" t="n">
        <f aca="false">F32</f>
        <v>0</v>
      </c>
      <c r="H32" s="22"/>
      <c r="I32" s="23" t="n">
        <f aca="false">H32</f>
        <v>0</v>
      </c>
    </row>
    <row r="33" customFormat="false" ht="15" hidden="false" customHeight="false" outlineLevel="0" collapsed="false">
      <c r="B33" s="6" t="s">
        <v>427</v>
      </c>
      <c r="C33" s="6" t="s">
        <v>101</v>
      </c>
      <c r="D33" s="9" t="n">
        <v>1</v>
      </c>
      <c r="E33" s="18" t="n">
        <f aca="false">D33</f>
        <v>1</v>
      </c>
      <c r="F33" s="9"/>
      <c r="G33" s="18" t="n">
        <f aca="false">F33</f>
        <v>0</v>
      </c>
      <c r="H33" s="9"/>
      <c r="I33" s="18" t="n">
        <f aca="false">H33</f>
        <v>0</v>
      </c>
    </row>
    <row r="34" customFormat="false" ht="15" hidden="false" customHeight="false" outlineLevel="0" collapsed="false">
      <c r="B34" s="6" t="s">
        <v>428</v>
      </c>
      <c r="C34" s="6" t="s">
        <v>109</v>
      </c>
      <c r="D34" s="20" t="n">
        <v>0.09</v>
      </c>
      <c r="E34" s="21" t="n">
        <f aca="false">D34</f>
        <v>0.09</v>
      </c>
      <c r="F34" s="20"/>
      <c r="G34" s="21" t="n">
        <f aca="false">F34</f>
        <v>0</v>
      </c>
      <c r="H34" s="20"/>
      <c r="I34" s="21" t="n">
        <f aca="false">H34</f>
        <v>0</v>
      </c>
    </row>
    <row r="35" customFormat="false" ht="15" hidden="false" customHeight="false" outlineLevel="0" collapsed="false">
      <c r="B35" s="6" t="s">
        <v>429</v>
      </c>
      <c r="C35" s="6" t="s">
        <v>172</v>
      </c>
      <c r="D35" s="9" t="n">
        <v>6</v>
      </c>
      <c r="E35" s="18" t="n">
        <f aca="false">D35</f>
        <v>6</v>
      </c>
      <c r="F35" s="9"/>
      <c r="G35" s="18" t="n">
        <f aca="false">F35</f>
        <v>0</v>
      </c>
      <c r="H35" s="9"/>
      <c r="I35" s="18" t="n">
        <f aca="false">H35</f>
        <v>0</v>
      </c>
    </row>
    <row r="36" customFormat="false" ht="15" hidden="false" customHeight="false" outlineLevel="0" collapsed="false">
      <c r="B36" s="6" t="s">
        <v>430</v>
      </c>
      <c r="C36" s="6" t="s">
        <v>431</v>
      </c>
      <c r="D36" s="9" t="n">
        <v>54</v>
      </c>
      <c r="E36" s="18" t="n">
        <f aca="false">D36</f>
        <v>54</v>
      </c>
      <c r="F36" s="9"/>
      <c r="G36" s="18" t="n">
        <f aca="false">F36</f>
        <v>0</v>
      </c>
      <c r="H36" s="9"/>
      <c r="I36" s="18" t="n">
        <f aca="false">H36</f>
        <v>0</v>
      </c>
    </row>
    <row r="37" customFormat="false" ht="15" hidden="false" customHeight="false" outlineLevel="0" collapsed="false">
      <c r="B37" s="2" t="s">
        <v>432</v>
      </c>
    </row>
    <row r="39" customFormat="false" ht="15" hidden="false" customHeight="false" outlineLevel="0" collapsed="false">
      <c r="A39" s="3" t="s">
        <v>433</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417</v>
      </c>
      <c r="C40" s="5" t="s">
        <v>97</v>
      </c>
      <c r="D40" s="5" t="s">
        <v>434</v>
      </c>
      <c r="E40" s="5" t="s">
        <v>22</v>
      </c>
      <c r="F40" s="17" t="s">
        <v>204</v>
      </c>
      <c r="G40" s="17"/>
      <c r="H40" s="17"/>
      <c r="I40" s="17"/>
      <c r="J40" s="17"/>
      <c r="K40" s="17"/>
      <c r="L40" s="17"/>
      <c r="M40" s="17"/>
      <c r="N40" s="17"/>
    </row>
    <row r="41" customFormat="false" ht="15" hidden="false" customHeight="false" outlineLevel="0" collapsed="false">
      <c r="B41" s="6" t="s">
        <v>435</v>
      </c>
      <c r="C41" s="6" t="s">
        <v>250</v>
      </c>
      <c r="D41" s="22"/>
      <c r="E41" s="23" t="n">
        <f aca="false">D41</f>
        <v>0</v>
      </c>
      <c r="F41" s="2" t="s">
        <v>436</v>
      </c>
    </row>
    <row r="42" customFormat="false" ht="15" hidden="false" customHeight="false" outlineLevel="0" collapsed="false">
      <c r="B42" s="6" t="s">
        <v>437</v>
      </c>
      <c r="C42" s="6" t="s">
        <v>109</v>
      </c>
      <c r="D42" s="20"/>
      <c r="E42" s="21" t="n">
        <f aca="false">D42</f>
        <v>0</v>
      </c>
      <c r="F42" s="2" t="s">
        <v>438</v>
      </c>
    </row>
    <row r="43" customFormat="false" ht="15" hidden="false" customHeight="false" outlineLevel="0" collapsed="false">
      <c r="B43" s="6" t="s">
        <v>439</v>
      </c>
      <c r="C43" s="6" t="s">
        <v>101</v>
      </c>
      <c r="D43" s="9"/>
      <c r="E43" s="18" t="n">
        <f aca="false">D43</f>
        <v>0</v>
      </c>
      <c r="F43" s="2" t="s">
        <v>440</v>
      </c>
    </row>
    <row r="44" customFormat="false" ht="15" hidden="false" customHeight="false" outlineLevel="0" collapsed="false">
      <c r="B44" s="6" t="s">
        <v>441</v>
      </c>
      <c r="C44" s="6" t="s">
        <v>101</v>
      </c>
      <c r="D44" s="9"/>
      <c r="E44" s="18" t="n">
        <f aca="false">D44</f>
        <v>0</v>
      </c>
      <c r="F44" s="2" t="s">
        <v>442</v>
      </c>
    </row>
    <row r="45" customFormat="false" ht="15" hidden="false" customHeight="false" outlineLevel="0" collapsed="false">
      <c r="B45" s="6" t="s">
        <v>443</v>
      </c>
      <c r="C45" s="6" t="s">
        <v>250</v>
      </c>
      <c r="E45" s="22"/>
      <c r="F45" s="2" t="s">
        <v>444</v>
      </c>
    </row>
    <row r="46" customFormat="false" ht="15" hidden="false" customHeight="false" outlineLevel="0" collapsed="false">
      <c r="B46" s="2" t="s">
        <v>445</v>
      </c>
    </row>
    <row r="48" customFormat="false" ht="15" hidden="false" customHeight="false" outlineLevel="0" collapsed="false">
      <c r="A48" s="3" t="s">
        <v>446</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272</v>
      </c>
      <c r="B49" s="5" t="s">
        <v>193</v>
      </c>
      <c r="C49" s="5" t="s">
        <v>447</v>
      </c>
      <c r="D49" s="5" t="s">
        <v>448</v>
      </c>
      <c r="E49" s="5" t="s">
        <v>449</v>
      </c>
      <c r="F49" s="5" t="s">
        <v>450</v>
      </c>
      <c r="G49" s="5" t="s">
        <v>204</v>
      </c>
    </row>
    <row r="50" customFormat="false" ht="15" hidden="false" customHeight="false" outlineLevel="0" collapsed="false">
      <c r="A50" s="6" t="n">
        <v>1</v>
      </c>
      <c r="B50" s="7" t="s">
        <v>451</v>
      </c>
      <c r="C50" s="9" t="n">
        <v>1</v>
      </c>
      <c r="D50" s="22" t="n">
        <v>200000</v>
      </c>
      <c r="E50" s="18" t="n">
        <f aca="false">C50</f>
        <v>1</v>
      </c>
      <c r="F50" s="23" t="n">
        <f aca="false">D50</f>
        <v>200000</v>
      </c>
    </row>
    <row r="51" customFormat="false" ht="15" hidden="false" customHeight="false" outlineLevel="0" collapsed="false">
      <c r="A51" s="6" t="n">
        <v>2</v>
      </c>
      <c r="B51" s="7" t="s">
        <v>452</v>
      </c>
      <c r="C51" s="9" t="n">
        <v>1</v>
      </c>
      <c r="D51" s="22" t="n">
        <v>567782</v>
      </c>
      <c r="E51" s="18" t="n">
        <f aca="false">C51</f>
        <v>1</v>
      </c>
      <c r="F51" s="23" t="n">
        <f aca="false">D51</f>
        <v>567782</v>
      </c>
    </row>
    <row r="52" customFormat="false" ht="15" hidden="false" customHeight="false" outlineLevel="0" collapsed="false">
      <c r="A52" s="6" t="n">
        <v>3</v>
      </c>
      <c r="B52" s="7" t="s">
        <v>453</v>
      </c>
      <c r="C52" s="9" t="n">
        <v>13</v>
      </c>
      <c r="D52" s="22" t="n">
        <v>371928</v>
      </c>
      <c r="E52" s="18" t="n">
        <f aca="false">C52</f>
        <v>13</v>
      </c>
      <c r="F52" s="23" t="n">
        <f aca="false">D52</f>
        <v>371928</v>
      </c>
    </row>
    <row r="53" customFormat="false" ht="15" hidden="false" customHeight="false" outlineLevel="0" collapsed="false">
      <c r="A53" s="6" t="n">
        <v>4</v>
      </c>
      <c r="B53" s="7"/>
      <c r="C53" s="9"/>
      <c r="D53" s="22"/>
      <c r="E53" s="18" t="n">
        <f aca="false">C53</f>
        <v>0</v>
      </c>
      <c r="F53" s="23" t="n">
        <f aca="false">D53</f>
        <v>0</v>
      </c>
    </row>
    <row r="54" customFormat="false" ht="15" hidden="false" customHeight="false" outlineLevel="0" collapsed="false">
      <c r="A54" s="6" t="n">
        <v>5</v>
      </c>
      <c r="B54" s="7"/>
      <c r="C54" s="9"/>
      <c r="D54" s="22"/>
      <c r="E54" s="18" t="n">
        <f aca="false">C54</f>
        <v>0</v>
      </c>
      <c r="F54" s="23" t="n">
        <f aca="false">D54</f>
        <v>0</v>
      </c>
    </row>
    <row r="55" customFormat="false" ht="15" hidden="false" customHeight="false" outlineLevel="0" collapsed="false">
      <c r="A55" s="6" t="n">
        <v>6</v>
      </c>
      <c r="B55" s="7"/>
      <c r="C55" s="9"/>
      <c r="D55" s="22"/>
      <c r="E55" s="18" t="n">
        <f aca="false">C55</f>
        <v>0</v>
      </c>
      <c r="F55" s="23" t="n">
        <f aca="false">D55</f>
        <v>0</v>
      </c>
    </row>
    <row r="56" customFormat="false" ht="15" hidden="false" customHeight="false" outlineLevel="0" collapsed="false">
      <c r="A56" s="6" t="n">
        <v>7</v>
      </c>
      <c r="B56" s="7"/>
      <c r="C56" s="9"/>
      <c r="D56" s="22"/>
      <c r="E56" s="18" t="n">
        <f aca="false">C56</f>
        <v>0</v>
      </c>
      <c r="F56" s="23" t="n">
        <f aca="false">D56</f>
        <v>0</v>
      </c>
    </row>
    <row r="57" customFormat="false" ht="15" hidden="false" customHeight="false" outlineLevel="0" collapsed="false">
      <c r="A57" s="6" t="n">
        <v>8</v>
      </c>
      <c r="B57" s="7"/>
      <c r="C57" s="9"/>
      <c r="D57" s="22"/>
      <c r="E57" s="18" t="n">
        <f aca="false">C57</f>
        <v>0</v>
      </c>
      <c r="F57" s="23" t="n">
        <f aca="false">D57</f>
        <v>0</v>
      </c>
    </row>
    <row r="58" customFormat="false" ht="15" hidden="false" customHeight="false" outlineLevel="0" collapsed="false">
      <c r="A58" s="6" t="n">
        <v>9</v>
      </c>
      <c r="B58" s="7"/>
      <c r="C58" s="9"/>
      <c r="D58" s="22"/>
      <c r="E58" s="18" t="n">
        <f aca="false">C58</f>
        <v>0</v>
      </c>
      <c r="F58" s="23" t="n">
        <f aca="false">D58</f>
        <v>0</v>
      </c>
    </row>
    <row r="59" customFormat="false" ht="15" hidden="false" customHeight="false" outlineLevel="0" collapsed="false">
      <c r="A59" s="6" t="n">
        <v>10</v>
      </c>
      <c r="B59" s="7"/>
      <c r="C59" s="9"/>
      <c r="D59" s="22"/>
      <c r="E59" s="18" t="n">
        <f aca="false">C59</f>
        <v>0</v>
      </c>
      <c r="F59" s="23"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454</v>
      </c>
    </row>
    <row r="2" customFormat="false" ht="15" hidden="false" customHeight="false" outlineLevel="0" collapsed="false">
      <c r="A2" s="2" t="s">
        <v>455</v>
      </c>
    </row>
    <row r="4" customFormat="false" ht="15" hidden="false" customHeight="false" outlineLevel="0" collapsed="false">
      <c r="A4" s="43"/>
      <c r="B4" s="44" t="s">
        <v>456</v>
      </c>
      <c r="C4" s="43"/>
      <c r="D4" s="44" t="s">
        <v>457</v>
      </c>
      <c r="E4" s="43"/>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3"/>
      <c r="B5" s="44" t="s">
        <v>458</v>
      </c>
      <c r="C5" s="43"/>
      <c r="D5" s="43"/>
      <c r="E5" s="43"/>
      <c r="F5" s="45" t="str">
        <f aca="false">IF(n_Fecha1="","",EOMONTH(n_Fecha1,1-1))</f>
        <v/>
      </c>
      <c r="G5" s="45" t="str">
        <f aca="false">IF(n_Fecha1="","",EOMONTH(n_Fecha1,2-1))</f>
        <v/>
      </c>
      <c r="H5" s="45" t="str">
        <f aca="false">IF(n_Fecha1="","",EOMONTH(n_Fecha1,3-1))</f>
        <v/>
      </c>
      <c r="I5" s="45" t="str">
        <f aca="false">IF(n_Fecha1="","",EOMONTH(n_Fecha1,4-1))</f>
        <v/>
      </c>
      <c r="J5" s="45" t="str">
        <f aca="false">IF(n_Fecha1="","",EOMONTH(n_Fecha1,5-1))</f>
        <v/>
      </c>
      <c r="K5" s="45" t="str">
        <f aca="false">IF(n_Fecha1="","",EOMONTH(n_Fecha1,6-1))</f>
        <v/>
      </c>
      <c r="L5" s="45" t="str">
        <f aca="false">IF(n_Fecha1="","",EOMONTH(n_Fecha1,7-1))</f>
        <v/>
      </c>
      <c r="M5" s="45" t="str">
        <f aca="false">IF(n_Fecha1="","",EOMONTH(n_Fecha1,8-1))</f>
        <v/>
      </c>
      <c r="N5" s="45" t="str">
        <f aca="false">IF(n_Fecha1="","",EOMONTH(n_Fecha1,9-1))</f>
        <v/>
      </c>
      <c r="O5" s="45" t="str">
        <f aca="false">IF(n_Fecha1="","",EOMONTH(n_Fecha1,10-1))</f>
        <v/>
      </c>
      <c r="P5" s="45" t="str">
        <f aca="false">IF(n_Fecha1="","",EOMONTH(n_Fecha1,11-1))</f>
        <v/>
      </c>
      <c r="Q5" s="45" t="str">
        <f aca="false">IF(n_Fecha1="","",EOMONTH(n_Fecha1,12-1))</f>
        <v/>
      </c>
      <c r="R5" s="45" t="str">
        <f aca="false">IF(n_Fecha1="","",EOMONTH(n_Fecha1,13-1))</f>
        <v/>
      </c>
      <c r="S5" s="45" t="str">
        <f aca="false">IF(n_Fecha1="","",EOMONTH(n_Fecha1,14-1))</f>
        <v/>
      </c>
      <c r="T5" s="45" t="str">
        <f aca="false">IF(n_Fecha1="","",EOMONTH(n_Fecha1,15-1))</f>
        <v/>
      </c>
      <c r="U5" s="45" t="str">
        <f aca="false">IF(n_Fecha1="","",EOMONTH(n_Fecha1,16-1))</f>
        <v/>
      </c>
      <c r="V5" s="45" t="str">
        <f aca="false">IF(n_Fecha1="","",EOMONTH(n_Fecha1,17-1))</f>
        <v/>
      </c>
      <c r="W5" s="45" t="str">
        <f aca="false">IF(n_Fecha1="","",EOMONTH(n_Fecha1,18-1))</f>
        <v/>
      </c>
      <c r="X5" s="45" t="str">
        <f aca="false">IF(n_Fecha1="","",EOMONTH(n_Fecha1,19-1))</f>
        <v/>
      </c>
      <c r="Y5" s="45" t="str">
        <f aca="false">IF(n_Fecha1="","",EOMONTH(n_Fecha1,20-1))</f>
        <v/>
      </c>
      <c r="Z5" s="45" t="str">
        <f aca="false">IF(n_Fecha1="","",EOMONTH(n_Fecha1,21-1))</f>
        <v/>
      </c>
      <c r="AA5" s="45" t="str">
        <f aca="false">IF(n_Fecha1="","",EOMONTH(n_Fecha1,22-1))</f>
        <v/>
      </c>
      <c r="AB5" s="45" t="str">
        <f aca="false">IF(n_Fecha1="","",EOMONTH(n_Fecha1,23-1))</f>
        <v/>
      </c>
      <c r="AC5" s="45" t="str">
        <f aca="false">IF(n_Fecha1="","",EOMONTH(n_Fecha1,24-1))</f>
        <v/>
      </c>
      <c r="AD5" s="45" t="str">
        <f aca="false">IF(n_Fecha1="","",EOMONTH(n_Fecha1,25-1))</f>
        <v/>
      </c>
      <c r="AE5" s="45" t="str">
        <f aca="false">IF(n_Fecha1="","",EOMONTH(n_Fecha1,26-1))</f>
        <v/>
      </c>
      <c r="AF5" s="45" t="str">
        <f aca="false">IF(n_Fecha1="","",EOMONTH(n_Fecha1,27-1))</f>
        <v/>
      </c>
      <c r="AG5" s="45" t="str">
        <f aca="false">IF(n_Fecha1="","",EOMONTH(n_Fecha1,28-1))</f>
        <v/>
      </c>
      <c r="AH5" s="45" t="str">
        <f aca="false">IF(n_Fecha1="","",EOMONTH(n_Fecha1,29-1))</f>
        <v/>
      </c>
      <c r="AI5" s="45" t="str">
        <f aca="false">IF(n_Fecha1="","",EOMONTH(n_Fecha1,30-1))</f>
        <v/>
      </c>
      <c r="AJ5" s="45" t="str">
        <f aca="false">IF(n_Fecha1="","",EOMONTH(n_Fecha1,31-1))</f>
        <v/>
      </c>
      <c r="AK5" s="45" t="str">
        <f aca="false">IF(n_Fecha1="","",EOMONTH(n_Fecha1,32-1))</f>
        <v/>
      </c>
      <c r="AL5" s="45" t="str">
        <f aca="false">IF(n_Fecha1="","",EOMONTH(n_Fecha1,33-1))</f>
        <v/>
      </c>
      <c r="AM5" s="45" t="str">
        <f aca="false">IF(n_Fecha1="","",EOMONTH(n_Fecha1,34-1))</f>
        <v/>
      </c>
      <c r="AN5" s="45" t="str">
        <f aca="false">IF(n_Fecha1="","",EOMONTH(n_Fecha1,35-1))</f>
        <v/>
      </c>
      <c r="AO5" s="45" t="str">
        <f aca="false">IF(n_Fecha1="","",EOMONTH(n_Fecha1,36-1))</f>
        <v/>
      </c>
      <c r="AP5" s="45" t="str">
        <f aca="false">IF(n_Fecha1="","",EOMONTH(n_Fecha1,37-1))</f>
        <v/>
      </c>
      <c r="AQ5" s="45" t="str">
        <f aca="false">IF(n_Fecha1="","",EOMONTH(n_Fecha1,38-1))</f>
        <v/>
      </c>
      <c r="AR5" s="45" t="str">
        <f aca="false">IF(n_Fecha1="","",EOMONTH(n_Fecha1,39-1))</f>
        <v/>
      </c>
      <c r="AS5" s="45" t="str">
        <f aca="false">IF(n_Fecha1="","",EOMONTH(n_Fecha1,40-1))</f>
        <v/>
      </c>
      <c r="AT5" s="45" t="str">
        <f aca="false">IF(n_Fecha1="","",EOMONTH(n_Fecha1,41-1))</f>
        <v/>
      </c>
      <c r="AU5" s="45" t="str">
        <f aca="false">IF(n_Fecha1="","",EOMONTH(n_Fecha1,42-1))</f>
        <v/>
      </c>
      <c r="AV5" s="45" t="str">
        <f aca="false">IF(n_Fecha1="","",EOMONTH(n_Fecha1,43-1))</f>
        <v/>
      </c>
      <c r="AW5" s="45" t="str">
        <f aca="false">IF(n_Fecha1="","",EOMONTH(n_Fecha1,44-1))</f>
        <v/>
      </c>
      <c r="AX5" s="45" t="str">
        <f aca="false">IF(n_Fecha1="","",EOMONTH(n_Fecha1,45-1))</f>
        <v/>
      </c>
      <c r="AY5" s="45" t="str">
        <f aca="false">IF(n_Fecha1="","",EOMONTH(n_Fecha1,46-1))</f>
        <v/>
      </c>
      <c r="AZ5" s="45" t="str">
        <f aca="false">IF(n_Fecha1="","",EOMONTH(n_Fecha1,47-1))</f>
        <v/>
      </c>
      <c r="BA5" s="45" t="str">
        <f aca="false">IF(n_Fecha1="","",EOMONTH(n_Fecha1,48-1))</f>
        <v/>
      </c>
      <c r="BB5" s="45" t="str">
        <f aca="false">IF(n_Fecha1="","",EOMONTH(n_Fecha1,49-1))</f>
        <v/>
      </c>
      <c r="BC5" s="45" t="str">
        <f aca="false">IF(n_Fecha1="","",EOMONTH(n_Fecha1,50-1))</f>
        <v/>
      </c>
      <c r="BD5" s="45" t="str">
        <f aca="false">IF(n_Fecha1="","",EOMONTH(n_Fecha1,51-1))</f>
        <v/>
      </c>
      <c r="BE5" s="45" t="str">
        <f aca="false">IF(n_Fecha1="","",EOMONTH(n_Fecha1,52-1))</f>
        <v/>
      </c>
      <c r="BF5" s="45" t="str">
        <f aca="false">IF(n_Fecha1="","",EOMONTH(n_Fecha1,53-1))</f>
        <v/>
      </c>
      <c r="BG5" s="45" t="str">
        <f aca="false">IF(n_Fecha1="","",EOMONTH(n_Fecha1,54-1))</f>
        <v/>
      </c>
      <c r="BH5" s="45" t="str">
        <f aca="false">IF(n_Fecha1="","",EOMONTH(n_Fecha1,55-1))</f>
        <v/>
      </c>
      <c r="BI5" s="45" t="str">
        <f aca="false">IF(n_Fecha1="","",EOMONTH(n_Fecha1,56-1))</f>
        <v/>
      </c>
      <c r="BJ5" s="45" t="str">
        <f aca="false">IF(n_Fecha1="","",EOMONTH(n_Fecha1,57-1))</f>
        <v/>
      </c>
      <c r="BK5" s="45" t="str">
        <f aca="false">IF(n_Fecha1="","",EOMONTH(n_Fecha1,58-1))</f>
        <v/>
      </c>
      <c r="BL5" s="45" t="str">
        <f aca="false">IF(n_Fecha1="","",EOMONTH(n_Fecha1,59-1))</f>
        <v/>
      </c>
      <c r="BM5" s="45" t="str">
        <f aca="false">IF(n_Fecha1="","",EOMONTH(n_Fecha1,60-1))</f>
        <v/>
      </c>
      <c r="BN5" s="45" t="str">
        <f aca="false">IF(n_Fecha1="","",EOMONTH(n_Fecha1,61-1))</f>
        <v/>
      </c>
      <c r="BO5" s="45" t="str">
        <f aca="false">IF(n_Fecha1="","",EOMONTH(n_Fecha1,62-1))</f>
        <v/>
      </c>
      <c r="BP5" s="45" t="str">
        <f aca="false">IF(n_Fecha1="","",EOMONTH(n_Fecha1,63-1))</f>
        <v/>
      </c>
      <c r="BQ5" s="45" t="str">
        <f aca="false">IF(n_Fecha1="","",EOMONTH(n_Fecha1,64-1))</f>
        <v/>
      </c>
      <c r="BR5" s="45" t="str">
        <f aca="false">IF(n_Fecha1="","",EOMONTH(n_Fecha1,65-1))</f>
        <v/>
      </c>
      <c r="BS5" s="45" t="str">
        <f aca="false">IF(n_Fecha1="","",EOMONTH(n_Fecha1,66-1))</f>
        <v/>
      </c>
      <c r="BT5" s="45" t="str">
        <f aca="false">IF(n_Fecha1="","",EOMONTH(n_Fecha1,67-1))</f>
        <v/>
      </c>
      <c r="BU5" s="45" t="str">
        <f aca="false">IF(n_Fecha1="","",EOMONTH(n_Fecha1,68-1))</f>
        <v/>
      </c>
      <c r="BV5" s="45" t="str">
        <f aca="false">IF(n_Fecha1="","",EOMONTH(n_Fecha1,69-1))</f>
        <v/>
      </c>
      <c r="BW5" s="45" t="str">
        <f aca="false">IF(n_Fecha1="","",EOMONTH(n_Fecha1,70-1))</f>
        <v/>
      </c>
      <c r="BX5" s="45" t="str">
        <f aca="false">IF(n_Fecha1="","",EOMONTH(n_Fecha1,71-1))</f>
        <v/>
      </c>
      <c r="BY5" s="45" t="str">
        <f aca="false">IF(n_Fecha1="","",EOMONTH(n_Fecha1,72-1))</f>
        <v/>
      </c>
      <c r="BZ5" s="45" t="str">
        <f aca="false">IF(n_Fecha1="","",EOMONTH(n_Fecha1,73-1))</f>
        <v/>
      </c>
      <c r="CA5" s="45" t="str">
        <f aca="false">IF(n_Fecha1="","",EOMONTH(n_Fecha1,74-1))</f>
        <v/>
      </c>
      <c r="CB5" s="45" t="str">
        <f aca="false">IF(n_Fecha1="","",EOMONTH(n_Fecha1,75-1))</f>
        <v/>
      </c>
      <c r="CC5" s="45" t="str">
        <f aca="false">IF(n_Fecha1="","",EOMONTH(n_Fecha1,76-1))</f>
        <v/>
      </c>
      <c r="CD5" s="45" t="str">
        <f aca="false">IF(n_Fecha1="","",EOMONTH(n_Fecha1,77-1))</f>
        <v/>
      </c>
      <c r="CE5" s="45" t="str">
        <f aca="false">IF(n_Fecha1="","",EOMONTH(n_Fecha1,78-1))</f>
        <v/>
      </c>
      <c r="CF5" s="45" t="str">
        <f aca="false">IF(n_Fecha1="","",EOMONTH(n_Fecha1,79-1))</f>
        <v/>
      </c>
      <c r="CG5" s="45" t="str">
        <f aca="false">IF(n_Fecha1="","",EOMONTH(n_Fecha1,80-1))</f>
        <v/>
      </c>
      <c r="CH5" s="45" t="str">
        <f aca="false">IF(n_Fecha1="","",EOMONTH(n_Fecha1,81-1))</f>
        <v/>
      </c>
      <c r="CI5" s="45" t="str">
        <f aca="false">IF(n_Fecha1="","",EOMONTH(n_Fecha1,82-1))</f>
        <v/>
      </c>
      <c r="CJ5" s="45" t="str">
        <f aca="false">IF(n_Fecha1="","",EOMONTH(n_Fecha1,83-1))</f>
        <v/>
      </c>
      <c r="CK5" s="45" t="str">
        <f aca="false">IF(n_Fecha1="","",EOMONTH(n_Fecha1,84-1))</f>
        <v/>
      </c>
      <c r="CL5" s="45" t="str">
        <f aca="false">IF(n_Fecha1="","",EOMONTH(n_Fecha1,85-1))</f>
        <v/>
      </c>
      <c r="CM5" s="45" t="str">
        <f aca="false">IF(n_Fecha1="","",EOMONTH(n_Fecha1,86-1))</f>
        <v/>
      </c>
      <c r="CN5" s="45" t="str">
        <f aca="false">IF(n_Fecha1="","",EOMONTH(n_Fecha1,87-1))</f>
        <v/>
      </c>
      <c r="CO5" s="45" t="str">
        <f aca="false">IF(n_Fecha1="","",EOMONTH(n_Fecha1,88-1))</f>
        <v/>
      </c>
      <c r="CP5" s="45" t="str">
        <f aca="false">IF(n_Fecha1="","",EOMONTH(n_Fecha1,89-1))</f>
        <v/>
      </c>
      <c r="CQ5" s="45" t="str">
        <f aca="false">IF(n_Fecha1="","",EOMONTH(n_Fecha1,90-1))</f>
        <v/>
      </c>
      <c r="CR5" s="45" t="str">
        <f aca="false">IF(n_Fecha1="","",EOMONTH(n_Fecha1,91-1))</f>
        <v/>
      </c>
      <c r="CS5" s="45" t="str">
        <f aca="false">IF(n_Fecha1="","",EOMONTH(n_Fecha1,92-1))</f>
        <v/>
      </c>
      <c r="CT5" s="45" t="str">
        <f aca="false">IF(n_Fecha1="","",EOMONTH(n_Fecha1,93-1))</f>
        <v/>
      </c>
      <c r="CU5" s="45" t="str">
        <f aca="false">IF(n_Fecha1="","",EOMONTH(n_Fecha1,94-1))</f>
        <v/>
      </c>
      <c r="CV5" s="45" t="str">
        <f aca="false">IF(n_Fecha1="","",EOMONTH(n_Fecha1,95-1))</f>
        <v/>
      </c>
      <c r="CW5" s="45" t="str">
        <f aca="false">IF(n_Fecha1="","",EOMONTH(n_Fecha1,96-1))</f>
        <v/>
      </c>
      <c r="CX5" s="45" t="str">
        <f aca="false">IF(n_Fecha1="","",EOMONTH(n_Fecha1,97-1))</f>
        <v/>
      </c>
      <c r="CY5" s="45" t="str">
        <f aca="false">IF(n_Fecha1="","",EOMONTH(n_Fecha1,98-1))</f>
        <v/>
      </c>
      <c r="CZ5" s="45" t="str">
        <f aca="false">IF(n_Fecha1="","",EOMONTH(n_Fecha1,99-1))</f>
        <v/>
      </c>
      <c r="DA5" s="45" t="str">
        <f aca="false">IF(n_Fecha1="","",EOMONTH(n_Fecha1,100-1))</f>
        <v/>
      </c>
      <c r="DB5" s="45" t="str">
        <f aca="false">IF(n_Fecha1="","",EOMONTH(n_Fecha1,101-1))</f>
        <v/>
      </c>
      <c r="DC5" s="45" t="str">
        <f aca="false">IF(n_Fecha1="","",EOMONTH(n_Fecha1,102-1))</f>
        <v/>
      </c>
      <c r="DD5" s="45" t="str">
        <f aca="false">IF(n_Fecha1="","",EOMONTH(n_Fecha1,103-1))</f>
        <v/>
      </c>
      <c r="DE5" s="45" t="str">
        <f aca="false">IF(n_Fecha1="","",EOMONTH(n_Fecha1,104-1))</f>
        <v/>
      </c>
      <c r="DF5" s="45" t="str">
        <f aca="false">IF(n_Fecha1="","",EOMONTH(n_Fecha1,105-1))</f>
        <v/>
      </c>
      <c r="DG5" s="45" t="str">
        <f aca="false">IF(n_Fecha1="","",EOMONTH(n_Fecha1,106-1))</f>
        <v/>
      </c>
      <c r="DH5" s="45" t="str">
        <f aca="false">IF(n_Fecha1="","",EOMONTH(n_Fecha1,107-1))</f>
        <v/>
      </c>
      <c r="DI5" s="45" t="str">
        <f aca="false">IF(n_Fecha1="","",EOMONTH(n_Fecha1,108-1))</f>
        <v/>
      </c>
      <c r="DJ5" s="45" t="str">
        <f aca="false">IF(n_Fecha1="","",EOMONTH(n_Fecha1,109-1))</f>
        <v/>
      </c>
      <c r="DK5" s="45" t="str">
        <f aca="false">IF(n_Fecha1="","",EOMONTH(n_Fecha1,110-1))</f>
        <v/>
      </c>
      <c r="DL5" s="45" t="str">
        <f aca="false">IF(n_Fecha1="","",EOMONTH(n_Fecha1,111-1))</f>
        <v/>
      </c>
      <c r="DM5" s="45" t="str">
        <f aca="false">IF(n_Fecha1="","",EOMONTH(n_Fecha1,112-1))</f>
        <v/>
      </c>
      <c r="DN5" s="45" t="str">
        <f aca="false">IF(n_Fecha1="","",EOMONTH(n_Fecha1,113-1))</f>
        <v/>
      </c>
      <c r="DO5" s="45" t="str">
        <f aca="false">IF(n_Fecha1="","",EOMONTH(n_Fecha1,114-1))</f>
        <v/>
      </c>
      <c r="DP5" s="45" t="str">
        <f aca="false">IF(n_Fecha1="","",EOMONTH(n_Fecha1,115-1))</f>
        <v/>
      </c>
      <c r="DQ5" s="45" t="str">
        <f aca="false">IF(n_Fecha1="","",EOMONTH(n_Fecha1,116-1))</f>
        <v/>
      </c>
      <c r="DR5" s="45" t="str">
        <f aca="false">IF(n_Fecha1="","",EOMONTH(n_Fecha1,117-1))</f>
        <v/>
      </c>
      <c r="DS5" s="45" t="str">
        <f aca="false">IF(n_Fecha1="","",EOMONTH(n_Fecha1,118-1))</f>
        <v/>
      </c>
      <c r="DT5" s="45" t="str">
        <f aca="false">IF(n_Fecha1="","",EOMONTH(n_Fecha1,119-1))</f>
        <v/>
      </c>
      <c r="DU5" s="45" t="str">
        <f aca="false">IF(n_Fecha1="","",EOMONTH(n_Fecha1,120-1))</f>
        <v/>
      </c>
      <c r="DV5" s="45" t="str">
        <f aca="false">IF(n_Fecha1="","",EOMONTH(n_Fecha1,121-1))</f>
        <v/>
      </c>
      <c r="DW5" s="45" t="str">
        <f aca="false">IF(n_Fecha1="","",EOMONTH(n_Fecha1,122-1))</f>
        <v/>
      </c>
      <c r="DX5" s="45" t="str">
        <f aca="false">IF(n_Fecha1="","",EOMONTH(n_Fecha1,123-1))</f>
        <v/>
      </c>
      <c r="DY5" s="45" t="str">
        <f aca="false">IF(n_Fecha1="","",EOMONTH(n_Fecha1,124-1))</f>
        <v/>
      </c>
      <c r="DZ5" s="45" t="str">
        <f aca="false">IF(n_Fecha1="","",EOMONTH(n_Fecha1,125-1))</f>
        <v/>
      </c>
      <c r="EA5" s="45" t="str">
        <f aca="false">IF(n_Fecha1="","",EOMONTH(n_Fecha1,126-1))</f>
        <v/>
      </c>
      <c r="EB5" s="45" t="str">
        <f aca="false">IF(n_Fecha1="","",EOMONTH(n_Fecha1,127-1))</f>
        <v/>
      </c>
      <c r="EC5" s="45" t="str">
        <f aca="false">IF(n_Fecha1="","",EOMONTH(n_Fecha1,128-1))</f>
        <v/>
      </c>
      <c r="ED5" s="45" t="str">
        <f aca="false">IF(n_Fecha1="","",EOMONTH(n_Fecha1,129-1))</f>
        <v/>
      </c>
      <c r="EE5" s="45" t="str">
        <f aca="false">IF(n_Fecha1="","",EOMONTH(n_Fecha1,130-1))</f>
        <v/>
      </c>
      <c r="EF5" s="45" t="str">
        <f aca="false">IF(n_Fecha1="","",EOMONTH(n_Fecha1,131-1))</f>
        <v/>
      </c>
      <c r="EG5" s="45" t="str">
        <f aca="false">IF(n_Fecha1="","",EOMONTH(n_Fecha1,132-1))</f>
        <v/>
      </c>
      <c r="EH5" s="45" t="str">
        <f aca="false">IF(n_Fecha1="","",EOMONTH(n_Fecha1,133-1))</f>
        <v/>
      </c>
      <c r="EI5" s="45" t="str">
        <f aca="false">IF(n_Fecha1="","",EOMONTH(n_Fecha1,134-1))</f>
        <v/>
      </c>
      <c r="EJ5" s="45" t="str">
        <f aca="false">IF(n_Fecha1="","",EOMONTH(n_Fecha1,135-1))</f>
        <v/>
      </c>
      <c r="EK5" s="45" t="str">
        <f aca="false">IF(n_Fecha1="","",EOMONTH(n_Fecha1,136-1))</f>
        <v/>
      </c>
      <c r="EL5" s="45" t="str">
        <f aca="false">IF(n_Fecha1="","",EOMONTH(n_Fecha1,137-1))</f>
        <v/>
      </c>
      <c r="EM5" s="45" t="str">
        <f aca="false">IF(n_Fecha1="","",EOMONTH(n_Fecha1,138-1))</f>
        <v/>
      </c>
      <c r="EN5" s="45" t="str">
        <f aca="false">IF(n_Fecha1="","",EOMONTH(n_Fecha1,139-1))</f>
        <v/>
      </c>
      <c r="EO5" s="45" t="str">
        <f aca="false">IF(n_Fecha1="","",EOMONTH(n_Fecha1,140-1))</f>
        <v/>
      </c>
      <c r="EP5" s="45" t="str">
        <f aca="false">IF(n_Fecha1="","",EOMONTH(n_Fecha1,141-1))</f>
        <v/>
      </c>
      <c r="EQ5" s="45" t="str">
        <f aca="false">IF(n_Fecha1="","",EOMONTH(n_Fecha1,142-1))</f>
        <v/>
      </c>
      <c r="ER5" s="45" t="str">
        <f aca="false">IF(n_Fecha1="","",EOMONTH(n_Fecha1,143-1))</f>
        <v/>
      </c>
      <c r="ES5" s="45" t="str">
        <f aca="false">IF(n_Fecha1="","",EOMONTH(n_Fecha1,144-1))</f>
        <v/>
      </c>
    </row>
    <row r="6" customFormat="false" ht="15" hidden="false" customHeight="false" outlineLevel="0" collapsed="false">
      <c r="A6" s="43"/>
      <c r="B6" s="44" t="s">
        <v>459</v>
      </c>
      <c r="C6" s="43"/>
      <c r="D6" s="43"/>
      <c r="E6" s="43"/>
      <c r="F6" s="46" t="n">
        <f aca="false">ROUNDUP(1/12,0)</f>
        <v>1</v>
      </c>
      <c r="G6" s="46" t="n">
        <f aca="false">ROUNDUP(2/12,0)</f>
        <v>1</v>
      </c>
      <c r="H6" s="46" t="n">
        <f aca="false">ROUNDUP(3/12,0)</f>
        <v>1</v>
      </c>
      <c r="I6" s="46" t="n">
        <f aca="false">ROUNDUP(4/12,0)</f>
        <v>1</v>
      </c>
      <c r="J6" s="46" t="n">
        <f aca="false">ROUNDUP(5/12,0)</f>
        <v>1</v>
      </c>
      <c r="K6" s="46" t="n">
        <f aca="false">ROUNDUP(6/12,0)</f>
        <v>1</v>
      </c>
      <c r="L6" s="46" t="n">
        <f aca="false">ROUNDUP(7/12,0)</f>
        <v>1</v>
      </c>
      <c r="M6" s="46" t="n">
        <f aca="false">ROUNDUP(8/12,0)</f>
        <v>1</v>
      </c>
      <c r="N6" s="46" t="n">
        <f aca="false">ROUNDUP(9/12,0)</f>
        <v>1</v>
      </c>
      <c r="O6" s="46" t="n">
        <f aca="false">ROUNDUP(10/12,0)</f>
        <v>1</v>
      </c>
      <c r="P6" s="46" t="n">
        <f aca="false">ROUNDUP(11/12,0)</f>
        <v>1</v>
      </c>
      <c r="Q6" s="46" t="n">
        <f aca="false">ROUNDUP(12/12,0)</f>
        <v>1</v>
      </c>
      <c r="R6" s="46" t="n">
        <f aca="false">ROUNDUP(13/12,0)</f>
        <v>2</v>
      </c>
      <c r="S6" s="46" t="n">
        <f aca="false">ROUNDUP(14/12,0)</f>
        <v>2</v>
      </c>
      <c r="T6" s="46" t="n">
        <f aca="false">ROUNDUP(15/12,0)</f>
        <v>2</v>
      </c>
      <c r="U6" s="46" t="n">
        <f aca="false">ROUNDUP(16/12,0)</f>
        <v>2</v>
      </c>
      <c r="V6" s="46" t="n">
        <f aca="false">ROUNDUP(17/12,0)</f>
        <v>2</v>
      </c>
      <c r="W6" s="46" t="n">
        <f aca="false">ROUNDUP(18/12,0)</f>
        <v>2</v>
      </c>
      <c r="X6" s="46" t="n">
        <f aca="false">ROUNDUP(19/12,0)</f>
        <v>2</v>
      </c>
      <c r="Y6" s="46" t="n">
        <f aca="false">ROUNDUP(20/12,0)</f>
        <v>2</v>
      </c>
      <c r="Z6" s="46" t="n">
        <f aca="false">ROUNDUP(21/12,0)</f>
        <v>2</v>
      </c>
      <c r="AA6" s="46" t="n">
        <f aca="false">ROUNDUP(22/12,0)</f>
        <v>2</v>
      </c>
      <c r="AB6" s="46" t="n">
        <f aca="false">ROUNDUP(23/12,0)</f>
        <v>2</v>
      </c>
      <c r="AC6" s="46" t="n">
        <f aca="false">ROUNDUP(24/12,0)</f>
        <v>2</v>
      </c>
      <c r="AD6" s="46" t="n">
        <f aca="false">ROUNDUP(25/12,0)</f>
        <v>3</v>
      </c>
      <c r="AE6" s="46" t="n">
        <f aca="false">ROUNDUP(26/12,0)</f>
        <v>3</v>
      </c>
      <c r="AF6" s="46" t="n">
        <f aca="false">ROUNDUP(27/12,0)</f>
        <v>3</v>
      </c>
      <c r="AG6" s="46" t="n">
        <f aca="false">ROUNDUP(28/12,0)</f>
        <v>3</v>
      </c>
      <c r="AH6" s="46" t="n">
        <f aca="false">ROUNDUP(29/12,0)</f>
        <v>3</v>
      </c>
      <c r="AI6" s="46" t="n">
        <f aca="false">ROUNDUP(30/12,0)</f>
        <v>3</v>
      </c>
      <c r="AJ6" s="46" t="n">
        <f aca="false">ROUNDUP(31/12,0)</f>
        <v>3</v>
      </c>
      <c r="AK6" s="46" t="n">
        <f aca="false">ROUNDUP(32/12,0)</f>
        <v>3</v>
      </c>
      <c r="AL6" s="46" t="n">
        <f aca="false">ROUNDUP(33/12,0)</f>
        <v>3</v>
      </c>
      <c r="AM6" s="46" t="n">
        <f aca="false">ROUNDUP(34/12,0)</f>
        <v>3</v>
      </c>
      <c r="AN6" s="46" t="n">
        <f aca="false">ROUNDUP(35/12,0)</f>
        <v>3</v>
      </c>
      <c r="AO6" s="46" t="n">
        <f aca="false">ROUNDUP(36/12,0)</f>
        <v>3</v>
      </c>
      <c r="AP6" s="46" t="n">
        <f aca="false">ROUNDUP(37/12,0)</f>
        <v>4</v>
      </c>
      <c r="AQ6" s="46" t="n">
        <f aca="false">ROUNDUP(38/12,0)</f>
        <v>4</v>
      </c>
      <c r="AR6" s="46" t="n">
        <f aca="false">ROUNDUP(39/12,0)</f>
        <v>4</v>
      </c>
      <c r="AS6" s="46" t="n">
        <f aca="false">ROUNDUP(40/12,0)</f>
        <v>4</v>
      </c>
      <c r="AT6" s="46" t="n">
        <f aca="false">ROUNDUP(41/12,0)</f>
        <v>4</v>
      </c>
      <c r="AU6" s="46" t="n">
        <f aca="false">ROUNDUP(42/12,0)</f>
        <v>4</v>
      </c>
      <c r="AV6" s="46" t="n">
        <f aca="false">ROUNDUP(43/12,0)</f>
        <v>4</v>
      </c>
      <c r="AW6" s="46" t="n">
        <f aca="false">ROUNDUP(44/12,0)</f>
        <v>4</v>
      </c>
      <c r="AX6" s="46" t="n">
        <f aca="false">ROUNDUP(45/12,0)</f>
        <v>4</v>
      </c>
      <c r="AY6" s="46" t="n">
        <f aca="false">ROUNDUP(46/12,0)</f>
        <v>4</v>
      </c>
      <c r="AZ6" s="46" t="n">
        <f aca="false">ROUNDUP(47/12,0)</f>
        <v>4</v>
      </c>
      <c r="BA6" s="46" t="n">
        <f aca="false">ROUNDUP(48/12,0)</f>
        <v>4</v>
      </c>
      <c r="BB6" s="46" t="n">
        <f aca="false">ROUNDUP(49/12,0)</f>
        <v>5</v>
      </c>
      <c r="BC6" s="46" t="n">
        <f aca="false">ROUNDUP(50/12,0)</f>
        <v>5</v>
      </c>
      <c r="BD6" s="46" t="n">
        <f aca="false">ROUNDUP(51/12,0)</f>
        <v>5</v>
      </c>
      <c r="BE6" s="46" t="n">
        <f aca="false">ROUNDUP(52/12,0)</f>
        <v>5</v>
      </c>
      <c r="BF6" s="46" t="n">
        <f aca="false">ROUNDUP(53/12,0)</f>
        <v>5</v>
      </c>
      <c r="BG6" s="46" t="n">
        <f aca="false">ROUNDUP(54/12,0)</f>
        <v>5</v>
      </c>
      <c r="BH6" s="46" t="n">
        <f aca="false">ROUNDUP(55/12,0)</f>
        <v>5</v>
      </c>
      <c r="BI6" s="46" t="n">
        <f aca="false">ROUNDUP(56/12,0)</f>
        <v>5</v>
      </c>
      <c r="BJ6" s="46" t="n">
        <f aca="false">ROUNDUP(57/12,0)</f>
        <v>5</v>
      </c>
      <c r="BK6" s="46" t="n">
        <f aca="false">ROUNDUP(58/12,0)</f>
        <v>5</v>
      </c>
      <c r="BL6" s="46" t="n">
        <f aca="false">ROUNDUP(59/12,0)</f>
        <v>5</v>
      </c>
      <c r="BM6" s="46" t="n">
        <f aca="false">ROUNDUP(60/12,0)</f>
        <v>5</v>
      </c>
      <c r="BN6" s="46" t="n">
        <f aca="false">ROUNDUP(61/12,0)</f>
        <v>6</v>
      </c>
      <c r="BO6" s="46" t="n">
        <f aca="false">ROUNDUP(62/12,0)</f>
        <v>6</v>
      </c>
      <c r="BP6" s="46" t="n">
        <f aca="false">ROUNDUP(63/12,0)</f>
        <v>6</v>
      </c>
      <c r="BQ6" s="46" t="n">
        <f aca="false">ROUNDUP(64/12,0)</f>
        <v>6</v>
      </c>
      <c r="BR6" s="46" t="n">
        <f aca="false">ROUNDUP(65/12,0)</f>
        <v>6</v>
      </c>
      <c r="BS6" s="46" t="n">
        <f aca="false">ROUNDUP(66/12,0)</f>
        <v>6</v>
      </c>
      <c r="BT6" s="46" t="n">
        <f aca="false">ROUNDUP(67/12,0)</f>
        <v>6</v>
      </c>
      <c r="BU6" s="46" t="n">
        <f aca="false">ROUNDUP(68/12,0)</f>
        <v>6</v>
      </c>
      <c r="BV6" s="46" t="n">
        <f aca="false">ROUNDUP(69/12,0)</f>
        <v>6</v>
      </c>
      <c r="BW6" s="46" t="n">
        <f aca="false">ROUNDUP(70/12,0)</f>
        <v>6</v>
      </c>
      <c r="BX6" s="46" t="n">
        <f aca="false">ROUNDUP(71/12,0)</f>
        <v>6</v>
      </c>
      <c r="BY6" s="46" t="n">
        <f aca="false">ROUNDUP(72/12,0)</f>
        <v>6</v>
      </c>
      <c r="BZ6" s="46" t="n">
        <f aca="false">ROUNDUP(73/12,0)</f>
        <v>7</v>
      </c>
      <c r="CA6" s="46" t="n">
        <f aca="false">ROUNDUP(74/12,0)</f>
        <v>7</v>
      </c>
      <c r="CB6" s="46" t="n">
        <f aca="false">ROUNDUP(75/12,0)</f>
        <v>7</v>
      </c>
      <c r="CC6" s="46" t="n">
        <f aca="false">ROUNDUP(76/12,0)</f>
        <v>7</v>
      </c>
      <c r="CD6" s="46" t="n">
        <f aca="false">ROUNDUP(77/12,0)</f>
        <v>7</v>
      </c>
      <c r="CE6" s="46" t="n">
        <f aca="false">ROUNDUP(78/12,0)</f>
        <v>7</v>
      </c>
      <c r="CF6" s="46" t="n">
        <f aca="false">ROUNDUP(79/12,0)</f>
        <v>7</v>
      </c>
      <c r="CG6" s="46" t="n">
        <f aca="false">ROUNDUP(80/12,0)</f>
        <v>7</v>
      </c>
      <c r="CH6" s="46" t="n">
        <f aca="false">ROUNDUP(81/12,0)</f>
        <v>7</v>
      </c>
      <c r="CI6" s="46" t="n">
        <f aca="false">ROUNDUP(82/12,0)</f>
        <v>7</v>
      </c>
      <c r="CJ6" s="46" t="n">
        <f aca="false">ROUNDUP(83/12,0)</f>
        <v>7</v>
      </c>
      <c r="CK6" s="46" t="n">
        <f aca="false">ROUNDUP(84/12,0)</f>
        <v>7</v>
      </c>
      <c r="CL6" s="46" t="n">
        <f aca="false">ROUNDUP(85/12,0)</f>
        <v>8</v>
      </c>
      <c r="CM6" s="46" t="n">
        <f aca="false">ROUNDUP(86/12,0)</f>
        <v>8</v>
      </c>
      <c r="CN6" s="46" t="n">
        <f aca="false">ROUNDUP(87/12,0)</f>
        <v>8</v>
      </c>
      <c r="CO6" s="46" t="n">
        <f aca="false">ROUNDUP(88/12,0)</f>
        <v>8</v>
      </c>
      <c r="CP6" s="46" t="n">
        <f aca="false">ROUNDUP(89/12,0)</f>
        <v>8</v>
      </c>
      <c r="CQ6" s="46" t="n">
        <f aca="false">ROUNDUP(90/12,0)</f>
        <v>8</v>
      </c>
      <c r="CR6" s="46" t="n">
        <f aca="false">ROUNDUP(91/12,0)</f>
        <v>8</v>
      </c>
      <c r="CS6" s="46" t="n">
        <f aca="false">ROUNDUP(92/12,0)</f>
        <v>8</v>
      </c>
      <c r="CT6" s="46" t="n">
        <f aca="false">ROUNDUP(93/12,0)</f>
        <v>8</v>
      </c>
      <c r="CU6" s="46" t="n">
        <f aca="false">ROUNDUP(94/12,0)</f>
        <v>8</v>
      </c>
      <c r="CV6" s="46" t="n">
        <f aca="false">ROUNDUP(95/12,0)</f>
        <v>8</v>
      </c>
      <c r="CW6" s="46" t="n">
        <f aca="false">ROUNDUP(96/12,0)</f>
        <v>8</v>
      </c>
      <c r="CX6" s="46" t="n">
        <f aca="false">ROUNDUP(97/12,0)</f>
        <v>9</v>
      </c>
      <c r="CY6" s="46" t="n">
        <f aca="false">ROUNDUP(98/12,0)</f>
        <v>9</v>
      </c>
      <c r="CZ6" s="46" t="n">
        <f aca="false">ROUNDUP(99/12,0)</f>
        <v>9</v>
      </c>
      <c r="DA6" s="46" t="n">
        <f aca="false">ROUNDUP(100/12,0)</f>
        <v>9</v>
      </c>
      <c r="DB6" s="46" t="n">
        <f aca="false">ROUNDUP(101/12,0)</f>
        <v>9</v>
      </c>
      <c r="DC6" s="46" t="n">
        <f aca="false">ROUNDUP(102/12,0)</f>
        <v>9</v>
      </c>
      <c r="DD6" s="46" t="n">
        <f aca="false">ROUNDUP(103/12,0)</f>
        <v>9</v>
      </c>
      <c r="DE6" s="46" t="n">
        <f aca="false">ROUNDUP(104/12,0)</f>
        <v>9</v>
      </c>
      <c r="DF6" s="46" t="n">
        <f aca="false">ROUNDUP(105/12,0)</f>
        <v>9</v>
      </c>
      <c r="DG6" s="46" t="n">
        <f aca="false">ROUNDUP(106/12,0)</f>
        <v>9</v>
      </c>
      <c r="DH6" s="46" t="n">
        <f aca="false">ROUNDUP(107/12,0)</f>
        <v>9</v>
      </c>
      <c r="DI6" s="46" t="n">
        <f aca="false">ROUNDUP(108/12,0)</f>
        <v>9</v>
      </c>
      <c r="DJ6" s="46" t="n">
        <f aca="false">ROUNDUP(109/12,0)</f>
        <v>10</v>
      </c>
      <c r="DK6" s="46" t="n">
        <f aca="false">ROUNDUP(110/12,0)</f>
        <v>10</v>
      </c>
      <c r="DL6" s="46" t="n">
        <f aca="false">ROUNDUP(111/12,0)</f>
        <v>10</v>
      </c>
      <c r="DM6" s="46" t="n">
        <f aca="false">ROUNDUP(112/12,0)</f>
        <v>10</v>
      </c>
      <c r="DN6" s="46" t="n">
        <f aca="false">ROUNDUP(113/12,0)</f>
        <v>10</v>
      </c>
      <c r="DO6" s="46" t="n">
        <f aca="false">ROUNDUP(114/12,0)</f>
        <v>10</v>
      </c>
      <c r="DP6" s="46" t="n">
        <f aca="false">ROUNDUP(115/12,0)</f>
        <v>10</v>
      </c>
      <c r="DQ6" s="46" t="n">
        <f aca="false">ROUNDUP(116/12,0)</f>
        <v>10</v>
      </c>
      <c r="DR6" s="46" t="n">
        <f aca="false">ROUNDUP(117/12,0)</f>
        <v>10</v>
      </c>
      <c r="DS6" s="46" t="n">
        <f aca="false">ROUNDUP(118/12,0)</f>
        <v>10</v>
      </c>
      <c r="DT6" s="46" t="n">
        <f aca="false">ROUNDUP(119/12,0)</f>
        <v>10</v>
      </c>
      <c r="DU6" s="46" t="n">
        <f aca="false">ROUNDUP(120/12,0)</f>
        <v>10</v>
      </c>
      <c r="DV6" s="46" t="n">
        <f aca="false">ROUNDUP(121/12,0)</f>
        <v>11</v>
      </c>
      <c r="DW6" s="46" t="n">
        <f aca="false">ROUNDUP(122/12,0)</f>
        <v>11</v>
      </c>
      <c r="DX6" s="46" t="n">
        <f aca="false">ROUNDUP(123/12,0)</f>
        <v>11</v>
      </c>
      <c r="DY6" s="46" t="n">
        <f aca="false">ROUNDUP(124/12,0)</f>
        <v>11</v>
      </c>
      <c r="DZ6" s="46" t="n">
        <f aca="false">ROUNDUP(125/12,0)</f>
        <v>11</v>
      </c>
      <c r="EA6" s="46" t="n">
        <f aca="false">ROUNDUP(126/12,0)</f>
        <v>11</v>
      </c>
      <c r="EB6" s="46" t="n">
        <f aca="false">ROUNDUP(127/12,0)</f>
        <v>11</v>
      </c>
      <c r="EC6" s="46" t="n">
        <f aca="false">ROUNDUP(128/12,0)</f>
        <v>11</v>
      </c>
      <c r="ED6" s="46" t="n">
        <f aca="false">ROUNDUP(129/12,0)</f>
        <v>11</v>
      </c>
      <c r="EE6" s="46" t="n">
        <f aca="false">ROUNDUP(130/12,0)</f>
        <v>11</v>
      </c>
      <c r="EF6" s="46" t="n">
        <f aca="false">ROUNDUP(131/12,0)</f>
        <v>11</v>
      </c>
      <c r="EG6" s="46" t="n">
        <f aca="false">ROUNDUP(132/12,0)</f>
        <v>11</v>
      </c>
      <c r="EH6" s="46" t="n">
        <f aca="false">ROUNDUP(133/12,0)</f>
        <v>12</v>
      </c>
      <c r="EI6" s="46" t="n">
        <f aca="false">ROUNDUP(134/12,0)</f>
        <v>12</v>
      </c>
      <c r="EJ6" s="46" t="n">
        <f aca="false">ROUNDUP(135/12,0)</f>
        <v>12</v>
      </c>
      <c r="EK6" s="46" t="n">
        <f aca="false">ROUNDUP(136/12,0)</f>
        <v>12</v>
      </c>
      <c r="EL6" s="46" t="n">
        <f aca="false">ROUNDUP(137/12,0)</f>
        <v>12</v>
      </c>
      <c r="EM6" s="46" t="n">
        <f aca="false">ROUNDUP(138/12,0)</f>
        <v>12</v>
      </c>
      <c r="EN6" s="46" t="n">
        <f aca="false">ROUNDUP(139/12,0)</f>
        <v>12</v>
      </c>
      <c r="EO6" s="46" t="n">
        <f aca="false">ROUNDUP(140/12,0)</f>
        <v>12</v>
      </c>
      <c r="EP6" s="46" t="n">
        <f aca="false">ROUNDUP(141/12,0)</f>
        <v>12</v>
      </c>
      <c r="EQ6" s="46" t="n">
        <f aca="false">ROUNDUP(142/12,0)</f>
        <v>12</v>
      </c>
      <c r="ER6" s="46" t="n">
        <f aca="false">ROUNDUP(143/12,0)</f>
        <v>12</v>
      </c>
      <c r="ES6" s="46" t="n">
        <f aca="false">ROUNDUP(144/12,0)</f>
        <v>12</v>
      </c>
    </row>
    <row r="7" customFormat="false" ht="15" hidden="false" customHeight="false" outlineLevel="0" collapsed="false">
      <c r="A7" s="43"/>
      <c r="B7" s="44" t="s">
        <v>460</v>
      </c>
      <c r="C7" s="43"/>
      <c r="D7" s="43"/>
      <c r="E7" s="43"/>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461</v>
      </c>
      <c r="B9" s="4"/>
      <c r="C9" s="4"/>
      <c r="D9" s="4"/>
      <c r="E9" s="4"/>
    </row>
    <row r="10" customFormat="false" ht="15" hidden="false" customHeight="false" outlineLevel="0" collapsed="false">
      <c r="A10" s="2" t="s">
        <v>206</v>
      </c>
      <c r="B10" s="6" t="s">
        <v>462</v>
      </c>
      <c r="C10" s="6" t="s">
        <v>208</v>
      </c>
      <c r="D10" s="10"/>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row>
    <row r="11" customFormat="false" ht="15" hidden="false" customHeight="false" outlineLevel="0" collapsed="false">
      <c r="A11" s="3" t="s">
        <v>463</v>
      </c>
      <c r="B11" s="4"/>
      <c r="C11" s="4"/>
      <c r="D11" s="4"/>
      <c r="E11" s="4"/>
    </row>
    <row r="12" customFormat="false" ht="15" hidden="false" customHeight="false" outlineLevel="0" collapsed="false">
      <c r="A12" s="2" t="s">
        <v>464</v>
      </c>
      <c r="B12" s="39" t="str">
        <f aca="false">IF(INDEX(Prod_Nombre,1)="","Producto 1 (unidades)",INDEX(Prod_Nombre,1)&amp;" (unidades)")</f>
        <v>Gabinetes metálicos 153 kg (unidades)</v>
      </c>
      <c r="C12" s="6" t="s">
        <v>286</v>
      </c>
      <c r="D12" s="10" t="n">
        <f aca="false">SUM(F12:ES12)</f>
        <v>0</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row>
    <row r="13" customFormat="false" ht="15" hidden="false" customHeight="false" outlineLevel="0" collapsed="false">
      <c r="A13" s="2" t="s">
        <v>465</v>
      </c>
      <c r="B13" s="39" t="str">
        <f aca="false">IF(INDEX(Prod_Nombre,2)="","Producto 2 (unidades)",INDEX(Prod_Nombre,2)&amp;" (unidades)")</f>
        <v>Cajas metálicas 13 kg (unidades)</v>
      </c>
      <c r="C13" s="6" t="s">
        <v>286</v>
      </c>
      <c r="D13" s="10" t="n">
        <f aca="false">SUM(F13:ES13)</f>
        <v>0</v>
      </c>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row>
    <row r="14" customFormat="false" ht="15" hidden="false" customHeight="false" outlineLevel="0" collapsed="false">
      <c r="A14" s="2" t="s">
        <v>466</v>
      </c>
      <c r="B14" s="39" t="str">
        <f aca="false">IF(INDEX(Prod_Nombre,3)="","Producto 3 (unidades)",INDEX(Prod_Nombre,3)&amp;" (unidades)")</f>
        <v>Producto 3 (unidades)</v>
      </c>
      <c r="C14" s="6" t="s">
        <v>286</v>
      </c>
      <c r="D14" s="10" t="n">
        <f aca="false">SUM(F14:ES14)</f>
        <v>0</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row>
    <row r="15" customFormat="false" ht="15" hidden="false" customHeight="false" outlineLevel="0" collapsed="false">
      <c r="A15" s="2" t="s">
        <v>467</v>
      </c>
      <c r="B15" s="39" t="str">
        <f aca="false">IF(INDEX(Prod_Nombre,4)="","Producto 4 (unidades)",INDEX(Prod_Nombre,4)&amp;" (unidades)")</f>
        <v>Producto 4 (unidades)</v>
      </c>
      <c r="C15" s="6" t="s">
        <v>286</v>
      </c>
      <c r="D15" s="10" t="n">
        <f aca="false">SUM(F15:ES15)</f>
        <v>0</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row>
    <row r="16" customFormat="false" ht="15" hidden="false" customHeight="false" outlineLevel="0" collapsed="false">
      <c r="A16" s="2" t="s">
        <v>468</v>
      </c>
      <c r="B16" s="39" t="str">
        <f aca="false">IF(INDEX(Prod_Nombre,5)="","Producto 5 (unidades)",INDEX(Prod_Nombre,5)&amp;" (unidades)")</f>
        <v>Producto 5 (unidades)</v>
      </c>
      <c r="C16" s="6" t="s">
        <v>286</v>
      </c>
      <c r="D16" s="10" t="n">
        <f aca="false">SUM(F16:ES16)</f>
        <v>0</v>
      </c>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row>
    <row r="17" customFormat="false" ht="15" hidden="false" customHeight="false" outlineLevel="0" collapsed="false">
      <c r="A17" s="2" t="s">
        <v>469</v>
      </c>
      <c r="B17" s="39" t="str">
        <f aca="false">IF(INDEX(Prod_Nombre,6)="","Producto 6 (unidades)",INDEX(Prod_Nombre,6)&amp;" (unidades)")</f>
        <v>Producto 6 (unidades)</v>
      </c>
      <c r="C17" s="6" t="s">
        <v>286</v>
      </c>
      <c r="D17" s="10" t="n">
        <f aca="false">SUM(F17:ES17)</f>
        <v>0</v>
      </c>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row>
    <row r="18" customFormat="false" ht="15" hidden="false" customHeight="false" outlineLevel="0" collapsed="false">
      <c r="A18" s="2" t="s">
        <v>470</v>
      </c>
      <c r="B18" s="39" t="str">
        <f aca="false">IF(INDEX(Prod_Nombre,7)="","Producto 7 (unidades)",INDEX(Prod_Nombre,7)&amp;" (unidades)")</f>
        <v>Producto 7 (unidades)</v>
      </c>
      <c r="C18" s="6" t="s">
        <v>286</v>
      </c>
      <c r="D18" s="10" t="n">
        <f aca="false">SUM(F18:ES18)</f>
        <v>0</v>
      </c>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row>
    <row r="19" customFormat="false" ht="15" hidden="false" customHeight="false" outlineLevel="0" collapsed="false">
      <c r="A19" s="2" t="s">
        <v>471</v>
      </c>
      <c r="B19" s="39" t="str">
        <f aca="false">IF(INDEX(Prod_Nombre,8)="","Producto 8 (unidades)",INDEX(Prod_Nombre,8)&amp;" (unidades)")</f>
        <v>Producto 8 (unidades)</v>
      </c>
      <c r="C19" s="6" t="s">
        <v>286</v>
      </c>
      <c r="D19" s="10" t="n">
        <f aca="false">SUM(F19:ES19)</f>
        <v>0</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row>
    <row r="20" customFormat="false" ht="15" hidden="false" customHeight="false" outlineLevel="0" collapsed="false">
      <c r="A20" s="2" t="s">
        <v>472</v>
      </c>
      <c r="B20" s="39" t="str">
        <f aca="false">IF(INDEX(Prod_Nombre,9)="","Producto 9 (unidades)",INDEX(Prod_Nombre,9)&amp;" (unidades)")</f>
        <v>Producto 9 (unidades)</v>
      </c>
      <c r="C20" s="6" t="s">
        <v>286</v>
      </c>
      <c r="D20" s="10" t="n">
        <f aca="false">SUM(F20:ES20)</f>
        <v>0</v>
      </c>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row>
    <row r="21" customFormat="false" ht="15" hidden="false" customHeight="false" outlineLevel="0" collapsed="false">
      <c r="A21" s="2" t="s">
        <v>473</v>
      </c>
      <c r="B21" s="39" t="str">
        <f aca="false">IF(INDEX(Prod_Nombre,10)="","Producto 10 (unidades)",INDEX(Prod_Nombre,10)&amp;" (unidades)")</f>
        <v>Producto 10 (unidades)</v>
      </c>
      <c r="C21" s="6" t="s">
        <v>286</v>
      </c>
      <c r="D21" s="10" t="n">
        <f aca="false">SUM(F21:ES21)</f>
        <v>0</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row>
    <row r="22" customFormat="false" ht="15" hidden="false" customHeight="false" outlineLevel="0" collapsed="false">
      <c r="A22" s="2" t="s">
        <v>474</v>
      </c>
      <c r="B22" s="39" t="str">
        <f aca="false">IF(INDEX(Prod_Nombre,11)="","Producto 11 (unidades)",INDEX(Prod_Nombre,11)&amp;" (unidades)")</f>
        <v>Producto 11 (unidades)</v>
      </c>
      <c r="C22" s="6" t="s">
        <v>286</v>
      </c>
      <c r="D22" s="10" t="n">
        <f aca="false">SUM(F22:ES22)</f>
        <v>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row>
    <row r="23" customFormat="false" ht="15" hidden="false" customHeight="false" outlineLevel="0" collapsed="false">
      <c r="A23" s="2" t="s">
        <v>475</v>
      </c>
      <c r="B23" s="39" t="str">
        <f aca="false">IF(INDEX(Prod_Nombre,12)="","Producto 12 (unidades)",INDEX(Prod_Nombre,12)&amp;" (unidades)")</f>
        <v>Producto 12 (unidades)</v>
      </c>
      <c r="C23" s="6" t="s">
        <v>286</v>
      </c>
      <c r="D23" s="10" t="n">
        <f aca="false">SUM(F23:ES23)</f>
        <v>0</v>
      </c>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row>
    <row r="24" customFormat="false" ht="15" hidden="false" customHeight="false" outlineLevel="0" collapsed="false">
      <c r="A24" s="3" t="s">
        <v>476</v>
      </c>
      <c r="B24" s="4"/>
      <c r="C24" s="4"/>
      <c r="D24" s="4"/>
      <c r="E24" s="4"/>
    </row>
    <row r="25" customFormat="false" ht="15" hidden="false" customHeight="false" outlineLevel="0" collapsed="false">
      <c r="A25" s="2" t="s">
        <v>477</v>
      </c>
      <c r="B25" s="39" t="str">
        <f aca="false">IF(INDEX(Prod_Nombre,1)="","Producto 1 (ventas)",INDEX(Prod_Nombre,1)&amp;" (ventas)")</f>
        <v>Gabinetes metálicos 153 kg (ventas)</v>
      </c>
      <c r="C25" s="7" t="s">
        <v>250</v>
      </c>
      <c r="D25" s="10" t="n">
        <f aca="false">SUM(F25:ES25)</f>
        <v>0</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row>
    <row r="26" customFormat="false" ht="15" hidden="false" customHeight="false" outlineLevel="0" collapsed="false">
      <c r="A26" s="2" t="s">
        <v>478</v>
      </c>
      <c r="B26" s="39" t="str">
        <f aca="false">IF(INDEX(Prod_Nombre,2)="","Producto 2 (ventas)",INDEX(Prod_Nombre,2)&amp;" (ventas)")</f>
        <v>Cajas metálicas 13 kg (ventas)</v>
      </c>
      <c r="C26" s="7" t="s">
        <v>250</v>
      </c>
      <c r="D26" s="10" t="n">
        <f aca="false">SUM(F26:ES26)</f>
        <v>0</v>
      </c>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row>
    <row r="27" customFormat="false" ht="15" hidden="false" customHeight="false" outlineLevel="0" collapsed="false">
      <c r="A27" s="2" t="s">
        <v>479</v>
      </c>
      <c r="B27" s="39" t="str">
        <f aca="false">IF(INDEX(Prod_Nombre,3)="","Producto 3 (ventas)",INDEX(Prod_Nombre,3)&amp;" (ventas)")</f>
        <v>Producto 3 (ventas)</v>
      </c>
      <c r="C27" s="7" t="s">
        <v>250</v>
      </c>
      <c r="D27" s="10" t="n">
        <f aca="false">SUM(F27:ES27)</f>
        <v>0</v>
      </c>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row>
    <row r="28" customFormat="false" ht="15" hidden="false" customHeight="false" outlineLevel="0" collapsed="false">
      <c r="A28" s="2" t="s">
        <v>480</v>
      </c>
      <c r="B28" s="39" t="str">
        <f aca="false">IF(INDEX(Prod_Nombre,4)="","Producto 4 (ventas)",INDEX(Prod_Nombre,4)&amp;" (ventas)")</f>
        <v>Producto 4 (ventas)</v>
      </c>
      <c r="C28" s="7" t="s">
        <v>250</v>
      </c>
      <c r="D28" s="10" t="n">
        <f aca="false">SUM(F28:ES28)</f>
        <v>0</v>
      </c>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row>
    <row r="29" customFormat="false" ht="15" hidden="false" customHeight="false" outlineLevel="0" collapsed="false">
      <c r="A29" s="2" t="s">
        <v>481</v>
      </c>
      <c r="B29" s="39" t="str">
        <f aca="false">IF(INDEX(Prod_Nombre,5)="","Producto 5 (ventas)",INDEX(Prod_Nombre,5)&amp;" (ventas)")</f>
        <v>Producto 5 (ventas)</v>
      </c>
      <c r="C29" s="7" t="s">
        <v>250</v>
      </c>
      <c r="D29" s="10" t="n">
        <f aca="false">SUM(F29:ES29)</f>
        <v>0</v>
      </c>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row>
    <row r="30" customFormat="false" ht="15" hidden="false" customHeight="false" outlineLevel="0" collapsed="false">
      <c r="A30" s="2" t="s">
        <v>482</v>
      </c>
      <c r="B30" s="39" t="str">
        <f aca="false">IF(INDEX(Prod_Nombre,6)="","Producto 6 (ventas)",INDEX(Prod_Nombre,6)&amp;" (ventas)")</f>
        <v>Producto 6 (ventas)</v>
      </c>
      <c r="C30" s="7" t="s">
        <v>250</v>
      </c>
      <c r="D30" s="10" t="n">
        <f aca="false">SUM(F30:ES30)</f>
        <v>0</v>
      </c>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row>
    <row r="31" customFormat="false" ht="15" hidden="false" customHeight="false" outlineLevel="0" collapsed="false">
      <c r="A31" s="2" t="s">
        <v>483</v>
      </c>
      <c r="B31" s="39" t="str">
        <f aca="false">IF(INDEX(Prod_Nombre,7)="","Producto 7 (ventas)",INDEX(Prod_Nombre,7)&amp;" (ventas)")</f>
        <v>Producto 7 (ventas)</v>
      </c>
      <c r="C31" s="7" t="s">
        <v>250</v>
      </c>
      <c r="D31" s="10" t="n">
        <f aca="false">SUM(F31:ES31)</f>
        <v>0</v>
      </c>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row>
    <row r="32" customFormat="false" ht="15" hidden="false" customHeight="false" outlineLevel="0" collapsed="false">
      <c r="A32" s="2" t="s">
        <v>484</v>
      </c>
      <c r="B32" s="39" t="str">
        <f aca="false">IF(INDEX(Prod_Nombre,8)="","Producto 8 (ventas)",INDEX(Prod_Nombre,8)&amp;" (ventas)")</f>
        <v>Producto 8 (ventas)</v>
      </c>
      <c r="C32" s="7" t="s">
        <v>250</v>
      </c>
      <c r="D32" s="10" t="n">
        <f aca="false">SUM(F32:ES32)</f>
        <v>0</v>
      </c>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row>
    <row r="33" customFormat="false" ht="15" hidden="false" customHeight="false" outlineLevel="0" collapsed="false">
      <c r="A33" s="2" t="s">
        <v>485</v>
      </c>
      <c r="B33" s="39" t="str">
        <f aca="false">IF(INDEX(Prod_Nombre,9)="","Producto 9 (ventas)",INDEX(Prod_Nombre,9)&amp;" (ventas)")</f>
        <v>Producto 9 (ventas)</v>
      </c>
      <c r="C33" s="7" t="s">
        <v>250</v>
      </c>
      <c r="D33" s="10" t="n">
        <f aca="false">SUM(F33:ES33)</f>
        <v>0</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row>
    <row r="34" customFormat="false" ht="15" hidden="false" customHeight="false" outlineLevel="0" collapsed="false">
      <c r="A34" s="2" t="s">
        <v>486</v>
      </c>
      <c r="B34" s="39" t="str">
        <f aca="false">IF(INDEX(Prod_Nombre,10)="","Producto 10 (ventas)",INDEX(Prod_Nombre,10)&amp;" (ventas)")</f>
        <v>Producto 10 (ventas)</v>
      </c>
      <c r="C34" s="7" t="s">
        <v>250</v>
      </c>
      <c r="D34" s="10" t="n">
        <f aca="false">SUM(F34:ES34)</f>
        <v>0</v>
      </c>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row>
    <row r="35" customFormat="false" ht="15" hidden="false" customHeight="false" outlineLevel="0" collapsed="false">
      <c r="A35" s="2" t="s">
        <v>487</v>
      </c>
      <c r="B35" s="39" t="str">
        <f aca="false">IF(INDEX(Prod_Nombre,11)="","Producto 11 (ventas)",INDEX(Prod_Nombre,11)&amp;" (ventas)")</f>
        <v>Producto 11 (ventas)</v>
      </c>
      <c r="C35" s="7" t="s">
        <v>250</v>
      </c>
      <c r="D35" s="10" t="n">
        <f aca="false">SUM(F35:ES35)</f>
        <v>0</v>
      </c>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row>
    <row r="36" customFormat="false" ht="15" hidden="false" customHeight="false" outlineLevel="0" collapsed="false">
      <c r="A36" s="2" t="s">
        <v>488</v>
      </c>
      <c r="B36" s="39" t="str">
        <f aca="false">IF(INDEX(Prod_Nombre,12)="","Producto 12 (ventas)",INDEX(Prod_Nombre,12)&amp;" (ventas)")</f>
        <v>Producto 12 (ventas)</v>
      </c>
      <c r="C36" s="7" t="s">
        <v>250</v>
      </c>
      <c r="D36" s="10" t="n">
        <f aca="false">SUM(F36:ES36)</f>
        <v>0</v>
      </c>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row>
    <row r="37" customFormat="false" ht="15" hidden="false" customHeight="false" outlineLevel="0" collapsed="false">
      <c r="A37" s="3" t="s">
        <v>489</v>
      </c>
      <c r="B37" s="4"/>
      <c r="C37" s="4"/>
      <c r="D37" s="4"/>
      <c r="E37" s="4"/>
    </row>
    <row r="38" customFormat="false" ht="15" hidden="false" customHeight="false" outlineLevel="0" collapsed="false">
      <c r="A38" s="2" t="s">
        <v>490</v>
      </c>
      <c r="B38" s="6" t="s">
        <v>491</v>
      </c>
      <c r="C38" s="7" t="s">
        <v>250</v>
      </c>
      <c r="D38" s="10" t="n">
        <f aca="false">SUM(F38:ES38)</f>
        <v>0</v>
      </c>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row>
    <row r="39" customFormat="false" ht="15" hidden="false" customHeight="false" outlineLevel="0" collapsed="false">
      <c r="A39" s="2" t="s">
        <v>492</v>
      </c>
      <c r="B39" s="6" t="s">
        <v>493</v>
      </c>
      <c r="C39" s="7" t="s">
        <v>250</v>
      </c>
      <c r="D39" s="10" t="n">
        <f aca="false">SUM(F39:ES39)</f>
        <v>0</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row>
    <row r="40" customFormat="false" ht="15" hidden="false" customHeight="false" outlineLevel="0" collapsed="false">
      <c r="A40" s="2" t="s">
        <v>494</v>
      </c>
      <c r="B40" s="6" t="s">
        <v>495</v>
      </c>
      <c r="C40" s="7" t="s">
        <v>316</v>
      </c>
      <c r="D40" s="10" t="n">
        <f aca="false">SUM(F40:ES40)</f>
        <v>0</v>
      </c>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row>
    <row r="41" customFormat="false" ht="15" hidden="false" customHeight="false" outlineLevel="0" collapsed="false">
      <c r="A41" s="2" t="s">
        <v>496</v>
      </c>
      <c r="B41" s="6" t="s">
        <v>497</v>
      </c>
      <c r="C41" s="7" t="s">
        <v>316</v>
      </c>
      <c r="D41" s="10" t="n">
        <f aca="false">SUM(F41:ES41)</f>
        <v>0</v>
      </c>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row>
    <row r="42" customFormat="false" ht="15" hidden="false" customHeight="false" outlineLevel="0" collapsed="false">
      <c r="A42" s="2" t="s">
        <v>498</v>
      </c>
      <c r="B42" s="6" t="s">
        <v>499</v>
      </c>
      <c r="C42" s="7" t="s">
        <v>250</v>
      </c>
      <c r="D42" s="10" t="n">
        <f aca="false">SUM(F42:ES42)</f>
        <v>0</v>
      </c>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row>
    <row r="43" customFormat="false" ht="15" hidden="false" customHeight="false" outlineLevel="0" collapsed="false">
      <c r="A43" s="2" t="s">
        <v>500</v>
      </c>
      <c r="B43" s="6" t="s">
        <v>501</v>
      </c>
      <c r="C43" s="7" t="s">
        <v>250</v>
      </c>
      <c r="D43" s="10" t="n">
        <f aca="false">SUM(F43:ES43)</f>
        <v>0</v>
      </c>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row>
    <row r="44" customFormat="false" ht="15" hidden="false" customHeight="false" outlineLevel="0" collapsed="false">
      <c r="A44" s="2" t="s">
        <v>502</v>
      </c>
      <c r="B44" s="6" t="s">
        <v>503</v>
      </c>
      <c r="C44" s="7" t="s">
        <v>250</v>
      </c>
      <c r="D44" s="10" t="n">
        <f aca="false">SUM(F44:ES44)</f>
        <v>0</v>
      </c>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row>
    <row r="45" customFormat="false" ht="15" hidden="false" customHeight="false" outlineLevel="0" collapsed="false">
      <c r="A45" s="3" t="s">
        <v>504</v>
      </c>
      <c r="B45" s="4"/>
      <c r="C45" s="4"/>
      <c r="D45" s="4"/>
      <c r="E45" s="4"/>
    </row>
    <row r="46" customFormat="false" ht="15" hidden="false" customHeight="false" outlineLevel="0" collapsed="false">
      <c r="A46" s="2" t="s">
        <v>505</v>
      </c>
      <c r="B46" s="6" t="s">
        <v>506</v>
      </c>
      <c r="C46" s="7" t="s">
        <v>250</v>
      </c>
      <c r="D46" s="10" t="n">
        <f aca="false">SUM(F46:ES46)</f>
        <v>0</v>
      </c>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row>
    <row r="47" customFormat="false" ht="15" hidden="false" customHeight="false" outlineLevel="0" collapsed="false">
      <c r="A47" s="2" t="s">
        <v>507</v>
      </c>
      <c r="B47" s="6" t="s">
        <v>508</v>
      </c>
      <c r="C47" s="7" t="s">
        <v>250</v>
      </c>
      <c r="D47" s="10" t="n">
        <f aca="false">SUM(F47:ES47)</f>
        <v>0</v>
      </c>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row>
    <row r="48" customFormat="false" ht="15" hidden="false" customHeight="false" outlineLevel="0" collapsed="false">
      <c r="A48" s="2" t="s">
        <v>509</v>
      </c>
      <c r="B48" s="6" t="s">
        <v>510</v>
      </c>
      <c r="C48" s="7" t="s">
        <v>250</v>
      </c>
      <c r="D48" s="10" t="n">
        <f aca="false">SUM(F48:ES48)</f>
        <v>0</v>
      </c>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row>
    <row r="49" customFormat="false" ht="15" hidden="false" customHeight="false" outlineLevel="0" collapsed="false">
      <c r="A49" s="2" t="s">
        <v>511</v>
      </c>
      <c r="B49" s="6" t="s">
        <v>512</v>
      </c>
      <c r="C49" s="7" t="s">
        <v>250</v>
      </c>
      <c r="D49" s="10" t="n">
        <f aca="false">SUM(F49:ES49)</f>
        <v>0</v>
      </c>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row>
    <row r="50" customFormat="false" ht="15" hidden="false" customHeight="false" outlineLevel="0" collapsed="false">
      <c r="A50" s="2" t="s">
        <v>513</v>
      </c>
      <c r="B50" s="6" t="s">
        <v>514</v>
      </c>
      <c r="C50" s="7" t="s">
        <v>250</v>
      </c>
      <c r="D50" s="10" t="n">
        <f aca="false">SUM(F50:ES50)</f>
        <v>0</v>
      </c>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row>
    <row r="51" customFormat="false" ht="15" hidden="false" customHeight="false" outlineLevel="0" collapsed="false">
      <c r="A51" s="2" t="s">
        <v>515</v>
      </c>
      <c r="B51" s="6" t="s">
        <v>516</v>
      </c>
      <c r="C51" s="7" t="s">
        <v>250</v>
      </c>
      <c r="D51" s="10" t="n">
        <f aca="false">SUM(F51:ES51)</f>
        <v>0</v>
      </c>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row>
    <row r="52" customFormat="false" ht="15" hidden="false" customHeight="false" outlineLevel="0" collapsed="false">
      <c r="A52" s="3" t="s">
        <v>517</v>
      </c>
      <c r="B52" s="4"/>
      <c r="C52" s="4"/>
      <c r="D52" s="4"/>
      <c r="E52" s="4"/>
    </row>
    <row r="53" customFormat="false" ht="15" hidden="false" customHeight="false" outlineLevel="0" collapsed="false">
      <c r="A53" s="2" t="s">
        <v>518</v>
      </c>
      <c r="B53" s="6" t="s">
        <v>519</v>
      </c>
      <c r="C53" s="7" t="s">
        <v>250</v>
      </c>
      <c r="D53" s="10"/>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row>
    <row r="54" customFormat="false" ht="15" hidden="false" customHeight="false" outlineLevel="0" collapsed="false">
      <c r="A54" s="2" t="s">
        <v>520</v>
      </c>
      <c r="B54" s="6" t="s">
        <v>521</v>
      </c>
      <c r="C54" s="7" t="s">
        <v>250</v>
      </c>
      <c r="D54" s="10"/>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row>
    <row r="55" customFormat="false" ht="15" hidden="false" customHeight="false" outlineLevel="0" collapsed="false">
      <c r="A55" s="2" t="s">
        <v>522</v>
      </c>
      <c r="B55" s="6" t="s">
        <v>523</v>
      </c>
      <c r="C55" s="7" t="s">
        <v>250</v>
      </c>
      <c r="D55" s="10"/>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row>
    <row r="56" customFormat="false" ht="15" hidden="false" customHeight="false" outlineLevel="0" collapsed="false">
      <c r="A56" s="2" t="s">
        <v>524</v>
      </c>
      <c r="B56" s="6" t="s">
        <v>525</v>
      </c>
      <c r="C56" s="7" t="s">
        <v>250</v>
      </c>
      <c r="D56" s="10"/>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row>
    <row r="57" customFormat="false" ht="15" hidden="false" customHeight="false" outlineLevel="0" collapsed="false">
      <c r="A57" s="2" t="s">
        <v>526</v>
      </c>
      <c r="B57" s="6" t="s">
        <v>527</v>
      </c>
      <c r="C57" s="7" t="s">
        <v>250</v>
      </c>
      <c r="D57" s="10"/>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row>
    <row r="58" customFormat="false" ht="15" hidden="false" customHeight="false" outlineLevel="0" collapsed="false">
      <c r="A58" s="2" t="s">
        <v>528</v>
      </c>
      <c r="B58" s="6" t="s">
        <v>529</v>
      </c>
      <c r="C58" s="7" t="s">
        <v>250</v>
      </c>
      <c r="D58" s="10"/>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row>
  </sheetData>
  <conditionalFormatting sqref="F7:ES7">
    <cfRule type="cellIs" priority="2" operator="equal" aboveAverage="0" equalAverage="0" bottom="0" percent="0" rank="0" text="" dxfId="1">
      <formula>"Cerrado"</formula>
    </cfRule>
  </conditionalFormatting>
  <dataValidations count="1">
    <dataValidation allowBlank="true" errorStyle="stop" operator="between" showDropDown="false" showErrorMessage="false" showInputMessage="false" sqref="C25:C58"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26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530</v>
      </c>
    </row>
    <row r="2" customFormat="false" ht="15" hidden="false" customHeight="false" outlineLevel="0" collapsed="false">
      <c r="A2" s="2" t="s">
        <v>531</v>
      </c>
    </row>
    <row r="4" customFormat="false" ht="15" hidden="false" customHeight="false" outlineLevel="0" collapsed="false">
      <c r="A4" s="2" t="s">
        <v>532</v>
      </c>
      <c r="B4" s="44" t="s">
        <v>456</v>
      </c>
      <c r="F4" s="47" t="n">
        <v>1</v>
      </c>
      <c r="G4" s="47" t="n">
        <v>2</v>
      </c>
      <c r="H4" s="47" t="n">
        <v>3</v>
      </c>
      <c r="I4" s="47" t="n">
        <v>4</v>
      </c>
      <c r="J4" s="47" t="n">
        <v>5</v>
      </c>
      <c r="K4" s="47" t="n">
        <v>6</v>
      </c>
      <c r="L4" s="47" t="n">
        <v>7</v>
      </c>
      <c r="M4" s="47" t="n">
        <v>8</v>
      </c>
      <c r="N4" s="47" t="n">
        <v>9</v>
      </c>
      <c r="O4" s="47" t="n">
        <v>10</v>
      </c>
      <c r="P4" s="47" t="n">
        <v>11</v>
      </c>
      <c r="Q4" s="47" t="n">
        <v>12</v>
      </c>
      <c r="R4" s="47" t="n">
        <v>13</v>
      </c>
      <c r="S4" s="47" t="n">
        <v>14</v>
      </c>
      <c r="T4" s="47" t="n">
        <v>15</v>
      </c>
      <c r="U4" s="47" t="n">
        <v>16</v>
      </c>
      <c r="V4" s="47" t="n">
        <v>17</v>
      </c>
      <c r="W4" s="47" t="n">
        <v>18</v>
      </c>
      <c r="X4" s="47" t="n">
        <v>19</v>
      </c>
      <c r="Y4" s="47" t="n">
        <v>20</v>
      </c>
      <c r="Z4" s="47" t="n">
        <v>21</v>
      </c>
      <c r="AA4" s="47" t="n">
        <v>22</v>
      </c>
      <c r="AB4" s="47" t="n">
        <v>23</v>
      </c>
      <c r="AC4" s="47" t="n">
        <v>24</v>
      </c>
      <c r="AD4" s="47" t="n">
        <v>25</v>
      </c>
      <c r="AE4" s="47" t="n">
        <v>26</v>
      </c>
      <c r="AF4" s="47" t="n">
        <v>27</v>
      </c>
      <c r="AG4" s="47" t="n">
        <v>28</v>
      </c>
      <c r="AH4" s="47" t="n">
        <v>29</v>
      </c>
      <c r="AI4" s="47" t="n">
        <v>30</v>
      </c>
      <c r="AJ4" s="47" t="n">
        <v>31</v>
      </c>
      <c r="AK4" s="47" t="n">
        <v>32</v>
      </c>
      <c r="AL4" s="47" t="n">
        <v>33</v>
      </c>
      <c r="AM4" s="47" t="n">
        <v>34</v>
      </c>
      <c r="AN4" s="47" t="n">
        <v>35</v>
      </c>
      <c r="AO4" s="47" t="n">
        <v>36</v>
      </c>
      <c r="AP4" s="47" t="n">
        <v>37</v>
      </c>
      <c r="AQ4" s="47" t="n">
        <v>38</v>
      </c>
      <c r="AR4" s="47" t="n">
        <v>39</v>
      </c>
      <c r="AS4" s="47" t="n">
        <v>40</v>
      </c>
      <c r="AT4" s="47" t="n">
        <v>41</v>
      </c>
      <c r="AU4" s="47" t="n">
        <v>42</v>
      </c>
      <c r="AV4" s="47" t="n">
        <v>43</v>
      </c>
      <c r="AW4" s="47" t="n">
        <v>44</v>
      </c>
      <c r="AX4" s="47" t="n">
        <v>45</v>
      </c>
      <c r="AY4" s="47" t="n">
        <v>46</v>
      </c>
      <c r="AZ4" s="47" t="n">
        <v>47</v>
      </c>
      <c r="BA4" s="47" t="n">
        <v>48</v>
      </c>
      <c r="BB4" s="47" t="n">
        <v>49</v>
      </c>
      <c r="BC4" s="47" t="n">
        <v>50</v>
      </c>
      <c r="BD4" s="47" t="n">
        <v>51</v>
      </c>
      <c r="BE4" s="47" t="n">
        <v>52</v>
      </c>
      <c r="BF4" s="47" t="n">
        <v>53</v>
      </c>
      <c r="BG4" s="47" t="n">
        <v>54</v>
      </c>
      <c r="BH4" s="47" t="n">
        <v>55</v>
      </c>
      <c r="BI4" s="47" t="n">
        <v>56</v>
      </c>
      <c r="BJ4" s="47" t="n">
        <v>57</v>
      </c>
      <c r="BK4" s="47" t="n">
        <v>58</v>
      </c>
      <c r="BL4" s="47" t="n">
        <v>59</v>
      </c>
      <c r="BM4" s="47" t="n">
        <v>60</v>
      </c>
      <c r="BN4" s="47" t="n">
        <v>61</v>
      </c>
      <c r="BO4" s="47" t="n">
        <v>62</v>
      </c>
      <c r="BP4" s="47" t="n">
        <v>63</v>
      </c>
      <c r="BQ4" s="47" t="n">
        <v>64</v>
      </c>
      <c r="BR4" s="47" t="n">
        <v>65</v>
      </c>
      <c r="BS4" s="47" t="n">
        <v>66</v>
      </c>
      <c r="BT4" s="47" t="n">
        <v>67</v>
      </c>
      <c r="BU4" s="47" t="n">
        <v>68</v>
      </c>
      <c r="BV4" s="47" t="n">
        <v>69</v>
      </c>
      <c r="BW4" s="47" t="n">
        <v>70</v>
      </c>
      <c r="BX4" s="47" t="n">
        <v>71</v>
      </c>
      <c r="BY4" s="47" t="n">
        <v>72</v>
      </c>
      <c r="BZ4" s="47" t="n">
        <v>73</v>
      </c>
      <c r="CA4" s="47" t="n">
        <v>74</v>
      </c>
      <c r="CB4" s="47" t="n">
        <v>75</v>
      </c>
      <c r="CC4" s="47" t="n">
        <v>76</v>
      </c>
      <c r="CD4" s="47" t="n">
        <v>77</v>
      </c>
      <c r="CE4" s="47" t="n">
        <v>78</v>
      </c>
      <c r="CF4" s="47" t="n">
        <v>79</v>
      </c>
      <c r="CG4" s="47" t="n">
        <v>80</v>
      </c>
      <c r="CH4" s="47" t="n">
        <v>81</v>
      </c>
      <c r="CI4" s="47" t="n">
        <v>82</v>
      </c>
      <c r="CJ4" s="47" t="n">
        <v>83</v>
      </c>
      <c r="CK4" s="47" t="n">
        <v>84</v>
      </c>
      <c r="CL4" s="47" t="n">
        <v>85</v>
      </c>
      <c r="CM4" s="47" t="n">
        <v>86</v>
      </c>
      <c r="CN4" s="47" t="n">
        <v>87</v>
      </c>
      <c r="CO4" s="47" t="n">
        <v>88</v>
      </c>
      <c r="CP4" s="47" t="n">
        <v>89</v>
      </c>
      <c r="CQ4" s="47" t="n">
        <v>90</v>
      </c>
      <c r="CR4" s="47" t="n">
        <v>91</v>
      </c>
      <c r="CS4" s="47" t="n">
        <v>92</v>
      </c>
      <c r="CT4" s="47" t="n">
        <v>93</v>
      </c>
      <c r="CU4" s="47" t="n">
        <v>94</v>
      </c>
      <c r="CV4" s="47" t="n">
        <v>95</v>
      </c>
      <c r="CW4" s="47" t="n">
        <v>96</v>
      </c>
      <c r="CX4" s="47" t="n">
        <v>97</v>
      </c>
      <c r="CY4" s="47" t="n">
        <v>98</v>
      </c>
      <c r="CZ4" s="47" t="n">
        <v>99</v>
      </c>
      <c r="DA4" s="47" t="n">
        <v>100</v>
      </c>
      <c r="DB4" s="47" t="n">
        <v>101</v>
      </c>
      <c r="DC4" s="47" t="n">
        <v>102</v>
      </c>
      <c r="DD4" s="47" t="n">
        <v>103</v>
      </c>
      <c r="DE4" s="47" t="n">
        <v>104</v>
      </c>
      <c r="DF4" s="47" t="n">
        <v>105</v>
      </c>
      <c r="DG4" s="47" t="n">
        <v>106</v>
      </c>
      <c r="DH4" s="47" t="n">
        <v>107</v>
      </c>
      <c r="DI4" s="47" t="n">
        <v>108</v>
      </c>
      <c r="DJ4" s="47" t="n">
        <v>109</v>
      </c>
      <c r="DK4" s="47" t="n">
        <v>110</v>
      </c>
      <c r="DL4" s="47" t="n">
        <v>111</v>
      </c>
      <c r="DM4" s="47" t="n">
        <v>112</v>
      </c>
      <c r="DN4" s="47" t="n">
        <v>113</v>
      </c>
      <c r="DO4" s="47" t="n">
        <v>114</v>
      </c>
      <c r="DP4" s="47" t="n">
        <v>115</v>
      </c>
      <c r="DQ4" s="47" t="n">
        <v>116</v>
      </c>
      <c r="DR4" s="47" t="n">
        <v>117</v>
      </c>
      <c r="DS4" s="47" t="n">
        <v>118</v>
      </c>
      <c r="DT4" s="47" t="n">
        <v>119</v>
      </c>
      <c r="DU4" s="47" t="n">
        <v>120</v>
      </c>
      <c r="DV4" s="47" t="n">
        <v>121</v>
      </c>
      <c r="DW4" s="47" t="n">
        <v>122</v>
      </c>
      <c r="DX4" s="47" t="n">
        <v>123</v>
      </c>
      <c r="DY4" s="47" t="n">
        <v>124</v>
      </c>
      <c r="DZ4" s="47" t="n">
        <v>125</v>
      </c>
      <c r="EA4" s="47" t="n">
        <v>126</v>
      </c>
      <c r="EB4" s="47" t="n">
        <v>127</v>
      </c>
      <c r="EC4" s="47" t="n">
        <v>128</v>
      </c>
      <c r="ED4" s="47" t="n">
        <v>129</v>
      </c>
      <c r="EE4" s="47" t="n">
        <v>130</v>
      </c>
      <c r="EF4" s="47" t="n">
        <v>131</v>
      </c>
      <c r="EG4" s="47" t="n">
        <v>132</v>
      </c>
      <c r="EH4" s="47" t="n">
        <v>133</v>
      </c>
      <c r="EI4" s="47" t="n">
        <v>134</v>
      </c>
      <c r="EJ4" s="47" t="n">
        <v>135</v>
      </c>
      <c r="EK4" s="47" t="n">
        <v>136</v>
      </c>
      <c r="EL4" s="47" t="n">
        <v>137</v>
      </c>
      <c r="EM4" s="47" t="n">
        <v>138</v>
      </c>
      <c r="EN4" s="47" t="n">
        <v>139</v>
      </c>
      <c r="EO4" s="47" t="n">
        <v>140</v>
      </c>
      <c r="EP4" s="47" t="n">
        <v>141</v>
      </c>
      <c r="EQ4" s="47" t="n">
        <v>142</v>
      </c>
      <c r="ER4" s="47" t="n">
        <v>143</v>
      </c>
      <c r="ES4" s="47" t="n">
        <v>144</v>
      </c>
    </row>
    <row r="5" customFormat="false" ht="15" hidden="false" customHeight="false" outlineLevel="0" collapsed="false">
      <c r="A5" s="2" t="s">
        <v>533</v>
      </c>
      <c r="B5" s="11" t="s">
        <v>458</v>
      </c>
      <c r="F5" s="48" t="str">
        <f aca="false">IF(n_Fecha1="","",EOMONTH(n_Fecha1,1-1))</f>
        <v/>
      </c>
      <c r="G5" s="48" t="str">
        <f aca="false">IF(n_Fecha1="","",EOMONTH(n_Fecha1,2-1))</f>
        <v/>
      </c>
      <c r="H5" s="48" t="str">
        <f aca="false">IF(n_Fecha1="","",EOMONTH(n_Fecha1,3-1))</f>
        <v/>
      </c>
      <c r="I5" s="48" t="str">
        <f aca="false">IF(n_Fecha1="","",EOMONTH(n_Fecha1,4-1))</f>
        <v/>
      </c>
      <c r="J5" s="48" t="str">
        <f aca="false">IF(n_Fecha1="","",EOMONTH(n_Fecha1,5-1))</f>
        <v/>
      </c>
      <c r="K5" s="48" t="str">
        <f aca="false">IF(n_Fecha1="","",EOMONTH(n_Fecha1,6-1))</f>
        <v/>
      </c>
      <c r="L5" s="48" t="str">
        <f aca="false">IF(n_Fecha1="","",EOMONTH(n_Fecha1,7-1))</f>
        <v/>
      </c>
      <c r="M5" s="48" t="str">
        <f aca="false">IF(n_Fecha1="","",EOMONTH(n_Fecha1,8-1))</f>
        <v/>
      </c>
      <c r="N5" s="48" t="str">
        <f aca="false">IF(n_Fecha1="","",EOMONTH(n_Fecha1,9-1))</f>
        <v/>
      </c>
      <c r="O5" s="48" t="str">
        <f aca="false">IF(n_Fecha1="","",EOMONTH(n_Fecha1,10-1))</f>
        <v/>
      </c>
      <c r="P5" s="48" t="str">
        <f aca="false">IF(n_Fecha1="","",EOMONTH(n_Fecha1,11-1))</f>
        <v/>
      </c>
      <c r="Q5" s="48" t="str">
        <f aca="false">IF(n_Fecha1="","",EOMONTH(n_Fecha1,12-1))</f>
        <v/>
      </c>
      <c r="R5" s="48" t="str">
        <f aca="false">IF(n_Fecha1="","",EOMONTH(n_Fecha1,13-1))</f>
        <v/>
      </c>
      <c r="S5" s="48" t="str">
        <f aca="false">IF(n_Fecha1="","",EOMONTH(n_Fecha1,14-1))</f>
        <v/>
      </c>
      <c r="T5" s="48" t="str">
        <f aca="false">IF(n_Fecha1="","",EOMONTH(n_Fecha1,15-1))</f>
        <v/>
      </c>
      <c r="U5" s="48" t="str">
        <f aca="false">IF(n_Fecha1="","",EOMONTH(n_Fecha1,16-1))</f>
        <v/>
      </c>
      <c r="V5" s="48" t="str">
        <f aca="false">IF(n_Fecha1="","",EOMONTH(n_Fecha1,17-1))</f>
        <v/>
      </c>
      <c r="W5" s="48" t="str">
        <f aca="false">IF(n_Fecha1="","",EOMONTH(n_Fecha1,18-1))</f>
        <v/>
      </c>
      <c r="X5" s="48" t="str">
        <f aca="false">IF(n_Fecha1="","",EOMONTH(n_Fecha1,19-1))</f>
        <v/>
      </c>
      <c r="Y5" s="48" t="str">
        <f aca="false">IF(n_Fecha1="","",EOMONTH(n_Fecha1,20-1))</f>
        <v/>
      </c>
      <c r="Z5" s="48" t="str">
        <f aca="false">IF(n_Fecha1="","",EOMONTH(n_Fecha1,21-1))</f>
        <v/>
      </c>
      <c r="AA5" s="48" t="str">
        <f aca="false">IF(n_Fecha1="","",EOMONTH(n_Fecha1,22-1))</f>
        <v/>
      </c>
      <c r="AB5" s="48" t="str">
        <f aca="false">IF(n_Fecha1="","",EOMONTH(n_Fecha1,23-1))</f>
        <v/>
      </c>
      <c r="AC5" s="48" t="str">
        <f aca="false">IF(n_Fecha1="","",EOMONTH(n_Fecha1,24-1))</f>
        <v/>
      </c>
      <c r="AD5" s="48" t="str">
        <f aca="false">IF(n_Fecha1="","",EOMONTH(n_Fecha1,25-1))</f>
        <v/>
      </c>
      <c r="AE5" s="48" t="str">
        <f aca="false">IF(n_Fecha1="","",EOMONTH(n_Fecha1,26-1))</f>
        <v/>
      </c>
      <c r="AF5" s="48" t="str">
        <f aca="false">IF(n_Fecha1="","",EOMONTH(n_Fecha1,27-1))</f>
        <v/>
      </c>
      <c r="AG5" s="48" t="str">
        <f aca="false">IF(n_Fecha1="","",EOMONTH(n_Fecha1,28-1))</f>
        <v/>
      </c>
      <c r="AH5" s="48" t="str">
        <f aca="false">IF(n_Fecha1="","",EOMONTH(n_Fecha1,29-1))</f>
        <v/>
      </c>
      <c r="AI5" s="48" t="str">
        <f aca="false">IF(n_Fecha1="","",EOMONTH(n_Fecha1,30-1))</f>
        <v/>
      </c>
      <c r="AJ5" s="48" t="str">
        <f aca="false">IF(n_Fecha1="","",EOMONTH(n_Fecha1,31-1))</f>
        <v/>
      </c>
      <c r="AK5" s="48" t="str">
        <f aca="false">IF(n_Fecha1="","",EOMONTH(n_Fecha1,32-1))</f>
        <v/>
      </c>
      <c r="AL5" s="48" t="str">
        <f aca="false">IF(n_Fecha1="","",EOMONTH(n_Fecha1,33-1))</f>
        <v/>
      </c>
      <c r="AM5" s="48" t="str">
        <f aca="false">IF(n_Fecha1="","",EOMONTH(n_Fecha1,34-1))</f>
        <v/>
      </c>
      <c r="AN5" s="48" t="str">
        <f aca="false">IF(n_Fecha1="","",EOMONTH(n_Fecha1,35-1))</f>
        <v/>
      </c>
      <c r="AO5" s="48" t="str">
        <f aca="false">IF(n_Fecha1="","",EOMONTH(n_Fecha1,36-1))</f>
        <v/>
      </c>
      <c r="AP5" s="48" t="str">
        <f aca="false">IF(n_Fecha1="","",EOMONTH(n_Fecha1,37-1))</f>
        <v/>
      </c>
      <c r="AQ5" s="48" t="str">
        <f aca="false">IF(n_Fecha1="","",EOMONTH(n_Fecha1,38-1))</f>
        <v/>
      </c>
      <c r="AR5" s="48" t="str">
        <f aca="false">IF(n_Fecha1="","",EOMONTH(n_Fecha1,39-1))</f>
        <v/>
      </c>
      <c r="AS5" s="48" t="str">
        <f aca="false">IF(n_Fecha1="","",EOMONTH(n_Fecha1,40-1))</f>
        <v/>
      </c>
      <c r="AT5" s="48" t="str">
        <f aca="false">IF(n_Fecha1="","",EOMONTH(n_Fecha1,41-1))</f>
        <v/>
      </c>
      <c r="AU5" s="48" t="str">
        <f aca="false">IF(n_Fecha1="","",EOMONTH(n_Fecha1,42-1))</f>
        <v/>
      </c>
      <c r="AV5" s="48" t="str">
        <f aca="false">IF(n_Fecha1="","",EOMONTH(n_Fecha1,43-1))</f>
        <v/>
      </c>
      <c r="AW5" s="48" t="str">
        <f aca="false">IF(n_Fecha1="","",EOMONTH(n_Fecha1,44-1))</f>
        <v/>
      </c>
      <c r="AX5" s="48" t="str">
        <f aca="false">IF(n_Fecha1="","",EOMONTH(n_Fecha1,45-1))</f>
        <v/>
      </c>
      <c r="AY5" s="48" t="str">
        <f aca="false">IF(n_Fecha1="","",EOMONTH(n_Fecha1,46-1))</f>
        <v/>
      </c>
      <c r="AZ5" s="48" t="str">
        <f aca="false">IF(n_Fecha1="","",EOMONTH(n_Fecha1,47-1))</f>
        <v/>
      </c>
      <c r="BA5" s="48" t="str">
        <f aca="false">IF(n_Fecha1="","",EOMONTH(n_Fecha1,48-1))</f>
        <v/>
      </c>
      <c r="BB5" s="48" t="str">
        <f aca="false">IF(n_Fecha1="","",EOMONTH(n_Fecha1,49-1))</f>
        <v/>
      </c>
      <c r="BC5" s="48" t="str">
        <f aca="false">IF(n_Fecha1="","",EOMONTH(n_Fecha1,50-1))</f>
        <v/>
      </c>
      <c r="BD5" s="48" t="str">
        <f aca="false">IF(n_Fecha1="","",EOMONTH(n_Fecha1,51-1))</f>
        <v/>
      </c>
      <c r="BE5" s="48" t="str">
        <f aca="false">IF(n_Fecha1="","",EOMONTH(n_Fecha1,52-1))</f>
        <v/>
      </c>
      <c r="BF5" s="48" t="str">
        <f aca="false">IF(n_Fecha1="","",EOMONTH(n_Fecha1,53-1))</f>
        <v/>
      </c>
      <c r="BG5" s="48" t="str">
        <f aca="false">IF(n_Fecha1="","",EOMONTH(n_Fecha1,54-1))</f>
        <v/>
      </c>
      <c r="BH5" s="48" t="str">
        <f aca="false">IF(n_Fecha1="","",EOMONTH(n_Fecha1,55-1))</f>
        <v/>
      </c>
      <c r="BI5" s="48" t="str">
        <f aca="false">IF(n_Fecha1="","",EOMONTH(n_Fecha1,56-1))</f>
        <v/>
      </c>
      <c r="BJ5" s="48" t="str">
        <f aca="false">IF(n_Fecha1="","",EOMONTH(n_Fecha1,57-1))</f>
        <v/>
      </c>
      <c r="BK5" s="48" t="str">
        <f aca="false">IF(n_Fecha1="","",EOMONTH(n_Fecha1,58-1))</f>
        <v/>
      </c>
      <c r="BL5" s="48" t="str">
        <f aca="false">IF(n_Fecha1="","",EOMONTH(n_Fecha1,59-1))</f>
        <v/>
      </c>
      <c r="BM5" s="48" t="str">
        <f aca="false">IF(n_Fecha1="","",EOMONTH(n_Fecha1,60-1))</f>
        <v/>
      </c>
      <c r="BN5" s="48" t="str">
        <f aca="false">IF(n_Fecha1="","",EOMONTH(n_Fecha1,61-1))</f>
        <v/>
      </c>
      <c r="BO5" s="48" t="str">
        <f aca="false">IF(n_Fecha1="","",EOMONTH(n_Fecha1,62-1))</f>
        <v/>
      </c>
      <c r="BP5" s="48" t="str">
        <f aca="false">IF(n_Fecha1="","",EOMONTH(n_Fecha1,63-1))</f>
        <v/>
      </c>
      <c r="BQ5" s="48" t="str">
        <f aca="false">IF(n_Fecha1="","",EOMONTH(n_Fecha1,64-1))</f>
        <v/>
      </c>
      <c r="BR5" s="48" t="str">
        <f aca="false">IF(n_Fecha1="","",EOMONTH(n_Fecha1,65-1))</f>
        <v/>
      </c>
      <c r="BS5" s="48" t="str">
        <f aca="false">IF(n_Fecha1="","",EOMONTH(n_Fecha1,66-1))</f>
        <v/>
      </c>
      <c r="BT5" s="48" t="str">
        <f aca="false">IF(n_Fecha1="","",EOMONTH(n_Fecha1,67-1))</f>
        <v/>
      </c>
      <c r="BU5" s="48" t="str">
        <f aca="false">IF(n_Fecha1="","",EOMONTH(n_Fecha1,68-1))</f>
        <v/>
      </c>
      <c r="BV5" s="48" t="str">
        <f aca="false">IF(n_Fecha1="","",EOMONTH(n_Fecha1,69-1))</f>
        <v/>
      </c>
      <c r="BW5" s="48" t="str">
        <f aca="false">IF(n_Fecha1="","",EOMONTH(n_Fecha1,70-1))</f>
        <v/>
      </c>
      <c r="BX5" s="48" t="str">
        <f aca="false">IF(n_Fecha1="","",EOMONTH(n_Fecha1,71-1))</f>
        <v/>
      </c>
      <c r="BY5" s="48" t="str">
        <f aca="false">IF(n_Fecha1="","",EOMONTH(n_Fecha1,72-1))</f>
        <v/>
      </c>
      <c r="BZ5" s="48" t="str">
        <f aca="false">IF(n_Fecha1="","",EOMONTH(n_Fecha1,73-1))</f>
        <v/>
      </c>
      <c r="CA5" s="48" t="str">
        <f aca="false">IF(n_Fecha1="","",EOMONTH(n_Fecha1,74-1))</f>
        <v/>
      </c>
      <c r="CB5" s="48" t="str">
        <f aca="false">IF(n_Fecha1="","",EOMONTH(n_Fecha1,75-1))</f>
        <v/>
      </c>
      <c r="CC5" s="48" t="str">
        <f aca="false">IF(n_Fecha1="","",EOMONTH(n_Fecha1,76-1))</f>
        <v/>
      </c>
      <c r="CD5" s="48" t="str">
        <f aca="false">IF(n_Fecha1="","",EOMONTH(n_Fecha1,77-1))</f>
        <v/>
      </c>
      <c r="CE5" s="48" t="str">
        <f aca="false">IF(n_Fecha1="","",EOMONTH(n_Fecha1,78-1))</f>
        <v/>
      </c>
      <c r="CF5" s="48" t="str">
        <f aca="false">IF(n_Fecha1="","",EOMONTH(n_Fecha1,79-1))</f>
        <v/>
      </c>
      <c r="CG5" s="48" t="str">
        <f aca="false">IF(n_Fecha1="","",EOMONTH(n_Fecha1,80-1))</f>
        <v/>
      </c>
      <c r="CH5" s="48" t="str">
        <f aca="false">IF(n_Fecha1="","",EOMONTH(n_Fecha1,81-1))</f>
        <v/>
      </c>
      <c r="CI5" s="48" t="str">
        <f aca="false">IF(n_Fecha1="","",EOMONTH(n_Fecha1,82-1))</f>
        <v/>
      </c>
      <c r="CJ5" s="48" t="str">
        <f aca="false">IF(n_Fecha1="","",EOMONTH(n_Fecha1,83-1))</f>
        <v/>
      </c>
      <c r="CK5" s="48" t="str">
        <f aca="false">IF(n_Fecha1="","",EOMONTH(n_Fecha1,84-1))</f>
        <v/>
      </c>
      <c r="CL5" s="48" t="str">
        <f aca="false">IF(n_Fecha1="","",EOMONTH(n_Fecha1,85-1))</f>
        <v/>
      </c>
      <c r="CM5" s="48" t="str">
        <f aca="false">IF(n_Fecha1="","",EOMONTH(n_Fecha1,86-1))</f>
        <v/>
      </c>
      <c r="CN5" s="48" t="str">
        <f aca="false">IF(n_Fecha1="","",EOMONTH(n_Fecha1,87-1))</f>
        <v/>
      </c>
      <c r="CO5" s="48" t="str">
        <f aca="false">IF(n_Fecha1="","",EOMONTH(n_Fecha1,88-1))</f>
        <v/>
      </c>
      <c r="CP5" s="48" t="str">
        <f aca="false">IF(n_Fecha1="","",EOMONTH(n_Fecha1,89-1))</f>
        <v/>
      </c>
      <c r="CQ5" s="48" t="str">
        <f aca="false">IF(n_Fecha1="","",EOMONTH(n_Fecha1,90-1))</f>
        <v/>
      </c>
      <c r="CR5" s="48" t="str">
        <f aca="false">IF(n_Fecha1="","",EOMONTH(n_Fecha1,91-1))</f>
        <v/>
      </c>
      <c r="CS5" s="48" t="str">
        <f aca="false">IF(n_Fecha1="","",EOMONTH(n_Fecha1,92-1))</f>
        <v/>
      </c>
      <c r="CT5" s="48" t="str">
        <f aca="false">IF(n_Fecha1="","",EOMONTH(n_Fecha1,93-1))</f>
        <v/>
      </c>
      <c r="CU5" s="48" t="str">
        <f aca="false">IF(n_Fecha1="","",EOMONTH(n_Fecha1,94-1))</f>
        <v/>
      </c>
      <c r="CV5" s="48" t="str">
        <f aca="false">IF(n_Fecha1="","",EOMONTH(n_Fecha1,95-1))</f>
        <v/>
      </c>
      <c r="CW5" s="48" t="str">
        <f aca="false">IF(n_Fecha1="","",EOMONTH(n_Fecha1,96-1))</f>
        <v/>
      </c>
      <c r="CX5" s="48" t="str">
        <f aca="false">IF(n_Fecha1="","",EOMONTH(n_Fecha1,97-1))</f>
        <v/>
      </c>
      <c r="CY5" s="48" t="str">
        <f aca="false">IF(n_Fecha1="","",EOMONTH(n_Fecha1,98-1))</f>
        <v/>
      </c>
      <c r="CZ5" s="48" t="str">
        <f aca="false">IF(n_Fecha1="","",EOMONTH(n_Fecha1,99-1))</f>
        <v/>
      </c>
      <c r="DA5" s="48" t="str">
        <f aca="false">IF(n_Fecha1="","",EOMONTH(n_Fecha1,100-1))</f>
        <v/>
      </c>
      <c r="DB5" s="48" t="str">
        <f aca="false">IF(n_Fecha1="","",EOMONTH(n_Fecha1,101-1))</f>
        <v/>
      </c>
      <c r="DC5" s="48" t="str">
        <f aca="false">IF(n_Fecha1="","",EOMONTH(n_Fecha1,102-1))</f>
        <v/>
      </c>
      <c r="DD5" s="48" t="str">
        <f aca="false">IF(n_Fecha1="","",EOMONTH(n_Fecha1,103-1))</f>
        <v/>
      </c>
      <c r="DE5" s="48" t="str">
        <f aca="false">IF(n_Fecha1="","",EOMONTH(n_Fecha1,104-1))</f>
        <v/>
      </c>
      <c r="DF5" s="48" t="str">
        <f aca="false">IF(n_Fecha1="","",EOMONTH(n_Fecha1,105-1))</f>
        <v/>
      </c>
      <c r="DG5" s="48" t="str">
        <f aca="false">IF(n_Fecha1="","",EOMONTH(n_Fecha1,106-1))</f>
        <v/>
      </c>
      <c r="DH5" s="48" t="str">
        <f aca="false">IF(n_Fecha1="","",EOMONTH(n_Fecha1,107-1))</f>
        <v/>
      </c>
      <c r="DI5" s="48" t="str">
        <f aca="false">IF(n_Fecha1="","",EOMONTH(n_Fecha1,108-1))</f>
        <v/>
      </c>
      <c r="DJ5" s="48" t="str">
        <f aca="false">IF(n_Fecha1="","",EOMONTH(n_Fecha1,109-1))</f>
        <v/>
      </c>
      <c r="DK5" s="48" t="str">
        <f aca="false">IF(n_Fecha1="","",EOMONTH(n_Fecha1,110-1))</f>
        <v/>
      </c>
      <c r="DL5" s="48" t="str">
        <f aca="false">IF(n_Fecha1="","",EOMONTH(n_Fecha1,111-1))</f>
        <v/>
      </c>
      <c r="DM5" s="48" t="str">
        <f aca="false">IF(n_Fecha1="","",EOMONTH(n_Fecha1,112-1))</f>
        <v/>
      </c>
      <c r="DN5" s="48" t="str">
        <f aca="false">IF(n_Fecha1="","",EOMONTH(n_Fecha1,113-1))</f>
        <v/>
      </c>
      <c r="DO5" s="48" t="str">
        <f aca="false">IF(n_Fecha1="","",EOMONTH(n_Fecha1,114-1))</f>
        <v/>
      </c>
      <c r="DP5" s="48" t="str">
        <f aca="false">IF(n_Fecha1="","",EOMONTH(n_Fecha1,115-1))</f>
        <v/>
      </c>
      <c r="DQ5" s="48" t="str">
        <f aca="false">IF(n_Fecha1="","",EOMONTH(n_Fecha1,116-1))</f>
        <v/>
      </c>
      <c r="DR5" s="48" t="str">
        <f aca="false">IF(n_Fecha1="","",EOMONTH(n_Fecha1,117-1))</f>
        <v/>
      </c>
      <c r="DS5" s="48" t="str">
        <f aca="false">IF(n_Fecha1="","",EOMONTH(n_Fecha1,118-1))</f>
        <v/>
      </c>
      <c r="DT5" s="48" t="str">
        <f aca="false">IF(n_Fecha1="","",EOMONTH(n_Fecha1,119-1))</f>
        <v/>
      </c>
      <c r="DU5" s="48" t="str">
        <f aca="false">IF(n_Fecha1="","",EOMONTH(n_Fecha1,120-1))</f>
        <v/>
      </c>
      <c r="DV5" s="48" t="str">
        <f aca="false">IF(n_Fecha1="","",EOMONTH(n_Fecha1,121-1))</f>
        <v/>
      </c>
      <c r="DW5" s="48" t="str">
        <f aca="false">IF(n_Fecha1="","",EOMONTH(n_Fecha1,122-1))</f>
        <v/>
      </c>
      <c r="DX5" s="48" t="str">
        <f aca="false">IF(n_Fecha1="","",EOMONTH(n_Fecha1,123-1))</f>
        <v/>
      </c>
      <c r="DY5" s="48" t="str">
        <f aca="false">IF(n_Fecha1="","",EOMONTH(n_Fecha1,124-1))</f>
        <v/>
      </c>
      <c r="DZ5" s="48" t="str">
        <f aca="false">IF(n_Fecha1="","",EOMONTH(n_Fecha1,125-1))</f>
        <v/>
      </c>
      <c r="EA5" s="48" t="str">
        <f aca="false">IF(n_Fecha1="","",EOMONTH(n_Fecha1,126-1))</f>
        <v/>
      </c>
      <c r="EB5" s="48" t="str">
        <f aca="false">IF(n_Fecha1="","",EOMONTH(n_Fecha1,127-1))</f>
        <v/>
      </c>
      <c r="EC5" s="48" t="str">
        <f aca="false">IF(n_Fecha1="","",EOMONTH(n_Fecha1,128-1))</f>
        <v/>
      </c>
      <c r="ED5" s="48" t="str">
        <f aca="false">IF(n_Fecha1="","",EOMONTH(n_Fecha1,129-1))</f>
        <v/>
      </c>
      <c r="EE5" s="48" t="str">
        <f aca="false">IF(n_Fecha1="","",EOMONTH(n_Fecha1,130-1))</f>
        <v/>
      </c>
      <c r="EF5" s="48" t="str">
        <f aca="false">IF(n_Fecha1="","",EOMONTH(n_Fecha1,131-1))</f>
        <v/>
      </c>
      <c r="EG5" s="48" t="str">
        <f aca="false">IF(n_Fecha1="","",EOMONTH(n_Fecha1,132-1))</f>
        <v/>
      </c>
      <c r="EH5" s="48" t="str">
        <f aca="false">IF(n_Fecha1="","",EOMONTH(n_Fecha1,133-1))</f>
        <v/>
      </c>
      <c r="EI5" s="48" t="str">
        <f aca="false">IF(n_Fecha1="","",EOMONTH(n_Fecha1,134-1))</f>
        <v/>
      </c>
      <c r="EJ5" s="48" t="str">
        <f aca="false">IF(n_Fecha1="","",EOMONTH(n_Fecha1,135-1))</f>
        <v/>
      </c>
      <c r="EK5" s="48" t="str">
        <f aca="false">IF(n_Fecha1="","",EOMONTH(n_Fecha1,136-1))</f>
        <v/>
      </c>
      <c r="EL5" s="48" t="str">
        <f aca="false">IF(n_Fecha1="","",EOMONTH(n_Fecha1,137-1))</f>
        <v/>
      </c>
      <c r="EM5" s="48" t="str">
        <f aca="false">IF(n_Fecha1="","",EOMONTH(n_Fecha1,138-1))</f>
        <v/>
      </c>
      <c r="EN5" s="48" t="str">
        <f aca="false">IF(n_Fecha1="","",EOMONTH(n_Fecha1,139-1))</f>
        <v/>
      </c>
      <c r="EO5" s="48" t="str">
        <f aca="false">IF(n_Fecha1="","",EOMONTH(n_Fecha1,140-1))</f>
        <v/>
      </c>
      <c r="EP5" s="48" t="str">
        <f aca="false">IF(n_Fecha1="","",EOMONTH(n_Fecha1,141-1))</f>
        <v/>
      </c>
      <c r="EQ5" s="48" t="str">
        <f aca="false">IF(n_Fecha1="","",EOMONTH(n_Fecha1,142-1))</f>
        <v/>
      </c>
      <c r="ER5" s="48" t="str">
        <f aca="false">IF(n_Fecha1="","",EOMONTH(n_Fecha1,143-1))</f>
        <v/>
      </c>
      <c r="ES5" s="48" t="str">
        <f aca="false">IF(n_Fecha1="","",EOMONTH(n_Fecha1,144-1))</f>
        <v/>
      </c>
    </row>
    <row r="6" customFormat="false" ht="15" hidden="false" customHeight="false" outlineLevel="0" collapsed="false">
      <c r="A6" s="2" t="s">
        <v>534</v>
      </c>
      <c r="B6" s="11" t="s">
        <v>459</v>
      </c>
      <c r="F6" s="19" t="n">
        <f aca="false">ROUNDUP(1/12,0)</f>
        <v>1</v>
      </c>
      <c r="G6" s="19" t="n">
        <f aca="false">ROUNDUP(2/12,0)</f>
        <v>1</v>
      </c>
      <c r="H6" s="19" t="n">
        <f aca="false">ROUNDUP(3/12,0)</f>
        <v>1</v>
      </c>
      <c r="I6" s="19" t="n">
        <f aca="false">ROUNDUP(4/12,0)</f>
        <v>1</v>
      </c>
      <c r="J6" s="19" t="n">
        <f aca="false">ROUNDUP(5/12,0)</f>
        <v>1</v>
      </c>
      <c r="K6" s="19" t="n">
        <f aca="false">ROUNDUP(6/12,0)</f>
        <v>1</v>
      </c>
      <c r="L6" s="19" t="n">
        <f aca="false">ROUNDUP(7/12,0)</f>
        <v>1</v>
      </c>
      <c r="M6" s="19" t="n">
        <f aca="false">ROUNDUP(8/12,0)</f>
        <v>1</v>
      </c>
      <c r="N6" s="19" t="n">
        <f aca="false">ROUNDUP(9/12,0)</f>
        <v>1</v>
      </c>
      <c r="O6" s="19" t="n">
        <f aca="false">ROUNDUP(10/12,0)</f>
        <v>1</v>
      </c>
      <c r="P6" s="19" t="n">
        <f aca="false">ROUNDUP(11/12,0)</f>
        <v>1</v>
      </c>
      <c r="Q6" s="19" t="n">
        <f aca="false">ROUNDUP(12/12,0)</f>
        <v>1</v>
      </c>
      <c r="R6" s="19" t="n">
        <f aca="false">ROUNDUP(13/12,0)</f>
        <v>2</v>
      </c>
      <c r="S6" s="19" t="n">
        <f aca="false">ROUNDUP(14/12,0)</f>
        <v>2</v>
      </c>
      <c r="T6" s="19" t="n">
        <f aca="false">ROUNDUP(15/12,0)</f>
        <v>2</v>
      </c>
      <c r="U6" s="19" t="n">
        <f aca="false">ROUNDUP(16/12,0)</f>
        <v>2</v>
      </c>
      <c r="V6" s="19" t="n">
        <f aca="false">ROUNDUP(17/12,0)</f>
        <v>2</v>
      </c>
      <c r="W6" s="19" t="n">
        <f aca="false">ROUNDUP(18/12,0)</f>
        <v>2</v>
      </c>
      <c r="X6" s="19" t="n">
        <f aca="false">ROUNDUP(19/12,0)</f>
        <v>2</v>
      </c>
      <c r="Y6" s="19" t="n">
        <f aca="false">ROUNDUP(20/12,0)</f>
        <v>2</v>
      </c>
      <c r="Z6" s="19" t="n">
        <f aca="false">ROUNDUP(21/12,0)</f>
        <v>2</v>
      </c>
      <c r="AA6" s="19" t="n">
        <f aca="false">ROUNDUP(22/12,0)</f>
        <v>2</v>
      </c>
      <c r="AB6" s="19" t="n">
        <f aca="false">ROUNDUP(23/12,0)</f>
        <v>2</v>
      </c>
      <c r="AC6" s="19" t="n">
        <f aca="false">ROUNDUP(24/12,0)</f>
        <v>2</v>
      </c>
      <c r="AD6" s="19" t="n">
        <f aca="false">ROUNDUP(25/12,0)</f>
        <v>3</v>
      </c>
      <c r="AE6" s="19" t="n">
        <f aca="false">ROUNDUP(26/12,0)</f>
        <v>3</v>
      </c>
      <c r="AF6" s="19" t="n">
        <f aca="false">ROUNDUP(27/12,0)</f>
        <v>3</v>
      </c>
      <c r="AG6" s="19" t="n">
        <f aca="false">ROUNDUP(28/12,0)</f>
        <v>3</v>
      </c>
      <c r="AH6" s="19" t="n">
        <f aca="false">ROUNDUP(29/12,0)</f>
        <v>3</v>
      </c>
      <c r="AI6" s="19" t="n">
        <f aca="false">ROUNDUP(30/12,0)</f>
        <v>3</v>
      </c>
      <c r="AJ6" s="19" t="n">
        <f aca="false">ROUNDUP(31/12,0)</f>
        <v>3</v>
      </c>
      <c r="AK6" s="19" t="n">
        <f aca="false">ROUNDUP(32/12,0)</f>
        <v>3</v>
      </c>
      <c r="AL6" s="19" t="n">
        <f aca="false">ROUNDUP(33/12,0)</f>
        <v>3</v>
      </c>
      <c r="AM6" s="19" t="n">
        <f aca="false">ROUNDUP(34/12,0)</f>
        <v>3</v>
      </c>
      <c r="AN6" s="19" t="n">
        <f aca="false">ROUNDUP(35/12,0)</f>
        <v>3</v>
      </c>
      <c r="AO6" s="19" t="n">
        <f aca="false">ROUNDUP(36/12,0)</f>
        <v>3</v>
      </c>
      <c r="AP6" s="19" t="n">
        <f aca="false">ROUNDUP(37/12,0)</f>
        <v>4</v>
      </c>
      <c r="AQ6" s="19" t="n">
        <f aca="false">ROUNDUP(38/12,0)</f>
        <v>4</v>
      </c>
      <c r="AR6" s="19" t="n">
        <f aca="false">ROUNDUP(39/12,0)</f>
        <v>4</v>
      </c>
      <c r="AS6" s="19" t="n">
        <f aca="false">ROUNDUP(40/12,0)</f>
        <v>4</v>
      </c>
      <c r="AT6" s="19" t="n">
        <f aca="false">ROUNDUP(41/12,0)</f>
        <v>4</v>
      </c>
      <c r="AU6" s="19" t="n">
        <f aca="false">ROUNDUP(42/12,0)</f>
        <v>4</v>
      </c>
      <c r="AV6" s="19" t="n">
        <f aca="false">ROUNDUP(43/12,0)</f>
        <v>4</v>
      </c>
      <c r="AW6" s="19" t="n">
        <f aca="false">ROUNDUP(44/12,0)</f>
        <v>4</v>
      </c>
      <c r="AX6" s="19" t="n">
        <f aca="false">ROUNDUP(45/12,0)</f>
        <v>4</v>
      </c>
      <c r="AY6" s="19" t="n">
        <f aca="false">ROUNDUP(46/12,0)</f>
        <v>4</v>
      </c>
      <c r="AZ6" s="19" t="n">
        <f aca="false">ROUNDUP(47/12,0)</f>
        <v>4</v>
      </c>
      <c r="BA6" s="19" t="n">
        <f aca="false">ROUNDUP(48/12,0)</f>
        <v>4</v>
      </c>
      <c r="BB6" s="19" t="n">
        <f aca="false">ROUNDUP(49/12,0)</f>
        <v>5</v>
      </c>
      <c r="BC6" s="19" t="n">
        <f aca="false">ROUNDUP(50/12,0)</f>
        <v>5</v>
      </c>
      <c r="BD6" s="19" t="n">
        <f aca="false">ROUNDUP(51/12,0)</f>
        <v>5</v>
      </c>
      <c r="BE6" s="19" t="n">
        <f aca="false">ROUNDUP(52/12,0)</f>
        <v>5</v>
      </c>
      <c r="BF6" s="19" t="n">
        <f aca="false">ROUNDUP(53/12,0)</f>
        <v>5</v>
      </c>
      <c r="BG6" s="19" t="n">
        <f aca="false">ROUNDUP(54/12,0)</f>
        <v>5</v>
      </c>
      <c r="BH6" s="19" t="n">
        <f aca="false">ROUNDUP(55/12,0)</f>
        <v>5</v>
      </c>
      <c r="BI6" s="19" t="n">
        <f aca="false">ROUNDUP(56/12,0)</f>
        <v>5</v>
      </c>
      <c r="BJ6" s="19" t="n">
        <f aca="false">ROUNDUP(57/12,0)</f>
        <v>5</v>
      </c>
      <c r="BK6" s="19" t="n">
        <f aca="false">ROUNDUP(58/12,0)</f>
        <v>5</v>
      </c>
      <c r="BL6" s="19" t="n">
        <f aca="false">ROUNDUP(59/12,0)</f>
        <v>5</v>
      </c>
      <c r="BM6" s="19" t="n">
        <f aca="false">ROUNDUP(60/12,0)</f>
        <v>5</v>
      </c>
      <c r="BN6" s="19" t="n">
        <f aca="false">ROUNDUP(61/12,0)</f>
        <v>6</v>
      </c>
      <c r="BO6" s="19" t="n">
        <f aca="false">ROUNDUP(62/12,0)</f>
        <v>6</v>
      </c>
      <c r="BP6" s="19" t="n">
        <f aca="false">ROUNDUP(63/12,0)</f>
        <v>6</v>
      </c>
      <c r="BQ6" s="19" t="n">
        <f aca="false">ROUNDUP(64/12,0)</f>
        <v>6</v>
      </c>
      <c r="BR6" s="19" t="n">
        <f aca="false">ROUNDUP(65/12,0)</f>
        <v>6</v>
      </c>
      <c r="BS6" s="19" t="n">
        <f aca="false">ROUNDUP(66/12,0)</f>
        <v>6</v>
      </c>
      <c r="BT6" s="19" t="n">
        <f aca="false">ROUNDUP(67/12,0)</f>
        <v>6</v>
      </c>
      <c r="BU6" s="19" t="n">
        <f aca="false">ROUNDUP(68/12,0)</f>
        <v>6</v>
      </c>
      <c r="BV6" s="19" t="n">
        <f aca="false">ROUNDUP(69/12,0)</f>
        <v>6</v>
      </c>
      <c r="BW6" s="19" t="n">
        <f aca="false">ROUNDUP(70/12,0)</f>
        <v>6</v>
      </c>
      <c r="BX6" s="19" t="n">
        <f aca="false">ROUNDUP(71/12,0)</f>
        <v>6</v>
      </c>
      <c r="BY6" s="19" t="n">
        <f aca="false">ROUNDUP(72/12,0)</f>
        <v>6</v>
      </c>
      <c r="BZ6" s="19" t="n">
        <f aca="false">ROUNDUP(73/12,0)</f>
        <v>7</v>
      </c>
      <c r="CA6" s="19" t="n">
        <f aca="false">ROUNDUP(74/12,0)</f>
        <v>7</v>
      </c>
      <c r="CB6" s="19" t="n">
        <f aca="false">ROUNDUP(75/12,0)</f>
        <v>7</v>
      </c>
      <c r="CC6" s="19" t="n">
        <f aca="false">ROUNDUP(76/12,0)</f>
        <v>7</v>
      </c>
      <c r="CD6" s="19" t="n">
        <f aca="false">ROUNDUP(77/12,0)</f>
        <v>7</v>
      </c>
      <c r="CE6" s="19" t="n">
        <f aca="false">ROUNDUP(78/12,0)</f>
        <v>7</v>
      </c>
      <c r="CF6" s="19" t="n">
        <f aca="false">ROUNDUP(79/12,0)</f>
        <v>7</v>
      </c>
      <c r="CG6" s="19" t="n">
        <f aca="false">ROUNDUP(80/12,0)</f>
        <v>7</v>
      </c>
      <c r="CH6" s="19" t="n">
        <f aca="false">ROUNDUP(81/12,0)</f>
        <v>7</v>
      </c>
      <c r="CI6" s="19" t="n">
        <f aca="false">ROUNDUP(82/12,0)</f>
        <v>7</v>
      </c>
      <c r="CJ6" s="19" t="n">
        <f aca="false">ROUNDUP(83/12,0)</f>
        <v>7</v>
      </c>
      <c r="CK6" s="19" t="n">
        <f aca="false">ROUNDUP(84/12,0)</f>
        <v>7</v>
      </c>
      <c r="CL6" s="19" t="n">
        <f aca="false">ROUNDUP(85/12,0)</f>
        <v>8</v>
      </c>
      <c r="CM6" s="19" t="n">
        <f aca="false">ROUNDUP(86/12,0)</f>
        <v>8</v>
      </c>
      <c r="CN6" s="19" t="n">
        <f aca="false">ROUNDUP(87/12,0)</f>
        <v>8</v>
      </c>
      <c r="CO6" s="19" t="n">
        <f aca="false">ROUNDUP(88/12,0)</f>
        <v>8</v>
      </c>
      <c r="CP6" s="19" t="n">
        <f aca="false">ROUNDUP(89/12,0)</f>
        <v>8</v>
      </c>
      <c r="CQ6" s="19" t="n">
        <f aca="false">ROUNDUP(90/12,0)</f>
        <v>8</v>
      </c>
      <c r="CR6" s="19" t="n">
        <f aca="false">ROUNDUP(91/12,0)</f>
        <v>8</v>
      </c>
      <c r="CS6" s="19" t="n">
        <f aca="false">ROUNDUP(92/12,0)</f>
        <v>8</v>
      </c>
      <c r="CT6" s="19" t="n">
        <f aca="false">ROUNDUP(93/12,0)</f>
        <v>8</v>
      </c>
      <c r="CU6" s="19" t="n">
        <f aca="false">ROUNDUP(94/12,0)</f>
        <v>8</v>
      </c>
      <c r="CV6" s="19" t="n">
        <f aca="false">ROUNDUP(95/12,0)</f>
        <v>8</v>
      </c>
      <c r="CW6" s="19" t="n">
        <f aca="false">ROUNDUP(96/12,0)</f>
        <v>8</v>
      </c>
      <c r="CX6" s="19" t="n">
        <f aca="false">ROUNDUP(97/12,0)</f>
        <v>9</v>
      </c>
      <c r="CY6" s="19" t="n">
        <f aca="false">ROUNDUP(98/12,0)</f>
        <v>9</v>
      </c>
      <c r="CZ6" s="19" t="n">
        <f aca="false">ROUNDUP(99/12,0)</f>
        <v>9</v>
      </c>
      <c r="DA6" s="19" t="n">
        <f aca="false">ROUNDUP(100/12,0)</f>
        <v>9</v>
      </c>
      <c r="DB6" s="19" t="n">
        <f aca="false">ROUNDUP(101/12,0)</f>
        <v>9</v>
      </c>
      <c r="DC6" s="19" t="n">
        <f aca="false">ROUNDUP(102/12,0)</f>
        <v>9</v>
      </c>
      <c r="DD6" s="19" t="n">
        <f aca="false">ROUNDUP(103/12,0)</f>
        <v>9</v>
      </c>
      <c r="DE6" s="19" t="n">
        <f aca="false">ROUNDUP(104/12,0)</f>
        <v>9</v>
      </c>
      <c r="DF6" s="19" t="n">
        <f aca="false">ROUNDUP(105/12,0)</f>
        <v>9</v>
      </c>
      <c r="DG6" s="19" t="n">
        <f aca="false">ROUNDUP(106/12,0)</f>
        <v>9</v>
      </c>
      <c r="DH6" s="19" t="n">
        <f aca="false">ROUNDUP(107/12,0)</f>
        <v>9</v>
      </c>
      <c r="DI6" s="19" t="n">
        <f aca="false">ROUNDUP(108/12,0)</f>
        <v>9</v>
      </c>
      <c r="DJ6" s="19" t="n">
        <f aca="false">ROUNDUP(109/12,0)</f>
        <v>10</v>
      </c>
      <c r="DK6" s="19" t="n">
        <f aca="false">ROUNDUP(110/12,0)</f>
        <v>10</v>
      </c>
      <c r="DL6" s="19" t="n">
        <f aca="false">ROUNDUP(111/12,0)</f>
        <v>10</v>
      </c>
      <c r="DM6" s="19" t="n">
        <f aca="false">ROUNDUP(112/12,0)</f>
        <v>10</v>
      </c>
      <c r="DN6" s="19" t="n">
        <f aca="false">ROUNDUP(113/12,0)</f>
        <v>10</v>
      </c>
      <c r="DO6" s="19" t="n">
        <f aca="false">ROUNDUP(114/12,0)</f>
        <v>10</v>
      </c>
      <c r="DP6" s="19" t="n">
        <f aca="false">ROUNDUP(115/12,0)</f>
        <v>10</v>
      </c>
      <c r="DQ6" s="19" t="n">
        <f aca="false">ROUNDUP(116/12,0)</f>
        <v>10</v>
      </c>
      <c r="DR6" s="19" t="n">
        <f aca="false">ROUNDUP(117/12,0)</f>
        <v>10</v>
      </c>
      <c r="DS6" s="19" t="n">
        <f aca="false">ROUNDUP(118/12,0)</f>
        <v>10</v>
      </c>
      <c r="DT6" s="19" t="n">
        <f aca="false">ROUNDUP(119/12,0)</f>
        <v>10</v>
      </c>
      <c r="DU6" s="19" t="n">
        <f aca="false">ROUNDUP(120/12,0)</f>
        <v>10</v>
      </c>
      <c r="DV6" s="19" t="n">
        <f aca="false">ROUNDUP(121/12,0)</f>
        <v>11</v>
      </c>
      <c r="DW6" s="19" t="n">
        <f aca="false">ROUNDUP(122/12,0)</f>
        <v>11</v>
      </c>
      <c r="DX6" s="19" t="n">
        <f aca="false">ROUNDUP(123/12,0)</f>
        <v>11</v>
      </c>
      <c r="DY6" s="19" t="n">
        <f aca="false">ROUNDUP(124/12,0)</f>
        <v>11</v>
      </c>
      <c r="DZ6" s="19" t="n">
        <f aca="false">ROUNDUP(125/12,0)</f>
        <v>11</v>
      </c>
      <c r="EA6" s="19" t="n">
        <f aca="false">ROUNDUP(126/12,0)</f>
        <v>11</v>
      </c>
      <c r="EB6" s="19" t="n">
        <f aca="false">ROUNDUP(127/12,0)</f>
        <v>11</v>
      </c>
      <c r="EC6" s="19" t="n">
        <f aca="false">ROUNDUP(128/12,0)</f>
        <v>11</v>
      </c>
      <c r="ED6" s="19" t="n">
        <f aca="false">ROUNDUP(129/12,0)</f>
        <v>11</v>
      </c>
      <c r="EE6" s="19" t="n">
        <f aca="false">ROUNDUP(130/12,0)</f>
        <v>11</v>
      </c>
      <c r="EF6" s="19" t="n">
        <f aca="false">ROUNDUP(131/12,0)</f>
        <v>11</v>
      </c>
      <c r="EG6" s="19" t="n">
        <f aca="false">ROUNDUP(132/12,0)</f>
        <v>11</v>
      </c>
      <c r="EH6" s="19" t="n">
        <f aca="false">ROUNDUP(133/12,0)</f>
        <v>12</v>
      </c>
      <c r="EI6" s="19" t="n">
        <f aca="false">ROUNDUP(134/12,0)</f>
        <v>12</v>
      </c>
      <c r="EJ6" s="19" t="n">
        <f aca="false">ROUNDUP(135/12,0)</f>
        <v>12</v>
      </c>
      <c r="EK6" s="19" t="n">
        <f aca="false">ROUNDUP(136/12,0)</f>
        <v>12</v>
      </c>
      <c r="EL6" s="19" t="n">
        <f aca="false">ROUNDUP(137/12,0)</f>
        <v>12</v>
      </c>
      <c r="EM6" s="19" t="n">
        <f aca="false">ROUNDUP(138/12,0)</f>
        <v>12</v>
      </c>
      <c r="EN6" s="19" t="n">
        <f aca="false">ROUNDUP(139/12,0)</f>
        <v>12</v>
      </c>
      <c r="EO6" s="19" t="n">
        <f aca="false">ROUNDUP(140/12,0)</f>
        <v>12</v>
      </c>
      <c r="EP6" s="19" t="n">
        <f aca="false">ROUNDUP(141/12,0)</f>
        <v>12</v>
      </c>
      <c r="EQ6" s="19" t="n">
        <f aca="false">ROUNDUP(142/12,0)</f>
        <v>12</v>
      </c>
      <c r="ER6" s="19" t="n">
        <f aca="false">ROUNDUP(143/12,0)</f>
        <v>12</v>
      </c>
      <c r="ES6" s="19" t="n">
        <f aca="false">ROUNDUP(144/12,0)</f>
        <v>12</v>
      </c>
    </row>
    <row r="7" customFormat="false" ht="15" hidden="false" customHeight="false" outlineLevel="0" collapsed="false">
      <c r="A7" s="2" t="s">
        <v>101</v>
      </c>
      <c r="B7" s="11" t="s">
        <v>535</v>
      </c>
      <c r="F7" s="19" t="n">
        <f aca="false">MOD(1-1,12)+1</f>
        <v>1</v>
      </c>
      <c r="G7" s="19" t="n">
        <f aca="false">MOD(2-1,12)+1</f>
        <v>2</v>
      </c>
      <c r="H7" s="19" t="n">
        <f aca="false">MOD(3-1,12)+1</f>
        <v>3</v>
      </c>
      <c r="I7" s="19" t="n">
        <f aca="false">MOD(4-1,12)+1</f>
        <v>4</v>
      </c>
      <c r="J7" s="19" t="n">
        <f aca="false">MOD(5-1,12)+1</f>
        <v>5</v>
      </c>
      <c r="K7" s="19" t="n">
        <f aca="false">MOD(6-1,12)+1</f>
        <v>6</v>
      </c>
      <c r="L7" s="19" t="n">
        <f aca="false">MOD(7-1,12)+1</f>
        <v>7</v>
      </c>
      <c r="M7" s="19" t="n">
        <f aca="false">MOD(8-1,12)+1</f>
        <v>8</v>
      </c>
      <c r="N7" s="19" t="n">
        <f aca="false">MOD(9-1,12)+1</f>
        <v>9</v>
      </c>
      <c r="O7" s="19" t="n">
        <f aca="false">MOD(10-1,12)+1</f>
        <v>10</v>
      </c>
      <c r="P7" s="19" t="n">
        <f aca="false">MOD(11-1,12)+1</f>
        <v>11</v>
      </c>
      <c r="Q7" s="19" t="n">
        <f aca="false">MOD(12-1,12)+1</f>
        <v>12</v>
      </c>
      <c r="R7" s="19" t="n">
        <f aca="false">MOD(13-1,12)+1</f>
        <v>1</v>
      </c>
      <c r="S7" s="19" t="n">
        <f aca="false">MOD(14-1,12)+1</f>
        <v>2</v>
      </c>
      <c r="T7" s="19" t="n">
        <f aca="false">MOD(15-1,12)+1</f>
        <v>3</v>
      </c>
      <c r="U7" s="19" t="n">
        <f aca="false">MOD(16-1,12)+1</f>
        <v>4</v>
      </c>
      <c r="V7" s="19" t="n">
        <f aca="false">MOD(17-1,12)+1</f>
        <v>5</v>
      </c>
      <c r="W7" s="19" t="n">
        <f aca="false">MOD(18-1,12)+1</f>
        <v>6</v>
      </c>
      <c r="X7" s="19" t="n">
        <f aca="false">MOD(19-1,12)+1</f>
        <v>7</v>
      </c>
      <c r="Y7" s="19" t="n">
        <f aca="false">MOD(20-1,12)+1</f>
        <v>8</v>
      </c>
      <c r="Z7" s="19" t="n">
        <f aca="false">MOD(21-1,12)+1</f>
        <v>9</v>
      </c>
      <c r="AA7" s="19" t="n">
        <f aca="false">MOD(22-1,12)+1</f>
        <v>10</v>
      </c>
      <c r="AB7" s="19" t="n">
        <f aca="false">MOD(23-1,12)+1</f>
        <v>11</v>
      </c>
      <c r="AC7" s="19" t="n">
        <f aca="false">MOD(24-1,12)+1</f>
        <v>12</v>
      </c>
      <c r="AD7" s="19" t="n">
        <f aca="false">MOD(25-1,12)+1</f>
        <v>1</v>
      </c>
      <c r="AE7" s="19" t="n">
        <f aca="false">MOD(26-1,12)+1</f>
        <v>2</v>
      </c>
      <c r="AF7" s="19" t="n">
        <f aca="false">MOD(27-1,12)+1</f>
        <v>3</v>
      </c>
      <c r="AG7" s="19" t="n">
        <f aca="false">MOD(28-1,12)+1</f>
        <v>4</v>
      </c>
      <c r="AH7" s="19" t="n">
        <f aca="false">MOD(29-1,12)+1</f>
        <v>5</v>
      </c>
      <c r="AI7" s="19" t="n">
        <f aca="false">MOD(30-1,12)+1</f>
        <v>6</v>
      </c>
      <c r="AJ7" s="19" t="n">
        <f aca="false">MOD(31-1,12)+1</f>
        <v>7</v>
      </c>
      <c r="AK7" s="19" t="n">
        <f aca="false">MOD(32-1,12)+1</f>
        <v>8</v>
      </c>
      <c r="AL7" s="19" t="n">
        <f aca="false">MOD(33-1,12)+1</f>
        <v>9</v>
      </c>
      <c r="AM7" s="19" t="n">
        <f aca="false">MOD(34-1,12)+1</f>
        <v>10</v>
      </c>
      <c r="AN7" s="19" t="n">
        <f aca="false">MOD(35-1,12)+1</f>
        <v>11</v>
      </c>
      <c r="AO7" s="19" t="n">
        <f aca="false">MOD(36-1,12)+1</f>
        <v>12</v>
      </c>
      <c r="AP7" s="19" t="n">
        <f aca="false">MOD(37-1,12)+1</f>
        <v>1</v>
      </c>
      <c r="AQ7" s="19" t="n">
        <f aca="false">MOD(38-1,12)+1</f>
        <v>2</v>
      </c>
      <c r="AR7" s="19" t="n">
        <f aca="false">MOD(39-1,12)+1</f>
        <v>3</v>
      </c>
      <c r="AS7" s="19" t="n">
        <f aca="false">MOD(40-1,12)+1</f>
        <v>4</v>
      </c>
      <c r="AT7" s="19" t="n">
        <f aca="false">MOD(41-1,12)+1</f>
        <v>5</v>
      </c>
      <c r="AU7" s="19" t="n">
        <f aca="false">MOD(42-1,12)+1</f>
        <v>6</v>
      </c>
      <c r="AV7" s="19" t="n">
        <f aca="false">MOD(43-1,12)+1</f>
        <v>7</v>
      </c>
      <c r="AW7" s="19" t="n">
        <f aca="false">MOD(44-1,12)+1</f>
        <v>8</v>
      </c>
      <c r="AX7" s="19" t="n">
        <f aca="false">MOD(45-1,12)+1</f>
        <v>9</v>
      </c>
      <c r="AY7" s="19" t="n">
        <f aca="false">MOD(46-1,12)+1</f>
        <v>10</v>
      </c>
      <c r="AZ7" s="19" t="n">
        <f aca="false">MOD(47-1,12)+1</f>
        <v>11</v>
      </c>
      <c r="BA7" s="19" t="n">
        <f aca="false">MOD(48-1,12)+1</f>
        <v>12</v>
      </c>
      <c r="BB7" s="19" t="n">
        <f aca="false">MOD(49-1,12)+1</f>
        <v>1</v>
      </c>
      <c r="BC7" s="19" t="n">
        <f aca="false">MOD(50-1,12)+1</f>
        <v>2</v>
      </c>
      <c r="BD7" s="19" t="n">
        <f aca="false">MOD(51-1,12)+1</f>
        <v>3</v>
      </c>
      <c r="BE7" s="19" t="n">
        <f aca="false">MOD(52-1,12)+1</f>
        <v>4</v>
      </c>
      <c r="BF7" s="19" t="n">
        <f aca="false">MOD(53-1,12)+1</f>
        <v>5</v>
      </c>
      <c r="BG7" s="19" t="n">
        <f aca="false">MOD(54-1,12)+1</f>
        <v>6</v>
      </c>
      <c r="BH7" s="19" t="n">
        <f aca="false">MOD(55-1,12)+1</f>
        <v>7</v>
      </c>
      <c r="BI7" s="19" t="n">
        <f aca="false">MOD(56-1,12)+1</f>
        <v>8</v>
      </c>
      <c r="BJ7" s="19" t="n">
        <f aca="false">MOD(57-1,12)+1</f>
        <v>9</v>
      </c>
      <c r="BK7" s="19" t="n">
        <f aca="false">MOD(58-1,12)+1</f>
        <v>10</v>
      </c>
      <c r="BL7" s="19" t="n">
        <f aca="false">MOD(59-1,12)+1</f>
        <v>11</v>
      </c>
      <c r="BM7" s="19" t="n">
        <f aca="false">MOD(60-1,12)+1</f>
        <v>12</v>
      </c>
      <c r="BN7" s="19" t="n">
        <f aca="false">MOD(61-1,12)+1</f>
        <v>1</v>
      </c>
      <c r="BO7" s="19" t="n">
        <f aca="false">MOD(62-1,12)+1</f>
        <v>2</v>
      </c>
      <c r="BP7" s="19" t="n">
        <f aca="false">MOD(63-1,12)+1</f>
        <v>3</v>
      </c>
      <c r="BQ7" s="19" t="n">
        <f aca="false">MOD(64-1,12)+1</f>
        <v>4</v>
      </c>
      <c r="BR7" s="19" t="n">
        <f aca="false">MOD(65-1,12)+1</f>
        <v>5</v>
      </c>
      <c r="BS7" s="19" t="n">
        <f aca="false">MOD(66-1,12)+1</f>
        <v>6</v>
      </c>
      <c r="BT7" s="19" t="n">
        <f aca="false">MOD(67-1,12)+1</f>
        <v>7</v>
      </c>
      <c r="BU7" s="19" t="n">
        <f aca="false">MOD(68-1,12)+1</f>
        <v>8</v>
      </c>
      <c r="BV7" s="19" t="n">
        <f aca="false">MOD(69-1,12)+1</f>
        <v>9</v>
      </c>
      <c r="BW7" s="19" t="n">
        <f aca="false">MOD(70-1,12)+1</f>
        <v>10</v>
      </c>
      <c r="BX7" s="19" t="n">
        <f aca="false">MOD(71-1,12)+1</f>
        <v>11</v>
      </c>
      <c r="BY7" s="19" t="n">
        <f aca="false">MOD(72-1,12)+1</f>
        <v>12</v>
      </c>
      <c r="BZ7" s="19" t="n">
        <f aca="false">MOD(73-1,12)+1</f>
        <v>1</v>
      </c>
      <c r="CA7" s="19" t="n">
        <f aca="false">MOD(74-1,12)+1</f>
        <v>2</v>
      </c>
      <c r="CB7" s="19" t="n">
        <f aca="false">MOD(75-1,12)+1</f>
        <v>3</v>
      </c>
      <c r="CC7" s="19" t="n">
        <f aca="false">MOD(76-1,12)+1</f>
        <v>4</v>
      </c>
      <c r="CD7" s="19" t="n">
        <f aca="false">MOD(77-1,12)+1</f>
        <v>5</v>
      </c>
      <c r="CE7" s="19" t="n">
        <f aca="false">MOD(78-1,12)+1</f>
        <v>6</v>
      </c>
      <c r="CF7" s="19" t="n">
        <f aca="false">MOD(79-1,12)+1</f>
        <v>7</v>
      </c>
      <c r="CG7" s="19" t="n">
        <f aca="false">MOD(80-1,12)+1</f>
        <v>8</v>
      </c>
      <c r="CH7" s="19" t="n">
        <f aca="false">MOD(81-1,12)+1</f>
        <v>9</v>
      </c>
      <c r="CI7" s="19" t="n">
        <f aca="false">MOD(82-1,12)+1</f>
        <v>10</v>
      </c>
      <c r="CJ7" s="19" t="n">
        <f aca="false">MOD(83-1,12)+1</f>
        <v>11</v>
      </c>
      <c r="CK7" s="19" t="n">
        <f aca="false">MOD(84-1,12)+1</f>
        <v>12</v>
      </c>
      <c r="CL7" s="19" t="n">
        <f aca="false">MOD(85-1,12)+1</f>
        <v>1</v>
      </c>
      <c r="CM7" s="19" t="n">
        <f aca="false">MOD(86-1,12)+1</f>
        <v>2</v>
      </c>
      <c r="CN7" s="19" t="n">
        <f aca="false">MOD(87-1,12)+1</f>
        <v>3</v>
      </c>
      <c r="CO7" s="19" t="n">
        <f aca="false">MOD(88-1,12)+1</f>
        <v>4</v>
      </c>
      <c r="CP7" s="19" t="n">
        <f aca="false">MOD(89-1,12)+1</f>
        <v>5</v>
      </c>
      <c r="CQ7" s="19" t="n">
        <f aca="false">MOD(90-1,12)+1</f>
        <v>6</v>
      </c>
      <c r="CR7" s="19" t="n">
        <f aca="false">MOD(91-1,12)+1</f>
        <v>7</v>
      </c>
      <c r="CS7" s="19" t="n">
        <f aca="false">MOD(92-1,12)+1</f>
        <v>8</v>
      </c>
      <c r="CT7" s="19" t="n">
        <f aca="false">MOD(93-1,12)+1</f>
        <v>9</v>
      </c>
      <c r="CU7" s="19" t="n">
        <f aca="false">MOD(94-1,12)+1</f>
        <v>10</v>
      </c>
      <c r="CV7" s="19" t="n">
        <f aca="false">MOD(95-1,12)+1</f>
        <v>11</v>
      </c>
      <c r="CW7" s="19" t="n">
        <f aca="false">MOD(96-1,12)+1</f>
        <v>12</v>
      </c>
      <c r="CX7" s="19" t="n">
        <f aca="false">MOD(97-1,12)+1</f>
        <v>1</v>
      </c>
      <c r="CY7" s="19" t="n">
        <f aca="false">MOD(98-1,12)+1</f>
        <v>2</v>
      </c>
      <c r="CZ7" s="19" t="n">
        <f aca="false">MOD(99-1,12)+1</f>
        <v>3</v>
      </c>
      <c r="DA7" s="19" t="n">
        <f aca="false">MOD(100-1,12)+1</f>
        <v>4</v>
      </c>
      <c r="DB7" s="19" t="n">
        <f aca="false">MOD(101-1,12)+1</f>
        <v>5</v>
      </c>
      <c r="DC7" s="19" t="n">
        <f aca="false">MOD(102-1,12)+1</f>
        <v>6</v>
      </c>
      <c r="DD7" s="19" t="n">
        <f aca="false">MOD(103-1,12)+1</f>
        <v>7</v>
      </c>
      <c r="DE7" s="19" t="n">
        <f aca="false">MOD(104-1,12)+1</f>
        <v>8</v>
      </c>
      <c r="DF7" s="19" t="n">
        <f aca="false">MOD(105-1,12)+1</f>
        <v>9</v>
      </c>
      <c r="DG7" s="19" t="n">
        <f aca="false">MOD(106-1,12)+1</f>
        <v>10</v>
      </c>
      <c r="DH7" s="19" t="n">
        <f aca="false">MOD(107-1,12)+1</f>
        <v>11</v>
      </c>
      <c r="DI7" s="19" t="n">
        <f aca="false">MOD(108-1,12)+1</f>
        <v>12</v>
      </c>
      <c r="DJ7" s="19" t="n">
        <f aca="false">MOD(109-1,12)+1</f>
        <v>1</v>
      </c>
      <c r="DK7" s="19" t="n">
        <f aca="false">MOD(110-1,12)+1</f>
        <v>2</v>
      </c>
      <c r="DL7" s="19" t="n">
        <f aca="false">MOD(111-1,12)+1</f>
        <v>3</v>
      </c>
      <c r="DM7" s="19" t="n">
        <f aca="false">MOD(112-1,12)+1</f>
        <v>4</v>
      </c>
      <c r="DN7" s="19" t="n">
        <f aca="false">MOD(113-1,12)+1</f>
        <v>5</v>
      </c>
      <c r="DO7" s="19" t="n">
        <f aca="false">MOD(114-1,12)+1</f>
        <v>6</v>
      </c>
      <c r="DP7" s="19" t="n">
        <f aca="false">MOD(115-1,12)+1</f>
        <v>7</v>
      </c>
      <c r="DQ7" s="19" t="n">
        <f aca="false">MOD(116-1,12)+1</f>
        <v>8</v>
      </c>
      <c r="DR7" s="19" t="n">
        <f aca="false">MOD(117-1,12)+1</f>
        <v>9</v>
      </c>
      <c r="DS7" s="19" t="n">
        <f aca="false">MOD(118-1,12)+1</f>
        <v>10</v>
      </c>
      <c r="DT7" s="19" t="n">
        <f aca="false">MOD(119-1,12)+1</f>
        <v>11</v>
      </c>
      <c r="DU7" s="19" t="n">
        <f aca="false">MOD(120-1,12)+1</f>
        <v>12</v>
      </c>
      <c r="DV7" s="19" t="n">
        <f aca="false">MOD(121-1,12)+1</f>
        <v>1</v>
      </c>
      <c r="DW7" s="19" t="n">
        <f aca="false">MOD(122-1,12)+1</f>
        <v>2</v>
      </c>
      <c r="DX7" s="19" t="n">
        <f aca="false">MOD(123-1,12)+1</f>
        <v>3</v>
      </c>
      <c r="DY7" s="19" t="n">
        <f aca="false">MOD(124-1,12)+1</f>
        <v>4</v>
      </c>
      <c r="DZ7" s="19" t="n">
        <f aca="false">MOD(125-1,12)+1</f>
        <v>5</v>
      </c>
      <c r="EA7" s="19" t="n">
        <f aca="false">MOD(126-1,12)+1</f>
        <v>6</v>
      </c>
      <c r="EB7" s="19" t="n">
        <f aca="false">MOD(127-1,12)+1</f>
        <v>7</v>
      </c>
      <c r="EC7" s="19" t="n">
        <f aca="false">MOD(128-1,12)+1</f>
        <v>8</v>
      </c>
      <c r="ED7" s="19" t="n">
        <f aca="false">MOD(129-1,12)+1</f>
        <v>9</v>
      </c>
      <c r="EE7" s="19" t="n">
        <f aca="false">MOD(130-1,12)+1</f>
        <v>10</v>
      </c>
      <c r="EF7" s="19" t="n">
        <f aca="false">MOD(131-1,12)+1</f>
        <v>11</v>
      </c>
      <c r="EG7" s="19" t="n">
        <f aca="false">MOD(132-1,12)+1</f>
        <v>12</v>
      </c>
      <c r="EH7" s="19" t="n">
        <f aca="false">MOD(133-1,12)+1</f>
        <v>1</v>
      </c>
      <c r="EI7" s="19" t="n">
        <f aca="false">MOD(134-1,12)+1</f>
        <v>2</v>
      </c>
      <c r="EJ7" s="19" t="n">
        <f aca="false">MOD(135-1,12)+1</f>
        <v>3</v>
      </c>
      <c r="EK7" s="19" t="n">
        <f aca="false">MOD(136-1,12)+1</f>
        <v>4</v>
      </c>
      <c r="EL7" s="19" t="n">
        <f aca="false">MOD(137-1,12)+1</f>
        <v>5</v>
      </c>
      <c r="EM7" s="19" t="n">
        <f aca="false">MOD(138-1,12)+1</f>
        <v>6</v>
      </c>
      <c r="EN7" s="19" t="n">
        <f aca="false">MOD(139-1,12)+1</f>
        <v>7</v>
      </c>
      <c r="EO7" s="19" t="n">
        <f aca="false">MOD(140-1,12)+1</f>
        <v>8</v>
      </c>
      <c r="EP7" s="19" t="n">
        <f aca="false">MOD(141-1,12)+1</f>
        <v>9</v>
      </c>
      <c r="EQ7" s="19" t="n">
        <f aca="false">MOD(142-1,12)+1</f>
        <v>10</v>
      </c>
      <c r="ER7" s="19" t="n">
        <f aca="false">MOD(143-1,12)+1</f>
        <v>11</v>
      </c>
      <c r="ES7" s="19" t="n">
        <f aca="false">MOD(144-1,12)+1</f>
        <v>12</v>
      </c>
    </row>
    <row r="8" customFormat="false" ht="15" hidden="false" customHeight="false" outlineLevel="0" collapsed="false">
      <c r="A8" s="2" t="s">
        <v>536</v>
      </c>
      <c r="B8" s="11" t="s">
        <v>537</v>
      </c>
      <c r="F8" s="19" t="n">
        <f aca="false">IF(1&lt;=Corte,1,0)</f>
        <v>0</v>
      </c>
      <c r="G8" s="19" t="n">
        <f aca="false">IF(2&lt;=Corte,1,0)</f>
        <v>0</v>
      </c>
      <c r="H8" s="19" t="n">
        <f aca="false">IF(3&lt;=Corte,1,0)</f>
        <v>0</v>
      </c>
      <c r="I8" s="19" t="n">
        <f aca="false">IF(4&lt;=Corte,1,0)</f>
        <v>0</v>
      </c>
      <c r="J8" s="19" t="n">
        <f aca="false">IF(5&lt;=Corte,1,0)</f>
        <v>0</v>
      </c>
      <c r="K8" s="19" t="n">
        <f aca="false">IF(6&lt;=Corte,1,0)</f>
        <v>0</v>
      </c>
      <c r="L8" s="19" t="n">
        <f aca="false">IF(7&lt;=Corte,1,0)</f>
        <v>0</v>
      </c>
      <c r="M8" s="19" t="n">
        <f aca="false">IF(8&lt;=Corte,1,0)</f>
        <v>0</v>
      </c>
      <c r="N8" s="19" t="n">
        <f aca="false">IF(9&lt;=Corte,1,0)</f>
        <v>0</v>
      </c>
      <c r="O8" s="19" t="n">
        <f aca="false">IF(10&lt;=Corte,1,0)</f>
        <v>0</v>
      </c>
      <c r="P8" s="19" t="n">
        <f aca="false">IF(11&lt;=Corte,1,0)</f>
        <v>0</v>
      </c>
      <c r="Q8" s="19" t="n">
        <f aca="false">IF(12&lt;=Corte,1,0)</f>
        <v>0</v>
      </c>
      <c r="R8" s="19" t="n">
        <f aca="false">IF(13&lt;=Corte,1,0)</f>
        <v>0</v>
      </c>
      <c r="S8" s="19" t="n">
        <f aca="false">IF(14&lt;=Corte,1,0)</f>
        <v>0</v>
      </c>
      <c r="T8" s="19" t="n">
        <f aca="false">IF(15&lt;=Corte,1,0)</f>
        <v>0</v>
      </c>
      <c r="U8" s="19" t="n">
        <f aca="false">IF(16&lt;=Corte,1,0)</f>
        <v>0</v>
      </c>
      <c r="V8" s="19" t="n">
        <f aca="false">IF(17&lt;=Corte,1,0)</f>
        <v>0</v>
      </c>
      <c r="W8" s="19" t="n">
        <f aca="false">IF(18&lt;=Corte,1,0)</f>
        <v>0</v>
      </c>
      <c r="X8" s="19" t="n">
        <f aca="false">IF(19&lt;=Corte,1,0)</f>
        <v>0</v>
      </c>
      <c r="Y8" s="19" t="n">
        <f aca="false">IF(20&lt;=Corte,1,0)</f>
        <v>0</v>
      </c>
      <c r="Z8" s="19" t="n">
        <f aca="false">IF(21&lt;=Corte,1,0)</f>
        <v>0</v>
      </c>
      <c r="AA8" s="19" t="n">
        <f aca="false">IF(22&lt;=Corte,1,0)</f>
        <v>0</v>
      </c>
      <c r="AB8" s="19" t="n">
        <f aca="false">IF(23&lt;=Corte,1,0)</f>
        <v>0</v>
      </c>
      <c r="AC8" s="19" t="n">
        <f aca="false">IF(24&lt;=Corte,1,0)</f>
        <v>0</v>
      </c>
      <c r="AD8" s="19" t="n">
        <f aca="false">IF(25&lt;=Corte,1,0)</f>
        <v>0</v>
      </c>
      <c r="AE8" s="19" t="n">
        <f aca="false">IF(26&lt;=Corte,1,0)</f>
        <v>0</v>
      </c>
      <c r="AF8" s="19" t="n">
        <f aca="false">IF(27&lt;=Corte,1,0)</f>
        <v>0</v>
      </c>
      <c r="AG8" s="19" t="n">
        <f aca="false">IF(28&lt;=Corte,1,0)</f>
        <v>0</v>
      </c>
      <c r="AH8" s="19" t="n">
        <f aca="false">IF(29&lt;=Corte,1,0)</f>
        <v>0</v>
      </c>
      <c r="AI8" s="19" t="n">
        <f aca="false">IF(30&lt;=Corte,1,0)</f>
        <v>0</v>
      </c>
      <c r="AJ8" s="19" t="n">
        <f aca="false">IF(31&lt;=Corte,1,0)</f>
        <v>0</v>
      </c>
      <c r="AK8" s="19" t="n">
        <f aca="false">IF(32&lt;=Corte,1,0)</f>
        <v>0</v>
      </c>
      <c r="AL8" s="19" t="n">
        <f aca="false">IF(33&lt;=Corte,1,0)</f>
        <v>0</v>
      </c>
      <c r="AM8" s="19" t="n">
        <f aca="false">IF(34&lt;=Corte,1,0)</f>
        <v>0</v>
      </c>
      <c r="AN8" s="19" t="n">
        <f aca="false">IF(35&lt;=Corte,1,0)</f>
        <v>0</v>
      </c>
      <c r="AO8" s="19" t="n">
        <f aca="false">IF(36&lt;=Corte,1,0)</f>
        <v>0</v>
      </c>
      <c r="AP8" s="19" t="n">
        <f aca="false">IF(37&lt;=Corte,1,0)</f>
        <v>0</v>
      </c>
      <c r="AQ8" s="19" t="n">
        <f aca="false">IF(38&lt;=Corte,1,0)</f>
        <v>0</v>
      </c>
      <c r="AR8" s="19" t="n">
        <f aca="false">IF(39&lt;=Corte,1,0)</f>
        <v>0</v>
      </c>
      <c r="AS8" s="19" t="n">
        <f aca="false">IF(40&lt;=Corte,1,0)</f>
        <v>0</v>
      </c>
      <c r="AT8" s="19" t="n">
        <f aca="false">IF(41&lt;=Corte,1,0)</f>
        <v>0</v>
      </c>
      <c r="AU8" s="19" t="n">
        <f aca="false">IF(42&lt;=Corte,1,0)</f>
        <v>0</v>
      </c>
      <c r="AV8" s="19" t="n">
        <f aca="false">IF(43&lt;=Corte,1,0)</f>
        <v>0</v>
      </c>
      <c r="AW8" s="19" t="n">
        <f aca="false">IF(44&lt;=Corte,1,0)</f>
        <v>0</v>
      </c>
      <c r="AX8" s="19" t="n">
        <f aca="false">IF(45&lt;=Corte,1,0)</f>
        <v>0</v>
      </c>
      <c r="AY8" s="19" t="n">
        <f aca="false">IF(46&lt;=Corte,1,0)</f>
        <v>0</v>
      </c>
      <c r="AZ8" s="19" t="n">
        <f aca="false">IF(47&lt;=Corte,1,0)</f>
        <v>0</v>
      </c>
      <c r="BA8" s="19" t="n">
        <f aca="false">IF(48&lt;=Corte,1,0)</f>
        <v>0</v>
      </c>
      <c r="BB8" s="19" t="n">
        <f aca="false">IF(49&lt;=Corte,1,0)</f>
        <v>0</v>
      </c>
      <c r="BC8" s="19" t="n">
        <f aca="false">IF(50&lt;=Corte,1,0)</f>
        <v>0</v>
      </c>
      <c r="BD8" s="19" t="n">
        <f aca="false">IF(51&lt;=Corte,1,0)</f>
        <v>0</v>
      </c>
      <c r="BE8" s="19" t="n">
        <f aca="false">IF(52&lt;=Corte,1,0)</f>
        <v>0</v>
      </c>
      <c r="BF8" s="19" t="n">
        <f aca="false">IF(53&lt;=Corte,1,0)</f>
        <v>0</v>
      </c>
      <c r="BG8" s="19" t="n">
        <f aca="false">IF(54&lt;=Corte,1,0)</f>
        <v>0</v>
      </c>
      <c r="BH8" s="19" t="n">
        <f aca="false">IF(55&lt;=Corte,1,0)</f>
        <v>0</v>
      </c>
      <c r="BI8" s="19" t="n">
        <f aca="false">IF(56&lt;=Corte,1,0)</f>
        <v>0</v>
      </c>
      <c r="BJ8" s="19" t="n">
        <f aca="false">IF(57&lt;=Corte,1,0)</f>
        <v>0</v>
      </c>
      <c r="BK8" s="19" t="n">
        <f aca="false">IF(58&lt;=Corte,1,0)</f>
        <v>0</v>
      </c>
      <c r="BL8" s="19" t="n">
        <f aca="false">IF(59&lt;=Corte,1,0)</f>
        <v>0</v>
      </c>
      <c r="BM8" s="19" t="n">
        <f aca="false">IF(60&lt;=Corte,1,0)</f>
        <v>0</v>
      </c>
      <c r="BN8" s="19" t="n">
        <f aca="false">IF(61&lt;=Corte,1,0)</f>
        <v>0</v>
      </c>
      <c r="BO8" s="19" t="n">
        <f aca="false">IF(62&lt;=Corte,1,0)</f>
        <v>0</v>
      </c>
      <c r="BP8" s="19" t="n">
        <f aca="false">IF(63&lt;=Corte,1,0)</f>
        <v>0</v>
      </c>
      <c r="BQ8" s="19" t="n">
        <f aca="false">IF(64&lt;=Corte,1,0)</f>
        <v>0</v>
      </c>
      <c r="BR8" s="19" t="n">
        <f aca="false">IF(65&lt;=Corte,1,0)</f>
        <v>0</v>
      </c>
      <c r="BS8" s="19" t="n">
        <f aca="false">IF(66&lt;=Corte,1,0)</f>
        <v>0</v>
      </c>
      <c r="BT8" s="19" t="n">
        <f aca="false">IF(67&lt;=Corte,1,0)</f>
        <v>0</v>
      </c>
      <c r="BU8" s="19" t="n">
        <f aca="false">IF(68&lt;=Corte,1,0)</f>
        <v>0</v>
      </c>
      <c r="BV8" s="19" t="n">
        <f aca="false">IF(69&lt;=Corte,1,0)</f>
        <v>0</v>
      </c>
      <c r="BW8" s="19" t="n">
        <f aca="false">IF(70&lt;=Corte,1,0)</f>
        <v>0</v>
      </c>
      <c r="BX8" s="19" t="n">
        <f aca="false">IF(71&lt;=Corte,1,0)</f>
        <v>0</v>
      </c>
      <c r="BY8" s="19" t="n">
        <f aca="false">IF(72&lt;=Corte,1,0)</f>
        <v>0</v>
      </c>
      <c r="BZ8" s="19" t="n">
        <f aca="false">IF(73&lt;=Corte,1,0)</f>
        <v>0</v>
      </c>
      <c r="CA8" s="19" t="n">
        <f aca="false">IF(74&lt;=Corte,1,0)</f>
        <v>0</v>
      </c>
      <c r="CB8" s="19" t="n">
        <f aca="false">IF(75&lt;=Corte,1,0)</f>
        <v>0</v>
      </c>
      <c r="CC8" s="19" t="n">
        <f aca="false">IF(76&lt;=Corte,1,0)</f>
        <v>0</v>
      </c>
      <c r="CD8" s="19" t="n">
        <f aca="false">IF(77&lt;=Corte,1,0)</f>
        <v>0</v>
      </c>
      <c r="CE8" s="19" t="n">
        <f aca="false">IF(78&lt;=Corte,1,0)</f>
        <v>0</v>
      </c>
      <c r="CF8" s="19" t="n">
        <f aca="false">IF(79&lt;=Corte,1,0)</f>
        <v>0</v>
      </c>
      <c r="CG8" s="19" t="n">
        <f aca="false">IF(80&lt;=Corte,1,0)</f>
        <v>0</v>
      </c>
      <c r="CH8" s="19" t="n">
        <f aca="false">IF(81&lt;=Corte,1,0)</f>
        <v>0</v>
      </c>
      <c r="CI8" s="19" t="n">
        <f aca="false">IF(82&lt;=Corte,1,0)</f>
        <v>0</v>
      </c>
      <c r="CJ8" s="19" t="n">
        <f aca="false">IF(83&lt;=Corte,1,0)</f>
        <v>0</v>
      </c>
      <c r="CK8" s="19" t="n">
        <f aca="false">IF(84&lt;=Corte,1,0)</f>
        <v>0</v>
      </c>
      <c r="CL8" s="19" t="n">
        <f aca="false">IF(85&lt;=Corte,1,0)</f>
        <v>0</v>
      </c>
      <c r="CM8" s="19" t="n">
        <f aca="false">IF(86&lt;=Corte,1,0)</f>
        <v>0</v>
      </c>
      <c r="CN8" s="19" t="n">
        <f aca="false">IF(87&lt;=Corte,1,0)</f>
        <v>0</v>
      </c>
      <c r="CO8" s="19" t="n">
        <f aca="false">IF(88&lt;=Corte,1,0)</f>
        <v>0</v>
      </c>
      <c r="CP8" s="19" t="n">
        <f aca="false">IF(89&lt;=Corte,1,0)</f>
        <v>0</v>
      </c>
      <c r="CQ8" s="19" t="n">
        <f aca="false">IF(90&lt;=Corte,1,0)</f>
        <v>0</v>
      </c>
      <c r="CR8" s="19" t="n">
        <f aca="false">IF(91&lt;=Corte,1,0)</f>
        <v>0</v>
      </c>
      <c r="CS8" s="19" t="n">
        <f aca="false">IF(92&lt;=Corte,1,0)</f>
        <v>0</v>
      </c>
      <c r="CT8" s="19" t="n">
        <f aca="false">IF(93&lt;=Corte,1,0)</f>
        <v>0</v>
      </c>
      <c r="CU8" s="19" t="n">
        <f aca="false">IF(94&lt;=Corte,1,0)</f>
        <v>0</v>
      </c>
      <c r="CV8" s="19" t="n">
        <f aca="false">IF(95&lt;=Corte,1,0)</f>
        <v>0</v>
      </c>
      <c r="CW8" s="19" t="n">
        <f aca="false">IF(96&lt;=Corte,1,0)</f>
        <v>0</v>
      </c>
      <c r="CX8" s="19" t="n">
        <f aca="false">IF(97&lt;=Corte,1,0)</f>
        <v>0</v>
      </c>
      <c r="CY8" s="19" t="n">
        <f aca="false">IF(98&lt;=Corte,1,0)</f>
        <v>0</v>
      </c>
      <c r="CZ8" s="19" t="n">
        <f aca="false">IF(99&lt;=Corte,1,0)</f>
        <v>0</v>
      </c>
      <c r="DA8" s="19" t="n">
        <f aca="false">IF(100&lt;=Corte,1,0)</f>
        <v>0</v>
      </c>
      <c r="DB8" s="19" t="n">
        <f aca="false">IF(101&lt;=Corte,1,0)</f>
        <v>0</v>
      </c>
      <c r="DC8" s="19" t="n">
        <f aca="false">IF(102&lt;=Corte,1,0)</f>
        <v>0</v>
      </c>
      <c r="DD8" s="19" t="n">
        <f aca="false">IF(103&lt;=Corte,1,0)</f>
        <v>0</v>
      </c>
      <c r="DE8" s="19" t="n">
        <f aca="false">IF(104&lt;=Corte,1,0)</f>
        <v>0</v>
      </c>
      <c r="DF8" s="19" t="n">
        <f aca="false">IF(105&lt;=Corte,1,0)</f>
        <v>0</v>
      </c>
      <c r="DG8" s="19" t="n">
        <f aca="false">IF(106&lt;=Corte,1,0)</f>
        <v>0</v>
      </c>
      <c r="DH8" s="19" t="n">
        <f aca="false">IF(107&lt;=Corte,1,0)</f>
        <v>0</v>
      </c>
      <c r="DI8" s="19" t="n">
        <f aca="false">IF(108&lt;=Corte,1,0)</f>
        <v>0</v>
      </c>
      <c r="DJ8" s="19" t="n">
        <f aca="false">IF(109&lt;=Corte,1,0)</f>
        <v>0</v>
      </c>
      <c r="DK8" s="19" t="n">
        <f aca="false">IF(110&lt;=Corte,1,0)</f>
        <v>0</v>
      </c>
      <c r="DL8" s="19" t="n">
        <f aca="false">IF(111&lt;=Corte,1,0)</f>
        <v>0</v>
      </c>
      <c r="DM8" s="19" t="n">
        <f aca="false">IF(112&lt;=Corte,1,0)</f>
        <v>0</v>
      </c>
      <c r="DN8" s="19" t="n">
        <f aca="false">IF(113&lt;=Corte,1,0)</f>
        <v>0</v>
      </c>
      <c r="DO8" s="19" t="n">
        <f aca="false">IF(114&lt;=Corte,1,0)</f>
        <v>0</v>
      </c>
      <c r="DP8" s="19" t="n">
        <f aca="false">IF(115&lt;=Corte,1,0)</f>
        <v>0</v>
      </c>
      <c r="DQ8" s="19" t="n">
        <f aca="false">IF(116&lt;=Corte,1,0)</f>
        <v>0</v>
      </c>
      <c r="DR8" s="19" t="n">
        <f aca="false">IF(117&lt;=Corte,1,0)</f>
        <v>0</v>
      </c>
      <c r="DS8" s="19" t="n">
        <f aca="false">IF(118&lt;=Corte,1,0)</f>
        <v>0</v>
      </c>
      <c r="DT8" s="19" t="n">
        <f aca="false">IF(119&lt;=Corte,1,0)</f>
        <v>0</v>
      </c>
      <c r="DU8" s="19" t="n">
        <f aca="false">IF(120&lt;=Corte,1,0)</f>
        <v>0</v>
      </c>
      <c r="DV8" s="19" t="n">
        <f aca="false">IF(121&lt;=Corte,1,0)</f>
        <v>0</v>
      </c>
      <c r="DW8" s="19" t="n">
        <f aca="false">IF(122&lt;=Corte,1,0)</f>
        <v>0</v>
      </c>
      <c r="DX8" s="19" t="n">
        <f aca="false">IF(123&lt;=Corte,1,0)</f>
        <v>0</v>
      </c>
      <c r="DY8" s="19" t="n">
        <f aca="false">IF(124&lt;=Corte,1,0)</f>
        <v>0</v>
      </c>
      <c r="DZ8" s="19" t="n">
        <f aca="false">IF(125&lt;=Corte,1,0)</f>
        <v>0</v>
      </c>
      <c r="EA8" s="19" t="n">
        <f aca="false">IF(126&lt;=Corte,1,0)</f>
        <v>0</v>
      </c>
      <c r="EB8" s="19" t="n">
        <f aca="false">IF(127&lt;=Corte,1,0)</f>
        <v>0</v>
      </c>
      <c r="EC8" s="19" t="n">
        <f aca="false">IF(128&lt;=Corte,1,0)</f>
        <v>0</v>
      </c>
      <c r="ED8" s="19" t="n">
        <f aca="false">IF(129&lt;=Corte,1,0)</f>
        <v>0</v>
      </c>
      <c r="EE8" s="19" t="n">
        <f aca="false">IF(130&lt;=Corte,1,0)</f>
        <v>0</v>
      </c>
      <c r="EF8" s="19" t="n">
        <f aca="false">IF(131&lt;=Corte,1,0)</f>
        <v>0</v>
      </c>
      <c r="EG8" s="19" t="n">
        <f aca="false">IF(132&lt;=Corte,1,0)</f>
        <v>0</v>
      </c>
      <c r="EH8" s="19" t="n">
        <f aca="false">IF(133&lt;=Corte,1,0)</f>
        <v>0</v>
      </c>
      <c r="EI8" s="19" t="n">
        <f aca="false">IF(134&lt;=Corte,1,0)</f>
        <v>0</v>
      </c>
      <c r="EJ8" s="19" t="n">
        <f aca="false">IF(135&lt;=Corte,1,0)</f>
        <v>0</v>
      </c>
      <c r="EK8" s="19" t="n">
        <f aca="false">IF(136&lt;=Corte,1,0)</f>
        <v>0</v>
      </c>
      <c r="EL8" s="19" t="n">
        <f aca="false">IF(137&lt;=Corte,1,0)</f>
        <v>0</v>
      </c>
      <c r="EM8" s="19" t="n">
        <f aca="false">IF(138&lt;=Corte,1,0)</f>
        <v>0</v>
      </c>
      <c r="EN8" s="19" t="n">
        <f aca="false">IF(139&lt;=Corte,1,0)</f>
        <v>0</v>
      </c>
      <c r="EO8" s="19" t="n">
        <f aca="false">IF(140&lt;=Corte,1,0)</f>
        <v>0</v>
      </c>
      <c r="EP8" s="19" t="n">
        <f aca="false">IF(141&lt;=Corte,1,0)</f>
        <v>0</v>
      </c>
      <c r="EQ8" s="19" t="n">
        <f aca="false">IF(142&lt;=Corte,1,0)</f>
        <v>0</v>
      </c>
      <c r="ER8" s="19" t="n">
        <f aca="false">IF(143&lt;=Corte,1,0)</f>
        <v>0</v>
      </c>
      <c r="ES8" s="19" t="n">
        <f aca="false">IF(144&lt;=Corte,1,0)</f>
        <v>0</v>
      </c>
    </row>
    <row r="9" customFormat="false" ht="15" hidden="false" customHeight="false" outlineLevel="0" collapsed="false">
      <c r="A9" s="2" t="s">
        <v>538</v>
      </c>
      <c r="B9" s="11" t="s">
        <v>539</v>
      </c>
      <c r="F9" s="19" t="n">
        <f aca="false">IF(1&lt;=Fin,1,0)</f>
        <v>1</v>
      </c>
      <c r="G9" s="19" t="n">
        <f aca="false">IF(2&lt;=Fin,1,0)</f>
        <v>1</v>
      </c>
      <c r="H9" s="19" t="n">
        <f aca="false">IF(3&lt;=Fin,1,0)</f>
        <v>1</v>
      </c>
      <c r="I9" s="19" t="n">
        <f aca="false">IF(4&lt;=Fin,1,0)</f>
        <v>1</v>
      </c>
      <c r="J9" s="19" t="n">
        <f aca="false">IF(5&lt;=Fin,1,0)</f>
        <v>1</v>
      </c>
      <c r="K9" s="19" t="n">
        <f aca="false">IF(6&lt;=Fin,1,0)</f>
        <v>1</v>
      </c>
      <c r="L9" s="19" t="n">
        <f aca="false">IF(7&lt;=Fin,1,0)</f>
        <v>1</v>
      </c>
      <c r="M9" s="19" t="n">
        <f aca="false">IF(8&lt;=Fin,1,0)</f>
        <v>1</v>
      </c>
      <c r="N9" s="19" t="n">
        <f aca="false">IF(9&lt;=Fin,1,0)</f>
        <v>1</v>
      </c>
      <c r="O9" s="19" t="n">
        <f aca="false">IF(10&lt;=Fin,1,0)</f>
        <v>1</v>
      </c>
      <c r="P9" s="19" t="n">
        <f aca="false">IF(11&lt;=Fin,1,0)</f>
        <v>1</v>
      </c>
      <c r="Q9" s="19" t="n">
        <f aca="false">IF(12&lt;=Fin,1,0)</f>
        <v>1</v>
      </c>
      <c r="R9" s="19" t="n">
        <f aca="false">IF(13&lt;=Fin,1,0)</f>
        <v>1</v>
      </c>
      <c r="S9" s="19" t="n">
        <f aca="false">IF(14&lt;=Fin,1,0)</f>
        <v>1</v>
      </c>
      <c r="T9" s="19" t="n">
        <f aca="false">IF(15&lt;=Fin,1,0)</f>
        <v>1</v>
      </c>
      <c r="U9" s="19" t="n">
        <f aca="false">IF(16&lt;=Fin,1,0)</f>
        <v>1</v>
      </c>
      <c r="V9" s="19" t="n">
        <f aca="false">IF(17&lt;=Fin,1,0)</f>
        <v>1</v>
      </c>
      <c r="W9" s="19" t="n">
        <f aca="false">IF(18&lt;=Fin,1,0)</f>
        <v>1</v>
      </c>
      <c r="X9" s="19" t="n">
        <f aca="false">IF(19&lt;=Fin,1,0)</f>
        <v>1</v>
      </c>
      <c r="Y9" s="19" t="n">
        <f aca="false">IF(20&lt;=Fin,1,0)</f>
        <v>1</v>
      </c>
      <c r="Z9" s="19" t="n">
        <f aca="false">IF(21&lt;=Fin,1,0)</f>
        <v>1</v>
      </c>
      <c r="AA9" s="19" t="n">
        <f aca="false">IF(22&lt;=Fin,1,0)</f>
        <v>1</v>
      </c>
      <c r="AB9" s="19" t="n">
        <f aca="false">IF(23&lt;=Fin,1,0)</f>
        <v>1</v>
      </c>
      <c r="AC9" s="19" t="n">
        <f aca="false">IF(24&lt;=Fin,1,0)</f>
        <v>1</v>
      </c>
      <c r="AD9" s="19" t="n">
        <f aca="false">IF(25&lt;=Fin,1,0)</f>
        <v>1</v>
      </c>
      <c r="AE9" s="19" t="n">
        <f aca="false">IF(26&lt;=Fin,1,0)</f>
        <v>1</v>
      </c>
      <c r="AF9" s="19" t="n">
        <f aca="false">IF(27&lt;=Fin,1,0)</f>
        <v>1</v>
      </c>
      <c r="AG9" s="19" t="n">
        <f aca="false">IF(28&lt;=Fin,1,0)</f>
        <v>1</v>
      </c>
      <c r="AH9" s="19" t="n">
        <f aca="false">IF(29&lt;=Fin,1,0)</f>
        <v>1</v>
      </c>
      <c r="AI9" s="19" t="n">
        <f aca="false">IF(30&lt;=Fin,1,0)</f>
        <v>1</v>
      </c>
      <c r="AJ9" s="19" t="n">
        <f aca="false">IF(31&lt;=Fin,1,0)</f>
        <v>1</v>
      </c>
      <c r="AK9" s="19" t="n">
        <f aca="false">IF(32&lt;=Fin,1,0)</f>
        <v>1</v>
      </c>
      <c r="AL9" s="19" t="n">
        <f aca="false">IF(33&lt;=Fin,1,0)</f>
        <v>1</v>
      </c>
      <c r="AM9" s="19" t="n">
        <f aca="false">IF(34&lt;=Fin,1,0)</f>
        <v>1</v>
      </c>
      <c r="AN9" s="19" t="n">
        <f aca="false">IF(35&lt;=Fin,1,0)</f>
        <v>1</v>
      </c>
      <c r="AO9" s="19" t="n">
        <f aca="false">IF(36&lt;=Fin,1,0)</f>
        <v>1</v>
      </c>
      <c r="AP9" s="19" t="n">
        <f aca="false">IF(37&lt;=Fin,1,0)</f>
        <v>1</v>
      </c>
      <c r="AQ9" s="19" t="n">
        <f aca="false">IF(38&lt;=Fin,1,0)</f>
        <v>1</v>
      </c>
      <c r="AR9" s="19" t="n">
        <f aca="false">IF(39&lt;=Fin,1,0)</f>
        <v>1</v>
      </c>
      <c r="AS9" s="19" t="n">
        <f aca="false">IF(40&lt;=Fin,1,0)</f>
        <v>1</v>
      </c>
      <c r="AT9" s="19" t="n">
        <f aca="false">IF(41&lt;=Fin,1,0)</f>
        <v>1</v>
      </c>
      <c r="AU9" s="19" t="n">
        <f aca="false">IF(42&lt;=Fin,1,0)</f>
        <v>1</v>
      </c>
      <c r="AV9" s="19" t="n">
        <f aca="false">IF(43&lt;=Fin,1,0)</f>
        <v>1</v>
      </c>
      <c r="AW9" s="19" t="n">
        <f aca="false">IF(44&lt;=Fin,1,0)</f>
        <v>1</v>
      </c>
      <c r="AX9" s="19" t="n">
        <f aca="false">IF(45&lt;=Fin,1,0)</f>
        <v>1</v>
      </c>
      <c r="AY9" s="19" t="n">
        <f aca="false">IF(46&lt;=Fin,1,0)</f>
        <v>1</v>
      </c>
      <c r="AZ9" s="19" t="n">
        <f aca="false">IF(47&lt;=Fin,1,0)</f>
        <v>1</v>
      </c>
      <c r="BA9" s="19" t="n">
        <f aca="false">IF(48&lt;=Fin,1,0)</f>
        <v>1</v>
      </c>
      <c r="BB9" s="19" t="n">
        <f aca="false">IF(49&lt;=Fin,1,0)</f>
        <v>1</v>
      </c>
      <c r="BC9" s="19" t="n">
        <f aca="false">IF(50&lt;=Fin,1,0)</f>
        <v>1</v>
      </c>
      <c r="BD9" s="19" t="n">
        <f aca="false">IF(51&lt;=Fin,1,0)</f>
        <v>1</v>
      </c>
      <c r="BE9" s="19" t="n">
        <f aca="false">IF(52&lt;=Fin,1,0)</f>
        <v>1</v>
      </c>
      <c r="BF9" s="19" t="n">
        <f aca="false">IF(53&lt;=Fin,1,0)</f>
        <v>1</v>
      </c>
      <c r="BG9" s="19" t="n">
        <f aca="false">IF(54&lt;=Fin,1,0)</f>
        <v>1</v>
      </c>
      <c r="BH9" s="19" t="n">
        <f aca="false">IF(55&lt;=Fin,1,0)</f>
        <v>1</v>
      </c>
      <c r="BI9" s="19" t="n">
        <f aca="false">IF(56&lt;=Fin,1,0)</f>
        <v>1</v>
      </c>
      <c r="BJ9" s="19" t="n">
        <f aca="false">IF(57&lt;=Fin,1,0)</f>
        <v>1</v>
      </c>
      <c r="BK9" s="19" t="n">
        <f aca="false">IF(58&lt;=Fin,1,0)</f>
        <v>1</v>
      </c>
      <c r="BL9" s="19" t="n">
        <f aca="false">IF(59&lt;=Fin,1,0)</f>
        <v>1</v>
      </c>
      <c r="BM9" s="19" t="n">
        <f aca="false">IF(60&lt;=Fin,1,0)</f>
        <v>1</v>
      </c>
      <c r="BN9" s="19" t="n">
        <f aca="false">IF(61&lt;=Fin,1,0)</f>
        <v>1</v>
      </c>
      <c r="BO9" s="19" t="n">
        <f aca="false">IF(62&lt;=Fin,1,0)</f>
        <v>1</v>
      </c>
      <c r="BP9" s="19" t="n">
        <f aca="false">IF(63&lt;=Fin,1,0)</f>
        <v>1</v>
      </c>
      <c r="BQ9" s="19" t="n">
        <f aca="false">IF(64&lt;=Fin,1,0)</f>
        <v>1</v>
      </c>
      <c r="BR9" s="19" t="n">
        <f aca="false">IF(65&lt;=Fin,1,0)</f>
        <v>1</v>
      </c>
      <c r="BS9" s="19" t="n">
        <f aca="false">IF(66&lt;=Fin,1,0)</f>
        <v>1</v>
      </c>
      <c r="BT9" s="19" t="n">
        <f aca="false">IF(67&lt;=Fin,1,0)</f>
        <v>1</v>
      </c>
      <c r="BU9" s="19" t="n">
        <f aca="false">IF(68&lt;=Fin,1,0)</f>
        <v>1</v>
      </c>
      <c r="BV9" s="19" t="n">
        <f aca="false">IF(69&lt;=Fin,1,0)</f>
        <v>1</v>
      </c>
      <c r="BW9" s="19" t="n">
        <f aca="false">IF(70&lt;=Fin,1,0)</f>
        <v>1</v>
      </c>
      <c r="BX9" s="19" t="n">
        <f aca="false">IF(71&lt;=Fin,1,0)</f>
        <v>1</v>
      </c>
      <c r="BY9" s="19" t="n">
        <f aca="false">IF(72&lt;=Fin,1,0)</f>
        <v>1</v>
      </c>
      <c r="BZ9" s="19" t="n">
        <f aca="false">IF(73&lt;=Fin,1,0)</f>
        <v>1</v>
      </c>
      <c r="CA9" s="19" t="n">
        <f aca="false">IF(74&lt;=Fin,1,0)</f>
        <v>1</v>
      </c>
      <c r="CB9" s="19" t="n">
        <f aca="false">IF(75&lt;=Fin,1,0)</f>
        <v>1</v>
      </c>
      <c r="CC9" s="19" t="n">
        <f aca="false">IF(76&lt;=Fin,1,0)</f>
        <v>1</v>
      </c>
      <c r="CD9" s="19" t="n">
        <f aca="false">IF(77&lt;=Fin,1,0)</f>
        <v>1</v>
      </c>
      <c r="CE9" s="19" t="n">
        <f aca="false">IF(78&lt;=Fin,1,0)</f>
        <v>1</v>
      </c>
      <c r="CF9" s="19" t="n">
        <f aca="false">IF(79&lt;=Fin,1,0)</f>
        <v>1</v>
      </c>
      <c r="CG9" s="19" t="n">
        <f aca="false">IF(80&lt;=Fin,1,0)</f>
        <v>1</v>
      </c>
      <c r="CH9" s="19" t="n">
        <f aca="false">IF(81&lt;=Fin,1,0)</f>
        <v>1</v>
      </c>
      <c r="CI9" s="19" t="n">
        <f aca="false">IF(82&lt;=Fin,1,0)</f>
        <v>1</v>
      </c>
      <c r="CJ9" s="19" t="n">
        <f aca="false">IF(83&lt;=Fin,1,0)</f>
        <v>1</v>
      </c>
      <c r="CK9" s="19" t="n">
        <f aca="false">IF(84&lt;=Fin,1,0)</f>
        <v>1</v>
      </c>
      <c r="CL9" s="19" t="n">
        <f aca="false">IF(85&lt;=Fin,1,0)</f>
        <v>1</v>
      </c>
      <c r="CM9" s="19" t="n">
        <f aca="false">IF(86&lt;=Fin,1,0)</f>
        <v>1</v>
      </c>
      <c r="CN9" s="19" t="n">
        <f aca="false">IF(87&lt;=Fin,1,0)</f>
        <v>1</v>
      </c>
      <c r="CO9" s="19" t="n">
        <f aca="false">IF(88&lt;=Fin,1,0)</f>
        <v>1</v>
      </c>
      <c r="CP9" s="19" t="n">
        <f aca="false">IF(89&lt;=Fin,1,0)</f>
        <v>1</v>
      </c>
      <c r="CQ9" s="19" t="n">
        <f aca="false">IF(90&lt;=Fin,1,0)</f>
        <v>1</v>
      </c>
      <c r="CR9" s="19" t="n">
        <f aca="false">IF(91&lt;=Fin,1,0)</f>
        <v>1</v>
      </c>
      <c r="CS9" s="19" t="n">
        <f aca="false">IF(92&lt;=Fin,1,0)</f>
        <v>1</v>
      </c>
      <c r="CT9" s="19" t="n">
        <f aca="false">IF(93&lt;=Fin,1,0)</f>
        <v>1</v>
      </c>
      <c r="CU9" s="19" t="n">
        <f aca="false">IF(94&lt;=Fin,1,0)</f>
        <v>1</v>
      </c>
      <c r="CV9" s="19" t="n">
        <f aca="false">IF(95&lt;=Fin,1,0)</f>
        <v>1</v>
      </c>
      <c r="CW9" s="19" t="n">
        <f aca="false">IF(96&lt;=Fin,1,0)</f>
        <v>1</v>
      </c>
      <c r="CX9" s="19" t="n">
        <f aca="false">IF(97&lt;=Fin,1,0)</f>
        <v>1</v>
      </c>
      <c r="CY9" s="19" t="n">
        <f aca="false">IF(98&lt;=Fin,1,0)</f>
        <v>1</v>
      </c>
      <c r="CZ9" s="19" t="n">
        <f aca="false">IF(99&lt;=Fin,1,0)</f>
        <v>1</v>
      </c>
      <c r="DA9" s="19" t="n">
        <f aca="false">IF(100&lt;=Fin,1,0)</f>
        <v>1</v>
      </c>
      <c r="DB9" s="19" t="n">
        <f aca="false">IF(101&lt;=Fin,1,0)</f>
        <v>1</v>
      </c>
      <c r="DC9" s="19" t="n">
        <f aca="false">IF(102&lt;=Fin,1,0)</f>
        <v>1</v>
      </c>
      <c r="DD9" s="19" t="n">
        <f aca="false">IF(103&lt;=Fin,1,0)</f>
        <v>1</v>
      </c>
      <c r="DE9" s="19" t="n">
        <f aca="false">IF(104&lt;=Fin,1,0)</f>
        <v>1</v>
      </c>
      <c r="DF9" s="19" t="n">
        <f aca="false">IF(105&lt;=Fin,1,0)</f>
        <v>1</v>
      </c>
      <c r="DG9" s="19" t="n">
        <f aca="false">IF(106&lt;=Fin,1,0)</f>
        <v>1</v>
      </c>
      <c r="DH9" s="19" t="n">
        <f aca="false">IF(107&lt;=Fin,1,0)</f>
        <v>1</v>
      </c>
      <c r="DI9" s="19" t="n">
        <f aca="false">IF(108&lt;=Fin,1,0)</f>
        <v>1</v>
      </c>
      <c r="DJ9" s="19" t="n">
        <f aca="false">IF(109&lt;=Fin,1,0)</f>
        <v>1</v>
      </c>
      <c r="DK9" s="19" t="n">
        <f aca="false">IF(110&lt;=Fin,1,0)</f>
        <v>1</v>
      </c>
      <c r="DL9" s="19" t="n">
        <f aca="false">IF(111&lt;=Fin,1,0)</f>
        <v>1</v>
      </c>
      <c r="DM9" s="19" t="n">
        <f aca="false">IF(112&lt;=Fin,1,0)</f>
        <v>1</v>
      </c>
      <c r="DN9" s="19" t="n">
        <f aca="false">IF(113&lt;=Fin,1,0)</f>
        <v>1</v>
      </c>
      <c r="DO9" s="19" t="n">
        <f aca="false">IF(114&lt;=Fin,1,0)</f>
        <v>1</v>
      </c>
      <c r="DP9" s="19" t="n">
        <f aca="false">IF(115&lt;=Fin,1,0)</f>
        <v>1</v>
      </c>
      <c r="DQ9" s="19" t="n">
        <f aca="false">IF(116&lt;=Fin,1,0)</f>
        <v>1</v>
      </c>
      <c r="DR9" s="19" t="n">
        <f aca="false">IF(117&lt;=Fin,1,0)</f>
        <v>1</v>
      </c>
      <c r="DS9" s="19" t="n">
        <f aca="false">IF(118&lt;=Fin,1,0)</f>
        <v>1</v>
      </c>
      <c r="DT9" s="19" t="n">
        <f aca="false">IF(119&lt;=Fin,1,0)</f>
        <v>1</v>
      </c>
      <c r="DU9" s="19" t="n">
        <f aca="false">IF(120&lt;=Fin,1,0)</f>
        <v>1</v>
      </c>
      <c r="DV9" s="19" t="n">
        <f aca="false">IF(121&lt;=Fin,1,0)</f>
        <v>0</v>
      </c>
      <c r="DW9" s="19" t="n">
        <f aca="false">IF(122&lt;=Fin,1,0)</f>
        <v>0</v>
      </c>
      <c r="DX9" s="19" t="n">
        <f aca="false">IF(123&lt;=Fin,1,0)</f>
        <v>0</v>
      </c>
      <c r="DY9" s="19" t="n">
        <f aca="false">IF(124&lt;=Fin,1,0)</f>
        <v>0</v>
      </c>
      <c r="DZ9" s="19" t="n">
        <f aca="false">IF(125&lt;=Fin,1,0)</f>
        <v>0</v>
      </c>
      <c r="EA9" s="19" t="n">
        <f aca="false">IF(126&lt;=Fin,1,0)</f>
        <v>0</v>
      </c>
      <c r="EB9" s="19" t="n">
        <f aca="false">IF(127&lt;=Fin,1,0)</f>
        <v>0</v>
      </c>
      <c r="EC9" s="19" t="n">
        <f aca="false">IF(128&lt;=Fin,1,0)</f>
        <v>0</v>
      </c>
      <c r="ED9" s="19" t="n">
        <f aca="false">IF(129&lt;=Fin,1,0)</f>
        <v>0</v>
      </c>
      <c r="EE9" s="19" t="n">
        <f aca="false">IF(130&lt;=Fin,1,0)</f>
        <v>0</v>
      </c>
      <c r="EF9" s="19" t="n">
        <f aca="false">IF(131&lt;=Fin,1,0)</f>
        <v>0</v>
      </c>
      <c r="EG9" s="19" t="n">
        <f aca="false">IF(132&lt;=Fin,1,0)</f>
        <v>0</v>
      </c>
      <c r="EH9" s="19" t="n">
        <f aca="false">IF(133&lt;=Fin,1,0)</f>
        <v>0</v>
      </c>
      <c r="EI9" s="19" t="n">
        <f aca="false">IF(134&lt;=Fin,1,0)</f>
        <v>0</v>
      </c>
      <c r="EJ9" s="19" t="n">
        <f aca="false">IF(135&lt;=Fin,1,0)</f>
        <v>0</v>
      </c>
      <c r="EK9" s="19" t="n">
        <f aca="false">IF(136&lt;=Fin,1,0)</f>
        <v>0</v>
      </c>
      <c r="EL9" s="19" t="n">
        <f aca="false">IF(137&lt;=Fin,1,0)</f>
        <v>0</v>
      </c>
      <c r="EM9" s="19" t="n">
        <f aca="false">IF(138&lt;=Fin,1,0)</f>
        <v>0</v>
      </c>
      <c r="EN9" s="19" t="n">
        <f aca="false">IF(139&lt;=Fin,1,0)</f>
        <v>0</v>
      </c>
      <c r="EO9" s="19" t="n">
        <f aca="false">IF(140&lt;=Fin,1,0)</f>
        <v>0</v>
      </c>
      <c r="EP9" s="19" t="n">
        <f aca="false">IF(141&lt;=Fin,1,0)</f>
        <v>0</v>
      </c>
      <c r="EQ9" s="19" t="n">
        <f aca="false">IF(142&lt;=Fin,1,0)</f>
        <v>0</v>
      </c>
      <c r="ER9" s="19" t="n">
        <f aca="false">IF(143&lt;=Fin,1,0)</f>
        <v>0</v>
      </c>
      <c r="ES9" s="19" t="n">
        <f aca="false">IF(144&lt;=Fin,1,0)</f>
        <v>0</v>
      </c>
    </row>
    <row r="10" customFormat="false" ht="15" hidden="false" customHeight="false" outlineLevel="0" collapsed="false">
      <c r="A10" s="2" t="s">
        <v>540</v>
      </c>
      <c r="B10" s="11" t="s">
        <v>541</v>
      </c>
      <c r="F10" s="34" t="n">
        <f aca="false">IF(N(Reales!F10)&gt;0,Reales!F10,INDEX(TC_V,1,MIN(10,F$6)))</f>
        <v>7300</v>
      </c>
      <c r="G10" s="34" t="n">
        <f aca="false">IF(N(Reales!G10)&gt;0,Reales!G10,INDEX(TC_V,1,MIN(10,G$6)))</f>
        <v>7300</v>
      </c>
      <c r="H10" s="34" t="n">
        <f aca="false">IF(N(Reales!H10)&gt;0,Reales!H10,INDEX(TC_V,1,MIN(10,H$6)))</f>
        <v>7300</v>
      </c>
      <c r="I10" s="34" t="n">
        <f aca="false">IF(N(Reales!I10)&gt;0,Reales!I10,INDEX(TC_V,1,MIN(10,I$6)))</f>
        <v>7300</v>
      </c>
      <c r="J10" s="34" t="n">
        <f aca="false">IF(N(Reales!J10)&gt;0,Reales!J10,INDEX(TC_V,1,MIN(10,J$6)))</f>
        <v>7300</v>
      </c>
      <c r="K10" s="34" t="n">
        <f aca="false">IF(N(Reales!K10)&gt;0,Reales!K10,INDEX(TC_V,1,MIN(10,K$6)))</f>
        <v>7300</v>
      </c>
      <c r="L10" s="34" t="n">
        <f aca="false">IF(N(Reales!L10)&gt;0,Reales!L10,INDEX(TC_V,1,MIN(10,L$6)))</f>
        <v>7300</v>
      </c>
      <c r="M10" s="34" t="n">
        <f aca="false">IF(N(Reales!M10)&gt;0,Reales!M10,INDEX(TC_V,1,MIN(10,M$6)))</f>
        <v>7300</v>
      </c>
      <c r="N10" s="34" t="n">
        <f aca="false">IF(N(Reales!N10)&gt;0,Reales!N10,INDEX(TC_V,1,MIN(10,N$6)))</f>
        <v>7300</v>
      </c>
      <c r="O10" s="34" t="n">
        <f aca="false">IF(N(Reales!O10)&gt;0,Reales!O10,INDEX(TC_V,1,MIN(10,O$6)))</f>
        <v>7300</v>
      </c>
      <c r="P10" s="34" t="n">
        <f aca="false">IF(N(Reales!P10)&gt;0,Reales!P10,INDEX(TC_V,1,MIN(10,P$6)))</f>
        <v>7300</v>
      </c>
      <c r="Q10" s="34" t="n">
        <f aca="false">IF(N(Reales!Q10)&gt;0,Reales!Q10,INDEX(TC_V,1,MIN(10,Q$6)))</f>
        <v>7300</v>
      </c>
      <c r="R10" s="34" t="n">
        <f aca="false">IF(N(Reales!R10)&gt;0,Reales!R10,INDEX(TC_V,1,MIN(10,R$6)))</f>
        <v>7300</v>
      </c>
      <c r="S10" s="34" t="n">
        <f aca="false">IF(N(Reales!S10)&gt;0,Reales!S10,INDEX(TC_V,1,MIN(10,S$6)))</f>
        <v>7300</v>
      </c>
      <c r="T10" s="34" t="n">
        <f aca="false">IF(N(Reales!T10)&gt;0,Reales!T10,INDEX(TC_V,1,MIN(10,T$6)))</f>
        <v>7300</v>
      </c>
      <c r="U10" s="34" t="n">
        <f aca="false">IF(N(Reales!U10)&gt;0,Reales!U10,INDEX(TC_V,1,MIN(10,U$6)))</f>
        <v>7300</v>
      </c>
      <c r="V10" s="34" t="n">
        <f aca="false">IF(N(Reales!V10)&gt;0,Reales!V10,INDEX(TC_V,1,MIN(10,V$6)))</f>
        <v>7300</v>
      </c>
      <c r="W10" s="34" t="n">
        <f aca="false">IF(N(Reales!W10)&gt;0,Reales!W10,INDEX(TC_V,1,MIN(10,W$6)))</f>
        <v>7300</v>
      </c>
      <c r="X10" s="34" t="n">
        <f aca="false">IF(N(Reales!X10)&gt;0,Reales!X10,INDEX(TC_V,1,MIN(10,X$6)))</f>
        <v>7300</v>
      </c>
      <c r="Y10" s="34" t="n">
        <f aca="false">IF(N(Reales!Y10)&gt;0,Reales!Y10,INDEX(TC_V,1,MIN(10,Y$6)))</f>
        <v>7300</v>
      </c>
      <c r="Z10" s="34" t="n">
        <f aca="false">IF(N(Reales!Z10)&gt;0,Reales!Z10,INDEX(TC_V,1,MIN(10,Z$6)))</f>
        <v>7300</v>
      </c>
      <c r="AA10" s="34" t="n">
        <f aca="false">IF(N(Reales!AA10)&gt;0,Reales!AA10,INDEX(TC_V,1,MIN(10,AA$6)))</f>
        <v>7300</v>
      </c>
      <c r="AB10" s="34" t="n">
        <f aca="false">IF(N(Reales!AB10)&gt;0,Reales!AB10,INDEX(TC_V,1,MIN(10,AB$6)))</f>
        <v>7300</v>
      </c>
      <c r="AC10" s="34" t="n">
        <f aca="false">IF(N(Reales!AC10)&gt;0,Reales!AC10,INDEX(TC_V,1,MIN(10,AC$6)))</f>
        <v>7300</v>
      </c>
      <c r="AD10" s="34" t="n">
        <f aca="false">IF(N(Reales!AD10)&gt;0,Reales!AD10,INDEX(TC_V,1,MIN(10,AD$6)))</f>
        <v>7300</v>
      </c>
      <c r="AE10" s="34" t="n">
        <f aca="false">IF(N(Reales!AE10)&gt;0,Reales!AE10,INDEX(TC_V,1,MIN(10,AE$6)))</f>
        <v>7300</v>
      </c>
      <c r="AF10" s="34" t="n">
        <f aca="false">IF(N(Reales!AF10)&gt;0,Reales!AF10,INDEX(TC_V,1,MIN(10,AF$6)))</f>
        <v>7300</v>
      </c>
      <c r="AG10" s="34" t="n">
        <f aca="false">IF(N(Reales!AG10)&gt;0,Reales!AG10,INDEX(TC_V,1,MIN(10,AG$6)))</f>
        <v>7300</v>
      </c>
      <c r="AH10" s="34" t="n">
        <f aca="false">IF(N(Reales!AH10)&gt;0,Reales!AH10,INDEX(TC_V,1,MIN(10,AH$6)))</f>
        <v>7300</v>
      </c>
      <c r="AI10" s="34" t="n">
        <f aca="false">IF(N(Reales!AI10)&gt;0,Reales!AI10,INDEX(TC_V,1,MIN(10,AI$6)))</f>
        <v>7300</v>
      </c>
      <c r="AJ10" s="34" t="n">
        <f aca="false">IF(N(Reales!AJ10)&gt;0,Reales!AJ10,INDEX(TC_V,1,MIN(10,AJ$6)))</f>
        <v>7300</v>
      </c>
      <c r="AK10" s="34" t="n">
        <f aca="false">IF(N(Reales!AK10)&gt;0,Reales!AK10,INDEX(TC_V,1,MIN(10,AK$6)))</f>
        <v>7300</v>
      </c>
      <c r="AL10" s="34" t="n">
        <f aca="false">IF(N(Reales!AL10)&gt;0,Reales!AL10,INDEX(TC_V,1,MIN(10,AL$6)))</f>
        <v>7300</v>
      </c>
      <c r="AM10" s="34" t="n">
        <f aca="false">IF(N(Reales!AM10)&gt;0,Reales!AM10,INDEX(TC_V,1,MIN(10,AM$6)))</f>
        <v>7300</v>
      </c>
      <c r="AN10" s="34" t="n">
        <f aca="false">IF(N(Reales!AN10)&gt;0,Reales!AN10,INDEX(TC_V,1,MIN(10,AN$6)))</f>
        <v>7300</v>
      </c>
      <c r="AO10" s="34" t="n">
        <f aca="false">IF(N(Reales!AO10)&gt;0,Reales!AO10,INDEX(TC_V,1,MIN(10,AO$6)))</f>
        <v>7300</v>
      </c>
      <c r="AP10" s="34" t="n">
        <f aca="false">IF(N(Reales!AP10)&gt;0,Reales!AP10,INDEX(TC_V,1,MIN(10,AP$6)))</f>
        <v>7300</v>
      </c>
      <c r="AQ10" s="34" t="n">
        <f aca="false">IF(N(Reales!AQ10)&gt;0,Reales!AQ10,INDEX(TC_V,1,MIN(10,AQ$6)))</f>
        <v>7300</v>
      </c>
      <c r="AR10" s="34" t="n">
        <f aca="false">IF(N(Reales!AR10)&gt;0,Reales!AR10,INDEX(TC_V,1,MIN(10,AR$6)))</f>
        <v>7300</v>
      </c>
      <c r="AS10" s="34" t="n">
        <f aca="false">IF(N(Reales!AS10)&gt;0,Reales!AS10,INDEX(TC_V,1,MIN(10,AS$6)))</f>
        <v>7300</v>
      </c>
      <c r="AT10" s="34" t="n">
        <f aca="false">IF(N(Reales!AT10)&gt;0,Reales!AT10,INDEX(TC_V,1,MIN(10,AT$6)))</f>
        <v>7300</v>
      </c>
      <c r="AU10" s="34" t="n">
        <f aca="false">IF(N(Reales!AU10)&gt;0,Reales!AU10,INDEX(TC_V,1,MIN(10,AU$6)))</f>
        <v>7300</v>
      </c>
      <c r="AV10" s="34" t="n">
        <f aca="false">IF(N(Reales!AV10)&gt;0,Reales!AV10,INDEX(TC_V,1,MIN(10,AV$6)))</f>
        <v>7300</v>
      </c>
      <c r="AW10" s="34" t="n">
        <f aca="false">IF(N(Reales!AW10)&gt;0,Reales!AW10,INDEX(TC_V,1,MIN(10,AW$6)))</f>
        <v>7300</v>
      </c>
      <c r="AX10" s="34" t="n">
        <f aca="false">IF(N(Reales!AX10)&gt;0,Reales!AX10,INDEX(TC_V,1,MIN(10,AX$6)))</f>
        <v>7300</v>
      </c>
      <c r="AY10" s="34" t="n">
        <f aca="false">IF(N(Reales!AY10)&gt;0,Reales!AY10,INDEX(TC_V,1,MIN(10,AY$6)))</f>
        <v>7300</v>
      </c>
      <c r="AZ10" s="34" t="n">
        <f aca="false">IF(N(Reales!AZ10)&gt;0,Reales!AZ10,INDEX(TC_V,1,MIN(10,AZ$6)))</f>
        <v>7300</v>
      </c>
      <c r="BA10" s="34" t="n">
        <f aca="false">IF(N(Reales!BA10)&gt;0,Reales!BA10,INDEX(TC_V,1,MIN(10,BA$6)))</f>
        <v>7300</v>
      </c>
      <c r="BB10" s="34" t="n">
        <f aca="false">IF(N(Reales!BB10)&gt;0,Reales!BB10,INDEX(TC_V,1,MIN(10,BB$6)))</f>
        <v>7300</v>
      </c>
      <c r="BC10" s="34" t="n">
        <f aca="false">IF(N(Reales!BC10)&gt;0,Reales!BC10,INDEX(TC_V,1,MIN(10,BC$6)))</f>
        <v>7300</v>
      </c>
      <c r="BD10" s="34" t="n">
        <f aca="false">IF(N(Reales!BD10)&gt;0,Reales!BD10,INDEX(TC_V,1,MIN(10,BD$6)))</f>
        <v>7300</v>
      </c>
      <c r="BE10" s="34" t="n">
        <f aca="false">IF(N(Reales!BE10)&gt;0,Reales!BE10,INDEX(TC_V,1,MIN(10,BE$6)))</f>
        <v>7300</v>
      </c>
      <c r="BF10" s="34" t="n">
        <f aca="false">IF(N(Reales!BF10)&gt;0,Reales!BF10,INDEX(TC_V,1,MIN(10,BF$6)))</f>
        <v>7300</v>
      </c>
      <c r="BG10" s="34" t="n">
        <f aca="false">IF(N(Reales!BG10)&gt;0,Reales!BG10,INDEX(TC_V,1,MIN(10,BG$6)))</f>
        <v>7300</v>
      </c>
      <c r="BH10" s="34" t="n">
        <f aca="false">IF(N(Reales!BH10)&gt;0,Reales!BH10,INDEX(TC_V,1,MIN(10,BH$6)))</f>
        <v>7300</v>
      </c>
      <c r="BI10" s="34" t="n">
        <f aca="false">IF(N(Reales!BI10)&gt;0,Reales!BI10,INDEX(TC_V,1,MIN(10,BI$6)))</f>
        <v>7300</v>
      </c>
      <c r="BJ10" s="34" t="n">
        <f aca="false">IF(N(Reales!BJ10)&gt;0,Reales!BJ10,INDEX(TC_V,1,MIN(10,BJ$6)))</f>
        <v>7300</v>
      </c>
      <c r="BK10" s="34" t="n">
        <f aca="false">IF(N(Reales!BK10)&gt;0,Reales!BK10,INDEX(TC_V,1,MIN(10,BK$6)))</f>
        <v>7300</v>
      </c>
      <c r="BL10" s="34" t="n">
        <f aca="false">IF(N(Reales!BL10)&gt;0,Reales!BL10,INDEX(TC_V,1,MIN(10,BL$6)))</f>
        <v>7300</v>
      </c>
      <c r="BM10" s="34" t="n">
        <f aca="false">IF(N(Reales!BM10)&gt;0,Reales!BM10,INDEX(TC_V,1,MIN(10,BM$6)))</f>
        <v>7300</v>
      </c>
      <c r="BN10" s="34" t="n">
        <f aca="false">IF(N(Reales!BN10)&gt;0,Reales!BN10,INDEX(TC_V,1,MIN(10,BN$6)))</f>
        <v>7300</v>
      </c>
      <c r="BO10" s="34" t="n">
        <f aca="false">IF(N(Reales!BO10)&gt;0,Reales!BO10,INDEX(TC_V,1,MIN(10,BO$6)))</f>
        <v>7300</v>
      </c>
      <c r="BP10" s="34" t="n">
        <f aca="false">IF(N(Reales!BP10)&gt;0,Reales!BP10,INDEX(TC_V,1,MIN(10,BP$6)))</f>
        <v>7300</v>
      </c>
      <c r="BQ10" s="34" t="n">
        <f aca="false">IF(N(Reales!BQ10)&gt;0,Reales!BQ10,INDEX(TC_V,1,MIN(10,BQ$6)))</f>
        <v>7300</v>
      </c>
      <c r="BR10" s="34" t="n">
        <f aca="false">IF(N(Reales!BR10)&gt;0,Reales!BR10,INDEX(TC_V,1,MIN(10,BR$6)))</f>
        <v>7300</v>
      </c>
      <c r="BS10" s="34" t="n">
        <f aca="false">IF(N(Reales!BS10)&gt;0,Reales!BS10,INDEX(TC_V,1,MIN(10,BS$6)))</f>
        <v>7300</v>
      </c>
      <c r="BT10" s="34" t="n">
        <f aca="false">IF(N(Reales!BT10)&gt;0,Reales!BT10,INDEX(TC_V,1,MIN(10,BT$6)))</f>
        <v>7300</v>
      </c>
      <c r="BU10" s="34" t="n">
        <f aca="false">IF(N(Reales!BU10)&gt;0,Reales!BU10,INDEX(TC_V,1,MIN(10,BU$6)))</f>
        <v>7300</v>
      </c>
      <c r="BV10" s="34" t="n">
        <f aca="false">IF(N(Reales!BV10)&gt;0,Reales!BV10,INDEX(TC_V,1,MIN(10,BV$6)))</f>
        <v>7300</v>
      </c>
      <c r="BW10" s="34" t="n">
        <f aca="false">IF(N(Reales!BW10)&gt;0,Reales!BW10,INDEX(TC_V,1,MIN(10,BW$6)))</f>
        <v>7300</v>
      </c>
      <c r="BX10" s="34" t="n">
        <f aca="false">IF(N(Reales!BX10)&gt;0,Reales!BX10,INDEX(TC_V,1,MIN(10,BX$6)))</f>
        <v>7300</v>
      </c>
      <c r="BY10" s="34" t="n">
        <f aca="false">IF(N(Reales!BY10)&gt;0,Reales!BY10,INDEX(TC_V,1,MIN(10,BY$6)))</f>
        <v>7300</v>
      </c>
      <c r="BZ10" s="34" t="n">
        <f aca="false">IF(N(Reales!BZ10)&gt;0,Reales!BZ10,INDEX(TC_V,1,MIN(10,BZ$6)))</f>
        <v>7300</v>
      </c>
      <c r="CA10" s="34" t="n">
        <f aca="false">IF(N(Reales!CA10)&gt;0,Reales!CA10,INDEX(TC_V,1,MIN(10,CA$6)))</f>
        <v>7300</v>
      </c>
      <c r="CB10" s="34" t="n">
        <f aca="false">IF(N(Reales!CB10)&gt;0,Reales!CB10,INDEX(TC_V,1,MIN(10,CB$6)))</f>
        <v>7300</v>
      </c>
      <c r="CC10" s="34" t="n">
        <f aca="false">IF(N(Reales!CC10)&gt;0,Reales!CC10,INDEX(TC_V,1,MIN(10,CC$6)))</f>
        <v>7300</v>
      </c>
      <c r="CD10" s="34" t="n">
        <f aca="false">IF(N(Reales!CD10)&gt;0,Reales!CD10,INDEX(TC_V,1,MIN(10,CD$6)))</f>
        <v>7300</v>
      </c>
      <c r="CE10" s="34" t="n">
        <f aca="false">IF(N(Reales!CE10)&gt;0,Reales!CE10,INDEX(TC_V,1,MIN(10,CE$6)))</f>
        <v>7300</v>
      </c>
      <c r="CF10" s="34" t="n">
        <f aca="false">IF(N(Reales!CF10)&gt;0,Reales!CF10,INDEX(TC_V,1,MIN(10,CF$6)))</f>
        <v>7300</v>
      </c>
      <c r="CG10" s="34" t="n">
        <f aca="false">IF(N(Reales!CG10)&gt;0,Reales!CG10,INDEX(TC_V,1,MIN(10,CG$6)))</f>
        <v>7300</v>
      </c>
      <c r="CH10" s="34" t="n">
        <f aca="false">IF(N(Reales!CH10)&gt;0,Reales!CH10,INDEX(TC_V,1,MIN(10,CH$6)))</f>
        <v>7300</v>
      </c>
      <c r="CI10" s="34" t="n">
        <f aca="false">IF(N(Reales!CI10)&gt;0,Reales!CI10,INDEX(TC_V,1,MIN(10,CI$6)))</f>
        <v>7300</v>
      </c>
      <c r="CJ10" s="34" t="n">
        <f aca="false">IF(N(Reales!CJ10)&gt;0,Reales!CJ10,INDEX(TC_V,1,MIN(10,CJ$6)))</f>
        <v>7300</v>
      </c>
      <c r="CK10" s="34" t="n">
        <f aca="false">IF(N(Reales!CK10)&gt;0,Reales!CK10,INDEX(TC_V,1,MIN(10,CK$6)))</f>
        <v>7300</v>
      </c>
      <c r="CL10" s="34" t="n">
        <f aca="false">IF(N(Reales!CL10)&gt;0,Reales!CL10,INDEX(TC_V,1,MIN(10,CL$6)))</f>
        <v>7300</v>
      </c>
      <c r="CM10" s="34" t="n">
        <f aca="false">IF(N(Reales!CM10)&gt;0,Reales!CM10,INDEX(TC_V,1,MIN(10,CM$6)))</f>
        <v>7300</v>
      </c>
      <c r="CN10" s="34" t="n">
        <f aca="false">IF(N(Reales!CN10)&gt;0,Reales!CN10,INDEX(TC_V,1,MIN(10,CN$6)))</f>
        <v>7300</v>
      </c>
      <c r="CO10" s="34" t="n">
        <f aca="false">IF(N(Reales!CO10)&gt;0,Reales!CO10,INDEX(TC_V,1,MIN(10,CO$6)))</f>
        <v>7300</v>
      </c>
      <c r="CP10" s="34" t="n">
        <f aca="false">IF(N(Reales!CP10)&gt;0,Reales!CP10,INDEX(TC_V,1,MIN(10,CP$6)))</f>
        <v>7300</v>
      </c>
      <c r="CQ10" s="34" t="n">
        <f aca="false">IF(N(Reales!CQ10)&gt;0,Reales!CQ10,INDEX(TC_V,1,MIN(10,CQ$6)))</f>
        <v>7300</v>
      </c>
      <c r="CR10" s="34" t="n">
        <f aca="false">IF(N(Reales!CR10)&gt;0,Reales!CR10,INDEX(TC_V,1,MIN(10,CR$6)))</f>
        <v>7300</v>
      </c>
      <c r="CS10" s="34" t="n">
        <f aca="false">IF(N(Reales!CS10)&gt;0,Reales!CS10,INDEX(TC_V,1,MIN(10,CS$6)))</f>
        <v>7300</v>
      </c>
      <c r="CT10" s="34" t="n">
        <f aca="false">IF(N(Reales!CT10)&gt;0,Reales!CT10,INDEX(TC_V,1,MIN(10,CT$6)))</f>
        <v>7300</v>
      </c>
      <c r="CU10" s="34" t="n">
        <f aca="false">IF(N(Reales!CU10)&gt;0,Reales!CU10,INDEX(TC_V,1,MIN(10,CU$6)))</f>
        <v>7300</v>
      </c>
      <c r="CV10" s="34" t="n">
        <f aca="false">IF(N(Reales!CV10)&gt;0,Reales!CV10,INDEX(TC_V,1,MIN(10,CV$6)))</f>
        <v>7300</v>
      </c>
      <c r="CW10" s="34" t="n">
        <f aca="false">IF(N(Reales!CW10)&gt;0,Reales!CW10,INDEX(TC_V,1,MIN(10,CW$6)))</f>
        <v>7300</v>
      </c>
      <c r="CX10" s="34" t="n">
        <f aca="false">IF(N(Reales!CX10)&gt;0,Reales!CX10,INDEX(TC_V,1,MIN(10,CX$6)))</f>
        <v>7300</v>
      </c>
      <c r="CY10" s="34" t="n">
        <f aca="false">IF(N(Reales!CY10)&gt;0,Reales!CY10,INDEX(TC_V,1,MIN(10,CY$6)))</f>
        <v>7300</v>
      </c>
      <c r="CZ10" s="34" t="n">
        <f aca="false">IF(N(Reales!CZ10)&gt;0,Reales!CZ10,INDEX(TC_V,1,MIN(10,CZ$6)))</f>
        <v>7300</v>
      </c>
      <c r="DA10" s="34" t="n">
        <f aca="false">IF(N(Reales!DA10)&gt;0,Reales!DA10,INDEX(TC_V,1,MIN(10,DA$6)))</f>
        <v>7300</v>
      </c>
      <c r="DB10" s="34" t="n">
        <f aca="false">IF(N(Reales!DB10)&gt;0,Reales!DB10,INDEX(TC_V,1,MIN(10,DB$6)))</f>
        <v>7300</v>
      </c>
      <c r="DC10" s="34" t="n">
        <f aca="false">IF(N(Reales!DC10)&gt;0,Reales!DC10,INDEX(TC_V,1,MIN(10,DC$6)))</f>
        <v>7300</v>
      </c>
      <c r="DD10" s="34" t="n">
        <f aca="false">IF(N(Reales!DD10)&gt;0,Reales!DD10,INDEX(TC_V,1,MIN(10,DD$6)))</f>
        <v>7300</v>
      </c>
      <c r="DE10" s="34" t="n">
        <f aca="false">IF(N(Reales!DE10)&gt;0,Reales!DE10,INDEX(TC_V,1,MIN(10,DE$6)))</f>
        <v>7300</v>
      </c>
      <c r="DF10" s="34" t="n">
        <f aca="false">IF(N(Reales!DF10)&gt;0,Reales!DF10,INDEX(TC_V,1,MIN(10,DF$6)))</f>
        <v>7300</v>
      </c>
      <c r="DG10" s="34" t="n">
        <f aca="false">IF(N(Reales!DG10)&gt;0,Reales!DG10,INDEX(TC_V,1,MIN(10,DG$6)))</f>
        <v>7300</v>
      </c>
      <c r="DH10" s="34" t="n">
        <f aca="false">IF(N(Reales!DH10)&gt;0,Reales!DH10,INDEX(TC_V,1,MIN(10,DH$6)))</f>
        <v>7300</v>
      </c>
      <c r="DI10" s="34" t="n">
        <f aca="false">IF(N(Reales!DI10)&gt;0,Reales!DI10,INDEX(TC_V,1,MIN(10,DI$6)))</f>
        <v>7300</v>
      </c>
      <c r="DJ10" s="34" t="n">
        <f aca="false">IF(N(Reales!DJ10)&gt;0,Reales!DJ10,INDEX(TC_V,1,MIN(10,DJ$6)))</f>
        <v>7300</v>
      </c>
      <c r="DK10" s="34" t="n">
        <f aca="false">IF(N(Reales!DK10)&gt;0,Reales!DK10,INDEX(TC_V,1,MIN(10,DK$6)))</f>
        <v>7300</v>
      </c>
      <c r="DL10" s="34" t="n">
        <f aca="false">IF(N(Reales!DL10)&gt;0,Reales!DL10,INDEX(TC_V,1,MIN(10,DL$6)))</f>
        <v>7300</v>
      </c>
      <c r="DM10" s="34" t="n">
        <f aca="false">IF(N(Reales!DM10)&gt;0,Reales!DM10,INDEX(TC_V,1,MIN(10,DM$6)))</f>
        <v>7300</v>
      </c>
      <c r="DN10" s="34" t="n">
        <f aca="false">IF(N(Reales!DN10)&gt;0,Reales!DN10,INDEX(TC_V,1,MIN(10,DN$6)))</f>
        <v>7300</v>
      </c>
      <c r="DO10" s="34" t="n">
        <f aca="false">IF(N(Reales!DO10)&gt;0,Reales!DO10,INDEX(TC_V,1,MIN(10,DO$6)))</f>
        <v>7300</v>
      </c>
      <c r="DP10" s="34" t="n">
        <f aca="false">IF(N(Reales!DP10)&gt;0,Reales!DP10,INDEX(TC_V,1,MIN(10,DP$6)))</f>
        <v>7300</v>
      </c>
      <c r="DQ10" s="34" t="n">
        <f aca="false">IF(N(Reales!DQ10)&gt;0,Reales!DQ10,INDEX(TC_V,1,MIN(10,DQ$6)))</f>
        <v>7300</v>
      </c>
      <c r="DR10" s="34" t="n">
        <f aca="false">IF(N(Reales!DR10)&gt;0,Reales!DR10,INDEX(TC_V,1,MIN(10,DR$6)))</f>
        <v>7300</v>
      </c>
      <c r="DS10" s="34" t="n">
        <f aca="false">IF(N(Reales!DS10)&gt;0,Reales!DS10,INDEX(TC_V,1,MIN(10,DS$6)))</f>
        <v>7300</v>
      </c>
      <c r="DT10" s="34" t="n">
        <f aca="false">IF(N(Reales!DT10)&gt;0,Reales!DT10,INDEX(TC_V,1,MIN(10,DT$6)))</f>
        <v>7300</v>
      </c>
      <c r="DU10" s="34" t="n">
        <f aca="false">IF(N(Reales!DU10)&gt;0,Reales!DU10,INDEX(TC_V,1,MIN(10,DU$6)))</f>
        <v>7300</v>
      </c>
      <c r="DV10" s="34" t="n">
        <f aca="false">IF(N(Reales!DV10)&gt;0,Reales!DV10,INDEX(TC_V,1,MIN(10,DV$6)))</f>
        <v>7300</v>
      </c>
      <c r="DW10" s="34" t="n">
        <f aca="false">IF(N(Reales!DW10)&gt;0,Reales!DW10,INDEX(TC_V,1,MIN(10,DW$6)))</f>
        <v>7300</v>
      </c>
      <c r="DX10" s="34" t="n">
        <f aca="false">IF(N(Reales!DX10)&gt;0,Reales!DX10,INDEX(TC_V,1,MIN(10,DX$6)))</f>
        <v>7300</v>
      </c>
      <c r="DY10" s="34" t="n">
        <f aca="false">IF(N(Reales!DY10)&gt;0,Reales!DY10,INDEX(TC_V,1,MIN(10,DY$6)))</f>
        <v>7300</v>
      </c>
      <c r="DZ10" s="34" t="n">
        <f aca="false">IF(N(Reales!DZ10)&gt;0,Reales!DZ10,INDEX(TC_V,1,MIN(10,DZ$6)))</f>
        <v>7300</v>
      </c>
      <c r="EA10" s="34" t="n">
        <f aca="false">IF(N(Reales!EA10)&gt;0,Reales!EA10,INDEX(TC_V,1,MIN(10,EA$6)))</f>
        <v>7300</v>
      </c>
      <c r="EB10" s="34" t="n">
        <f aca="false">IF(N(Reales!EB10)&gt;0,Reales!EB10,INDEX(TC_V,1,MIN(10,EB$6)))</f>
        <v>7300</v>
      </c>
      <c r="EC10" s="34" t="n">
        <f aca="false">IF(N(Reales!EC10)&gt;0,Reales!EC10,INDEX(TC_V,1,MIN(10,EC$6)))</f>
        <v>7300</v>
      </c>
      <c r="ED10" s="34" t="n">
        <f aca="false">IF(N(Reales!ED10)&gt;0,Reales!ED10,INDEX(TC_V,1,MIN(10,ED$6)))</f>
        <v>7300</v>
      </c>
      <c r="EE10" s="34" t="n">
        <f aca="false">IF(N(Reales!EE10)&gt;0,Reales!EE10,INDEX(TC_V,1,MIN(10,EE$6)))</f>
        <v>7300</v>
      </c>
      <c r="EF10" s="34" t="n">
        <f aca="false">IF(N(Reales!EF10)&gt;0,Reales!EF10,INDEX(TC_V,1,MIN(10,EF$6)))</f>
        <v>7300</v>
      </c>
      <c r="EG10" s="34" t="n">
        <f aca="false">IF(N(Reales!EG10)&gt;0,Reales!EG10,INDEX(TC_V,1,MIN(10,EG$6)))</f>
        <v>7300</v>
      </c>
      <c r="EH10" s="34" t="n">
        <f aca="false">IF(N(Reales!EH10)&gt;0,Reales!EH10,INDEX(TC_V,1,MIN(10,EH$6)))</f>
        <v>7300</v>
      </c>
      <c r="EI10" s="34" t="n">
        <f aca="false">IF(N(Reales!EI10)&gt;0,Reales!EI10,INDEX(TC_V,1,MIN(10,EI$6)))</f>
        <v>7300</v>
      </c>
      <c r="EJ10" s="34" t="n">
        <f aca="false">IF(N(Reales!EJ10)&gt;0,Reales!EJ10,INDEX(TC_V,1,MIN(10,EJ$6)))</f>
        <v>7300</v>
      </c>
      <c r="EK10" s="34" t="n">
        <f aca="false">IF(N(Reales!EK10)&gt;0,Reales!EK10,INDEX(TC_V,1,MIN(10,EK$6)))</f>
        <v>7300</v>
      </c>
      <c r="EL10" s="34" t="n">
        <f aca="false">IF(N(Reales!EL10)&gt;0,Reales!EL10,INDEX(TC_V,1,MIN(10,EL$6)))</f>
        <v>7300</v>
      </c>
      <c r="EM10" s="34" t="n">
        <f aca="false">IF(N(Reales!EM10)&gt;0,Reales!EM10,INDEX(TC_V,1,MIN(10,EM$6)))</f>
        <v>7300</v>
      </c>
      <c r="EN10" s="34" t="n">
        <f aca="false">IF(N(Reales!EN10)&gt;0,Reales!EN10,INDEX(TC_V,1,MIN(10,EN$6)))</f>
        <v>7300</v>
      </c>
      <c r="EO10" s="34" t="n">
        <f aca="false">IF(N(Reales!EO10)&gt;0,Reales!EO10,INDEX(TC_V,1,MIN(10,EO$6)))</f>
        <v>7300</v>
      </c>
      <c r="EP10" s="34" t="n">
        <f aca="false">IF(N(Reales!EP10)&gt;0,Reales!EP10,INDEX(TC_V,1,MIN(10,EP$6)))</f>
        <v>7300</v>
      </c>
      <c r="EQ10" s="34" t="n">
        <f aca="false">IF(N(Reales!EQ10)&gt;0,Reales!EQ10,INDEX(TC_V,1,MIN(10,EQ$6)))</f>
        <v>7300</v>
      </c>
      <c r="ER10" s="34" t="n">
        <f aca="false">IF(N(Reales!ER10)&gt;0,Reales!ER10,INDEX(TC_V,1,MIN(10,ER$6)))</f>
        <v>7300</v>
      </c>
      <c r="ES10" s="34" t="n">
        <f aca="false">IF(N(Reales!ES10)&gt;0,Reales!ES10,INDEX(TC_V,1,MIN(10,ES$6)))</f>
        <v>7300</v>
      </c>
    </row>
    <row r="12" customFormat="false" ht="15" hidden="false" customHeight="false" outlineLevel="0" collapsed="false">
      <c r="A12" s="49"/>
      <c r="B12" s="50" t="s">
        <v>542</v>
      </c>
      <c r="C12" s="49"/>
      <c r="D12" s="49"/>
      <c r="E12" s="49"/>
    </row>
    <row r="13" customFormat="false" ht="15" hidden="false" customHeight="false" outlineLevel="0" collapsed="false">
      <c r="A13" s="4"/>
      <c r="B13" s="3" t="s">
        <v>543</v>
      </c>
      <c r="C13" s="4"/>
      <c r="D13" s="4"/>
      <c r="E13" s="4"/>
    </row>
    <row r="14" customFormat="false" ht="15" hidden="false" customHeight="false" outlineLevel="0" collapsed="false">
      <c r="A14" s="2" t="s">
        <v>544</v>
      </c>
      <c r="B14" s="6" t="s">
        <v>545</v>
      </c>
      <c r="C14" s="6" t="s">
        <v>546</v>
      </c>
      <c r="F14" s="19" t="n">
        <f aca="false">IF(AND(1&gt;=P_Inicio,1&lt;=Fin),INT((1-P_Inicio)/12)+1,0)</f>
        <v>1</v>
      </c>
      <c r="G14" s="19" t="n">
        <f aca="false">IF(AND(2&gt;=P_Inicio,2&lt;=Fin),INT((2-P_Inicio)/12)+1,0)</f>
        <v>1</v>
      </c>
      <c r="H14" s="19" t="n">
        <f aca="false">IF(AND(3&gt;=P_Inicio,3&lt;=Fin),INT((3-P_Inicio)/12)+1,0)</f>
        <v>1</v>
      </c>
      <c r="I14" s="19" t="n">
        <f aca="false">IF(AND(4&gt;=P_Inicio,4&lt;=Fin),INT((4-P_Inicio)/12)+1,0)</f>
        <v>1</v>
      </c>
      <c r="J14" s="19" t="n">
        <f aca="false">IF(AND(5&gt;=P_Inicio,5&lt;=Fin),INT((5-P_Inicio)/12)+1,0)</f>
        <v>1</v>
      </c>
      <c r="K14" s="19" t="n">
        <f aca="false">IF(AND(6&gt;=P_Inicio,6&lt;=Fin),INT((6-P_Inicio)/12)+1,0)</f>
        <v>1</v>
      </c>
      <c r="L14" s="19" t="n">
        <f aca="false">IF(AND(7&gt;=P_Inicio,7&lt;=Fin),INT((7-P_Inicio)/12)+1,0)</f>
        <v>1</v>
      </c>
      <c r="M14" s="19" t="n">
        <f aca="false">IF(AND(8&gt;=P_Inicio,8&lt;=Fin),INT((8-P_Inicio)/12)+1,0)</f>
        <v>1</v>
      </c>
      <c r="N14" s="19" t="n">
        <f aca="false">IF(AND(9&gt;=P_Inicio,9&lt;=Fin),INT((9-P_Inicio)/12)+1,0)</f>
        <v>1</v>
      </c>
      <c r="O14" s="19" t="n">
        <f aca="false">IF(AND(10&gt;=P_Inicio,10&lt;=Fin),INT((10-P_Inicio)/12)+1,0)</f>
        <v>1</v>
      </c>
      <c r="P14" s="19" t="n">
        <f aca="false">IF(AND(11&gt;=P_Inicio,11&lt;=Fin),INT((11-P_Inicio)/12)+1,0)</f>
        <v>1</v>
      </c>
      <c r="Q14" s="19" t="n">
        <f aca="false">IF(AND(12&gt;=P_Inicio,12&lt;=Fin),INT((12-P_Inicio)/12)+1,0)</f>
        <v>1</v>
      </c>
      <c r="R14" s="19" t="n">
        <f aca="false">IF(AND(13&gt;=P_Inicio,13&lt;=Fin),INT((13-P_Inicio)/12)+1,0)</f>
        <v>2</v>
      </c>
      <c r="S14" s="19" t="n">
        <f aca="false">IF(AND(14&gt;=P_Inicio,14&lt;=Fin),INT((14-P_Inicio)/12)+1,0)</f>
        <v>2</v>
      </c>
      <c r="T14" s="19" t="n">
        <f aca="false">IF(AND(15&gt;=P_Inicio,15&lt;=Fin),INT((15-P_Inicio)/12)+1,0)</f>
        <v>2</v>
      </c>
      <c r="U14" s="19" t="n">
        <f aca="false">IF(AND(16&gt;=P_Inicio,16&lt;=Fin),INT((16-P_Inicio)/12)+1,0)</f>
        <v>2</v>
      </c>
      <c r="V14" s="19" t="n">
        <f aca="false">IF(AND(17&gt;=P_Inicio,17&lt;=Fin),INT((17-P_Inicio)/12)+1,0)</f>
        <v>2</v>
      </c>
      <c r="W14" s="19" t="n">
        <f aca="false">IF(AND(18&gt;=P_Inicio,18&lt;=Fin),INT((18-P_Inicio)/12)+1,0)</f>
        <v>2</v>
      </c>
      <c r="X14" s="19" t="n">
        <f aca="false">IF(AND(19&gt;=P_Inicio,19&lt;=Fin),INT((19-P_Inicio)/12)+1,0)</f>
        <v>2</v>
      </c>
      <c r="Y14" s="19" t="n">
        <f aca="false">IF(AND(20&gt;=P_Inicio,20&lt;=Fin),INT((20-P_Inicio)/12)+1,0)</f>
        <v>2</v>
      </c>
      <c r="Z14" s="19" t="n">
        <f aca="false">IF(AND(21&gt;=P_Inicio,21&lt;=Fin),INT((21-P_Inicio)/12)+1,0)</f>
        <v>2</v>
      </c>
      <c r="AA14" s="19" t="n">
        <f aca="false">IF(AND(22&gt;=P_Inicio,22&lt;=Fin),INT((22-P_Inicio)/12)+1,0)</f>
        <v>2</v>
      </c>
      <c r="AB14" s="19" t="n">
        <f aca="false">IF(AND(23&gt;=P_Inicio,23&lt;=Fin),INT((23-P_Inicio)/12)+1,0)</f>
        <v>2</v>
      </c>
      <c r="AC14" s="19" t="n">
        <f aca="false">IF(AND(24&gt;=P_Inicio,24&lt;=Fin),INT((24-P_Inicio)/12)+1,0)</f>
        <v>2</v>
      </c>
      <c r="AD14" s="19" t="n">
        <f aca="false">IF(AND(25&gt;=P_Inicio,25&lt;=Fin),INT((25-P_Inicio)/12)+1,0)</f>
        <v>3</v>
      </c>
      <c r="AE14" s="19" t="n">
        <f aca="false">IF(AND(26&gt;=P_Inicio,26&lt;=Fin),INT((26-P_Inicio)/12)+1,0)</f>
        <v>3</v>
      </c>
      <c r="AF14" s="19" t="n">
        <f aca="false">IF(AND(27&gt;=P_Inicio,27&lt;=Fin),INT((27-P_Inicio)/12)+1,0)</f>
        <v>3</v>
      </c>
      <c r="AG14" s="19" t="n">
        <f aca="false">IF(AND(28&gt;=P_Inicio,28&lt;=Fin),INT((28-P_Inicio)/12)+1,0)</f>
        <v>3</v>
      </c>
      <c r="AH14" s="19" t="n">
        <f aca="false">IF(AND(29&gt;=P_Inicio,29&lt;=Fin),INT((29-P_Inicio)/12)+1,0)</f>
        <v>3</v>
      </c>
      <c r="AI14" s="19" t="n">
        <f aca="false">IF(AND(30&gt;=P_Inicio,30&lt;=Fin),INT((30-P_Inicio)/12)+1,0)</f>
        <v>3</v>
      </c>
      <c r="AJ14" s="19" t="n">
        <f aca="false">IF(AND(31&gt;=P_Inicio,31&lt;=Fin),INT((31-P_Inicio)/12)+1,0)</f>
        <v>3</v>
      </c>
      <c r="AK14" s="19" t="n">
        <f aca="false">IF(AND(32&gt;=P_Inicio,32&lt;=Fin),INT((32-P_Inicio)/12)+1,0)</f>
        <v>3</v>
      </c>
      <c r="AL14" s="19" t="n">
        <f aca="false">IF(AND(33&gt;=P_Inicio,33&lt;=Fin),INT((33-P_Inicio)/12)+1,0)</f>
        <v>3</v>
      </c>
      <c r="AM14" s="19" t="n">
        <f aca="false">IF(AND(34&gt;=P_Inicio,34&lt;=Fin),INT((34-P_Inicio)/12)+1,0)</f>
        <v>3</v>
      </c>
      <c r="AN14" s="19" t="n">
        <f aca="false">IF(AND(35&gt;=P_Inicio,35&lt;=Fin),INT((35-P_Inicio)/12)+1,0)</f>
        <v>3</v>
      </c>
      <c r="AO14" s="19" t="n">
        <f aca="false">IF(AND(36&gt;=P_Inicio,36&lt;=Fin),INT((36-P_Inicio)/12)+1,0)</f>
        <v>3</v>
      </c>
      <c r="AP14" s="19" t="n">
        <f aca="false">IF(AND(37&gt;=P_Inicio,37&lt;=Fin),INT((37-P_Inicio)/12)+1,0)</f>
        <v>4</v>
      </c>
      <c r="AQ14" s="19" t="n">
        <f aca="false">IF(AND(38&gt;=P_Inicio,38&lt;=Fin),INT((38-P_Inicio)/12)+1,0)</f>
        <v>4</v>
      </c>
      <c r="AR14" s="19" t="n">
        <f aca="false">IF(AND(39&gt;=P_Inicio,39&lt;=Fin),INT((39-P_Inicio)/12)+1,0)</f>
        <v>4</v>
      </c>
      <c r="AS14" s="19" t="n">
        <f aca="false">IF(AND(40&gt;=P_Inicio,40&lt;=Fin),INT((40-P_Inicio)/12)+1,0)</f>
        <v>4</v>
      </c>
      <c r="AT14" s="19" t="n">
        <f aca="false">IF(AND(41&gt;=P_Inicio,41&lt;=Fin),INT((41-P_Inicio)/12)+1,0)</f>
        <v>4</v>
      </c>
      <c r="AU14" s="19" t="n">
        <f aca="false">IF(AND(42&gt;=P_Inicio,42&lt;=Fin),INT((42-P_Inicio)/12)+1,0)</f>
        <v>4</v>
      </c>
      <c r="AV14" s="19" t="n">
        <f aca="false">IF(AND(43&gt;=P_Inicio,43&lt;=Fin),INT((43-P_Inicio)/12)+1,0)</f>
        <v>4</v>
      </c>
      <c r="AW14" s="19" t="n">
        <f aca="false">IF(AND(44&gt;=P_Inicio,44&lt;=Fin),INT((44-P_Inicio)/12)+1,0)</f>
        <v>4</v>
      </c>
      <c r="AX14" s="19" t="n">
        <f aca="false">IF(AND(45&gt;=P_Inicio,45&lt;=Fin),INT((45-P_Inicio)/12)+1,0)</f>
        <v>4</v>
      </c>
      <c r="AY14" s="19" t="n">
        <f aca="false">IF(AND(46&gt;=P_Inicio,46&lt;=Fin),INT((46-P_Inicio)/12)+1,0)</f>
        <v>4</v>
      </c>
      <c r="AZ14" s="19" t="n">
        <f aca="false">IF(AND(47&gt;=P_Inicio,47&lt;=Fin),INT((47-P_Inicio)/12)+1,0)</f>
        <v>4</v>
      </c>
      <c r="BA14" s="19" t="n">
        <f aca="false">IF(AND(48&gt;=P_Inicio,48&lt;=Fin),INT((48-P_Inicio)/12)+1,0)</f>
        <v>4</v>
      </c>
      <c r="BB14" s="19" t="n">
        <f aca="false">IF(AND(49&gt;=P_Inicio,49&lt;=Fin),INT((49-P_Inicio)/12)+1,0)</f>
        <v>5</v>
      </c>
      <c r="BC14" s="19" t="n">
        <f aca="false">IF(AND(50&gt;=P_Inicio,50&lt;=Fin),INT((50-P_Inicio)/12)+1,0)</f>
        <v>5</v>
      </c>
      <c r="BD14" s="19" t="n">
        <f aca="false">IF(AND(51&gt;=P_Inicio,51&lt;=Fin),INT((51-P_Inicio)/12)+1,0)</f>
        <v>5</v>
      </c>
      <c r="BE14" s="19" t="n">
        <f aca="false">IF(AND(52&gt;=P_Inicio,52&lt;=Fin),INT((52-P_Inicio)/12)+1,0)</f>
        <v>5</v>
      </c>
      <c r="BF14" s="19" t="n">
        <f aca="false">IF(AND(53&gt;=P_Inicio,53&lt;=Fin),INT((53-P_Inicio)/12)+1,0)</f>
        <v>5</v>
      </c>
      <c r="BG14" s="19" t="n">
        <f aca="false">IF(AND(54&gt;=P_Inicio,54&lt;=Fin),INT((54-P_Inicio)/12)+1,0)</f>
        <v>5</v>
      </c>
      <c r="BH14" s="19" t="n">
        <f aca="false">IF(AND(55&gt;=P_Inicio,55&lt;=Fin),INT((55-P_Inicio)/12)+1,0)</f>
        <v>5</v>
      </c>
      <c r="BI14" s="19" t="n">
        <f aca="false">IF(AND(56&gt;=P_Inicio,56&lt;=Fin),INT((56-P_Inicio)/12)+1,0)</f>
        <v>5</v>
      </c>
      <c r="BJ14" s="19" t="n">
        <f aca="false">IF(AND(57&gt;=P_Inicio,57&lt;=Fin),INT((57-P_Inicio)/12)+1,0)</f>
        <v>5</v>
      </c>
      <c r="BK14" s="19" t="n">
        <f aca="false">IF(AND(58&gt;=P_Inicio,58&lt;=Fin),INT((58-P_Inicio)/12)+1,0)</f>
        <v>5</v>
      </c>
      <c r="BL14" s="19" t="n">
        <f aca="false">IF(AND(59&gt;=P_Inicio,59&lt;=Fin),INT((59-P_Inicio)/12)+1,0)</f>
        <v>5</v>
      </c>
      <c r="BM14" s="19" t="n">
        <f aca="false">IF(AND(60&gt;=P_Inicio,60&lt;=Fin),INT((60-P_Inicio)/12)+1,0)</f>
        <v>5</v>
      </c>
      <c r="BN14" s="19" t="n">
        <f aca="false">IF(AND(61&gt;=P_Inicio,61&lt;=Fin),INT((61-P_Inicio)/12)+1,0)</f>
        <v>6</v>
      </c>
      <c r="BO14" s="19" t="n">
        <f aca="false">IF(AND(62&gt;=P_Inicio,62&lt;=Fin),INT((62-P_Inicio)/12)+1,0)</f>
        <v>6</v>
      </c>
      <c r="BP14" s="19" t="n">
        <f aca="false">IF(AND(63&gt;=P_Inicio,63&lt;=Fin),INT((63-P_Inicio)/12)+1,0)</f>
        <v>6</v>
      </c>
      <c r="BQ14" s="19" t="n">
        <f aca="false">IF(AND(64&gt;=P_Inicio,64&lt;=Fin),INT((64-P_Inicio)/12)+1,0)</f>
        <v>6</v>
      </c>
      <c r="BR14" s="19" t="n">
        <f aca="false">IF(AND(65&gt;=P_Inicio,65&lt;=Fin),INT((65-P_Inicio)/12)+1,0)</f>
        <v>6</v>
      </c>
      <c r="BS14" s="19" t="n">
        <f aca="false">IF(AND(66&gt;=P_Inicio,66&lt;=Fin),INT((66-P_Inicio)/12)+1,0)</f>
        <v>6</v>
      </c>
      <c r="BT14" s="19" t="n">
        <f aca="false">IF(AND(67&gt;=P_Inicio,67&lt;=Fin),INT((67-P_Inicio)/12)+1,0)</f>
        <v>6</v>
      </c>
      <c r="BU14" s="19" t="n">
        <f aca="false">IF(AND(68&gt;=P_Inicio,68&lt;=Fin),INT((68-P_Inicio)/12)+1,0)</f>
        <v>6</v>
      </c>
      <c r="BV14" s="19" t="n">
        <f aca="false">IF(AND(69&gt;=P_Inicio,69&lt;=Fin),INT((69-P_Inicio)/12)+1,0)</f>
        <v>6</v>
      </c>
      <c r="BW14" s="19" t="n">
        <f aca="false">IF(AND(70&gt;=P_Inicio,70&lt;=Fin),INT((70-P_Inicio)/12)+1,0)</f>
        <v>6</v>
      </c>
      <c r="BX14" s="19" t="n">
        <f aca="false">IF(AND(71&gt;=P_Inicio,71&lt;=Fin),INT((71-P_Inicio)/12)+1,0)</f>
        <v>6</v>
      </c>
      <c r="BY14" s="19" t="n">
        <f aca="false">IF(AND(72&gt;=P_Inicio,72&lt;=Fin),INT((72-P_Inicio)/12)+1,0)</f>
        <v>6</v>
      </c>
      <c r="BZ14" s="19" t="n">
        <f aca="false">IF(AND(73&gt;=P_Inicio,73&lt;=Fin),INT((73-P_Inicio)/12)+1,0)</f>
        <v>7</v>
      </c>
      <c r="CA14" s="19" t="n">
        <f aca="false">IF(AND(74&gt;=P_Inicio,74&lt;=Fin),INT((74-P_Inicio)/12)+1,0)</f>
        <v>7</v>
      </c>
      <c r="CB14" s="19" t="n">
        <f aca="false">IF(AND(75&gt;=P_Inicio,75&lt;=Fin),INT((75-P_Inicio)/12)+1,0)</f>
        <v>7</v>
      </c>
      <c r="CC14" s="19" t="n">
        <f aca="false">IF(AND(76&gt;=P_Inicio,76&lt;=Fin),INT((76-P_Inicio)/12)+1,0)</f>
        <v>7</v>
      </c>
      <c r="CD14" s="19" t="n">
        <f aca="false">IF(AND(77&gt;=P_Inicio,77&lt;=Fin),INT((77-P_Inicio)/12)+1,0)</f>
        <v>7</v>
      </c>
      <c r="CE14" s="19" t="n">
        <f aca="false">IF(AND(78&gt;=P_Inicio,78&lt;=Fin),INT((78-P_Inicio)/12)+1,0)</f>
        <v>7</v>
      </c>
      <c r="CF14" s="19" t="n">
        <f aca="false">IF(AND(79&gt;=P_Inicio,79&lt;=Fin),INT((79-P_Inicio)/12)+1,0)</f>
        <v>7</v>
      </c>
      <c r="CG14" s="19" t="n">
        <f aca="false">IF(AND(80&gt;=P_Inicio,80&lt;=Fin),INT((80-P_Inicio)/12)+1,0)</f>
        <v>7</v>
      </c>
      <c r="CH14" s="19" t="n">
        <f aca="false">IF(AND(81&gt;=P_Inicio,81&lt;=Fin),INT((81-P_Inicio)/12)+1,0)</f>
        <v>7</v>
      </c>
      <c r="CI14" s="19" t="n">
        <f aca="false">IF(AND(82&gt;=P_Inicio,82&lt;=Fin),INT((82-P_Inicio)/12)+1,0)</f>
        <v>7</v>
      </c>
      <c r="CJ14" s="19" t="n">
        <f aca="false">IF(AND(83&gt;=P_Inicio,83&lt;=Fin),INT((83-P_Inicio)/12)+1,0)</f>
        <v>7</v>
      </c>
      <c r="CK14" s="19" t="n">
        <f aca="false">IF(AND(84&gt;=P_Inicio,84&lt;=Fin),INT((84-P_Inicio)/12)+1,0)</f>
        <v>7</v>
      </c>
      <c r="CL14" s="19" t="n">
        <f aca="false">IF(AND(85&gt;=P_Inicio,85&lt;=Fin),INT((85-P_Inicio)/12)+1,0)</f>
        <v>8</v>
      </c>
      <c r="CM14" s="19" t="n">
        <f aca="false">IF(AND(86&gt;=P_Inicio,86&lt;=Fin),INT((86-P_Inicio)/12)+1,0)</f>
        <v>8</v>
      </c>
      <c r="CN14" s="19" t="n">
        <f aca="false">IF(AND(87&gt;=P_Inicio,87&lt;=Fin),INT((87-P_Inicio)/12)+1,0)</f>
        <v>8</v>
      </c>
      <c r="CO14" s="19" t="n">
        <f aca="false">IF(AND(88&gt;=P_Inicio,88&lt;=Fin),INT((88-P_Inicio)/12)+1,0)</f>
        <v>8</v>
      </c>
      <c r="CP14" s="19" t="n">
        <f aca="false">IF(AND(89&gt;=P_Inicio,89&lt;=Fin),INT((89-P_Inicio)/12)+1,0)</f>
        <v>8</v>
      </c>
      <c r="CQ14" s="19" t="n">
        <f aca="false">IF(AND(90&gt;=P_Inicio,90&lt;=Fin),INT((90-P_Inicio)/12)+1,0)</f>
        <v>8</v>
      </c>
      <c r="CR14" s="19" t="n">
        <f aca="false">IF(AND(91&gt;=P_Inicio,91&lt;=Fin),INT((91-P_Inicio)/12)+1,0)</f>
        <v>8</v>
      </c>
      <c r="CS14" s="19" t="n">
        <f aca="false">IF(AND(92&gt;=P_Inicio,92&lt;=Fin),INT((92-P_Inicio)/12)+1,0)</f>
        <v>8</v>
      </c>
      <c r="CT14" s="19" t="n">
        <f aca="false">IF(AND(93&gt;=P_Inicio,93&lt;=Fin),INT((93-P_Inicio)/12)+1,0)</f>
        <v>8</v>
      </c>
      <c r="CU14" s="19" t="n">
        <f aca="false">IF(AND(94&gt;=P_Inicio,94&lt;=Fin),INT((94-P_Inicio)/12)+1,0)</f>
        <v>8</v>
      </c>
      <c r="CV14" s="19" t="n">
        <f aca="false">IF(AND(95&gt;=P_Inicio,95&lt;=Fin),INT((95-P_Inicio)/12)+1,0)</f>
        <v>8</v>
      </c>
      <c r="CW14" s="19" t="n">
        <f aca="false">IF(AND(96&gt;=P_Inicio,96&lt;=Fin),INT((96-P_Inicio)/12)+1,0)</f>
        <v>8</v>
      </c>
      <c r="CX14" s="19" t="n">
        <f aca="false">IF(AND(97&gt;=P_Inicio,97&lt;=Fin),INT((97-P_Inicio)/12)+1,0)</f>
        <v>9</v>
      </c>
      <c r="CY14" s="19" t="n">
        <f aca="false">IF(AND(98&gt;=P_Inicio,98&lt;=Fin),INT((98-P_Inicio)/12)+1,0)</f>
        <v>9</v>
      </c>
      <c r="CZ14" s="19" t="n">
        <f aca="false">IF(AND(99&gt;=P_Inicio,99&lt;=Fin),INT((99-P_Inicio)/12)+1,0)</f>
        <v>9</v>
      </c>
      <c r="DA14" s="19" t="n">
        <f aca="false">IF(AND(100&gt;=P_Inicio,100&lt;=Fin),INT((100-P_Inicio)/12)+1,0)</f>
        <v>9</v>
      </c>
      <c r="DB14" s="19" t="n">
        <f aca="false">IF(AND(101&gt;=P_Inicio,101&lt;=Fin),INT((101-P_Inicio)/12)+1,0)</f>
        <v>9</v>
      </c>
      <c r="DC14" s="19" t="n">
        <f aca="false">IF(AND(102&gt;=P_Inicio,102&lt;=Fin),INT((102-P_Inicio)/12)+1,0)</f>
        <v>9</v>
      </c>
      <c r="DD14" s="19" t="n">
        <f aca="false">IF(AND(103&gt;=P_Inicio,103&lt;=Fin),INT((103-P_Inicio)/12)+1,0)</f>
        <v>9</v>
      </c>
      <c r="DE14" s="19" t="n">
        <f aca="false">IF(AND(104&gt;=P_Inicio,104&lt;=Fin),INT((104-P_Inicio)/12)+1,0)</f>
        <v>9</v>
      </c>
      <c r="DF14" s="19" t="n">
        <f aca="false">IF(AND(105&gt;=P_Inicio,105&lt;=Fin),INT((105-P_Inicio)/12)+1,0)</f>
        <v>9</v>
      </c>
      <c r="DG14" s="19" t="n">
        <f aca="false">IF(AND(106&gt;=P_Inicio,106&lt;=Fin),INT((106-P_Inicio)/12)+1,0)</f>
        <v>9</v>
      </c>
      <c r="DH14" s="19" t="n">
        <f aca="false">IF(AND(107&gt;=P_Inicio,107&lt;=Fin),INT((107-P_Inicio)/12)+1,0)</f>
        <v>9</v>
      </c>
      <c r="DI14" s="19" t="n">
        <f aca="false">IF(AND(108&gt;=P_Inicio,108&lt;=Fin),INT((108-P_Inicio)/12)+1,0)</f>
        <v>9</v>
      </c>
      <c r="DJ14" s="19" t="n">
        <f aca="false">IF(AND(109&gt;=P_Inicio,109&lt;=Fin),INT((109-P_Inicio)/12)+1,0)</f>
        <v>10</v>
      </c>
      <c r="DK14" s="19" t="n">
        <f aca="false">IF(AND(110&gt;=P_Inicio,110&lt;=Fin),INT((110-P_Inicio)/12)+1,0)</f>
        <v>10</v>
      </c>
      <c r="DL14" s="19" t="n">
        <f aca="false">IF(AND(111&gt;=P_Inicio,111&lt;=Fin),INT((111-P_Inicio)/12)+1,0)</f>
        <v>10</v>
      </c>
      <c r="DM14" s="19" t="n">
        <f aca="false">IF(AND(112&gt;=P_Inicio,112&lt;=Fin),INT((112-P_Inicio)/12)+1,0)</f>
        <v>10</v>
      </c>
      <c r="DN14" s="19" t="n">
        <f aca="false">IF(AND(113&gt;=P_Inicio,113&lt;=Fin),INT((113-P_Inicio)/12)+1,0)</f>
        <v>10</v>
      </c>
      <c r="DO14" s="19" t="n">
        <f aca="false">IF(AND(114&gt;=P_Inicio,114&lt;=Fin),INT((114-P_Inicio)/12)+1,0)</f>
        <v>10</v>
      </c>
      <c r="DP14" s="19" t="n">
        <f aca="false">IF(AND(115&gt;=P_Inicio,115&lt;=Fin),INT((115-P_Inicio)/12)+1,0)</f>
        <v>10</v>
      </c>
      <c r="DQ14" s="19" t="n">
        <f aca="false">IF(AND(116&gt;=P_Inicio,116&lt;=Fin),INT((116-P_Inicio)/12)+1,0)</f>
        <v>10</v>
      </c>
      <c r="DR14" s="19" t="n">
        <f aca="false">IF(AND(117&gt;=P_Inicio,117&lt;=Fin),INT((117-P_Inicio)/12)+1,0)</f>
        <v>10</v>
      </c>
      <c r="DS14" s="19" t="n">
        <f aca="false">IF(AND(118&gt;=P_Inicio,118&lt;=Fin),INT((118-P_Inicio)/12)+1,0)</f>
        <v>10</v>
      </c>
      <c r="DT14" s="19" t="n">
        <f aca="false">IF(AND(119&gt;=P_Inicio,119&lt;=Fin),INT((119-P_Inicio)/12)+1,0)</f>
        <v>10</v>
      </c>
      <c r="DU14" s="19" t="n">
        <f aca="false">IF(AND(120&gt;=P_Inicio,120&lt;=Fin),INT((120-P_Inicio)/12)+1,0)</f>
        <v>10</v>
      </c>
      <c r="DV14" s="19" t="n">
        <f aca="false">IF(AND(121&gt;=P_Inicio,121&lt;=Fin),INT((121-P_Inicio)/12)+1,0)</f>
        <v>0</v>
      </c>
      <c r="DW14" s="19" t="n">
        <f aca="false">IF(AND(122&gt;=P_Inicio,122&lt;=Fin),INT((122-P_Inicio)/12)+1,0)</f>
        <v>0</v>
      </c>
      <c r="DX14" s="19" t="n">
        <f aca="false">IF(AND(123&gt;=P_Inicio,123&lt;=Fin),INT((123-P_Inicio)/12)+1,0)</f>
        <v>0</v>
      </c>
      <c r="DY14" s="19" t="n">
        <f aca="false">IF(AND(124&gt;=P_Inicio,124&lt;=Fin),INT((124-P_Inicio)/12)+1,0)</f>
        <v>0</v>
      </c>
      <c r="DZ14" s="19" t="n">
        <f aca="false">IF(AND(125&gt;=P_Inicio,125&lt;=Fin),INT((125-P_Inicio)/12)+1,0)</f>
        <v>0</v>
      </c>
      <c r="EA14" s="19" t="n">
        <f aca="false">IF(AND(126&gt;=P_Inicio,126&lt;=Fin),INT((126-P_Inicio)/12)+1,0)</f>
        <v>0</v>
      </c>
      <c r="EB14" s="19" t="n">
        <f aca="false">IF(AND(127&gt;=P_Inicio,127&lt;=Fin),INT((127-P_Inicio)/12)+1,0)</f>
        <v>0</v>
      </c>
      <c r="EC14" s="19" t="n">
        <f aca="false">IF(AND(128&gt;=P_Inicio,128&lt;=Fin),INT((128-P_Inicio)/12)+1,0)</f>
        <v>0</v>
      </c>
      <c r="ED14" s="19" t="n">
        <f aca="false">IF(AND(129&gt;=P_Inicio,129&lt;=Fin),INT((129-P_Inicio)/12)+1,0)</f>
        <v>0</v>
      </c>
      <c r="EE14" s="19" t="n">
        <f aca="false">IF(AND(130&gt;=P_Inicio,130&lt;=Fin),INT((130-P_Inicio)/12)+1,0)</f>
        <v>0</v>
      </c>
      <c r="EF14" s="19" t="n">
        <f aca="false">IF(AND(131&gt;=P_Inicio,131&lt;=Fin),INT((131-P_Inicio)/12)+1,0)</f>
        <v>0</v>
      </c>
      <c r="EG14" s="19" t="n">
        <f aca="false">IF(AND(132&gt;=P_Inicio,132&lt;=Fin),INT((132-P_Inicio)/12)+1,0)</f>
        <v>0</v>
      </c>
      <c r="EH14" s="19" t="n">
        <f aca="false">IF(AND(133&gt;=P_Inicio,133&lt;=Fin),INT((133-P_Inicio)/12)+1,0)</f>
        <v>0</v>
      </c>
      <c r="EI14" s="19" t="n">
        <f aca="false">IF(AND(134&gt;=P_Inicio,134&lt;=Fin),INT((134-P_Inicio)/12)+1,0)</f>
        <v>0</v>
      </c>
      <c r="EJ14" s="19" t="n">
        <f aca="false">IF(AND(135&gt;=P_Inicio,135&lt;=Fin),INT((135-P_Inicio)/12)+1,0)</f>
        <v>0</v>
      </c>
      <c r="EK14" s="19" t="n">
        <f aca="false">IF(AND(136&gt;=P_Inicio,136&lt;=Fin),INT((136-P_Inicio)/12)+1,0)</f>
        <v>0</v>
      </c>
      <c r="EL14" s="19" t="n">
        <f aca="false">IF(AND(137&gt;=P_Inicio,137&lt;=Fin),INT((137-P_Inicio)/12)+1,0)</f>
        <v>0</v>
      </c>
      <c r="EM14" s="19" t="n">
        <f aca="false">IF(AND(138&gt;=P_Inicio,138&lt;=Fin),INT((138-P_Inicio)/12)+1,0)</f>
        <v>0</v>
      </c>
      <c r="EN14" s="19" t="n">
        <f aca="false">IF(AND(139&gt;=P_Inicio,139&lt;=Fin),INT((139-P_Inicio)/12)+1,0)</f>
        <v>0</v>
      </c>
      <c r="EO14" s="19" t="n">
        <f aca="false">IF(AND(140&gt;=P_Inicio,140&lt;=Fin),INT((140-P_Inicio)/12)+1,0)</f>
        <v>0</v>
      </c>
      <c r="EP14" s="19" t="n">
        <f aca="false">IF(AND(141&gt;=P_Inicio,141&lt;=Fin),INT((141-P_Inicio)/12)+1,0)</f>
        <v>0</v>
      </c>
      <c r="EQ14" s="19" t="n">
        <f aca="false">IF(AND(142&gt;=P_Inicio,142&lt;=Fin),INT((142-P_Inicio)/12)+1,0)</f>
        <v>0</v>
      </c>
      <c r="ER14" s="19" t="n">
        <f aca="false">IF(AND(143&gt;=P_Inicio,143&lt;=Fin),INT((143-P_Inicio)/12)+1,0)</f>
        <v>0</v>
      </c>
      <c r="ES14" s="19" t="n">
        <f aca="false">IF(AND(144&gt;=P_Inicio,144&lt;=Fin),INT((144-P_Inicio)/12)+1,0)</f>
        <v>0</v>
      </c>
    </row>
    <row r="15" customFormat="false" ht="15" hidden="false" customHeight="false" outlineLevel="0" collapsed="false">
      <c r="A15" s="2" t="s">
        <v>547</v>
      </c>
      <c r="B15" s="6" t="s">
        <v>548</v>
      </c>
      <c r="C15" s="6" t="s">
        <v>549</v>
      </c>
      <c r="E15" s="51" t="n">
        <f aca="false">SUM(F15:ES15)</f>
        <v>120</v>
      </c>
      <c r="F15" s="19" t="n">
        <f aca="false">IF(F$14&gt;0,1,0)</f>
        <v>1</v>
      </c>
      <c r="G15" s="19" t="n">
        <f aca="false">IF(G$14&gt;0,1,0)</f>
        <v>1</v>
      </c>
      <c r="H15" s="19" t="n">
        <f aca="false">IF(H$14&gt;0,1,0)</f>
        <v>1</v>
      </c>
      <c r="I15" s="19" t="n">
        <f aca="false">IF(I$14&gt;0,1,0)</f>
        <v>1</v>
      </c>
      <c r="J15" s="19" t="n">
        <f aca="false">IF(J$14&gt;0,1,0)</f>
        <v>1</v>
      </c>
      <c r="K15" s="19" t="n">
        <f aca="false">IF(K$14&gt;0,1,0)</f>
        <v>1</v>
      </c>
      <c r="L15" s="19" t="n">
        <f aca="false">IF(L$14&gt;0,1,0)</f>
        <v>1</v>
      </c>
      <c r="M15" s="19" t="n">
        <f aca="false">IF(M$14&gt;0,1,0)</f>
        <v>1</v>
      </c>
      <c r="N15" s="19" t="n">
        <f aca="false">IF(N$14&gt;0,1,0)</f>
        <v>1</v>
      </c>
      <c r="O15" s="19" t="n">
        <f aca="false">IF(O$14&gt;0,1,0)</f>
        <v>1</v>
      </c>
      <c r="P15" s="19" t="n">
        <f aca="false">IF(P$14&gt;0,1,0)</f>
        <v>1</v>
      </c>
      <c r="Q15" s="19" t="n">
        <f aca="false">IF(Q$14&gt;0,1,0)</f>
        <v>1</v>
      </c>
      <c r="R15" s="19" t="n">
        <f aca="false">IF(R$14&gt;0,1,0)</f>
        <v>1</v>
      </c>
      <c r="S15" s="19" t="n">
        <f aca="false">IF(S$14&gt;0,1,0)</f>
        <v>1</v>
      </c>
      <c r="T15" s="19" t="n">
        <f aca="false">IF(T$14&gt;0,1,0)</f>
        <v>1</v>
      </c>
      <c r="U15" s="19" t="n">
        <f aca="false">IF(U$14&gt;0,1,0)</f>
        <v>1</v>
      </c>
      <c r="V15" s="19" t="n">
        <f aca="false">IF(V$14&gt;0,1,0)</f>
        <v>1</v>
      </c>
      <c r="W15" s="19" t="n">
        <f aca="false">IF(W$14&gt;0,1,0)</f>
        <v>1</v>
      </c>
      <c r="X15" s="19" t="n">
        <f aca="false">IF(X$14&gt;0,1,0)</f>
        <v>1</v>
      </c>
      <c r="Y15" s="19" t="n">
        <f aca="false">IF(Y$14&gt;0,1,0)</f>
        <v>1</v>
      </c>
      <c r="Z15" s="19" t="n">
        <f aca="false">IF(Z$14&gt;0,1,0)</f>
        <v>1</v>
      </c>
      <c r="AA15" s="19" t="n">
        <f aca="false">IF(AA$14&gt;0,1,0)</f>
        <v>1</v>
      </c>
      <c r="AB15" s="19" t="n">
        <f aca="false">IF(AB$14&gt;0,1,0)</f>
        <v>1</v>
      </c>
      <c r="AC15" s="19" t="n">
        <f aca="false">IF(AC$14&gt;0,1,0)</f>
        <v>1</v>
      </c>
      <c r="AD15" s="19" t="n">
        <f aca="false">IF(AD$14&gt;0,1,0)</f>
        <v>1</v>
      </c>
      <c r="AE15" s="19" t="n">
        <f aca="false">IF(AE$14&gt;0,1,0)</f>
        <v>1</v>
      </c>
      <c r="AF15" s="19" t="n">
        <f aca="false">IF(AF$14&gt;0,1,0)</f>
        <v>1</v>
      </c>
      <c r="AG15" s="19" t="n">
        <f aca="false">IF(AG$14&gt;0,1,0)</f>
        <v>1</v>
      </c>
      <c r="AH15" s="19" t="n">
        <f aca="false">IF(AH$14&gt;0,1,0)</f>
        <v>1</v>
      </c>
      <c r="AI15" s="19" t="n">
        <f aca="false">IF(AI$14&gt;0,1,0)</f>
        <v>1</v>
      </c>
      <c r="AJ15" s="19" t="n">
        <f aca="false">IF(AJ$14&gt;0,1,0)</f>
        <v>1</v>
      </c>
      <c r="AK15" s="19" t="n">
        <f aca="false">IF(AK$14&gt;0,1,0)</f>
        <v>1</v>
      </c>
      <c r="AL15" s="19" t="n">
        <f aca="false">IF(AL$14&gt;0,1,0)</f>
        <v>1</v>
      </c>
      <c r="AM15" s="19" t="n">
        <f aca="false">IF(AM$14&gt;0,1,0)</f>
        <v>1</v>
      </c>
      <c r="AN15" s="19" t="n">
        <f aca="false">IF(AN$14&gt;0,1,0)</f>
        <v>1</v>
      </c>
      <c r="AO15" s="19" t="n">
        <f aca="false">IF(AO$14&gt;0,1,0)</f>
        <v>1</v>
      </c>
      <c r="AP15" s="19" t="n">
        <f aca="false">IF(AP$14&gt;0,1,0)</f>
        <v>1</v>
      </c>
      <c r="AQ15" s="19" t="n">
        <f aca="false">IF(AQ$14&gt;0,1,0)</f>
        <v>1</v>
      </c>
      <c r="AR15" s="19" t="n">
        <f aca="false">IF(AR$14&gt;0,1,0)</f>
        <v>1</v>
      </c>
      <c r="AS15" s="19" t="n">
        <f aca="false">IF(AS$14&gt;0,1,0)</f>
        <v>1</v>
      </c>
      <c r="AT15" s="19" t="n">
        <f aca="false">IF(AT$14&gt;0,1,0)</f>
        <v>1</v>
      </c>
      <c r="AU15" s="19" t="n">
        <f aca="false">IF(AU$14&gt;0,1,0)</f>
        <v>1</v>
      </c>
      <c r="AV15" s="19" t="n">
        <f aca="false">IF(AV$14&gt;0,1,0)</f>
        <v>1</v>
      </c>
      <c r="AW15" s="19" t="n">
        <f aca="false">IF(AW$14&gt;0,1,0)</f>
        <v>1</v>
      </c>
      <c r="AX15" s="19" t="n">
        <f aca="false">IF(AX$14&gt;0,1,0)</f>
        <v>1</v>
      </c>
      <c r="AY15" s="19" t="n">
        <f aca="false">IF(AY$14&gt;0,1,0)</f>
        <v>1</v>
      </c>
      <c r="AZ15" s="19" t="n">
        <f aca="false">IF(AZ$14&gt;0,1,0)</f>
        <v>1</v>
      </c>
      <c r="BA15" s="19" t="n">
        <f aca="false">IF(BA$14&gt;0,1,0)</f>
        <v>1</v>
      </c>
      <c r="BB15" s="19" t="n">
        <f aca="false">IF(BB$14&gt;0,1,0)</f>
        <v>1</v>
      </c>
      <c r="BC15" s="19" t="n">
        <f aca="false">IF(BC$14&gt;0,1,0)</f>
        <v>1</v>
      </c>
      <c r="BD15" s="19" t="n">
        <f aca="false">IF(BD$14&gt;0,1,0)</f>
        <v>1</v>
      </c>
      <c r="BE15" s="19" t="n">
        <f aca="false">IF(BE$14&gt;0,1,0)</f>
        <v>1</v>
      </c>
      <c r="BF15" s="19" t="n">
        <f aca="false">IF(BF$14&gt;0,1,0)</f>
        <v>1</v>
      </c>
      <c r="BG15" s="19" t="n">
        <f aca="false">IF(BG$14&gt;0,1,0)</f>
        <v>1</v>
      </c>
      <c r="BH15" s="19" t="n">
        <f aca="false">IF(BH$14&gt;0,1,0)</f>
        <v>1</v>
      </c>
      <c r="BI15" s="19" t="n">
        <f aca="false">IF(BI$14&gt;0,1,0)</f>
        <v>1</v>
      </c>
      <c r="BJ15" s="19" t="n">
        <f aca="false">IF(BJ$14&gt;0,1,0)</f>
        <v>1</v>
      </c>
      <c r="BK15" s="19" t="n">
        <f aca="false">IF(BK$14&gt;0,1,0)</f>
        <v>1</v>
      </c>
      <c r="BL15" s="19" t="n">
        <f aca="false">IF(BL$14&gt;0,1,0)</f>
        <v>1</v>
      </c>
      <c r="BM15" s="19" t="n">
        <f aca="false">IF(BM$14&gt;0,1,0)</f>
        <v>1</v>
      </c>
      <c r="BN15" s="19" t="n">
        <f aca="false">IF(BN$14&gt;0,1,0)</f>
        <v>1</v>
      </c>
      <c r="BO15" s="19" t="n">
        <f aca="false">IF(BO$14&gt;0,1,0)</f>
        <v>1</v>
      </c>
      <c r="BP15" s="19" t="n">
        <f aca="false">IF(BP$14&gt;0,1,0)</f>
        <v>1</v>
      </c>
      <c r="BQ15" s="19" t="n">
        <f aca="false">IF(BQ$14&gt;0,1,0)</f>
        <v>1</v>
      </c>
      <c r="BR15" s="19" t="n">
        <f aca="false">IF(BR$14&gt;0,1,0)</f>
        <v>1</v>
      </c>
      <c r="BS15" s="19" t="n">
        <f aca="false">IF(BS$14&gt;0,1,0)</f>
        <v>1</v>
      </c>
      <c r="BT15" s="19" t="n">
        <f aca="false">IF(BT$14&gt;0,1,0)</f>
        <v>1</v>
      </c>
      <c r="BU15" s="19" t="n">
        <f aca="false">IF(BU$14&gt;0,1,0)</f>
        <v>1</v>
      </c>
      <c r="BV15" s="19" t="n">
        <f aca="false">IF(BV$14&gt;0,1,0)</f>
        <v>1</v>
      </c>
      <c r="BW15" s="19" t="n">
        <f aca="false">IF(BW$14&gt;0,1,0)</f>
        <v>1</v>
      </c>
      <c r="BX15" s="19" t="n">
        <f aca="false">IF(BX$14&gt;0,1,0)</f>
        <v>1</v>
      </c>
      <c r="BY15" s="19" t="n">
        <f aca="false">IF(BY$14&gt;0,1,0)</f>
        <v>1</v>
      </c>
      <c r="BZ15" s="19" t="n">
        <f aca="false">IF(BZ$14&gt;0,1,0)</f>
        <v>1</v>
      </c>
      <c r="CA15" s="19" t="n">
        <f aca="false">IF(CA$14&gt;0,1,0)</f>
        <v>1</v>
      </c>
      <c r="CB15" s="19" t="n">
        <f aca="false">IF(CB$14&gt;0,1,0)</f>
        <v>1</v>
      </c>
      <c r="CC15" s="19" t="n">
        <f aca="false">IF(CC$14&gt;0,1,0)</f>
        <v>1</v>
      </c>
      <c r="CD15" s="19" t="n">
        <f aca="false">IF(CD$14&gt;0,1,0)</f>
        <v>1</v>
      </c>
      <c r="CE15" s="19" t="n">
        <f aca="false">IF(CE$14&gt;0,1,0)</f>
        <v>1</v>
      </c>
      <c r="CF15" s="19" t="n">
        <f aca="false">IF(CF$14&gt;0,1,0)</f>
        <v>1</v>
      </c>
      <c r="CG15" s="19" t="n">
        <f aca="false">IF(CG$14&gt;0,1,0)</f>
        <v>1</v>
      </c>
      <c r="CH15" s="19" t="n">
        <f aca="false">IF(CH$14&gt;0,1,0)</f>
        <v>1</v>
      </c>
      <c r="CI15" s="19" t="n">
        <f aca="false">IF(CI$14&gt;0,1,0)</f>
        <v>1</v>
      </c>
      <c r="CJ15" s="19" t="n">
        <f aca="false">IF(CJ$14&gt;0,1,0)</f>
        <v>1</v>
      </c>
      <c r="CK15" s="19" t="n">
        <f aca="false">IF(CK$14&gt;0,1,0)</f>
        <v>1</v>
      </c>
      <c r="CL15" s="19" t="n">
        <f aca="false">IF(CL$14&gt;0,1,0)</f>
        <v>1</v>
      </c>
      <c r="CM15" s="19" t="n">
        <f aca="false">IF(CM$14&gt;0,1,0)</f>
        <v>1</v>
      </c>
      <c r="CN15" s="19" t="n">
        <f aca="false">IF(CN$14&gt;0,1,0)</f>
        <v>1</v>
      </c>
      <c r="CO15" s="19" t="n">
        <f aca="false">IF(CO$14&gt;0,1,0)</f>
        <v>1</v>
      </c>
      <c r="CP15" s="19" t="n">
        <f aca="false">IF(CP$14&gt;0,1,0)</f>
        <v>1</v>
      </c>
      <c r="CQ15" s="19" t="n">
        <f aca="false">IF(CQ$14&gt;0,1,0)</f>
        <v>1</v>
      </c>
      <c r="CR15" s="19" t="n">
        <f aca="false">IF(CR$14&gt;0,1,0)</f>
        <v>1</v>
      </c>
      <c r="CS15" s="19" t="n">
        <f aca="false">IF(CS$14&gt;0,1,0)</f>
        <v>1</v>
      </c>
      <c r="CT15" s="19" t="n">
        <f aca="false">IF(CT$14&gt;0,1,0)</f>
        <v>1</v>
      </c>
      <c r="CU15" s="19" t="n">
        <f aca="false">IF(CU$14&gt;0,1,0)</f>
        <v>1</v>
      </c>
      <c r="CV15" s="19" t="n">
        <f aca="false">IF(CV$14&gt;0,1,0)</f>
        <v>1</v>
      </c>
      <c r="CW15" s="19" t="n">
        <f aca="false">IF(CW$14&gt;0,1,0)</f>
        <v>1</v>
      </c>
      <c r="CX15" s="19" t="n">
        <f aca="false">IF(CX$14&gt;0,1,0)</f>
        <v>1</v>
      </c>
      <c r="CY15" s="19" t="n">
        <f aca="false">IF(CY$14&gt;0,1,0)</f>
        <v>1</v>
      </c>
      <c r="CZ15" s="19" t="n">
        <f aca="false">IF(CZ$14&gt;0,1,0)</f>
        <v>1</v>
      </c>
      <c r="DA15" s="19" t="n">
        <f aca="false">IF(DA$14&gt;0,1,0)</f>
        <v>1</v>
      </c>
      <c r="DB15" s="19" t="n">
        <f aca="false">IF(DB$14&gt;0,1,0)</f>
        <v>1</v>
      </c>
      <c r="DC15" s="19" t="n">
        <f aca="false">IF(DC$14&gt;0,1,0)</f>
        <v>1</v>
      </c>
      <c r="DD15" s="19" t="n">
        <f aca="false">IF(DD$14&gt;0,1,0)</f>
        <v>1</v>
      </c>
      <c r="DE15" s="19" t="n">
        <f aca="false">IF(DE$14&gt;0,1,0)</f>
        <v>1</v>
      </c>
      <c r="DF15" s="19" t="n">
        <f aca="false">IF(DF$14&gt;0,1,0)</f>
        <v>1</v>
      </c>
      <c r="DG15" s="19" t="n">
        <f aca="false">IF(DG$14&gt;0,1,0)</f>
        <v>1</v>
      </c>
      <c r="DH15" s="19" t="n">
        <f aca="false">IF(DH$14&gt;0,1,0)</f>
        <v>1</v>
      </c>
      <c r="DI15" s="19" t="n">
        <f aca="false">IF(DI$14&gt;0,1,0)</f>
        <v>1</v>
      </c>
      <c r="DJ15" s="19" t="n">
        <f aca="false">IF(DJ$14&gt;0,1,0)</f>
        <v>1</v>
      </c>
      <c r="DK15" s="19" t="n">
        <f aca="false">IF(DK$14&gt;0,1,0)</f>
        <v>1</v>
      </c>
      <c r="DL15" s="19" t="n">
        <f aca="false">IF(DL$14&gt;0,1,0)</f>
        <v>1</v>
      </c>
      <c r="DM15" s="19" t="n">
        <f aca="false">IF(DM$14&gt;0,1,0)</f>
        <v>1</v>
      </c>
      <c r="DN15" s="19" t="n">
        <f aca="false">IF(DN$14&gt;0,1,0)</f>
        <v>1</v>
      </c>
      <c r="DO15" s="19" t="n">
        <f aca="false">IF(DO$14&gt;0,1,0)</f>
        <v>1</v>
      </c>
      <c r="DP15" s="19" t="n">
        <f aca="false">IF(DP$14&gt;0,1,0)</f>
        <v>1</v>
      </c>
      <c r="DQ15" s="19" t="n">
        <f aca="false">IF(DQ$14&gt;0,1,0)</f>
        <v>1</v>
      </c>
      <c r="DR15" s="19" t="n">
        <f aca="false">IF(DR$14&gt;0,1,0)</f>
        <v>1</v>
      </c>
      <c r="DS15" s="19" t="n">
        <f aca="false">IF(DS$14&gt;0,1,0)</f>
        <v>1</v>
      </c>
      <c r="DT15" s="19" t="n">
        <f aca="false">IF(DT$14&gt;0,1,0)</f>
        <v>1</v>
      </c>
      <c r="DU15" s="19" t="n">
        <f aca="false">IF(DU$14&gt;0,1,0)</f>
        <v>1</v>
      </c>
      <c r="DV15" s="19" t="n">
        <f aca="false">IF(DV$14&gt;0,1,0)</f>
        <v>0</v>
      </c>
      <c r="DW15" s="19" t="n">
        <f aca="false">IF(DW$14&gt;0,1,0)</f>
        <v>0</v>
      </c>
      <c r="DX15" s="19" t="n">
        <f aca="false">IF(DX$14&gt;0,1,0)</f>
        <v>0</v>
      </c>
      <c r="DY15" s="19" t="n">
        <f aca="false">IF(DY$14&gt;0,1,0)</f>
        <v>0</v>
      </c>
      <c r="DZ15" s="19" t="n">
        <f aca="false">IF(DZ$14&gt;0,1,0)</f>
        <v>0</v>
      </c>
      <c r="EA15" s="19" t="n">
        <f aca="false">IF(EA$14&gt;0,1,0)</f>
        <v>0</v>
      </c>
      <c r="EB15" s="19" t="n">
        <f aca="false">IF(EB$14&gt;0,1,0)</f>
        <v>0</v>
      </c>
      <c r="EC15" s="19" t="n">
        <f aca="false">IF(EC$14&gt;0,1,0)</f>
        <v>0</v>
      </c>
      <c r="ED15" s="19" t="n">
        <f aca="false">IF(ED$14&gt;0,1,0)</f>
        <v>0</v>
      </c>
      <c r="EE15" s="19" t="n">
        <f aca="false">IF(EE$14&gt;0,1,0)</f>
        <v>0</v>
      </c>
      <c r="EF15" s="19" t="n">
        <f aca="false">IF(EF$14&gt;0,1,0)</f>
        <v>0</v>
      </c>
      <c r="EG15" s="19" t="n">
        <f aca="false">IF(EG$14&gt;0,1,0)</f>
        <v>0</v>
      </c>
      <c r="EH15" s="19" t="n">
        <f aca="false">IF(EH$14&gt;0,1,0)</f>
        <v>0</v>
      </c>
      <c r="EI15" s="19" t="n">
        <f aca="false">IF(EI$14&gt;0,1,0)</f>
        <v>0</v>
      </c>
      <c r="EJ15" s="19" t="n">
        <f aca="false">IF(EJ$14&gt;0,1,0)</f>
        <v>0</v>
      </c>
      <c r="EK15" s="19" t="n">
        <f aca="false">IF(EK$14&gt;0,1,0)</f>
        <v>0</v>
      </c>
      <c r="EL15" s="19" t="n">
        <f aca="false">IF(EL$14&gt;0,1,0)</f>
        <v>0</v>
      </c>
      <c r="EM15" s="19" t="n">
        <f aca="false">IF(EM$14&gt;0,1,0)</f>
        <v>0</v>
      </c>
      <c r="EN15" s="19" t="n">
        <f aca="false">IF(EN$14&gt;0,1,0)</f>
        <v>0</v>
      </c>
      <c r="EO15" s="19" t="n">
        <f aca="false">IF(EO$14&gt;0,1,0)</f>
        <v>0</v>
      </c>
      <c r="EP15" s="19" t="n">
        <f aca="false">IF(EP$14&gt;0,1,0)</f>
        <v>0</v>
      </c>
      <c r="EQ15" s="19" t="n">
        <f aca="false">IF(EQ$14&gt;0,1,0)</f>
        <v>0</v>
      </c>
      <c r="ER15" s="19" t="n">
        <f aca="false">IF(ER$14&gt;0,1,0)</f>
        <v>0</v>
      </c>
      <c r="ES15" s="19" t="n">
        <f aca="false">IF(ES$14&gt;0,1,0)</f>
        <v>0</v>
      </c>
    </row>
    <row r="16" customFormat="false" ht="15" hidden="false" customHeight="false" outlineLevel="0" collapsed="false">
      <c r="A16" s="2" t="s">
        <v>550</v>
      </c>
      <c r="B16" s="6" t="s">
        <v>551</v>
      </c>
      <c r="C16" s="6" t="s">
        <v>549</v>
      </c>
      <c r="E16" s="51" t="n">
        <f aca="false">SUM(F16:ES16)</f>
        <v>0</v>
      </c>
      <c r="F16" s="19" t="n">
        <f aca="false">IF(AND(1&lt;P_Inicio,1&lt;=Fin),1,0)</f>
        <v>0</v>
      </c>
      <c r="G16" s="19" t="n">
        <f aca="false">IF(AND(2&lt;P_Inicio,2&lt;=Fin),1,0)</f>
        <v>0</v>
      </c>
      <c r="H16" s="19" t="n">
        <f aca="false">IF(AND(3&lt;P_Inicio,3&lt;=Fin),1,0)</f>
        <v>0</v>
      </c>
      <c r="I16" s="19" t="n">
        <f aca="false">IF(AND(4&lt;P_Inicio,4&lt;=Fin),1,0)</f>
        <v>0</v>
      </c>
      <c r="J16" s="19" t="n">
        <f aca="false">IF(AND(5&lt;P_Inicio,5&lt;=Fin),1,0)</f>
        <v>0</v>
      </c>
      <c r="K16" s="19" t="n">
        <f aca="false">IF(AND(6&lt;P_Inicio,6&lt;=Fin),1,0)</f>
        <v>0</v>
      </c>
      <c r="L16" s="19" t="n">
        <f aca="false">IF(AND(7&lt;P_Inicio,7&lt;=Fin),1,0)</f>
        <v>0</v>
      </c>
      <c r="M16" s="19" t="n">
        <f aca="false">IF(AND(8&lt;P_Inicio,8&lt;=Fin),1,0)</f>
        <v>0</v>
      </c>
      <c r="N16" s="19" t="n">
        <f aca="false">IF(AND(9&lt;P_Inicio,9&lt;=Fin),1,0)</f>
        <v>0</v>
      </c>
      <c r="O16" s="19" t="n">
        <f aca="false">IF(AND(10&lt;P_Inicio,10&lt;=Fin),1,0)</f>
        <v>0</v>
      </c>
      <c r="P16" s="19" t="n">
        <f aca="false">IF(AND(11&lt;P_Inicio,11&lt;=Fin),1,0)</f>
        <v>0</v>
      </c>
      <c r="Q16" s="19" t="n">
        <f aca="false">IF(AND(12&lt;P_Inicio,12&lt;=Fin),1,0)</f>
        <v>0</v>
      </c>
      <c r="R16" s="19" t="n">
        <f aca="false">IF(AND(13&lt;P_Inicio,13&lt;=Fin),1,0)</f>
        <v>0</v>
      </c>
      <c r="S16" s="19" t="n">
        <f aca="false">IF(AND(14&lt;P_Inicio,14&lt;=Fin),1,0)</f>
        <v>0</v>
      </c>
      <c r="T16" s="19" t="n">
        <f aca="false">IF(AND(15&lt;P_Inicio,15&lt;=Fin),1,0)</f>
        <v>0</v>
      </c>
      <c r="U16" s="19" t="n">
        <f aca="false">IF(AND(16&lt;P_Inicio,16&lt;=Fin),1,0)</f>
        <v>0</v>
      </c>
      <c r="V16" s="19" t="n">
        <f aca="false">IF(AND(17&lt;P_Inicio,17&lt;=Fin),1,0)</f>
        <v>0</v>
      </c>
      <c r="W16" s="19" t="n">
        <f aca="false">IF(AND(18&lt;P_Inicio,18&lt;=Fin),1,0)</f>
        <v>0</v>
      </c>
      <c r="X16" s="19" t="n">
        <f aca="false">IF(AND(19&lt;P_Inicio,19&lt;=Fin),1,0)</f>
        <v>0</v>
      </c>
      <c r="Y16" s="19" t="n">
        <f aca="false">IF(AND(20&lt;P_Inicio,20&lt;=Fin),1,0)</f>
        <v>0</v>
      </c>
      <c r="Z16" s="19" t="n">
        <f aca="false">IF(AND(21&lt;P_Inicio,21&lt;=Fin),1,0)</f>
        <v>0</v>
      </c>
      <c r="AA16" s="19" t="n">
        <f aca="false">IF(AND(22&lt;P_Inicio,22&lt;=Fin),1,0)</f>
        <v>0</v>
      </c>
      <c r="AB16" s="19" t="n">
        <f aca="false">IF(AND(23&lt;P_Inicio,23&lt;=Fin),1,0)</f>
        <v>0</v>
      </c>
      <c r="AC16" s="19" t="n">
        <f aca="false">IF(AND(24&lt;P_Inicio,24&lt;=Fin),1,0)</f>
        <v>0</v>
      </c>
      <c r="AD16" s="19" t="n">
        <f aca="false">IF(AND(25&lt;P_Inicio,25&lt;=Fin),1,0)</f>
        <v>0</v>
      </c>
      <c r="AE16" s="19" t="n">
        <f aca="false">IF(AND(26&lt;P_Inicio,26&lt;=Fin),1,0)</f>
        <v>0</v>
      </c>
      <c r="AF16" s="19" t="n">
        <f aca="false">IF(AND(27&lt;P_Inicio,27&lt;=Fin),1,0)</f>
        <v>0</v>
      </c>
      <c r="AG16" s="19" t="n">
        <f aca="false">IF(AND(28&lt;P_Inicio,28&lt;=Fin),1,0)</f>
        <v>0</v>
      </c>
      <c r="AH16" s="19" t="n">
        <f aca="false">IF(AND(29&lt;P_Inicio,29&lt;=Fin),1,0)</f>
        <v>0</v>
      </c>
      <c r="AI16" s="19" t="n">
        <f aca="false">IF(AND(30&lt;P_Inicio,30&lt;=Fin),1,0)</f>
        <v>0</v>
      </c>
      <c r="AJ16" s="19" t="n">
        <f aca="false">IF(AND(31&lt;P_Inicio,31&lt;=Fin),1,0)</f>
        <v>0</v>
      </c>
      <c r="AK16" s="19" t="n">
        <f aca="false">IF(AND(32&lt;P_Inicio,32&lt;=Fin),1,0)</f>
        <v>0</v>
      </c>
      <c r="AL16" s="19" t="n">
        <f aca="false">IF(AND(33&lt;P_Inicio,33&lt;=Fin),1,0)</f>
        <v>0</v>
      </c>
      <c r="AM16" s="19" t="n">
        <f aca="false">IF(AND(34&lt;P_Inicio,34&lt;=Fin),1,0)</f>
        <v>0</v>
      </c>
      <c r="AN16" s="19" t="n">
        <f aca="false">IF(AND(35&lt;P_Inicio,35&lt;=Fin),1,0)</f>
        <v>0</v>
      </c>
      <c r="AO16" s="19" t="n">
        <f aca="false">IF(AND(36&lt;P_Inicio,36&lt;=Fin),1,0)</f>
        <v>0</v>
      </c>
      <c r="AP16" s="19" t="n">
        <f aca="false">IF(AND(37&lt;P_Inicio,37&lt;=Fin),1,0)</f>
        <v>0</v>
      </c>
      <c r="AQ16" s="19" t="n">
        <f aca="false">IF(AND(38&lt;P_Inicio,38&lt;=Fin),1,0)</f>
        <v>0</v>
      </c>
      <c r="AR16" s="19" t="n">
        <f aca="false">IF(AND(39&lt;P_Inicio,39&lt;=Fin),1,0)</f>
        <v>0</v>
      </c>
      <c r="AS16" s="19" t="n">
        <f aca="false">IF(AND(40&lt;P_Inicio,40&lt;=Fin),1,0)</f>
        <v>0</v>
      </c>
      <c r="AT16" s="19" t="n">
        <f aca="false">IF(AND(41&lt;P_Inicio,41&lt;=Fin),1,0)</f>
        <v>0</v>
      </c>
      <c r="AU16" s="19" t="n">
        <f aca="false">IF(AND(42&lt;P_Inicio,42&lt;=Fin),1,0)</f>
        <v>0</v>
      </c>
      <c r="AV16" s="19" t="n">
        <f aca="false">IF(AND(43&lt;P_Inicio,43&lt;=Fin),1,0)</f>
        <v>0</v>
      </c>
      <c r="AW16" s="19" t="n">
        <f aca="false">IF(AND(44&lt;P_Inicio,44&lt;=Fin),1,0)</f>
        <v>0</v>
      </c>
      <c r="AX16" s="19" t="n">
        <f aca="false">IF(AND(45&lt;P_Inicio,45&lt;=Fin),1,0)</f>
        <v>0</v>
      </c>
      <c r="AY16" s="19" t="n">
        <f aca="false">IF(AND(46&lt;P_Inicio,46&lt;=Fin),1,0)</f>
        <v>0</v>
      </c>
      <c r="AZ16" s="19" t="n">
        <f aca="false">IF(AND(47&lt;P_Inicio,47&lt;=Fin),1,0)</f>
        <v>0</v>
      </c>
      <c r="BA16" s="19" t="n">
        <f aca="false">IF(AND(48&lt;P_Inicio,48&lt;=Fin),1,0)</f>
        <v>0</v>
      </c>
      <c r="BB16" s="19" t="n">
        <f aca="false">IF(AND(49&lt;P_Inicio,49&lt;=Fin),1,0)</f>
        <v>0</v>
      </c>
      <c r="BC16" s="19" t="n">
        <f aca="false">IF(AND(50&lt;P_Inicio,50&lt;=Fin),1,0)</f>
        <v>0</v>
      </c>
      <c r="BD16" s="19" t="n">
        <f aca="false">IF(AND(51&lt;P_Inicio,51&lt;=Fin),1,0)</f>
        <v>0</v>
      </c>
      <c r="BE16" s="19" t="n">
        <f aca="false">IF(AND(52&lt;P_Inicio,52&lt;=Fin),1,0)</f>
        <v>0</v>
      </c>
      <c r="BF16" s="19" t="n">
        <f aca="false">IF(AND(53&lt;P_Inicio,53&lt;=Fin),1,0)</f>
        <v>0</v>
      </c>
      <c r="BG16" s="19" t="n">
        <f aca="false">IF(AND(54&lt;P_Inicio,54&lt;=Fin),1,0)</f>
        <v>0</v>
      </c>
      <c r="BH16" s="19" t="n">
        <f aca="false">IF(AND(55&lt;P_Inicio,55&lt;=Fin),1,0)</f>
        <v>0</v>
      </c>
      <c r="BI16" s="19" t="n">
        <f aca="false">IF(AND(56&lt;P_Inicio,56&lt;=Fin),1,0)</f>
        <v>0</v>
      </c>
      <c r="BJ16" s="19" t="n">
        <f aca="false">IF(AND(57&lt;P_Inicio,57&lt;=Fin),1,0)</f>
        <v>0</v>
      </c>
      <c r="BK16" s="19" t="n">
        <f aca="false">IF(AND(58&lt;P_Inicio,58&lt;=Fin),1,0)</f>
        <v>0</v>
      </c>
      <c r="BL16" s="19" t="n">
        <f aca="false">IF(AND(59&lt;P_Inicio,59&lt;=Fin),1,0)</f>
        <v>0</v>
      </c>
      <c r="BM16" s="19" t="n">
        <f aca="false">IF(AND(60&lt;P_Inicio,60&lt;=Fin),1,0)</f>
        <v>0</v>
      </c>
      <c r="BN16" s="19" t="n">
        <f aca="false">IF(AND(61&lt;P_Inicio,61&lt;=Fin),1,0)</f>
        <v>0</v>
      </c>
      <c r="BO16" s="19" t="n">
        <f aca="false">IF(AND(62&lt;P_Inicio,62&lt;=Fin),1,0)</f>
        <v>0</v>
      </c>
      <c r="BP16" s="19" t="n">
        <f aca="false">IF(AND(63&lt;P_Inicio,63&lt;=Fin),1,0)</f>
        <v>0</v>
      </c>
      <c r="BQ16" s="19" t="n">
        <f aca="false">IF(AND(64&lt;P_Inicio,64&lt;=Fin),1,0)</f>
        <v>0</v>
      </c>
      <c r="BR16" s="19" t="n">
        <f aca="false">IF(AND(65&lt;P_Inicio,65&lt;=Fin),1,0)</f>
        <v>0</v>
      </c>
      <c r="BS16" s="19" t="n">
        <f aca="false">IF(AND(66&lt;P_Inicio,66&lt;=Fin),1,0)</f>
        <v>0</v>
      </c>
      <c r="BT16" s="19" t="n">
        <f aca="false">IF(AND(67&lt;P_Inicio,67&lt;=Fin),1,0)</f>
        <v>0</v>
      </c>
      <c r="BU16" s="19" t="n">
        <f aca="false">IF(AND(68&lt;P_Inicio,68&lt;=Fin),1,0)</f>
        <v>0</v>
      </c>
      <c r="BV16" s="19" t="n">
        <f aca="false">IF(AND(69&lt;P_Inicio,69&lt;=Fin),1,0)</f>
        <v>0</v>
      </c>
      <c r="BW16" s="19" t="n">
        <f aca="false">IF(AND(70&lt;P_Inicio,70&lt;=Fin),1,0)</f>
        <v>0</v>
      </c>
      <c r="BX16" s="19" t="n">
        <f aca="false">IF(AND(71&lt;P_Inicio,71&lt;=Fin),1,0)</f>
        <v>0</v>
      </c>
      <c r="BY16" s="19" t="n">
        <f aca="false">IF(AND(72&lt;P_Inicio,72&lt;=Fin),1,0)</f>
        <v>0</v>
      </c>
      <c r="BZ16" s="19" t="n">
        <f aca="false">IF(AND(73&lt;P_Inicio,73&lt;=Fin),1,0)</f>
        <v>0</v>
      </c>
      <c r="CA16" s="19" t="n">
        <f aca="false">IF(AND(74&lt;P_Inicio,74&lt;=Fin),1,0)</f>
        <v>0</v>
      </c>
      <c r="CB16" s="19" t="n">
        <f aca="false">IF(AND(75&lt;P_Inicio,75&lt;=Fin),1,0)</f>
        <v>0</v>
      </c>
      <c r="CC16" s="19" t="n">
        <f aca="false">IF(AND(76&lt;P_Inicio,76&lt;=Fin),1,0)</f>
        <v>0</v>
      </c>
      <c r="CD16" s="19" t="n">
        <f aca="false">IF(AND(77&lt;P_Inicio,77&lt;=Fin),1,0)</f>
        <v>0</v>
      </c>
      <c r="CE16" s="19" t="n">
        <f aca="false">IF(AND(78&lt;P_Inicio,78&lt;=Fin),1,0)</f>
        <v>0</v>
      </c>
      <c r="CF16" s="19" t="n">
        <f aca="false">IF(AND(79&lt;P_Inicio,79&lt;=Fin),1,0)</f>
        <v>0</v>
      </c>
      <c r="CG16" s="19" t="n">
        <f aca="false">IF(AND(80&lt;P_Inicio,80&lt;=Fin),1,0)</f>
        <v>0</v>
      </c>
      <c r="CH16" s="19" t="n">
        <f aca="false">IF(AND(81&lt;P_Inicio,81&lt;=Fin),1,0)</f>
        <v>0</v>
      </c>
      <c r="CI16" s="19" t="n">
        <f aca="false">IF(AND(82&lt;P_Inicio,82&lt;=Fin),1,0)</f>
        <v>0</v>
      </c>
      <c r="CJ16" s="19" t="n">
        <f aca="false">IF(AND(83&lt;P_Inicio,83&lt;=Fin),1,0)</f>
        <v>0</v>
      </c>
      <c r="CK16" s="19" t="n">
        <f aca="false">IF(AND(84&lt;P_Inicio,84&lt;=Fin),1,0)</f>
        <v>0</v>
      </c>
      <c r="CL16" s="19" t="n">
        <f aca="false">IF(AND(85&lt;P_Inicio,85&lt;=Fin),1,0)</f>
        <v>0</v>
      </c>
      <c r="CM16" s="19" t="n">
        <f aca="false">IF(AND(86&lt;P_Inicio,86&lt;=Fin),1,0)</f>
        <v>0</v>
      </c>
      <c r="CN16" s="19" t="n">
        <f aca="false">IF(AND(87&lt;P_Inicio,87&lt;=Fin),1,0)</f>
        <v>0</v>
      </c>
      <c r="CO16" s="19" t="n">
        <f aca="false">IF(AND(88&lt;P_Inicio,88&lt;=Fin),1,0)</f>
        <v>0</v>
      </c>
      <c r="CP16" s="19" t="n">
        <f aca="false">IF(AND(89&lt;P_Inicio,89&lt;=Fin),1,0)</f>
        <v>0</v>
      </c>
      <c r="CQ16" s="19" t="n">
        <f aca="false">IF(AND(90&lt;P_Inicio,90&lt;=Fin),1,0)</f>
        <v>0</v>
      </c>
      <c r="CR16" s="19" t="n">
        <f aca="false">IF(AND(91&lt;P_Inicio,91&lt;=Fin),1,0)</f>
        <v>0</v>
      </c>
      <c r="CS16" s="19" t="n">
        <f aca="false">IF(AND(92&lt;P_Inicio,92&lt;=Fin),1,0)</f>
        <v>0</v>
      </c>
      <c r="CT16" s="19" t="n">
        <f aca="false">IF(AND(93&lt;P_Inicio,93&lt;=Fin),1,0)</f>
        <v>0</v>
      </c>
      <c r="CU16" s="19" t="n">
        <f aca="false">IF(AND(94&lt;P_Inicio,94&lt;=Fin),1,0)</f>
        <v>0</v>
      </c>
      <c r="CV16" s="19" t="n">
        <f aca="false">IF(AND(95&lt;P_Inicio,95&lt;=Fin),1,0)</f>
        <v>0</v>
      </c>
      <c r="CW16" s="19" t="n">
        <f aca="false">IF(AND(96&lt;P_Inicio,96&lt;=Fin),1,0)</f>
        <v>0</v>
      </c>
      <c r="CX16" s="19" t="n">
        <f aca="false">IF(AND(97&lt;P_Inicio,97&lt;=Fin),1,0)</f>
        <v>0</v>
      </c>
      <c r="CY16" s="19" t="n">
        <f aca="false">IF(AND(98&lt;P_Inicio,98&lt;=Fin),1,0)</f>
        <v>0</v>
      </c>
      <c r="CZ16" s="19" t="n">
        <f aca="false">IF(AND(99&lt;P_Inicio,99&lt;=Fin),1,0)</f>
        <v>0</v>
      </c>
      <c r="DA16" s="19" t="n">
        <f aca="false">IF(AND(100&lt;P_Inicio,100&lt;=Fin),1,0)</f>
        <v>0</v>
      </c>
      <c r="DB16" s="19" t="n">
        <f aca="false">IF(AND(101&lt;P_Inicio,101&lt;=Fin),1,0)</f>
        <v>0</v>
      </c>
      <c r="DC16" s="19" t="n">
        <f aca="false">IF(AND(102&lt;P_Inicio,102&lt;=Fin),1,0)</f>
        <v>0</v>
      </c>
      <c r="DD16" s="19" t="n">
        <f aca="false">IF(AND(103&lt;P_Inicio,103&lt;=Fin),1,0)</f>
        <v>0</v>
      </c>
      <c r="DE16" s="19" t="n">
        <f aca="false">IF(AND(104&lt;P_Inicio,104&lt;=Fin),1,0)</f>
        <v>0</v>
      </c>
      <c r="DF16" s="19" t="n">
        <f aca="false">IF(AND(105&lt;P_Inicio,105&lt;=Fin),1,0)</f>
        <v>0</v>
      </c>
      <c r="DG16" s="19" t="n">
        <f aca="false">IF(AND(106&lt;P_Inicio,106&lt;=Fin),1,0)</f>
        <v>0</v>
      </c>
      <c r="DH16" s="19" t="n">
        <f aca="false">IF(AND(107&lt;P_Inicio,107&lt;=Fin),1,0)</f>
        <v>0</v>
      </c>
      <c r="DI16" s="19" t="n">
        <f aca="false">IF(AND(108&lt;P_Inicio,108&lt;=Fin),1,0)</f>
        <v>0</v>
      </c>
      <c r="DJ16" s="19" t="n">
        <f aca="false">IF(AND(109&lt;P_Inicio,109&lt;=Fin),1,0)</f>
        <v>0</v>
      </c>
      <c r="DK16" s="19" t="n">
        <f aca="false">IF(AND(110&lt;P_Inicio,110&lt;=Fin),1,0)</f>
        <v>0</v>
      </c>
      <c r="DL16" s="19" t="n">
        <f aca="false">IF(AND(111&lt;P_Inicio,111&lt;=Fin),1,0)</f>
        <v>0</v>
      </c>
      <c r="DM16" s="19" t="n">
        <f aca="false">IF(AND(112&lt;P_Inicio,112&lt;=Fin),1,0)</f>
        <v>0</v>
      </c>
      <c r="DN16" s="19" t="n">
        <f aca="false">IF(AND(113&lt;P_Inicio,113&lt;=Fin),1,0)</f>
        <v>0</v>
      </c>
      <c r="DO16" s="19" t="n">
        <f aca="false">IF(AND(114&lt;P_Inicio,114&lt;=Fin),1,0)</f>
        <v>0</v>
      </c>
      <c r="DP16" s="19" t="n">
        <f aca="false">IF(AND(115&lt;P_Inicio,115&lt;=Fin),1,0)</f>
        <v>0</v>
      </c>
      <c r="DQ16" s="19" t="n">
        <f aca="false">IF(AND(116&lt;P_Inicio,116&lt;=Fin),1,0)</f>
        <v>0</v>
      </c>
      <c r="DR16" s="19" t="n">
        <f aca="false">IF(AND(117&lt;P_Inicio,117&lt;=Fin),1,0)</f>
        <v>0</v>
      </c>
      <c r="DS16" s="19" t="n">
        <f aca="false">IF(AND(118&lt;P_Inicio,118&lt;=Fin),1,0)</f>
        <v>0</v>
      </c>
      <c r="DT16" s="19" t="n">
        <f aca="false">IF(AND(119&lt;P_Inicio,119&lt;=Fin),1,0)</f>
        <v>0</v>
      </c>
      <c r="DU16" s="19" t="n">
        <f aca="false">IF(AND(120&lt;P_Inicio,120&lt;=Fin),1,0)</f>
        <v>0</v>
      </c>
      <c r="DV16" s="19" t="n">
        <f aca="false">IF(AND(121&lt;P_Inicio,121&lt;=Fin),1,0)</f>
        <v>0</v>
      </c>
      <c r="DW16" s="19" t="n">
        <f aca="false">IF(AND(122&lt;P_Inicio,122&lt;=Fin),1,0)</f>
        <v>0</v>
      </c>
      <c r="DX16" s="19" t="n">
        <f aca="false">IF(AND(123&lt;P_Inicio,123&lt;=Fin),1,0)</f>
        <v>0</v>
      </c>
      <c r="DY16" s="19" t="n">
        <f aca="false">IF(AND(124&lt;P_Inicio,124&lt;=Fin),1,0)</f>
        <v>0</v>
      </c>
      <c r="DZ16" s="19" t="n">
        <f aca="false">IF(AND(125&lt;P_Inicio,125&lt;=Fin),1,0)</f>
        <v>0</v>
      </c>
      <c r="EA16" s="19" t="n">
        <f aca="false">IF(AND(126&lt;P_Inicio,126&lt;=Fin),1,0)</f>
        <v>0</v>
      </c>
      <c r="EB16" s="19" t="n">
        <f aca="false">IF(AND(127&lt;P_Inicio,127&lt;=Fin),1,0)</f>
        <v>0</v>
      </c>
      <c r="EC16" s="19" t="n">
        <f aca="false">IF(AND(128&lt;P_Inicio,128&lt;=Fin),1,0)</f>
        <v>0</v>
      </c>
      <c r="ED16" s="19" t="n">
        <f aca="false">IF(AND(129&lt;P_Inicio,129&lt;=Fin),1,0)</f>
        <v>0</v>
      </c>
      <c r="EE16" s="19" t="n">
        <f aca="false">IF(AND(130&lt;P_Inicio,130&lt;=Fin),1,0)</f>
        <v>0</v>
      </c>
      <c r="EF16" s="19" t="n">
        <f aca="false">IF(AND(131&lt;P_Inicio,131&lt;=Fin),1,0)</f>
        <v>0</v>
      </c>
      <c r="EG16" s="19" t="n">
        <f aca="false">IF(AND(132&lt;P_Inicio,132&lt;=Fin),1,0)</f>
        <v>0</v>
      </c>
      <c r="EH16" s="19" t="n">
        <f aca="false">IF(AND(133&lt;P_Inicio,133&lt;=Fin),1,0)</f>
        <v>0</v>
      </c>
      <c r="EI16" s="19" t="n">
        <f aca="false">IF(AND(134&lt;P_Inicio,134&lt;=Fin),1,0)</f>
        <v>0</v>
      </c>
      <c r="EJ16" s="19" t="n">
        <f aca="false">IF(AND(135&lt;P_Inicio,135&lt;=Fin),1,0)</f>
        <v>0</v>
      </c>
      <c r="EK16" s="19" t="n">
        <f aca="false">IF(AND(136&lt;P_Inicio,136&lt;=Fin),1,0)</f>
        <v>0</v>
      </c>
      <c r="EL16" s="19" t="n">
        <f aca="false">IF(AND(137&lt;P_Inicio,137&lt;=Fin),1,0)</f>
        <v>0</v>
      </c>
      <c r="EM16" s="19" t="n">
        <f aca="false">IF(AND(138&lt;P_Inicio,138&lt;=Fin),1,0)</f>
        <v>0</v>
      </c>
      <c r="EN16" s="19" t="n">
        <f aca="false">IF(AND(139&lt;P_Inicio,139&lt;=Fin),1,0)</f>
        <v>0</v>
      </c>
      <c r="EO16" s="19" t="n">
        <f aca="false">IF(AND(140&lt;P_Inicio,140&lt;=Fin),1,0)</f>
        <v>0</v>
      </c>
      <c r="EP16" s="19" t="n">
        <f aca="false">IF(AND(141&lt;P_Inicio,141&lt;=Fin),1,0)</f>
        <v>0</v>
      </c>
      <c r="EQ16" s="19" t="n">
        <f aca="false">IF(AND(142&lt;P_Inicio,142&lt;=Fin),1,0)</f>
        <v>0</v>
      </c>
      <c r="ER16" s="19" t="n">
        <f aca="false">IF(AND(143&lt;P_Inicio,143&lt;=Fin),1,0)</f>
        <v>0</v>
      </c>
      <c r="ES16" s="19" t="n">
        <f aca="false">IF(AND(144&lt;P_Inicio,144&lt;=Fin),1,0)</f>
        <v>0</v>
      </c>
    </row>
    <row r="17" customFormat="false" ht="15" hidden="false" customHeight="false" outlineLevel="0" collapsed="false">
      <c r="A17" s="2" t="s">
        <v>552</v>
      </c>
      <c r="B17" s="6" t="s">
        <v>553</v>
      </c>
      <c r="C17" s="6" t="s">
        <v>546</v>
      </c>
      <c r="F17" s="19" t="n">
        <f aca="false">MAX(1,F$14)</f>
        <v>1</v>
      </c>
      <c r="G17" s="19" t="n">
        <f aca="false">MAX(1,G$14)</f>
        <v>1</v>
      </c>
      <c r="H17" s="19" t="n">
        <f aca="false">MAX(1,H$14)</f>
        <v>1</v>
      </c>
      <c r="I17" s="19" t="n">
        <f aca="false">MAX(1,I$14)</f>
        <v>1</v>
      </c>
      <c r="J17" s="19" t="n">
        <f aca="false">MAX(1,J$14)</f>
        <v>1</v>
      </c>
      <c r="K17" s="19" t="n">
        <f aca="false">MAX(1,K$14)</f>
        <v>1</v>
      </c>
      <c r="L17" s="19" t="n">
        <f aca="false">MAX(1,L$14)</f>
        <v>1</v>
      </c>
      <c r="M17" s="19" t="n">
        <f aca="false">MAX(1,M$14)</f>
        <v>1</v>
      </c>
      <c r="N17" s="19" t="n">
        <f aca="false">MAX(1,N$14)</f>
        <v>1</v>
      </c>
      <c r="O17" s="19" t="n">
        <f aca="false">MAX(1,O$14)</f>
        <v>1</v>
      </c>
      <c r="P17" s="19" t="n">
        <f aca="false">MAX(1,P$14)</f>
        <v>1</v>
      </c>
      <c r="Q17" s="19" t="n">
        <f aca="false">MAX(1,Q$14)</f>
        <v>1</v>
      </c>
      <c r="R17" s="19" t="n">
        <f aca="false">MAX(1,R$14)</f>
        <v>2</v>
      </c>
      <c r="S17" s="19" t="n">
        <f aca="false">MAX(1,S$14)</f>
        <v>2</v>
      </c>
      <c r="T17" s="19" t="n">
        <f aca="false">MAX(1,T$14)</f>
        <v>2</v>
      </c>
      <c r="U17" s="19" t="n">
        <f aca="false">MAX(1,U$14)</f>
        <v>2</v>
      </c>
      <c r="V17" s="19" t="n">
        <f aca="false">MAX(1,V$14)</f>
        <v>2</v>
      </c>
      <c r="W17" s="19" t="n">
        <f aca="false">MAX(1,W$14)</f>
        <v>2</v>
      </c>
      <c r="X17" s="19" t="n">
        <f aca="false">MAX(1,X$14)</f>
        <v>2</v>
      </c>
      <c r="Y17" s="19" t="n">
        <f aca="false">MAX(1,Y$14)</f>
        <v>2</v>
      </c>
      <c r="Z17" s="19" t="n">
        <f aca="false">MAX(1,Z$14)</f>
        <v>2</v>
      </c>
      <c r="AA17" s="19" t="n">
        <f aca="false">MAX(1,AA$14)</f>
        <v>2</v>
      </c>
      <c r="AB17" s="19" t="n">
        <f aca="false">MAX(1,AB$14)</f>
        <v>2</v>
      </c>
      <c r="AC17" s="19" t="n">
        <f aca="false">MAX(1,AC$14)</f>
        <v>2</v>
      </c>
      <c r="AD17" s="19" t="n">
        <f aca="false">MAX(1,AD$14)</f>
        <v>3</v>
      </c>
      <c r="AE17" s="19" t="n">
        <f aca="false">MAX(1,AE$14)</f>
        <v>3</v>
      </c>
      <c r="AF17" s="19" t="n">
        <f aca="false">MAX(1,AF$14)</f>
        <v>3</v>
      </c>
      <c r="AG17" s="19" t="n">
        <f aca="false">MAX(1,AG$14)</f>
        <v>3</v>
      </c>
      <c r="AH17" s="19" t="n">
        <f aca="false">MAX(1,AH$14)</f>
        <v>3</v>
      </c>
      <c r="AI17" s="19" t="n">
        <f aca="false">MAX(1,AI$14)</f>
        <v>3</v>
      </c>
      <c r="AJ17" s="19" t="n">
        <f aca="false">MAX(1,AJ$14)</f>
        <v>3</v>
      </c>
      <c r="AK17" s="19" t="n">
        <f aca="false">MAX(1,AK$14)</f>
        <v>3</v>
      </c>
      <c r="AL17" s="19" t="n">
        <f aca="false">MAX(1,AL$14)</f>
        <v>3</v>
      </c>
      <c r="AM17" s="19" t="n">
        <f aca="false">MAX(1,AM$14)</f>
        <v>3</v>
      </c>
      <c r="AN17" s="19" t="n">
        <f aca="false">MAX(1,AN$14)</f>
        <v>3</v>
      </c>
      <c r="AO17" s="19" t="n">
        <f aca="false">MAX(1,AO$14)</f>
        <v>3</v>
      </c>
      <c r="AP17" s="19" t="n">
        <f aca="false">MAX(1,AP$14)</f>
        <v>4</v>
      </c>
      <c r="AQ17" s="19" t="n">
        <f aca="false">MAX(1,AQ$14)</f>
        <v>4</v>
      </c>
      <c r="AR17" s="19" t="n">
        <f aca="false">MAX(1,AR$14)</f>
        <v>4</v>
      </c>
      <c r="AS17" s="19" t="n">
        <f aca="false">MAX(1,AS$14)</f>
        <v>4</v>
      </c>
      <c r="AT17" s="19" t="n">
        <f aca="false">MAX(1,AT$14)</f>
        <v>4</v>
      </c>
      <c r="AU17" s="19" t="n">
        <f aca="false">MAX(1,AU$14)</f>
        <v>4</v>
      </c>
      <c r="AV17" s="19" t="n">
        <f aca="false">MAX(1,AV$14)</f>
        <v>4</v>
      </c>
      <c r="AW17" s="19" t="n">
        <f aca="false">MAX(1,AW$14)</f>
        <v>4</v>
      </c>
      <c r="AX17" s="19" t="n">
        <f aca="false">MAX(1,AX$14)</f>
        <v>4</v>
      </c>
      <c r="AY17" s="19" t="n">
        <f aca="false">MAX(1,AY$14)</f>
        <v>4</v>
      </c>
      <c r="AZ17" s="19" t="n">
        <f aca="false">MAX(1,AZ$14)</f>
        <v>4</v>
      </c>
      <c r="BA17" s="19" t="n">
        <f aca="false">MAX(1,BA$14)</f>
        <v>4</v>
      </c>
      <c r="BB17" s="19" t="n">
        <f aca="false">MAX(1,BB$14)</f>
        <v>5</v>
      </c>
      <c r="BC17" s="19" t="n">
        <f aca="false">MAX(1,BC$14)</f>
        <v>5</v>
      </c>
      <c r="BD17" s="19" t="n">
        <f aca="false">MAX(1,BD$14)</f>
        <v>5</v>
      </c>
      <c r="BE17" s="19" t="n">
        <f aca="false">MAX(1,BE$14)</f>
        <v>5</v>
      </c>
      <c r="BF17" s="19" t="n">
        <f aca="false">MAX(1,BF$14)</f>
        <v>5</v>
      </c>
      <c r="BG17" s="19" t="n">
        <f aca="false">MAX(1,BG$14)</f>
        <v>5</v>
      </c>
      <c r="BH17" s="19" t="n">
        <f aca="false">MAX(1,BH$14)</f>
        <v>5</v>
      </c>
      <c r="BI17" s="19" t="n">
        <f aca="false">MAX(1,BI$14)</f>
        <v>5</v>
      </c>
      <c r="BJ17" s="19" t="n">
        <f aca="false">MAX(1,BJ$14)</f>
        <v>5</v>
      </c>
      <c r="BK17" s="19" t="n">
        <f aca="false">MAX(1,BK$14)</f>
        <v>5</v>
      </c>
      <c r="BL17" s="19" t="n">
        <f aca="false">MAX(1,BL$14)</f>
        <v>5</v>
      </c>
      <c r="BM17" s="19" t="n">
        <f aca="false">MAX(1,BM$14)</f>
        <v>5</v>
      </c>
      <c r="BN17" s="19" t="n">
        <f aca="false">MAX(1,BN$14)</f>
        <v>6</v>
      </c>
      <c r="BO17" s="19" t="n">
        <f aca="false">MAX(1,BO$14)</f>
        <v>6</v>
      </c>
      <c r="BP17" s="19" t="n">
        <f aca="false">MAX(1,BP$14)</f>
        <v>6</v>
      </c>
      <c r="BQ17" s="19" t="n">
        <f aca="false">MAX(1,BQ$14)</f>
        <v>6</v>
      </c>
      <c r="BR17" s="19" t="n">
        <f aca="false">MAX(1,BR$14)</f>
        <v>6</v>
      </c>
      <c r="BS17" s="19" t="n">
        <f aca="false">MAX(1,BS$14)</f>
        <v>6</v>
      </c>
      <c r="BT17" s="19" t="n">
        <f aca="false">MAX(1,BT$14)</f>
        <v>6</v>
      </c>
      <c r="BU17" s="19" t="n">
        <f aca="false">MAX(1,BU$14)</f>
        <v>6</v>
      </c>
      <c r="BV17" s="19" t="n">
        <f aca="false">MAX(1,BV$14)</f>
        <v>6</v>
      </c>
      <c r="BW17" s="19" t="n">
        <f aca="false">MAX(1,BW$14)</f>
        <v>6</v>
      </c>
      <c r="BX17" s="19" t="n">
        <f aca="false">MAX(1,BX$14)</f>
        <v>6</v>
      </c>
      <c r="BY17" s="19" t="n">
        <f aca="false">MAX(1,BY$14)</f>
        <v>6</v>
      </c>
      <c r="BZ17" s="19" t="n">
        <f aca="false">MAX(1,BZ$14)</f>
        <v>7</v>
      </c>
      <c r="CA17" s="19" t="n">
        <f aca="false">MAX(1,CA$14)</f>
        <v>7</v>
      </c>
      <c r="CB17" s="19" t="n">
        <f aca="false">MAX(1,CB$14)</f>
        <v>7</v>
      </c>
      <c r="CC17" s="19" t="n">
        <f aca="false">MAX(1,CC$14)</f>
        <v>7</v>
      </c>
      <c r="CD17" s="19" t="n">
        <f aca="false">MAX(1,CD$14)</f>
        <v>7</v>
      </c>
      <c r="CE17" s="19" t="n">
        <f aca="false">MAX(1,CE$14)</f>
        <v>7</v>
      </c>
      <c r="CF17" s="19" t="n">
        <f aca="false">MAX(1,CF$14)</f>
        <v>7</v>
      </c>
      <c r="CG17" s="19" t="n">
        <f aca="false">MAX(1,CG$14)</f>
        <v>7</v>
      </c>
      <c r="CH17" s="19" t="n">
        <f aca="false">MAX(1,CH$14)</f>
        <v>7</v>
      </c>
      <c r="CI17" s="19" t="n">
        <f aca="false">MAX(1,CI$14)</f>
        <v>7</v>
      </c>
      <c r="CJ17" s="19" t="n">
        <f aca="false">MAX(1,CJ$14)</f>
        <v>7</v>
      </c>
      <c r="CK17" s="19" t="n">
        <f aca="false">MAX(1,CK$14)</f>
        <v>7</v>
      </c>
      <c r="CL17" s="19" t="n">
        <f aca="false">MAX(1,CL$14)</f>
        <v>8</v>
      </c>
      <c r="CM17" s="19" t="n">
        <f aca="false">MAX(1,CM$14)</f>
        <v>8</v>
      </c>
      <c r="CN17" s="19" t="n">
        <f aca="false">MAX(1,CN$14)</f>
        <v>8</v>
      </c>
      <c r="CO17" s="19" t="n">
        <f aca="false">MAX(1,CO$14)</f>
        <v>8</v>
      </c>
      <c r="CP17" s="19" t="n">
        <f aca="false">MAX(1,CP$14)</f>
        <v>8</v>
      </c>
      <c r="CQ17" s="19" t="n">
        <f aca="false">MAX(1,CQ$14)</f>
        <v>8</v>
      </c>
      <c r="CR17" s="19" t="n">
        <f aca="false">MAX(1,CR$14)</f>
        <v>8</v>
      </c>
      <c r="CS17" s="19" t="n">
        <f aca="false">MAX(1,CS$14)</f>
        <v>8</v>
      </c>
      <c r="CT17" s="19" t="n">
        <f aca="false">MAX(1,CT$14)</f>
        <v>8</v>
      </c>
      <c r="CU17" s="19" t="n">
        <f aca="false">MAX(1,CU$14)</f>
        <v>8</v>
      </c>
      <c r="CV17" s="19" t="n">
        <f aca="false">MAX(1,CV$14)</f>
        <v>8</v>
      </c>
      <c r="CW17" s="19" t="n">
        <f aca="false">MAX(1,CW$14)</f>
        <v>8</v>
      </c>
      <c r="CX17" s="19" t="n">
        <f aca="false">MAX(1,CX$14)</f>
        <v>9</v>
      </c>
      <c r="CY17" s="19" t="n">
        <f aca="false">MAX(1,CY$14)</f>
        <v>9</v>
      </c>
      <c r="CZ17" s="19" t="n">
        <f aca="false">MAX(1,CZ$14)</f>
        <v>9</v>
      </c>
      <c r="DA17" s="19" t="n">
        <f aca="false">MAX(1,DA$14)</f>
        <v>9</v>
      </c>
      <c r="DB17" s="19" t="n">
        <f aca="false">MAX(1,DB$14)</f>
        <v>9</v>
      </c>
      <c r="DC17" s="19" t="n">
        <f aca="false">MAX(1,DC$14)</f>
        <v>9</v>
      </c>
      <c r="DD17" s="19" t="n">
        <f aca="false">MAX(1,DD$14)</f>
        <v>9</v>
      </c>
      <c r="DE17" s="19" t="n">
        <f aca="false">MAX(1,DE$14)</f>
        <v>9</v>
      </c>
      <c r="DF17" s="19" t="n">
        <f aca="false">MAX(1,DF$14)</f>
        <v>9</v>
      </c>
      <c r="DG17" s="19" t="n">
        <f aca="false">MAX(1,DG$14)</f>
        <v>9</v>
      </c>
      <c r="DH17" s="19" t="n">
        <f aca="false">MAX(1,DH$14)</f>
        <v>9</v>
      </c>
      <c r="DI17" s="19" t="n">
        <f aca="false">MAX(1,DI$14)</f>
        <v>9</v>
      </c>
      <c r="DJ17" s="19" t="n">
        <f aca="false">MAX(1,DJ$14)</f>
        <v>10</v>
      </c>
      <c r="DK17" s="19" t="n">
        <f aca="false">MAX(1,DK$14)</f>
        <v>10</v>
      </c>
      <c r="DL17" s="19" t="n">
        <f aca="false">MAX(1,DL$14)</f>
        <v>10</v>
      </c>
      <c r="DM17" s="19" t="n">
        <f aca="false">MAX(1,DM$14)</f>
        <v>10</v>
      </c>
      <c r="DN17" s="19" t="n">
        <f aca="false">MAX(1,DN$14)</f>
        <v>10</v>
      </c>
      <c r="DO17" s="19" t="n">
        <f aca="false">MAX(1,DO$14)</f>
        <v>10</v>
      </c>
      <c r="DP17" s="19" t="n">
        <f aca="false">MAX(1,DP$14)</f>
        <v>10</v>
      </c>
      <c r="DQ17" s="19" t="n">
        <f aca="false">MAX(1,DQ$14)</f>
        <v>10</v>
      </c>
      <c r="DR17" s="19" t="n">
        <f aca="false">MAX(1,DR$14)</f>
        <v>10</v>
      </c>
      <c r="DS17" s="19" t="n">
        <f aca="false">MAX(1,DS$14)</f>
        <v>10</v>
      </c>
      <c r="DT17" s="19" t="n">
        <f aca="false">MAX(1,DT$14)</f>
        <v>10</v>
      </c>
      <c r="DU17" s="19" t="n">
        <f aca="false">MAX(1,DU$14)</f>
        <v>10</v>
      </c>
      <c r="DV17" s="19" t="n">
        <f aca="false">MAX(1,DV$14)</f>
        <v>1</v>
      </c>
      <c r="DW17" s="19" t="n">
        <f aca="false">MAX(1,DW$14)</f>
        <v>1</v>
      </c>
      <c r="DX17" s="19" t="n">
        <f aca="false">MAX(1,DX$14)</f>
        <v>1</v>
      </c>
      <c r="DY17" s="19" t="n">
        <f aca="false">MAX(1,DY$14)</f>
        <v>1</v>
      </c>
      <c r="DZ17" s="19" t="n">
        <f aca="false">MAX(1,DZ$14)</f>
        <v>1</v>
      </c>
      <c r="EA17" s="19" t="n">
        <f aca="false">MAX(1,EA$14)</f>
        <v>1</v>
      </c>
      <c r="EB17" s="19" t="n">
        <f aca="false">MAX(1,EB$14)</f>
        <v>1</v>
      </c>
      <c r="EC17" s="19" t="n">
        <f aca="false">MAX(1,EC$14)</f>
        <v>1</v>
      </c>
      <c r="ED17" s="19" t="n">
        <f aca="false">MAX(1,ED$14)</f>
        <v>1</v>
      </c>
      <c r="EE17" s="19" t="n">
        <f aca="false">MAX(1,EE$14)</f>
        <v>1</v>
      </c>
      <c r="EF17" s="19" t="n">
        <f aca="false">MAX(1,EF$14)</f>
        <v>1</v>
      </c>
      <c r="EG17" s="19" t="n">
        <f aca="false">MAX(1,EG$14)</f>
        <v>1</v>
      </c>
      <c r="EH17" s="19" t="n">
        <f aca="false">MAX(1,EH$14)</f>
        <v>1</v>
      </c>
      <c r="EI17" s="19" t="n">
        <f aca="false">MAX(1,EI$14)</f>
        <v>1</v>
      </c>
      <c r="EJ17" s="19" t="n">
        <f aca="false">MAX(1,EJ$14)</f>
        <v>1</v>
      </c>
      <c r="EK17" s="19" t="n">
        <f aca="false">MAX(1,EK$14)</f>
        <v>1</v>
      </c>
      <c r="EL17" s="19" t="n">
        <f aca="false">MAX(1,EL$14)</f>
        <v>1</v>
      </c>
      <c r="EM17" s="19" t="n">
        <f aca="false">MAX(1,EM$14)</f>
        <v>1</v>
      </c>
      <c r="EN17" s="19" t="n">
        <f aca="false">MAX(1,EN$14)</f>
        <v>1</v>
      </c>
      <c r="EO17" s="19" t="n">
        <f aca="false">MAX(1,EO$14)</f>
        <v>1</v>
      </c>
      <c r="EP17" s="19" t="n">
        <f aca="false">MAX(1,EP$14)</f>
        <v>1</v>
      </c>
      <c r="EQ17" s="19" t="n">
        <f aca="false">MAX(1,EQ$14)</f>
        <v>1</v>
      </c>
      <c r="ER17" s="19" t="n">
        <f aca="false">MAX(1,ER$14)</f>
        <v>1</v>
      </c>
      <c r="ES17" s="19" t="n">
        <f aca="false">MAX(1,ES$14)</f>
        <v>1</v>
      </c>
    </row>
    <row r="18" customFormat="false" ht="15" hidden="false" customHeight="false" outlineLevel="0" collapsed="false">
      <c r="A18" s="2" t="s">
        <v>554</v>
      </c>
      <c r="B18" s="6" t="s">
        <v>555</v>
      </c>
      <c r="C18" s="6" t="s">
        <v>208</v>
      </c>
      <c r="F18" s="34" t="n">
        <f aca="false">INDEX(TC_O,1,MIN(10,F$6))*(1+P_dTC)</f>
        <v>7300</v>
      </c>
      <c r="G18" s="34" t="n">
        <f aca="false">INDEX(TC_O,1,MIN(10,G$6))*(1+P_dTC)</f>
        <v>7300</v>
      </c>
      <c r="H18" s="34" t="n">
        <f aca="false">INDEX(TC_O,1,MIN(10,H$6))*(1+P_dTC)</f>
        <v>7300</v>
      </c>
      <c r="I18" s="34" t="n">
        <f aca="false">INDEX(TC_O,1,MIN(10,I$6))*(1+P_dTC)</f>
        <v>7300</v>
      </c>
      <c r="J18" s="34" t="n">
        <f aca="false">INDEX(TC_O,1,MIN(10,J$6))*(1+P_dTC)</f>
        <v>7300</v>
      </c>
      <c r="K18" s="34" t="n">
        <f aca="false">INDEX(TC_O,1,MIN(10,K$6))*(1+P_dTC)</f>
        <v>7300</v>
      </c>
      <c r="L18" s="34" t="n">
        <f aca="false">INDEX(TC_O,1,MIN(10,L$6))*(1+P_dTC)</f>
        <v>7300</v>
      </c>
      <c r="M18" s="34" t="n">
        <f aca="false">INDEX(TC_O,1,MIN(10,M$6))*(1+P_dTC)</f>
        <v>7300</v>
      </c>
      <c r="N18" s="34" t="n">
        <f aca="false">INDEX(TC_O,1,MIN(10,N$6))*(1+P_dTC)</f>
        <v>7300</v>
      </c>
      <c r="O18" s="34" t="n">
        <f aca="false">INDEX(TC_O,1,MIN(10,O$6))*(1+P_dTC)</f>
        <v>7300</v>
      </c>
      <c r="P18" s="34" t="n">
        <f aca="false">INDEX(TC_O,1,MIN(10,P$6))*(1+P_dTC)</f>
        <v>7300</v>
      </c>
      <c r="Q18" s="34" t="n">
        <f aca="false">INDEX(TC_O,1,MIN(10,Q$6))*(1+P_dTC)</f>
        <v>7300</v>
      </c>
      <c r="R18" s="34" t="n">
        <f aca="false">INDEX(TC_O,1,MIN(10,R$6))*(1+P_dTC)</f>
        <v>7300</v>
      </c>
      <c r="S18" s="34" t="n">
        <f aca="false">INDEX(TC_O,1,MIN(10,S$6))*(1+P_dTC)</f>
        <v>7300</v>
      </c>
      <c r="T18" s="34" t="n">
        <f aca="false">INDEX(TC_O,1,MIN(10,T$6))*(1+P_dTC)</f>
        <v>7300</v>
      </c>
      <c r="U18" s="34" t="n">
        <f aca="false">INDEX(TC_O,1,MIN(10,U$6))*(1+P_dTC)</f>
        <v>7300</v>
      </c>
      <c r="V18" s="34" t="n">
        <f aca="false">INDEX(TC_O,1,MIN(10,V$6))*(1+P_dTC)</f>
        <v>7300</v>
      </c>
      <c r="W18" s="34" t="n">
        <f aca="false">INDEX(TC_O,1,MIN(10,W$6))*(1+P_dTC)</f>
        <v>7300</v>
      </c>
      <c r="X18" s="34" t="n">
        <f aca="false">INDEX(TC_O,1,MIN(10,X$6))*(1+P_dTC)</f>
        <v>7300</v>
      </c>
      <c r="Y18" s="34" t="n">
        <f aca="false">INDEX(TC_O,1,MIN(10,Y$6))*(1+P_dTC)</f>
        <v>7300</v>
      </c>
      <c r="Z18" s="34" t="n">
        <f aca="false">INDEX(TC_O,1,MIN(10,Z$6))*(1+P_dTC)</f>
        <v>7300</v>
      </c>
      <c r="AA18" s="34" t="n">
        <f aca="false">INDEX(TC_O,1,MIN(10,AA$6))*(1+P_dTC)</f>
        <v>7300</v>
      </c>
      <c r="AB18" s="34" t="n">
        <f aca="false">INDEX(TC_O,1,MIN(10,AB$6))*(1+P_dTC)</f>
        <v>7300</v>
      </c>
      <c r="AC18" s="34" t="n">
        <f aca="false">INDEX(TC_O,1,MIN(10,AC$6))*(1+P_dTC)</f>
        <v>7300</v>
      </c>
      <c r="AD18" s="34" t="n">
        <f aca="false">INDEX(TC_O,1,MIN(10,AD$6))*(1+P_dTC)</f>
        <v>7300</v>
      </c>
      <c r="AE18" s="34" t="n">
        <f aca="false">INDEX(TC_O,1,MIN(10,AE$6))*(1+P_dTC)</f>
        <v>7300</v>
      </c>
      <c r="AF18" s="34" t="n">
        <f aca="false">INDEX(TC_O,1,MIN(10,AF$6))*(1+P_dTC)</f>
        <v>7300</v>
      </c>
      <c r="AG18" s="34" t="n">
        <f aca="false">INDEX(TC_O,1,MIN(10,AG$6))*(1+P_dTC)</f>
        <v>7300</v>
      </c>
      <c r="AH18" s="34" t="n">
        <f aca="false">INDEX(TC_O,1,MIN(10,AH$6))*(1+P_dTC)</f>
        <v>7300</v>
      </c>
      <c r="AI18" s="34" t="n">
        <f aca="false">INDEX(TC_O,1,MIN(10,AI$6))*(1+P_dTC)</f>
        <v>7300</v>
      </c>
      <c r="AJ18" s="34" t="n">
        <f aca="false">INDEX(TC_O,1,MIN(10,AJ$6))*(1+P_dTC)</f>
        <v>7300</v>
      </c>
      <c r="AK18" s="34" t="n">
        <f aca="false">INDEX(TC_O,1,MIN(10,AK$6))*(1+P_dTC)</f>
        <v>7300</v>
      </c>
      <c r="AL18" s="34" t="n">
        <f aca="false">INDEX(TC_O,1,MIN(10,AL$6))*(1+P_dTC)</f>
        <v>7300</v>
      </c>
      <c r="AM18" s="34" t="n">
        <f aca="false">INDEX(TC_O,1,MIN(10,AM$6))*(1+P_dTC)</f>
        <v>7300</v>
      </c>
      <c r="AN18" s="34" t="n">
        <f aca="false">INDEX(TC_O,1,MIN(10,AN$6))*(1+P_dTC)</f>
        <v>7300</v>
      </c>
      <c r="AO18" s="34" t="n">
        <f aca="false">INDEX(TC_O,1,MIN(10,AO$6))*(1+P_dTC)</f>
        <v>7300</v>
      </c>
      <c r="AP18" s="34" t="n">
        <f aca="false">INDEX(TC_O,1,MIN(10,AP$6))*(1+P_dTC)</f>
        <v>7300</v>
      </c>
      <c r="AQ18" s="34" t="n">
        <f aca="false">INDEX(TC_O,1,MIN(10,AQ$6))*(1+P_dTC)</f>
        <v>7300</v>
      </c>
      <c r="AR18" s="34" t="n">
        <f aca="false">INDEX(TC_O,1,MIN(10,AR$6))*(1+P_dTC)</f>
        <v>7300</v>
      </c>
      <c r="AS18" s="34" t="n">
        <f aca="false">INDEX(TC_O,1,MIN(10,AS$6))*(1+P_dTC)</f>
        <v>7300</v>
      </c>
      <c r="AT18" s="34" t="n">
        <f aca="false">INDEX(TC_O,1,MIN(10,AT$6))*(1+P_dTC)</f>
        <v>7300</v>
      </c>
      <c r="AU18" s="34" t="n">
        <f aca="false">INDEX(TC_O,1,MIN(10,AU$6))*(1+P_dTC)</f>
        <v>7300</v>
      </c>
      <c r="AV18" s="34" t="n">
        <f aca="false">INDEX(TC_O,1,MIN(10,AV$6))*(1+P_dTC)</f>
        <v>7300</v>
      </c>
      <c r="AW18" s="34" t="n">
        <f aca="false">INDEX(TC_O,1,MIN(10,AW$6))*(1+P_dTC)</f>
        <v>7300</v>
      </c>
      <c r="AX18" s="34" t="n">
        <f aca="false">INDEX(TC_O,1,MIN(10,AX$6))*(1+P_dTC)</f>
        <v>7300</v>
      </c>
      <c r="AY18" s="34" t="n">
        <f aca="false">INDEX(TC_O,1,MIN(10,AY$6))*(1+P_dTC)</f>
        <v>7300</v>
      </c>
      <c r="AZ18" s="34" t="n">
        <f aca="false">INDEX(TC_O,1,MIN(10,AZ$6))*(1+P_dTC)</f>
        <v>7300</v>
      </c>
      <c r="BA18" s="34" t="n">
        <f aca="false">INDEX(TC_O,1,MIN(10,BA$6))*(1+P_dTC)</f>
        <v>7300</v>
      </c>
      <c r="BB18" s="34" t="n">
        <f aca="false">INDEX(TC_O,1,MIN(10,BB$6))*(1+P_dTC)</f>
        <v>7300</v>
      </c>
      <c r="BC18" s="34" t="n">
        <f aca="false">INDEX(TC_O,1,MIN(10,BC$6))*(1+P_dTC)</f>
        <v>7300</v>
      </c>
      <c r="BD18" s="34" t="n">
        <f aca="false">INDEX(TC_O,1,MIN(10,BD$6))*(1+P_dTC)</f>
        <v>7300</v>
      </c>
      <c r="BE18" s="34" t="n">
        <f aca="false">INDEX(TC_O,1,MIN(10,BE$6))*(1+P_dTC)</f>
        <v>7300</v>
      </c>
      <c r="BF18" s="34" t="n">
        <f aca="false">INDEX(TC_O,1,MIN(10,BF$6))*(1+P_dTC)</f>
        <v>7300</v>
      </c>
      <c r="BG18" s="34" t="n">
        <f aca="false">INDEX(TC_O,1,MIN(10,BG$6))*(1+P_dTC)</f>
        <v>7300</v>
      </c>
      <c r="BH18" s="34" t="n">
        <f aca="false">INDEX(TC_O,1,MIN(10,BH$6))*(1+P_dTC)</f>
        <v>7300</v>
      </c>
      <c r="BI18" s="34" t="n">
        <f aca="false">INDEX(TC_O,1,MIN(10,BI$6))*(1+P_dTC)</f>
        <v>7300</v>
      </c>
      <c r="BJ18" s="34" t="n">
        <f aca="false">INDEX(TC_O,1,MIN(10,BJ$6))*(1+P_dTC)</f>
        <v>7300</v>
      </c>
      <c r="BK18" s="34" t="n">
        <f aca="false">INDEX(TC_O,1,MIN(10,BK$6))*(1+P_dTC)</f>
        <v>7300</v>
      </c>
      <c r="BL18" s="34" t="n">
        <f aca="false">INDEX(TC_O,1,MIN(10,BL$6))*(1+P_dTC)</f>
        <v>7300</v>
      </c>
      <c r="BM18" s="34" t="n">
        <f aca="false">INDEX(TC_O,1,MIN(10,BM$6))*(1+P_dTC)</f>
        <v>7300</v>
      </c>
      <c r="BN18" s="34" t="n">
        <f aca="false">INDEX(TC_O,1,MIN(10,BN$6))*(1+P_dTC)</f>
        <v>7300</v>
      </c>
      <c r="BO18" s="34" t="n">
        <f aca="false">INDEX(TC_O,1,MIN(10,BO$6))*(1+P_dTC)</f>
        <v>7300</v>
      </c>
      <c r="BP18" s="34" t="n">
        <f aca="false">INDEX(TC_O,1,MIN(10,BP$6))*(1+P_dTC)</f>
        <v>7300</v>
      </c>
      <c r="BQ18" s="34" t="n">
        <f aca="false">INDEX(TC_O,1,MIN(10,BQ$6))*(1+P_dTC)</f>
        <v>7300</v>
      </c>
      <c r="BR18" s="34" t="n">
        <f aca="false">INDEX(TC_O,1,MIN(10,BR$6))*(1+P_dTC)</f>
        <v>7300</v>
      </c>
      <c r="BS18" s="34" t="n">
        <f aca="false">INDEX(TC_O,1,MIN(10,BS$6))*(1+P_dTC)</f>
        <v>7300</v>
      </c>
      <c r="BT18" s="34" t="n">
        <f aca="false">INDEX(TC_O,1,MIN(10,BT$6))*(1+P_dTC)</f>
        <v>7300</v>
      </c>
      <c r="BU18" s="34" t="n">
        <f aca="false">INDEX(TC_O,1,MIN(10,BU$6))*(1+P_dTC)</f>
        <v>7300</v>
      </c>
      <c r="BV18" s="34" t="n">
        <f aca="false">INDEX(TC_O,1,MIN(10,BV$6))*(1+P_dTC)</f>
        <v>7300</v>
      </c>
      <c r="BW18" s="34" t="n">
        <f aca="false">INDEX(TC_O,1,MIN(10,BW$6))*(1+P_dTC)</f>
        <v>7300</v>
      </c>
      <c r="BX18" s="34" t="n">
        <f aca="false">INDEX(TC_O,1,MIN(10,BX$6))*(1+P_dTC)</f>
        <v>7300</v>
      </c>
      <c r="BY18" s="34" t="n">
        <f aca="false">INDEX(TC_O,1,MIN(10,BY$6))*(1+P_dTC)</f>
        <v>7300</v>
      </c>
      <c r="BZ18" s="34" t="n">
        <f aca="false">INDEX(TC_O,1,MIN(10,BZ$6))*(1+P_dTC)</f>
        <v>7300</v>
      </c>
      <c r="CA18" s="34" t="n">
        <f aca="false">INDEX(TC_O,1,MIN(10,CA$6))*(1+P_dTC)</f>
        <v>7300</v>
      </c>
      <c r="CB18" s="34" t="n">
        <f aca="false">INDEX(TC_O,1,MIN(10,CB$6))*(1+P_dTC)</f>
        <v>7300</v>
      </c>
      <c r="CC18" s="34" t="n">
        <f aca="false">INDEX(TC_O,1,MIN(10,CC$6))*(1+P_dTC)</f>
        <v>7300</v>
      </c>
      <c r="CD18" s="34" t="n">
        <f aca="false">INDEX(TC_O,1,MIN(10,CD$6))*(1+P_dTC)</f>
        <v>7300</v>
      </c>
      <c r="CE18" s="34" t="n">
        <f aca="false">INDEX(TC_O,1,MIN(10,CE$6))*(1+P_dTC)</f>
        <v>7300</v>
      </c>
      <c r="CF18" s="34" t="n">
        <f aca="false">INDEX(TC_O,1,MIN(10,CF$6))*(1+P_dTC)</f>
        <v>7300</v>
      </c>
      <c r="CG18" s="34" t="n">
        <f aca="false">INDEX(TC_O,1,MIN(10,CG$6))*(1+P_dTC)</f>
        <v>7300</v>
      </c>
      <c r="CH18" s="34" t="n">
        <f aca="false">INDEX(TC_O,1,MIN(10,CH$6))*(1+P_dTC)</f>
        <v>7300</v>
      </c>
      <c r="CI18" s="34" t="n">
        <f aca="false">INDEX(TC_O,1,MIN(10,CI$6))*(1+P_dTC)</f>
        <v>7300</v>
      </c>
      <c r="CJ18" s="34" t="n">
        <f aca="false">INDEX(TC_O,1,MIN(10,CJ$6))*(1+P_dTC)</f>
        <v>7300</v>
      </c>
      <c r="CK18" s="34" t="n">
        <f aca="false">INDEX(TC_O,1,MIN(10,CK$6))*(1+P_dTC)</f>
        <v>7300</v>
      </c>
      <c r="CL18" s="34" t="n">
        <f aca="false">INDEX(TC_O,1,MIN(10,CL$6))*(1+P_dTC)</f>
        <v>7300</v>
      </c>
      <c r="CM18" s="34" t="n">
        <f aca="false">INDEX(TC_O,1,MIN(10,CM$6))*(1+P_dTC)</f>
        <v>7300</v>
      </c>
      <c r="CN18" s="34" t="n">
        <f aca="false">INDEX(TC_O,1,MIN(10,CN$6))*(1+P_dTC)</f>
        <v>7300</v>
      </c>
      <c r="CO18" s="34" t="n">
        <f aca="false">INDEX(TC_O,1,MIN(10,CO$6))*(1+P_dTC)</f>
        <v>7300</v>
      </c>
      <c r="CP18" s="34" t="n">
        <f aca="false">INDEX(TC_O,1,MIN(10,CP$6))*(1+P_dTC)</f>
        <v>7300</v>
      </c>
      <c r="CQ18" s="34" t="n">
        <f aca="false">INDEX(TC_O,1,MIN(10,CQ$6))*(1+P_dTC)</f>
        <v>7300</v>
      </c>
      <c r="CR18" s="34" t="n">
        <f aca="false">INDEX(TC_O,1,MIN(10,CR$6))*(1+P_dTC)</f>
        <v>7300</v>
      </c>
      <c r="CS18" s="34" t="n">
        <f aca="false">INDEX(TC_O,1,MIN(10,CS$6))*(1+P_dTC)</f>
        <v>7300</v>
      </c>
      <c r="CT18" s="34" t="n">
        <f aca="false">INDEX(TC_O,1,MIN(10,CT$6))*(1+P_dTC)</f>
        <v>7300</v>
      </c>
      <c r="CU18" s="34" t="n">
        <f aca="false">INDEX(TC_O,1,MIN(10,CU$6))*(1+P_dTC)</f>
        <v>7300</v>
      </c>
      <c r="CV18" s="34" t="n">
        <f aca="false">INDEX(TC_O,1,MIN(10,CV$6))*(1+P_dTC)</f>
        <v>7300</v>
      </c>
      <c r="CW18" s="34" t="n">
        <f aca="false">INDEX(TC_O,1,MIN(10,CW$6))*(1+P_dTC)</f>
        <v>7300</v>
      </c>
      <c r="CX18" s="34" t="n">
        <f aca="false">INDEX(TC_O,1,MIN(10,CX$6))*(1+P_dTC)</f>
        <v>7300</v>
      </c>
      <c r="CY18" s="34" t="n">
        <f aca="false">INDEX(TC_O,1,MIN(10,CY$6))*(1+P_dTC)</f>
        <v>7300</v>
      </c>
      <c r="CZ18" s="34" t="n">
        <f aca="false">INDEX(TC_O,1,MIN(10,CZ$6))*(1+P_dTC)</f>
        <v>7300</v>
      </c>
      <c r="DA18" s="34" t="n">
        <f aca="false">INDEX(TC_O,1,MIN(10,DA$6))*(1+P_dTC)</f>
        <v>7300</v>
      </c>
      <c r="DB18" s="34" t="n">
        <f aca="false">INDEX(TC_O,1,MIN(10,DB$6))*(1+P_dTC)</f>
        <v>7300</v>
      </c>
      <c r="DC18" s="34" t="n">
        <f aca="false">INDEX(TC_O,1,MIN(10,DC$6))*(1+P_dTC)</f>
        <v>7300</v>
      </c>
      <c r="DD18" s="34" t="n">
        <f aca="false">INDEX(TC_O,1,MIN(10,DD$6))*(1+P_dTC)</f>
        <v>7300</v>
      </c>
      <c r="DE18" s="34" t="n">
        <f aca="false">INDEX(TC_O,1,MIN(10,DE$6))*(1+P_dTC)</f>
        <v>7300</v>
      </c>
      <c r="DF18" s="34" t="n">
        <f aca="false">INDEX(TC_O,1,MIN(10,DF$6))*(1+P_dTC)</f>
        <v>7300</v>
      </c>
      <c r="DG18" s="34" t="n">
        <f aca="false">INDEX(TC_O,1,MIN(10,DG$6))*(1+P_dTC)</f>
        <v>7300</v>
      </c>
      <c r="DH18" s="34" t="n">
        <f aca="false">INDEX(TC_O,1,MIN(10,DH$6))*(1+P_dTC)</f>
        <v>7300</v>
      </c>
      <c r="DI18" s="34" t="n">
        <f aca="false">INDEX(TC_O,1,MIN(10,DI$6))*(1+P_dTC)</f>
        <v>7300</v>
      </c>
      <c r="DJ18" s="34" t="n">
        <f aca="false">INDEX(TC_O,1,MIN(10,DJ$6))*(1+P_dTC)</f>
        <v>7300</v>
      </c>
      <c r="DK18" s="34" t="n">
        <f aca="false">INDEX(TC_O,1,MIN(10,DK$6))*(1+P_dTC)</f>
        <v>7300</v>
      </c>
      <c r="DL18" s="34" t="n">
        <f aca="false">INDEX(TC_O,1,MIN(10,DL$6))*(1+P_dTC)</f>
        <v>7300</v>
      </c>
      <c r="DM18" s="34" t="n">
        <f aca="false">INDEX(TC_O,1,MIN(10,DM$6))*(1+P_dTC)</f>
        <v>7300</v>
      </c>
      <c r="DN18" s="34" t="n">
        <f aca="false">INDEX(TC_O,1,MIN(10,DN$6))*(1+P_dTC)</f>
        <v>7300</v>
      </c>
      <c r="DO18" s="34" t="n">
        <f aca="false">INDEX(TC_O,1,MIN(10,DO$6))*(1+P_dTC)</f>
        <v>7300</v>
      </c>
      <c r="DP18" s="34" t="n">
        <f aca="false">INDEX(TC_O,1,MIN(10,DP$6))*(1+P_dTC)</f>
        <v>7300</v>
      </c>
      <c r="DQ18" s="34" t="n">
        <f aca="false">INDEX(TC_O,1,MIN(10,DQ$6))*(1+P_dTC)</f>
        <v>7300</v>
      </c>
      <c r="DR18" s="34" t="n">
        <f aca="false">INDEX(TC_O,1,MIN(10,DR$6))*(1+P_dTC)</f>
        <v>7300</v>
      </c>
      <c r="DS18" s="34" t="n">
        <f aca="false">INDEX(TC_O,1,MIN(10,DS$6))*(1+P_dTC)</f>
        <v>7300</v>
      </c>
      <c r="DT18" s="34" t="n">
        <f aca="false">INDEX(TC_O,1,MIN(10,DT$6))*(1+P_dTC)</f>
        <v>7300</v>
      </c>
      <c r="DU18" s="34" t="n">
        <f aca="false">INDEX(TC_O,1,MIN(10,DU$6))*(1+P_dTC)</f>
        <v>7300</v>
      </c>
      <c r="DV18" s="34" t="n">
        <f aca="false">INDEX(TC_O,1,MIN(10,DV$6))*(1+P_dTC)</f>
        <v>7300</v>
      </c>
      <c r="DW18" s="34" t="n">
        <f aca="false">INDEX(TC_O,1,MIN(10,DW$6))*(1+P_dTC)</f>
        <v>7300</v>
      </c>
      <c r="DX18" s="34" t="n">
        <f aca="false">INDEX(TC_O,1,MIN(10,DX$6))*(1+P_dTC)</f>
        <v>7300</v>
      </c>
      <c r="DY18" s="34" t="n">
        <f aca="false">INDEX(TC_O,1,MIN(10,DY$6))*(1+P_dTC)</f>
        <v>7300</v>
      </c>
      <c r="DZ18" s="34" t="n">
        <f aca="false">INDEX(TC_O,1,MIN(10,DZ$6))*(1+P_dTC)</f>
        <v>7300</v>
      </c>
      <c r="EA18" s="34" t="n">
        <f aca="false">INDEX(TC_O,1,MIN(10,EA$6))*(1+P_dTC)</f>
        <v>7300</v>
      </c>
      <c r="EB18" s="34" t="n">
        <f aca="false">INDEX(TC_O,1,MIN(10,EB$6))*(1+P_dTC)</f>
        <v>7300</v>
      </c>
      <c r="EC18" s="34" t="n">
        <f aca="false">INDEX(TC_O,1,MIN(10,EC$6))*(1+P_dTC)</f>
        <v>7300</v>
      </c>
      <c r="ED18" s="34" t="n">
        <f aca="false">INDEX(TC_O,1,MIN(10,ED$6))*(1+P_dTC)</f>
        <v>7300</v>
      </c>
      <c r="EE18" s="34" t="n">
        <f aca="false">INDEX(TC_O,1,MIN(10,EE$6))*(1+P_dTC)</f>
        <v>7300</v>
      </c>
      <c r="EF18" s="34" t="n">
        <f aca="false">INDEX(TC_O,1,MIN(10,EF$6))*(1+P_dTC)</f>
        <v>7300</v>
      </c>
      <c r="EG18" s="34" t="n">
        <f aca="false">INDEX(TC_O,1,MIN(10,EG$6))*(1+P_dTC)</f>
        <v>7300</v>
      </c>
      <c r="EH18" s="34" t="n">
        <f aca="false">INDEX(TC_O,1,MIN(10,EH$6))*(1+P_dTC)</f>
        <v>7300</v>
      </c>
      <c r="EI18" s="34" t="n">
        <f aca="false">INDEX(TC_O,1,MIN(10,EI$6))*(1+P_dTC)</f>
        <v>7300</v>
      </c>
      <c r="EJ18" s="34" t="n">
        <f aca="false">INDEX(TC_O,1,MIN(10,EJ$6))*(1+P_dTC)</f>
        <v>7300</v>
      </c>
      <c r="EK18" s="34" t="n">
        <f aca="false">INDEX(TC_O,1,MIN(10,EK$6))*(1+P_dTC)</f>
        <v>7300</v>
      </c>
      <c r="EL18" s="34" t="n">
        <f aca="false">INDEX(TC_O,1,MIN(10,EL$6))*(1+P_dTC)</f>
        <v>7300</v>
      </c>
      <c r="EM18" s="34" t="n">
        <f aca="false">INDEX(TC_O,1,MIN(10,EM$6))*(1+P_dTC)</f>
        <v>7300</v>
      </c>
      <c r="EN18" s="34" t="n">
        <f aca="false">INDEX(TC_O,1,MIN(10,EN$6))*(1+P_dTC)</f>
        <v>7300</v>
      </c>
      <c r="EO18" s="34" t="n">
        <f aca="false">INDEX(TC_O,1,MIN(10,EO$6))*(1+P_dTC)</f>
        <v>7300</v>
      </c>
      <c r="EP18" s="34" t="n">
        <f aca="false">INDEX(TC_O,1,MIN(10,EP$6))*(1+P_dTC)</f>
        <v>7300</v>
      </c>
      <c r="EQ18" s="34" t="n">
        <f aca="false">INDEX(TC_O,1,MIN(10,EQ$6))*(1+P_dTC)</f>
        <v>7300</v>
      </c>
      <c r="ER18" s="34" t="n">
        <f aca="false">INDEX(TC_O,1,MIN(10,ER$6))*(1+P_dTC)</f>
        <v>7300</v>
      </c>
      <c r="ES18" s="34" t="n">
        <f aca="false">INDEX(TC_O,1,MIN(10,ES$6))*(1+P_dTC)</f>
        <v>7300</v>
      </c>
    </row>
    <row r="19" customFormat="false" ht="15" hidden="false" customHeight="false" outlineLevel="0" collapsed="false">
      <c r="A19" s="2" t="s">
        <v>556</v>
      </c>
      <c r="B19" s="6" t="s">
        <v>557</v>
      </c>
      <c r="C19" s="6"/>
      <c r="F19" s="27" t="n">
        <f aca="false">IF(F$18&gt;0,1/F$18,0)</f>
        <v>0.000136986301369863</v>
      </c>
      <c r="G19" s="27" t="n">
        <f aca="false">IF(G$18&gt;0,1/G$18,0)</f>
        <v>0.000136986301369863</v>
      </c>
      <c r="H19" s="27" t="n">
        <f aca="false">IF(H$18&gt;0,1/H$18,0)</f>
        <v>0.000136986301369863</v>
      </c>
      <c r="I19" s="27" t="n">
        <f aca="false">IF(I$18&gt;0,1/I$18,0)</f>
        <v>0.000136986301369863</v>
      </c>
      <c r="J19" s="27" t="n">
        <f aca="false">IF(J$18&gt;0,1/J$18,0)</f>
        <v>0.000136986301369863</v>
      </c>
      <c r="K19" s="27" t="n">
        <f aca="false">IF(K$18&gt;0,1/K$18,0)</f>
        <v>0.000136986301369863</v>
      </c>
      <c r="L19" s="27" t="n">
        <f aca="false">IF(L$18&gt;0,1/L$18,0)</f>
        <v>0.000136986301369863</v>
      </c>
      <c r="M19" s="27" t="n">
        <f aca="false">IF(M$18&gt;0,1/M$18,0)</f>
        <v>0.000136986301369863</v>
      </c>
      <c r="N19" s="27" t="n">
        <f aca="false">IF(N$18&gt;0,1/N$18,0)</f>
        <v>0.000136986301369863</v>
      </c>
      <c r="O19" s="27" t="n">
        <f aca="false">IF(O$18&gt;0,1/O$18,0)</f>
        <v>0.000136986301369863</v>
      </c>
      <c r="P19" s="27" t="n">
        <f aca="false">IF(P$18&gt;0,1/P$18,0)</f>
        <v>0.000136986301369863</v>
      </c>
      <c r="Q19" s="27" t="n">
        <f aca="false">IF(Q$18&gt;0,1/Q$18,0)</f>
        <v>0.000136986301369863</v>
      </c>
      <c r="R19" s="27" t="n">
        <f aca="false">IF(R$18&gt;0,1/R$18,0)</f>
        <v>0.000136986301369863</v>
      </c>
      <c r="S19" s="27" t="n">
        <f aca="false">IF(S$18&gt;0,1/S$18,0)</f>
        <v>0.000136986301369863</v>
      </c>
      <c r="T19" s="27" t="n">
        <f aca="false">IF(T$18&gt;0,1/T$18,0)</f>
        <v>0.000136986301369863</v>
      </c>
      <c r="U19" s="27" t="n">
        <f aca="false">IF(U$18&gt;0,1/U$18,0)</f>
        <v>0.000136986301369863</v>
      </c>
      <c r="V19" s="27" t="n">
        <f aca="false">IF(V$18&gt;0,1/V$18,0)</f>
        <v>0.000136986301369863</v>
      </c>
      <c r="W19" s="27" t="n">
        <f aca="false">IF(W$18&gt;0,1/W$18,0)</f>
        <v>0.000136986301369863</v>
      </c>
      <c r="X19" s="27" t="n">
        <f aca="false">IF(X$18&gt;0,1/X$18,0)</f>
        <v>0.000136986301369863</v>
      </c>
      <c r="Y19" s="27" t="n">
        <f aca="false">IF(Y$18&gt;0,1/Y$18,0)</f>
        <v>0.000136986301369863</v>
      </c>
      <c r="Z19" s="27" t="n">
        <f aca="false">IF(Z$18&gt;0,1/Z$18,0)</f>
        <v>0.000136986301369863</v>
      </c>
      <c r="AA19" s="27" t="n">
        <f aca="false">IF(AA$18&gt;0,1/AA$18,0)</f>
        <v>0.000136986301369863</v>
      </c>
      <c r="AB19" s="27" t="n">
        <f aca="false">IF(AB$18&gt;0,1/AB$18,0)</f>
        <v>0.000136986301369863</v>
      </c>
      <c r="AC19" s="27" t="n">
        <f aca="false">IF(AC$18&gt;0,1/AC$18,0)</f>
        <v>0.000136986301369863</v>
      </c>
      <c r="AD19" s="27" t="n">
        <f aca="false">IF(AD$18&gt;0,1/AD$18,0)</f>
        <v>0.000136986301369863</v>
      </c>
      <c r="AE19" s="27" t="n">
        <f aca="false">IF(AE$18&gt;0,1/AE$18,0)</f>
        <v>0.000136986301369863</v>
      </c>
      <c r="AF19" s="27" t="n">
        <f aca="false">IF(AF$18&gt;0,1/AF$18,0)</f>
        <v>0.000136986301369863</v>
      </c>
      <c r="AG19" s="27" t="n">
        <f aca="false">IF(AG$18&gt;0,1/AG$18,0)</f>
        <v>0.000136986301369863</v>
      </c>
      <c r="AH19" s="27" t="n">
        <f aca="false">IF(AH$18&gt;0,1/AH$18,0)</f>
        <v>0.000136986301369863</v>
      </c>
      <c r="AI19" s="27" t="n">
        <f aca="false">IF(AI$18&gt;0,1/AI$18,0)</f>
        <v>0.000136986301369863</v>
      </c>
      <c r="AJ19" s="27" t="n">
        <f aca="false">IF(AJ$18&gt;0,1/AJ$18,0)</f>
        <v>0.000136986301369863</v>
      </c>
      <c r="AK19" s="27" t="n">
        <f aca="false">IF(AK$18&gt;0,1/AK$18,0)</f>
        <v>0.000136986301369863</v>
      </c>
      <c r="AL19" s="27" t="n">
        <f aca="false">IF(AL$18&gt;0,1/AL$18,0)</f>
        <v>0.000136986301369863</v>
      </c>
      <c r="AM19" s="27" t="n">
        <f aca="false">IF(AM$18&gt;0,1/AM$18,0)</f>
        <v>0.000136986301369863</v>
      </c>
      <c r="AN19" s="27" t="n">
        <f aca="false">IF(AN$18&gt;0,1/AN$18,0)</f>
        <v>0.000136986301369863</v>
      </c>
      <c r="AO19" s="27" t="n">
        <f aca="false">IF(AO$18&gt;0,1/AO$18,0)</f>
        <v>0.000136986301369863</v>
      </c>
      <c r="AP19" s="27" t="n">
        <f aca="false">IF(AP$18&gt;0,1/AP$18,0)</f>
        <v>0.000136986301369863</v>
      </c>
      <c r="AQ19" s="27" t="n">
        <f aca="false">IF(AQ$18&gt;0,1/AQ$18,0)</f>
        <v>0.000136986301369863</v>
      </c>
      <c r="AR19" s="27" t="n">
        <f aca="false">IF(AR$18&gt;0,1/AR$18,0)</f>
        <v>0.000136986301369863</v>
      </c>
      <c r="AS19" s="27" t="n">
        <f aca="false">IF(AS$18&gt;0,1/AS$18,0)</f>
        <v>0.000136986301369863</v>
      </c>
      <c r="AT19" s="27" t="n">
        <f aca="false">IF(AT$18&gt;0,1/AT$18,0)</f>
        <v>0.000136986301369863</v>
      </c>
      <c r="AU19" s="27" t="n">
        <f aca="false">IF(AU$18&gt;0,1/AU$18,0)</f>
        <v>0.000136986301369863</v>
      </c>
      <c r="AV19" s="27" t="n">
        <f aca="false">IF(AV$18&gt;0,1/AV$18,0)</f>
        <v>0.000136986301369863</v>
      </c>
      <c r="AW19" s="27" t="n">
        <f aca="false">IF(AW$18&gt;0,1/AW$18,0)</f>
        <v>0.000136986301369863</v>
      </c>
      <c r="AX19" s="27" t="n">
        <f aca="false">IF(AX$18&gt;0,1/AX$18,0)</f>
        <v>0.000136986301369863</v>
      </c>
      <c r="AY19" s="27" t="n">
        <f aca="false">IF(AY$18&gt;0,1/AY$18,0)</f>
        <v>0.000136986301369863</v>
      </c>
      <c r="AZ19" s="27" t="n">
        <f aca="false">IF(AZ$18&gt;0,1/AZ$18,0)</f>
        <v>0.000136986301369863</v>
      </c>
      <c r="BA19" s="27" t="n">
        <f aca="false">IF(BA$18&gt;0,1/BA$18,0)</f>
        <v>0.000136986301369863</v>
      </c>
      <c r="BB19" s="27" t="n">
        <f aca="false">IF(BB$18&gt;0,1/BB$18,0)</f>
        <v>0.000136986301369863</v>
      </c>
      <c r="BC19" s="27" t="n">
        <f aca="false">IF(BC$18&gt;0,1/BC$18,0)</f>
        <v>0.000136986301369863</v>
      </c>
      <c r="BD19" s="27" t="n">
        <f aca="false">IF(BD$18&gt;0,1/BD$18,0)</f>
        <v>0.000136986301369863</v>
      </c>
      <c r="BE19" s="27" t="n">
        <f aca="false">IF(BE$18&gt;0,1/BE$18,0)</f>
        <v>0.000136986301369863</v>
      </c>
      <c r="BF19" s="27" t="n">
        <f aca="false">IF(BF$18&gt;0,1/BF$18,0)</f>
        <v>0.000136986301369863</v>
      </c>
      <c r="BG19" s="27" t="n">
        <f aca="false">IF(BG$18&gt;0,1/BG$18,0)</f>
        <v>0.000136986301369863</v>
      </c>
      <c r="BH19" s="27" t="n">
        <f aca="false">IF(BH$18&gt;0,1/BH$18,0)</f>
        <v>0.000136986301369863</v>
      </c>
      <c r="BI19" s="27" t="n">
        <f aca="false">IF(BI$18&gt;0,1/BI$18,0)</f>
        <v>0.000136986301369863</v>
      </c>
      <c r="BJ19" s="27" t="n">
        <f aca="false">IF(BJ$18&gt;0,1/BJ$18,0)</f>
        <v>0.000136986301369863</v>
      </c>
      <c r="BK19" s="27" t="n">
        <f aca="false">IF(BK$18&gt;0,1/BK$18,0)</f>
        <v>0.000136986301369863</v>
      </c>
      <c r="BL19" s="27" t="n">
        <f aca="false">IF(BL$18&gt;0,1/BL$18,0)</f>
        <v>0.000136986301369863</v>
      </c>
      <c r="BM19" s="27" t="n">
        <f aca="false">IF(BM$18&gt;0,1/BM$18,0)</f>
        <v>0.000136986301369863</v>
      </c>
      <c r="BN19" s="27" t="n">
        <f aca="false">IF(BN$18&gt;0,1/BN$18,0)</f>
        <v>0.000136986301369863</v>
      </c>
      <c r="BO19" s="27" t="n">
        <f aca="false">IF(BO$18&gt;0,1/BO$18,0)</f>
        <v>0.000136986301369863</v>
      </c>
      <c r="BP19" s="27" t="n">
        <f aca="false">IF(BP$18&gt;0,1/BP$18,0)</f>
        <v>0.000136986301369863</v>
      </c>
      <c r="BQ19" s="27" t="n">
        <f aca="false">IF(BQ$18&gt;0,1/BQ$18,0)</f>
        <v>0.000136986301369863</v>
      </c>
      <c r="BR19" s="27" t="n">
        <f aca="false">IF(BR$18&gt;0,1/BR$18,0)</f>
        <v>0.000136986301369863</v>
      </c>
      <c r="BS19" s="27" t="n">
        <f aca="false">IF(BS$18&gt;0,1/BS$18,0)</f>
        <v>0.000136986301369863</v>
      </c>
      <c r="BT19" s="27" t="n">
        <f aca="false">IF(BT$18&gt;0,1/BT$18,0)</f>
        <v>0.000136986301369863</v>
      </c>
      <c r="BU19" s="27" t="n">
        <f aca="false">IF(BU$18&gt;0,1/BU$18,0)</f>
        <v>0.000136986301369863</v>
      </c>
      <c r="BV19" s="27" t="n">
        <f aca="false">IF(BV$18&gt;0,1/BV$18,0)</f>
        <v>0.000136986301369863</v>
      </c>
      <c r="BW19" s="27" t="n">
        <f aca="false">IF(BW$18&gt;0,1/BW$18,0)</f>
        <v>0.000136986301369863</v>
      </c>
      <c r="BX19" s="27" t="n">
        <f aca="false">IF(BX$18&gt;0,1/BX$18,0)</f>
        <v>0.000136986301369863</v>
      </c>
      <c r="BY19" s="27" t="n">
        <f aca="false">IF(BY$18&gt;0,1/BY$18,0)</f>
        <v>0.000136986301369863</v>
      </c>
      <c r="BZ19" s="27" t="n">
        <f aca="false">IF(BZ$18&gt;0,1/BZ$18,0)</f>
        <v>0.000136986301369863</v>
      </c>
      <c r="CA19" s="27" t="n">
        <f aca="false">IF(CA$18&gt;0,1/CA$18,0)</f>
        <v>0.000136986301369863</v>
      </c>
      <c r="CB19" s="27" t="n">
        <f aca="false">IF(CB$18&gt;0,1/CB$18,0)</f>
        <v>0.000136986301369863</v>
      </c>
      <c r="CC19" s="27" t="n">
        <f aca="false">IF(CC$18&gt;0,1/CC$18,0)</f>
        <v>0.000136986301369863</v>
      </c>
      <c r="CD19" s="27" t="n">
        <f aca="false">IF(CD$18&gt;0,1/CD$18,0)</f>
        <v>0.000136986301369863</v>
      </c>
      <c r="CE19" s="27" t="n">
        <f aca="false">IF(CE$18&gt;0,1/CE$18,0)</f>
        <v>0.000136986301369863</v>
      </c>
      <c r="CF19" s="27" t="n">
        <f aca="false">IF(CF$18&gt;0,1/CF$18,0)</f>
        <v>0.000136986301369863</v>
      </c>
      <c r="CG19" s="27" t="n">
        <f aca="false">IF(CG$18&gt;0,1/CG$18,0)</f>
        <v>0.000136986301369863</v>
      </c>
      <c r="CH19" s="27" t="n">
        <f aca="false">IF(CH$18&gt;0,1/CH$18,0)</f>
        <v>0.000136986301369863</v>
      </c>
      <c r="CI19" s="27" t="n">
        <f aca="false">IF(CI$18&gt;0,1/CI$18,0)</f>
        <v>0.000136986301369863</v>
      </c>
      <c r="CJ19" s="27" t="n">
        <f aca="false">IF(CJ$18&gt;0,1/CJ$18,0)</f>
        <v>0.000136986301369863</v>
      </c>
      <c r="CK19" s="27" t="n">
        <f aca="false">IF(CK$18&gt;0,1/CK$18,0)</f>
        <v>0.000136986301369863</v>
      </c>
      <c r="CL19" s="27" t="n">
        <f aca="false">IF(CL$18&gt;0,1/CL$18,0)</f>
        <v>0.000136986301369863</v>
      </c>
      <c r="CM19" s="27" t="n">
        <f aca="false">IF(CM$18&gt;0,1/CM$18,0)</f>
        <v>0.000136986301369863</v>
      </c>
      <c r="CN19" s="27" t="n">
        <f aca="false">IF(CN$18&gt;0,1/CN$18,0)</f>
        <v>0.000136986301369863</v>
      </c>
      <c r="CO19" s="27" t="n">
        <f aca="false">IF(CO$18&gt;0,1/CO$18,0)</f>
        <v>0.000136986301369863</v>
      </c>
      <c r="CP19" s="27" t="n">
        <f aca="false">IF(CP$18&gt;0,1/CP$18,0)</f>
        <v>0.000136986301369863</v>
      </c>
      <c r="CQ19" s="27" t="n">
        <f aca="false">IF(CQ$18&gt;0,1/CQ$18,0)</f>
        <v>0.000136986301369863</v>
      </c>
      <c r="CR19" s="27" t="n">
        <f aca="false">IF(CR$18&gt;0,1/CR$18,0)</f>
        <v>0.000136986301369863</v>
      </c>
      <c r="CS19" s="27" t="n">
        <f aca="false">IF(CS$18&gt;0,1/CS$18,0)</f>
        <v>0.000136986301369863</v>
      </c>
      <c r="CT19" s="27" t="n">
        <f aca="false">IF(CT$18&gt;0,1/CT$18,0)</f>
        <v>0.000136986301369863</v>
      </c>
      <c r="CU19" s="27" t="n">
        <f aca="false">IF(CU$18&gt;0,1/CU$18,0)</f>
        <v>0.000136986301369863</v>
      </c>
      <c r="CV19" s="27" t="n">
        <f aca="false">IF(CV$18&gt;0,1/CV$18,0)</f>
        <v>0.000136986301369863</v>
      </c>
      <c r="CW19" s="27" t="n">
        <f aca="false">IF(CW$18&gt;0,1/CW$18,0)</f>
        <v>0.000136986301369863</v>
      </c>
      <c r="CX19" s="27" t="n">
        <f aca="false">IF(CX$18&gt;0,1/CX$18,0)</f>
        <v>0.000136986301369863</v>
      </c>
      <c r="CY19" s="27" t="n">
        <f aca="false">IF(CY$18&gt;0,1/CY$18,0)</f>
        <v>0.000136986301369863</v>
      </c>
      <c r="CZ19" s="27" t="n">
        <f aca="false">IF(CZ$18&gt;0,1/CZ$18,0)</f>
        <v>0.000136986301369863</v>
      </c>
      <c r="DA19" s="27" t="n">
        <f aca="false">IF(DA$18&gt;0,1/DA$18,0)</f>
        <v>0.000136986301369863</v>
      </c>
      <c r="DB19" s="27" t="n">
        <f aca="false">IF(DB$18&gt;0,1/DB$18,0)</f>
        <v>0.000136986301369863</v>
      </c>
      <c r="DC19" s="27" t="n">
        <f aca="false">IF(DC$18&gt;0,1/DC$18,0)</f>
        <v>0.000136986301369863</v>
      </c>
      <c r="DD19" s="27" t="n">
        <f aca="false">IF(DD$18&gt;0,1/DD$18,0)</f>
        <v>0.000136986301369863</v>
      </c>
      <c r="DE19" s="27" t="n">
        <f aca="false">IF(DE$18&gt;0,1/DE$18,0)</f>
        <v>0.000136986301369863</v>
      </c>
      <c r="DF19" s="27" t="n">
        <f aca="false">IF(DF$18&gt;0,1/DF$18,0)</f>
        <v>0.000136986301369863</v>
      </c>
      <c r="DG19" s="27" t="n">
        <f aca="false">IF(DG$18&gt;0,1/DG$18,0)</f>
        <v>0.000136986301369863</v>
      </c>
      <c r="DH19" s="27" t="n">
        <f aca="false">IF(DH$18&gt;0,1/DH$18,0)</f>
        <v>0.000136986301369863</v>
      </c>
      <c r="DI19" s="27" t="n">
        <f aca="false">IF(DI$18&gt;0,1/DI$18,0)</f>
        <v>0.000136986301369863</v>
      </c>
      <c r="DJ19" s="27" t="n">
        <f aca="false">IF(DJ$18&gt;0,1/DJ$18,0)</f>
        <v>0.000136986301369863</v>
      </c>
      <c r="DK19" s="27" t="n">
        <f aca="false">IF(DK$18&gt;0,1/DK$18,0)</f>
        <v>0.000136986301369863</v>
      </c>
      <c r="DL19" s="27" t="n">
        <f aca="false">IF(DL$18&gt;0,1/DL$18,0)</f>
        <v>0.000136986301369863</v>
      </c>
      <c r="DM19" s="27" t="n">
        <f aca="false">IF(DM$18&gt;0,1/DM$18,0)</f>
        <v>0.000136986301369863</v>
      </c>
      <c r="DN19" s="27" t="n">
        <f aca="false">IF(DN$18&gt;0,1/DN$18,0)</f>
        <v>0.000136986301369863</v>
      </c>
      <c r="DO19" s="27" t="n">
        <f aca="false">IF(DO$18&gt;0,1/DO$18,0)</f>
        <v>0.000136986301369863</v>
      </c>
      <c r="DP19" s="27" t="n">
        <f aca="false">IF(DP$18&gt;0,1/DP$18,0)</f>
        <v>0.000136986301369863</v>
      </c>
      <c r="DQ19" s="27" t="n">
        <f aca="false">IF(DQ$18&gt;0,1/DQ$18,0)</f>
        <v>0.000136986301369863</v>
      </c>
      <c r="DR19" s="27" t="n">
        <f aca="false">IF(DR$18&gt;0,1/DR$18,0)</f>
        <v>0.000136986301369863</v>
      </c>
      <c r="DS19" s="27" t="n">
        <f aca="false">IF(DS$18&gt;0,1/DS$18,0)</f>
        <v>0.000136986301369863</v>
      </c>
      <c r="DT19" s="27" t="n">
        <f aca="false">IF(DT$18&gt;0,1/DT$18,0)</f>
        <v>0.000136986301369863</v>
      </c>
      <c r="DU19" s="27" t="n">
        <f aca="false">IF(DU$18&gt;0,1/DU$18,0)</f>
        <v>0.000136986301369863</v>
      </c>
      <c r="DV19" s="27" t="n">
        <f aca="false">IF(DV$18&gt;0,1/DV$18,0)</f>
        <v>0.000136986301369863</v>
      </c>
      <c r="DW19" s="27" t="n">
        <f aca="false">IF(DW$18&gt;0,1/DW$18,0)</f>
        <v>0.000136986301369863</v>
      </c>
      <c r="DX19" s="27" t="n">
        <f aca="false">IF(DX$18&gt;0,1/DX$18,0)</f>
        <v>0.000136986301369863</v>
      </c>
      <c r="DY19" s="27" t="n">
        <f aca="false">IF(DY$18&gt;0,1/DY$18,0)</f>
        <v>0.000136986301369863</v>
      </c>
      <c r="DZ19" s="27" t="n">
        <f aca="false">IF(DZ$18&gt;0,1/DZ$18,0)</f>
        <v>0.000136986301369863</v>
      </c>
      <c r="EA19" s="27" t="n">
        <f aca="false">IF(EA$18&gt;0,1/EA$18,0)</f>
        <v>0.000136986301369863</v>
      </c>
      <c r="EB19" s="27" t="n">
        <f aca="false">IF(EB$18&gt;0,1/EB$18,0)</f>
        <v>0.000136986301369863</v>
      </c>
      <c r="EC19" s="27" t="n">
        <f aca="false">IF(EC$18&gt;0,1/EC$18,0)</f>
        <v>0.000136986301369863</v>
      </c>
      <c r="ED19" s="27" t="n">
        <f aca="false">IF(ED$18&gt;0,1/ED$18,0)</f>
        <v>0.000136986301369863</v>
      </c>
      <c r="EE19" s="27" t="n">
        <f aca="false">IF(EE$18&gt;0,1/EE$18,0)</f>
        <v>0.000136986301369863</v>
      </c>
      <c r="EF19" s="27" t="n">
        <f aca="false">IF(EF$18&gt;0,1/EF$18,0)</f>
        <v>0.000136986301369863</v>
      </c>
      <c r="EG19" s="27" t="n">
        <f aca="false">IF(EG$18&gt;0,1/EG$18,0)</f>
        <v>0.000136986301369863</v>
      </c>
      <c r="EH19" s="27" t="n">
        <f aca="false">IF(EH$18&gt;0,1/EH$18,0)</f>
        <v>0.000136986301369863</v>
      </c>
      <c r="EI19" s="27" t="n">
        <f aca="false">IF(EI$18&gt;0,1/EI$18,0)</f>
        <v>0.000136986301369863</v>
      </c>
      <c r="EJ19" s="27" t="n">
        <f aca="false">IF(EJ$18&gt;0,1/EJ$18,0)</f>
        <v>0.000136986301369863</v>
      </c>
      <c r="EK19" s="27" t="n">
        <f aca="false">IF(EK$18&gt;0,1/EK$18,0)</f>
        <v>0.000136986301369863</v>
      </c>
      <c r="EL19" s="27" t="n">
        <f aca="false">IF(EL$18&gt;0,1/EL$18,0)</f>
        <v>0.000136986301369863</v>
      </c>
      <c r="EM19" s="27" t="n">
        <f aca="false">IF(EM$18&gt;0,1/EM$18,0)</f>
        <v>0.000136986301369863</v>
      </c>
      <c r="EN19" s="27" t="n">
        <f aca="false">IF(EN$18&gt;0,1/EN$18,0)</f>
        <v>0.000136986301369863</v>
      </c>
      <c r="EO19" s="27" t="n">
        <f aca="false">IF(EO$18&gt;0,1/EO$18,0)</f>
        <v>0.000136986301369863</v>
      </c>
      <c r="EP19" s="27" t="n">
        <f aca="false">IF(EP$18&gt;0,1/EP$18,0)</f>
        <v>0.000136986301369863</v>
      </c>
      <c r="EQ19" s="27" t="n">
        <f aca="false">IF(EQ$18&gt;0,1/EQ$18,0)</f>
        <v>0.000136986301369863</v>
      </c>
      <c r="ER19" s="27" t="n">
        <f aca="false">IF(ER$18&gt;0,1/ER$18,0)</f>
        <v>0.000136986301369863</v>
      </c>
      <c r="ES19" s="27" t="n">
        <f aca="false">IF(ES$18&gt;0,1/ES$18,0)</f>
        <v>0.000136986301369863</v>
      </c>
    </row>
    <row r="20" customFormat="false" ht="15" hidden="false" customHeight="false" outlineLevel="0" collapsed="false">
      <c r="A20" s="4"/>
      <c r="B20" s="3" t="s">
        <v>248</v>
      </c>
      <c r="C20" s="4"/>
      <c r="D20" s="4"/>
      <c r="E20" s="4"/>
    </row>
    <row r="21" customFormat="false" ht="15" hidden="false" customHeight="false" outlineLevel="0" collapsed="false">
      <c r="A21" s="2" t="s">
        <v>558</v>
      </c>
      <c r="B21" s="39" t="str">
        <f aca="false">IF(INDEX(Prod_Nombre,1)="","Producto 1",INDEX(Prod_Nombre,1))&amp;" — unidades"</f>
        <v>Gabinetes metálicos 153 kg — unidades</v>
      </c>
      <c r="C21" s="6" t="s">
        <v>286</v>
      </c>
      <c r="E21" s="40" t="n">
        <f aca="false">SUM(F21:ES21)</f>
        <v>192000</v>
      </c>
      <c r="F21" s="34" t="n">
        <f aca="false">IF(F$15=1,INDEX(Vol_O,1,F$14)/12*(1+P_dVol),0)</f>
        <v>1000</v>
      </c>
      <c r="G21" s="34" t="n">
        <f aca="false">IF(G$15=1,INDEX(Vol_O,1,G$14)/12*(1+P_dVol),0)</f>
        <v>1000</v>
      </c>
      <c r="H21" s="34" t="n">
        <f aca="false">IF(H$15=1,INDEX(Vol_O,1,H$14)/12*(1+P_dVol),0)</f>
        <v>1000</v>
      </c>
      <c r="I21" s="34" t="n">
        <f aca="false">IF(I$15=1,INDEX(Vol_O,1,I$14)/12*(1+P_dVol),0)</f>
        <v>1000</v>
      </c>
      <c r="J21" s="34" t="n">
        <f aca="false">IF(J$15=1,INDEX(Vol_O,1,J$14)/12*(1+P_dVol),0)</f>
        <v>1000</v>
      </c>
      <c r="K21" s="34" t="n">
        <f aca="false">IF(K$15=1,INDEX(Vol_O,1,K$14)/12*(1+P_dVol),0)</f>
        <v>1000</v>
      </c>
      <c r="L21" s="34" t="n">
        <f aca="false">IF(L$15=1,INDEX(Vol_O,1,L$14)/12*(1+P_dVol),0)</f>
        <v>1000</v>
      </c>
      <c r="M21" s="34" t="n">
        <f aca="false">IF(M$15=1,INDEX(Vol_O,1,M$14)/12*(1+P_dVol),0)</f>
        <v>1000</v>
      </c>
      <c r="N21" s="34" t="n">
        <f aca="false">IF(N$15=1,INDEX(Vol_O,1,N$14)/12*(1+P_dVol),0)</f>
        <v>1000</v>
      </c>
      <c r="O21" s="34" t="n">
        <f aca="false">IF(O$15=1,INDEX(Vol_O,1,O$14)/12*(1+P_dVol),0)</f>
        <v>1000</v>
      </c>
      <c r="P21" s="34" t="n">
        <f aca="false">IF(P$15=1,INDEX(Vol_O,1,P$14)/12*(1+P_dVol),0)</f>
        <v>1000</v>
      </c>
      <c r="Q21" s="34" t="n">
        <f aca="false">IF(Q$15=1,INDEX(Vol_O,1,Q$14)/12*(1+P_dVol),0)</f>
        <v>1000</v>
      </c>
      <c r="R21" s="34" t="n">
        <f aca="false">IF(R$15=1,INDEX(Vol_O,1,R$14)/12*(1+P_dVol),0)</f>
        <v>1250</v>
      </c>
      <c r="S21" s="34" t="n">
        <f aca="false">IF(S$15=1,INDEX(Vol_O,1,S$14)/12*(1+P_dVol),0)</f>
        <v>1250</v>
      </c>
      <c r="T21" s="34" t="n">
        <f aca="false">IF(T$15=1,INDEX(Vol_O,1,T$14)/12*(1+P_dVol),0)</f>
        <v>1250</v>
      </c>
      <c r="U21" s="34" t="n">
        <f aca="false">IF(U$15=1,INDEX(Vol_O,1,U$14)/12*(1+P_dVol),0)</f>
        <v>1250</v>
      </c>
      <c r="V21" s="34" t="n">
        <f aca="false">IF(V$15=1,INDEX(Vol_O,1,V$14)/12*(1+P_dVol),0)</f>
        <v>1250</v>
      </c>
      <c r="W21" s="34" t="n">
        <f aca="false">IF(W$15=1,INDEX(Vol_O,1,W$14)/12*(1+P_dVol),0)</f>
        <v>1250</v>
      </c>
      <c r="X21" s="34" t="n">
        <f aca="false">IF(X$15=1,INDEX(Vol_O,1,X$14)/12*(1+P_dVol),0)</f>
        <v>1250</v>
      </c>
      <c r="Y21" s="34" t="n">
        <f aca="false">IF(Y$15=1,INDEX(Vol_O,1,Y$14)/12*(1+P_dVol),0)</f>
        <v>1250</v>
      </c>
      <c r="Z21" s="34" t="n">
        <f aca="false">IF(Z$15=1,INDEX(Vol_O,1,Z$14)/12*(1+P_dVol),0)</f>
        <v>1250</v>
      </c>
      <c r="AA21" s="34" t="n">
        <f aca="false">IF(AA$15=1,INDEX(Vol_O,1,AA$14)/12*(1+P_dVol),0)</f>
        <v>1250</v>
      </c>
      <c r="AB21" s="34" t="n">
        <f aca="false">IF(AB$15=1,INDEX(Vol_O,1,AB$14)/12*(1+P_dVol),0)</f>
        <v>1250</v>
      </c>
      <c r="AC21" s="34" t="n">
        <f aca="false">IF(AC$15=1,INDEX(Vol_O,1,AC$14)/12*(1+P_dVol),0)</f>
        <v>1250</v>
      </c>
      <c r="AD21" s="34" t="n">
        <f aca="false">IF(AD$15=1,INDEX(Vol_O,1,AD$14)/12*(1+P_dVol),0)</f>
        <v>1500</v>
      </c>
      <c r="AE21" s="34" t="n">
        <f aca="false">IF(AE$15=1,INDEX(Vol_O,1,AE$14)/12*(1+P_dVol),0)</f>
        <v>1500</v>
      </c>
      <c r="AF21" s="34" t="n">
        <f aca="false">IF(AF$15=1,INDEX(Vol_O,1,AF$14)/12*(1+P_dVol),0)</f>
        <v>1500</v>
      </c>
      <c r="AG21" s="34" t="n">
        <f aca="false">IF(AG$15=1,INDEX(Vol_O,1,AG$14)/12*(1+P_dVol),0)</f>
        <v>1500</v>
      </c>
      <c r="AH21" s="34" t="n">
        <f aca="false">IF(AH$15=1,INDEX(Vol_O,1,AH$14)/12*(1+P_dVol),0)</f>
        <v>1500</v>
      </c>
      <c r="AI21" s="34" t="n">
        <f aca="false">IF(AI$15=1,INDEX(Vol_O,1,AI$14)/12*(1+P_dVol),0)</f>
        <v>1500</v>
      </c>
      <c r="AJ21" s="34" t="n">
        <f aca="false">IF(AJ$15=1,INDEX(Vol_O,1,AJ$14)/12*(1+P_dVol),0)</f>
        <v>1500</v>
      </c>
      <c r="AK21" s="34" t="n">
        <f aca="false">IF(AK$15=1,INDEX(Vol_O,1,AK$14)/12*(1+P_dVol),0)</f>
        <v>1500</v>
      </c>
      <c r="AL21" s="34" t="n">
        <f aca="false">IF(AL$15=1,INDEX(Vol_O,1,AL$14)/12*(1+P_dVol),0)</f>
        <v>1500</v>
      </c>
      <c r="AM21" s="34" t="n">
        <f aca="false">IF(AM$15=1,INDEX(Vol_O,1,AM$14)/12*(1+P_dVol),0)</f>
        <v>1500</v>
      </c>
      <c r="AN21" s="34" t="n">
        <f aca="false">IF(AN$15=1,INDEX(Vol_O,1,AN$14)/12*(1+P_dVol),0)</f>
        <v>1500</v>
      </c>
      <c r="AO21" s="34" t="n">
        <f aca="false">IF(AO$15=1,INDEX(Vol_O,1,AO$14)/12*(1+P_dVol),0)</f>
        <v>1500</v>
      </c>
      <c r="AP21" s="34" t="n">
        <f aca="false">IF(AP$15=1,INDEX(Vol_O,1,AP$14)/12*(1+P_dVol),0)</f>
        <v>1750</v>
      </c>
      <c r="AQ21" s="34" t="n">
        <f aca="false">IF(AQ$15=1,INDEX(Vol_O,1,AQ$14)/12*(1+P_dVol),0)</f>
        <v>1750</v>
      </c>
      <c r="AR21" s="34" t="n">
        <f aca="false">IF(AR$15=1,INDEX(Vol_O,1,AR$14)/12*(1+P_dVol),0)</f>
        <v>1750</v>
      </c>
      <c r="AS21" s="34" t="n">
        <f aca="false">IF(AS$15=1,INDEX(Vol_O,1,AS$14)/12*(1+P_dVol),0)</f>
        <v>1750</v>
      </c>
      <c r="AT21" s="34" t="n">
        <f aca="false">IF(AT$15=1,INDEX(Vol_O,1,AT$14)/12*(1+P_dVol),0)</f>
        <v>1750</v>
      </c>
      <c r="AU21" s="34" t="n">
        <f aca="false">IF(AU$15=1,INDEX(Vol_O,1,AU$14)/12*(1+P_dVol),0)</f>
        <v>1750</v>
      </c>
      <c r="AV21" s="34" t="n">
        <f aca="false">IF(AV$15=1,INDEX(Vol_O,1,AV$14)/12*(1+P_dVol),0)</f>
        <v>1750</v>
      </c>
      <c r="AW21" s="34" t="n">
        <f aca="false">IF(AW$15=1,INDEX(Vol_O,1,AW$14)/12*(1+P_dVol),0)</f>
        <v>1750</v>
      </c>
      <c r="AX21" s="34" t="n">
        <f aca="false">IF(AX$15=1,INDEX(Vol_O,1,AX$14)/12*(1+P_dVol),0)</f>
        <v>1750</v>
      </c>
      <c r="AY21" s="34" t="n">
        <f aca="false">IF(AY$15=1,INDEX(Vol_O,1,AY$14)/12*(1+P_dVol),0)</f>
        <v>1750</v>
      </c>
      <c r="AZ21" s="34" t="n">
        <f aca="false">IF(AZ$15=1,INDEX(Vol_O,1,AZ$14)/12*(1+P_dVol),0)</f>
        <v>1750</v>
      </c>
      <c r="BA21" s="34" t="n">
        <f aca="false">IF(BA$15=1,INDEX(Vol_O,1,BA$14)/12*(1+P_dVol),0)</f>
        <v>1750</v>
      </c>
      <c r="BB21" s="34" t="n">
        <f aca="false">IF(BB$15=1,INDEX(Vol_O,1,BB$14)/12*(1+P_dVol),0)</f>
        <v>1750</v>
      </c>
      <c r="BC21" s="34" t="n">
        <f aca="false">IF(BC$15=1,INDEX(Vol_O,1,BC$14)/12*(1+P_dVol),0)</f>
        <v>1750</v>
      </c>
      <c r="BD21" s="34" t="n">
        <f aca="false">IF(BD$15=1,INDEX(Vol_O,1,BD$14)/12*(1+P_dVol),0)</f>
        <v>1750</v>
      </c>
      <c r="BE21" s="34" t="n">
        <f aca="false">IF(BE$15=1,INDEX(Vol_O,1,BE$14)/12*(1+P_dVol),0)</f>
        <v>1750</v>
      </c>
      <c r="BF21" s="34" t="n">
        <f aca="false">IF(BF$15=1,INDEX(Vol_O,1,BF$14)/12*(1+P_dVol),0)</f>
        <v>1750</v>
      </c>
      <c r="BG21" s="34" t="n">
        <f aca="false">IF(BG$15=1,INDEX(Vol_O,1,BG$14)/12*(1+P_dVol),0)</f>
        <v>1750</v>
      </c>
      <c r="BH21" s="34" t="n">
        <f aca="false">IF(BH$15=1,INDEX(Vol_O,1,BH$14)/12*(1+P_dVol),0)</f>
        <v>1750</v>
      </c>
      <c r="BI21" s="34" t="n">
        <f aca="false">IF(BI$15=1,INDEX(Vol_O,1,BI$14)/12*(1+P_dVol),0)</f>
        <v>1750</v>
      </c>
      <c r="BJ21" s="34" t="n">
        <f aca="false">IF(BJ$15=1,INDEX(Vol_O,1,BJ$14)/12*(1+P_dVol),0)</f>
        <v>1750</v>
      </c>
      <c r="BK21" s="34" t="n">
        <f aca="false">IF(BK$15=1,INDEX(Vol_O,1,BK$14)/12*(1+P_dVol),0)</f>
        <v>1750</v>
      </c>
      <c r="BL21" s="34" t="n">
        <f aca="false">IF(BL$15=1,INDEX(Vol_O,1,BL$14)/12*(1+P_dVol),0)</f>
        <v>1750</v>
      </c>
      <c r="BM21" s="34" t="n">
        <f aca="false">IF(BM$15=1,INDEX(Vol_O,1,BM$14)/12*(1+P_dVol),0)</f>
        <v>1750</v>
      </c>
      <c r="BN21" s="34" t="n">
        <f aca="false">IF(BN$15=1,INDEX(Vol_O,1,BN$14)/12*(1+P_dVol),0)</f>
        <v>1750</v>
      </c>
      <c r="BO21" s="34" t="n">
        <f aca="false">IF(BO$15=1,INDEX(Vol_O,1,BO$14)/12*(1+P_dVol),0)</f>
        <v>1750</v>
      </c>
      <c r="BP21" s="34" t="n">
        <f aca="false">IF(BP$15=1,INDEX(Vol_O,1,BP$14)/12*(1+P_dVol),0)</f>
        <v>1750</v>
      </c>
      <c r="BQ21" s="34" t="n">
        <f aca="false">IF(BQ$15=1,INDEX(Vol_O,1,BQ$14)/12*(1+P_dVol),0)</f>
        <v>1750</v>
      </c>
      <c r="BR21" s="34" t="n">
        <f aca="false">IF(BR$15=1,INDEX(Vol_O,1,BR$14)/12*(1+P_dVol),0)</f>
        <v>1750</v>
      </c>
      <c r="BS21" s="34" t="n">
        <f aca="false">IF(BS$15=1,INDEX(Vol_O,1,BS$14)/12*(1+P_dVol),0)</f>
        <v>1750</v>
      </c>
      <c r="BT21" s="34" t="n">
        <f aca="false">IF(BT$15=1,INDEX(Vol_O,1,BT$14)/12*(1+P_dVol),0)</f>
        <v>1750</v>
      </c>
      <c r="BU21" s="34" t="n">
        <f aca="false">IF(BU$15=1,INDEX(Vol_O,1,BU$14)/12*(1+P_dVol),0)</f>
        <v>1750</v>
      </c>
      <c r="BV21" s="34" t="n">
        <f aca="false">IF(BV$15=1,INDEX(Vol_O,1,BV$14)/12*(1+P_dVol),0)</f>
        <v>1750</v>
      </c>
      <c r="BW21" s="34" t="n">
        <f aca="false">IF(BW$15=1,INDEX(Vol_O,1,BW$14)/12*(1+P_dVol),0)</f>
        <v>1750</v>
      </c>
      <c r="BX21" s="34" t="n">
        <f aca="false">IF(BX$15=1,INDEX(Vol_O,1,BX$14)/12*(1+P_dVol),0)</f>
        <v>1750</v>
      </c>
      <c r="BY21" s="34" t="n">
        <f aca="false">IF(BY$15=1,INDEX(Vol_O,1,BY$14)/12*(1+P_dVol),0)</f>
        <v>1750</v>
      </c>
      <c r="BZ21" s="34" t="n">
        <f aca="false">IF(BZ$15=1,INDEX(Vol_O,1,BZ$14)/12*(1+P_dVol),0)</f>
        <v>1750</v>
      </c>
      <c r="CA21" s="34" t="n">
        <f aca="false">IF(CA$15=1,INDEX(Vol_O,1,CA$14)/12*(1+P_dVol),0)</f>
        <v>1750</v>
      </c>
      <c r="CB21" s="34" t="n">
        <f aca="false">IF(CB$15=1,INDEX(Vol_O,1,CB$14)/12*(1+P_dVol),0)</f>
        <v>1750</v>
      </c>
      <c r="CC21" s="34" t="n">
        <f aca="false">IF(CC$15=1,INDEX(Vol_O,1,CC$14)/12*(1+P_dVol),0)</f>
        <v>1750</v>
      </c>
      <c r="CD21" s="34" t="n">
        <f aca="false">IF(CD$15=1,INDEX(Vol_O,1,CD$14)/12*(1+P_dVol),0)</f>
        <v>1750</v>
      </c>
      <c r="CE21" s="34" t="n">
        <f aca="false">IF(CE$15=1,INDEX(Vol_O,1,CE$14)/12*(1+P_dVol),0)</f>
        <v>1750</v>
      </c>
      <c r="CF21" s="34" t="n">
        <f aca="false">IF(CF$15=1,INDEX(Vol_O,1,CF$14)/12*(1+P_dVol),0)</f>
        <v>1750</v>
      </c>
      <c r="CG21" s="34" t="n">
        <f aca="false">IF(CG$15=1,INDEX(Vol_O,1,CG$14)/12*(1+P_dVol),0)</f>
        <v>1750</v>
      </c>
      <c r="CH21" s="34" t="n">
        <f aca="false">IF(CH$15=1,INDEX(Vol_O,1,CH$14)/12*(1+P_dVol),0)</f>
        <v>1750</v>
      </c>
      <c r="CI21" s="34" t="n">
        <f aca="false">IF(CI$15=1,INDEX(Vol_O,1,CI$14)/12*(1+P_dVol),0)</f>
        <v>1750</v>
      </c>
      <c r="CJ21" s="34" t="n">
        <f aca="false">IF(CJ$15=1,INDEX(Vol_O,1,CJ$14)/12*(1+P_dVol),0)</f>
        <v>1750</v>
      </c>
      <c r="CK21" s="34" t="n">
        <f aca="false">IF(CK$15=1,INDEX(Vol_O,1,CK$14)/12*(1+P_dVol),0)</f>
        <v>1750</v>
      </c>
      <c r="CL21" s="34" t="n">
        <f aca="false">IF(CL$15=1,INDEX(Vol_O,1,CL$14)/12*(1+P_dVol),0)</f>
        <v>1750</v>
      </c>
      <c r="CM21" s="34" t="n">
        <f aca="false">IF(CM$15=1,INDEX(Vol_O,1,CM$14)/12*(1+P_dVol),0)</f>
        <v>1750</v>
      </c>
      <c r="CN21" s="34" t="n">
        <f aca="false">IF(CN$15=1,INDEX(Vol_O,1,CN$14)/12*(1+P_dVol),0)</f>
        <v>1750</v>
      </c>
      <c r="CO21" s="34" t="n">
        <f aca="false">IF(CO$15=1,INDEX(Vol_O,1,CO$14)/12*(1+P_dVol),0)</f>
        <v>1750</v>
      </c>
      <c r="CP21" s="34" t="n">
        <f aca="false">IF(CP$15=1,INDEX(Vol_O,1,CP$14)/12*(1+P_dVol),0)</f>
        <v>1750</v>
      </c>
      <c r="CQ21" s="34" t="n">
        <f aca="false">IF(CQ$15=1,INDEX(Vol_O,1,CQ$14)/12*(1+P_dVol),0)</f>
        <v>1750</v>
      </c>
      <c r="CR21" s="34" t="n">
        <f aca="false">IF(CR$15=1,INDEX(Vol_O,1,CR$14)/12*(1+P_dVol),0)</f>
        <v>1750</v>
      </c>
      <c r="CS21" s="34" t="n">
        <f aca="false">IF(CS$15=1,INDEX(Vol_O,1,CS$14)/12*(1+P_dVol),0)</f>
        <v>1750</v>
      </c>
      <c r="CT21" s="34" t="n">
        <f aca="false">IF(CT$15=1,INDEX(Vol_O,1,CT$14)/12*(1+P_dVol),0)</f>
        <v>1750</v>
      </c>
      <c r="CU21" s="34" t="n">
        <f aca="false">IF(CU$15=1,INDEX(Vol_O,1,CU$14)/12*(1+P_dVol),0)</f>
        <v>1750</v>
      </c>
      <c r="CV21" s="34" t="n">
        <f aca="false">IF(CV$15=1,INDEX(Vol_O,1,CV$14)/12*(1+P_dVol),0)</f>
        <v>1750</v>
      </c>
      <c r="CW21" s="34" t="n">
        <f aca="false">IF(CW$15=1,INDEX(Vol_O,1,CW$14)/12*(1+P_dVol),0)</f>
        <v>1750</v>
      </c>
      <c r="CX21" s="34" t="n">
        <f aca="false">IF(CX$15=1,INDEX(Vol_O,1,CX$14)/12*(1+P_dVol),0)</f>
        <v>1750</v>
      </c>
      <c r="CY21" s="34" t="n">
        <f aca="false">IF(CY$15=1,INDEX(Vol_O,1,CY$14)/12*(1+P_dVol),0)</f>
        <v>1750</v>
      </c>
      <c r="CZ21" s="34" t="n">
        <f aca="false">IF(CZ$15=1,INDEX(Vol_O,1,CZ$14)/12*(1+P_dVol),0)</f>
        <v>1750</v>
      </c>
      <c r="DA21" s="34" t="n">
        <f aca="false">IF(DA$15=1,INDEX(Vol_O,1,DA$14)/12*(1+P_dVol),0)</f>
        <v>1750</v>
      </c>
      <c r="DB21" s="34" t="n">
        <f aca="false">IF(DB$15=1,INDEX(Vol_O,1,DB$14)/12*(1+P_dVol),0)</f>
        <v>1750</v>
      </c>
      <c r="DC21" s="34" t="n">
        <f aca="false">IF(DC$15=1,INDEX(Vol_O,1,DC$14)/12*(1+P_dVol),0)</f>
        <v>1750</v>
      </c>
      <c r="DD21" s="34" t="n">
        <f aca="false">IF(DD$15=1,INDEX(Vol_O,1,DD$14)/12*(1+P_dVol),0)</f>
        <v>1750</v>
      </c>
      <c r="DE21" s="34" t="n">
        <f aca="false">IF(DE$15=1,INDEX(Vol_O,1,DE$14)/12*(1+P_dVol),0)</f>
        <v>1750</v>
      </c>
      <c r="DF21" s="34" t="n">
        <f aca="false">IF(DF$15=1,INDEX(Vol_O,1,DF$14)/12*(1+P_dVol),0)</f>
        <v>1750</v>
      </c>
      <c r="DG21" s="34" t="n">
        <f aca="false">IF(DG$15=1,INDEX(Vol_O,1,DG$14)/12*(1+P_dVol),0)</f>
        <v>1750</v>
      </c>
      <c r="DH21" s="34" t="n">
        <f aca="false">IF(DH$15=1,INDEX(Vol_O,1,DH$14)/12*(1+P_dVol),0)</f>
        <v>1750</v>
      </c>
      <c r="DI21" s="34" t="n">
        <f aca="false">IF(DI$15=1,INDEX(Vol_O,1,DI$14)/12*(1+P_dVol),0)</f>
        <v>1750</v>
      </c>
      <c r="DJ21" s="34" t="n">
        <f aca="false">IF(DJ$15=1,INDEX(Vol_O,1,DJ$14)/12*(1+P_dVol),0)</f>
        <v>1750</v>
      </c>
      <c r="DK21" s="34" t="n">
        <f aca="false">IF(DK$15=1,INDEX(Vol_O,1,DK$14)/12*(1+P_dVol),0)</f>
        <v>1750</v>
      </c>
      <c r="DL21" s="34" t="n">
        <f aca="false">IF(DL$15=1,INDEX(Vol_O,1,DL$14)/12*(1+P_dVol),0)</f>
        <v>1750</v>
      </c>
      <c r="DM21" s="34" t="n">
        <f aca="false">IF(DM$15=1,INDEX(Vol_O,1,DM$14)/12*(1+P_dVol),0)</f>
        <v>1750</v>
      </c>
      <c r="DN21" s="34" t="n">
        <f aca="false">IF(DN$15=1,INDEX(Vol_O,1,DN$14)/12*(1+P_dVol),0)</f>
        <v>1750</v>
      </c>
      <c r="DO21" s="34" t="n">
        <f aca="false">IF(DO$15=1,INDEX(Vol_O,1,DO$14)/12*(1+P_dVol),0)</f>
        <v>1750</v>
      </c>
      <c r="DP21" s="34" t="n">
        <f aca="false">IF(DP$15=1,INDEX(Vol_O,1,DP$14)/12*(1+P_dVol),0)</f>
        <v>1750</v>
      </c>
      <c r="DQ21" s="34" t="n">
        <f aca="false">IF(DQ$15=1,INDEX(Vol_O,1,DQ$14)/12*(1+P_dVol),0)</f>
        <v>1750</v>
      </c>
      <c r="DR21" s="34" t="n">
        <f aca="false">IF(DR$15=1,INDEX(Vol_O,1,DR$14)/12*(1+P_dVol),0)</f>
        <v>1750</v>
      </c>
      <c r="DS21" s="34" t="n">
        <f aca="false">IF(DS$15=1,INDEX(Vol_O,1,DS$14)/12*(1+P_dVol),0)</f>
        <v>1750</v>
      </c>
      <c r="DT21" s="34" t="n">
        <f aca="false">IF(DT$15=1,INDEX(Vol_O,1,DT$14)/12*(1+P_dVol),0)</f>
        <v>1750</v>
      </c>
      <c r="DU21" s="34" t="n">
        <f aca="false">IF(DU$15=1,INDEX(Vol_O,1,DU$14)/12*(1+P_dVol),0)</f>
        <v>1750</v>
      </c>
      <c r="DV21" s="34" t="n">
        <f aca="false">IF(DV$15=1,INDEX(Vol_O,1,DV$14)/12*(1+P_dVol),0)</f>
        <v>0</v>
      </c>
      <c r="DW21" s="34" t="n">
        <f aca="false">IF(DW$15=1,INDEX(Vol_O,1,DW$14)/12*(1+P_dVol),0)</f>
        <v>0</v>
      </c>
      <c r="DX21" s="34" t="n">
        <f aca="false">IF(DX$15=1,INDEX(Vol_O,1,DX$14)/12*(1+P_dVol),0)</f>
        <v>0</v>
      </c>
      <c r="DY21" s="34" t="n">
        <f aca="false">IF(DY$15=1,INDEX(Vol_O,1,DY$14)/12*(1+P_dVol),0)</f>
        <v>0</v>
      </c>
      <c r="DZ21" s="34" t="n">
        <f aca="false">IF(DZ$15=1,INDEX(Vol_O,1,DZ$14)/12*(1+P_dVol),0)</f>
        <v>0</v>
      </c>
      <c r="EA21" s="34" t="n">
        <f aca="false">IF(EA$15=1,INDEX(Vol_O,1,EA$14)/12*(1+P_dVol),0)</f>
        <v>0</v>
      </c>
      <c r="EB21" s="34" t="n">
        <f aca="false">IF(EB$15=1,INDEX(Vol_O,1,EB$14)/12*(1+P_dVol),0)</f>
        <v>0</v>
      </c>
      <c r="EC21" s="34" t="n">
        <f aca="false">IF(EC$15=1,INDEX(Vol_O,1,EC$14)/12*(1+P_dVol),0)</f>
        <v>0</v>
      </c>
      <c r="ED21" s="34" t="n">
        <f aca="false">IF(ED$15=1,INDEX(Vol_O,1,ED$14)/12*(1+P_dVol),0)</f>
        <v>0</v>
      </c>
      <c r="EE21" s="34" t="n">
        <f aca="false">IF(EE$15=1,INDEX(Vol_O,1,EE$14)/12*(1+P_dVol),0)</f>
        <v>0</v>
      </c>
      <c r="EF21" s="34" t="n">
        <f aca="false">IF(EF$15=1,INDEX(Vol_O,1,EF$14)/12*(1+P_dVol),0)</f>
        <v>0</v>
      </c>
      <c r="EG21" s="34" t="n">
        <f aca="false">IF(EG$15=1,INDEX(Vol_O,1,EG$14)/12*(1+P_dVol),0)</f>
        <v>0</v>
      </c>
      <c r="EH21" s="34" t="n">
        <f aca="false">IF(EH$15=1,INDEX(Vol_O,1,EH$14)/12*(1+P_dVol),0)</f>
        <v>0</v>
      </c>
      <c r="EI21" s="34" t="n">
        <f aca="false">IF(EI$15=1,INDEX(Vol_O,1,EI$14)/12*(1+P_dVol),0)</f>
        <v>0</v>
      </c>
      <c r="EJ21" s="34" t="n">
        <f aca="false">IF(EJ$15=1,INDEX(Vol_O,1,EJ$14)/12*(1+P_dVol),0)</f>
        <v>0</v>
      </c>
      <c r="EK21" s="34" t="n">
        <f aca="false">IF(EK$15=1,INDEX(Vol_O,1,EK$14)/12*(1+P_dVol),0)</f>
        <v>0</v>
      </c>
      <c r="EL21" s="34" t="n">
        <f aca="false">IF(EL$15=1,INDEX(Vol_O,1,EL$14)/12*(1+P_dVol),0)</f>
        <v>0</v>
      </c>
      <c r="EM21" s="34" t="n">
        <f aca="false">IF(EM$15=1,INDEX(Vol_O,1,EM$14)/12*(1+P_dVol),0)</f>
        <v>0</v>
      </c>
      <c r="EN21" s="34" t="n">
        <f aca="false">IF(EN$15=1,INDEX(Vol_O,1,EN$14)/12*(1+P_dVol),0)</f>
        <v>0</v>
      </c>
      <c r="EO21" s="34" t="n">
        <f aca="false">IF(EO$15=1,INDEX(Vol_O,1,EO$14)/12*(1+P_dVol),0)</f>
        <v>0</v>
      </c>
      <c r="EP21" s="34" t="n">
        <f aca="false">IF(EP$15=1,INDEX(Vol_O,1,EP$14)/12*(1+P_dVol),0)</f>
        <v>0</v>
      </c>
      <c r="EQ21" s="34" t="n">
        <f aca="false">IF(EQ$15=1,INDEX(Vol_O,1,EQ$14)/12*(1+P_dVol),0)</f>
        <v>0</v>
      </c>
      <c r="ER21" s="34" t="n">
        <f aca="false">IF(ER$15=1,INDEX(Vol_O,1,ER$14)/12*(1+P_dVol),0)</f>
        <v>0</v>
      </c>
      <c r="ES21" s="34" t="n">
        <f aca="false">IF(ES$15=1,INDEX(Vol_O,1,ES$14)/12*(1+P_dVol),0)</f>
        <v>0</v>
      </c>
    </row>
    <row r="22" customFormat="false" ht="15" hidden="false" customHeight="false" outlineLevel="0" collapsed="false">
      <c r="A22" s="2" t="s">
        <v>559</v>
      </c>
      <c r="B22" s="39" t="str">
        <f aca="false">IF(INDEX(Prod_Nombre,2)="","Producto 2",INDEX(Prod_Nombre,2))&amp;" — unidades"</f>
        <v>Cajas metálicas 13 kg — unidades</v>
      </c>
      <c r="C22" s="6" t="s">
        <v>286</v>
      </c>
      <c r="E22" s="40" t="n">
        <f aca="false">SUM(F22:ES22)</f>
        <v>1110000</v>
      </c>
      <c r="F22" s="34" t="n">
        <f aca="false">IF(F$15=1,INDEX(Vol_O,2,F$14)/12*(1+P_dVol),0)</f>
        <v>5833.33333333333</v>
      </c>
      <c r="G22" s="34" t="n">
        <f aca="false">IF(G$15=1,INDEX(Vol_O,2,G$14)/12*(1+P_dVol),0)</f>
        <v>5833.33333333333</v>
      </c>
      <c r="H22" s="34" t="n">
        <f aca="false">IF(H$15=1,INDEX(Vol_O,2,H$14)/12*(1+P_dVol),0)</f>
        <v>5833.33333333333</v>
      </c>
      <c r="I22" s="34" t="n">
        <f aca="false">IF(I$15=1,INDEX(Vol_O,2,I$14)/12*(1+P_dVol),0)</f>
        <v>5833.33333333333</v>
      </c>
      <c r="J22" s="34" t="n">
        <f aca="false">IF(J$15=1,INDEX(Vol_O,2,J$14)/12*(1+P_dVol),0)</f>
        <v>5833.33333333333</v>
      </c>
      <c r="K22" s="34" t="n">
        <f aca="false">IF(K$15=1,INDEX(Vol_O,2,K$14)/12*(1+P_dVol),0)</f>
        <v>5833.33333333333</v>
      </c>
      <c r="L22" s="34" t="n">
        <f aca="false">IF(L$15=1,INDEX(Vol_O,2,L$14)/12*(1+P_dVol),0)</f>
        <v>5833.33333333333</v>
      </c>
      <c r="M22" s="34" t="n">
        <f aca="false">IF(M$15=1,INDEX(Vol_O,2,M$14)/12*(1+P_dVol),0)</f>
        <v>5833.33333333333</v>
      </c>
      <c r="N22" s="34" t="n">
        <f aca="false">IF(N$15=1,INDEX(Vol_O,2,N$14)/12*(1+P_dVol),0)</f>
        <v>5833.33333333333</v>
      </c>
      <c r="O22" s="34" t="n">
        <f aca="false">IF(O$15=1,INDEX(Vol_O,2,O$14)/12*(1+P_dVol),0)</f>
        <v>5833.33333333333</v>
      </c>
      <c r="P22" s="34" t="n">
        <f aca="false">IF(P$15=1,INDEX(Vol_O,2,P$14)/12*(1+P_dVol),0)</f>
        <v>5833.33333333333</v>
      </c>
      <c r="Q22" s="34" t="n">
        <f aca="false">IF(Q$15=1,INDEX(Vol_O,2,Q$14)/12*(1+P_dVol),0)</f>
        <v>5833.33333333333</v>
      </c>
      <c r="R22" s="34" t="n">
        <f aca="false">IF(R$15=1,INDEX(Vol_O,2,R$14)/12*(1+P_dVol),0)</f>
        <v>7500</v>
      </c>
      <c r="S22" s="34" t="n">
        <f aca="false">IF(S$15=1,INDEX(Vol_O,2,S$14)/12*(1+P_dVol),0)</f>
        <v>7500</v>
      </c>
      <c r="T22" s="34" t="n">
        <f aca="false">IF(T$15=1,INDEX(Vol_O,2,T$14)/12*(1+P_dVol),0)</f>
        <v>7500</v>
      </c>
      <c r="U22" s="34" t="n">
        <f aca="false">IF(U$15=1,INDEX(Vol_O,2,U$14)/12*(1+P_dVol),0)</f>
        <v>7500</v>
      </c>
      <c r="V22" s="34" t="n">
        <f aca="false">IF(V$15=1,INDEX(Vol_O,2,V$14)/12*(1+P_dVol),0)</f>
        <v>7500</v>
      </c>
      <c r="W22" s="34" t="n">
        <f aca="false">IF(W$15=1,INDEX(Vol_O,2,W$14)/12*(1+P_dVol),0)</f>
        <v>7500</v>
      </c>
      <c r="X22" s="34" t="n">
        <f aca="false">IF(X$15=1,INDEX(Vol_O,2,X$14)/12*(1+P_dVol),0)</f>
        <v>7500</v>
      </c>
      <c r="Y22" s="34" t="n">
        <f aca="false">IF(Y$15=1,INDEX(Vol_O,2,Y$14)/12*(1+P_dVol),0)</f>
        <v>7500</v>
      </c>
      <c r="Z22" s="34" t="n">
        <f aca="false">IF(Z$15=1,INDEX(Vol_O,2,Z$14)/12*(1+P_dVol),0)</f>
        <v>7500</v>
      </c>
      <c r="AA22" s="34" t="n">
        <f aca="false">IF(AA$15=1,INDEX(Vol_O,2,AA$14)/12*(1+P_dVol),0)</f>
        <v>7500</v>
      </c>
      <c r="AB22" s="34" t="n">
        <f aca="false">IF(AB$15=1,INDEX(Vol_O,2,AB$14)/12*(1+P_dVol),0)</f>
        <v>7500</v>
      </c>
      <c r="AC22" s="34" t="n">
        <f aca="false">IF(AC$15=1,INDEX(Vol_O,2,AC$14)/12*(1+P_dVol),0)</f>
        <v>7500</v>
      </c>
      <c r="AD22" s="34" t="n">
        <f aca="false">IF(AD$15=1,INDEX(Vol_O,2,AD$14)/12*(1+P_dVol),0)</f>
        <v>9166.66666666667</v>
      </c>
      <c r="AE22" s="34" t="n">
        <f aca="false">IF(AE$15=1,INDEX(Vol_O,2,AE$14)/12*(1+P_dVol),0)</f>
        <v>9166.66666666667</v>
      </c>
      <c r="AF22" s="34" t="n">
        <f aca="false">IF(AF$15=1,INDEX(Vol_O,2,AF$14)/12*(1+P_dVol),0)</f>
        <v>9166.66666666667</v>
      </c>
      <c r="AG22" s="34" t="n">
        <f aca="false">IF(AG$15=1,INDEX(Vol_O,2,AG$14)/12*(1+P_dVol),0)</f>
        <v>9166.66666666667</v>
      </c>
      <c r="AH22" s="34" t="n">
        <f aca="false">IF(AH$15=1,INDEX(Vol_O,2,AH$14)/12*(1+P_dVol),0)</f>
        <v>9166.66666666667</v>
      </c>
      <c r="AI22" s="34" t="n">
        <f aca="false">IF(AI$15=1,INDEX(Vol_O,2,AI$14)/12*(1+P_dVol),0)</f>
        <v>9166.66666666667</v>
      </c>
      <c r="AJ22" s="34" t="n">
        <f aca="false">IF(AJ$15=1,INDEX(Vol_O,2,AJ$14)/12*(1+P_dVol),0)</f>
        <v>9166.66666666667</v>
      </c>
      <c r="AK22" s="34" t="n">
        <f aca="false">IF(AK$15=1,INDEX(Vol_O,2,AK$14)/12*(1+P_dVol),0)</f>
        <v>9166.66666666667</v>
      </c>
      <c r="AL22" s="34" t="n">
        <f aca="false">IF(AL$15=1,INDEX(Vol_O,2,AL$14)/12*(1+P_dVol),0)</f>
        <v>9166.66666666667</v>
      </c>
      <c r="AM22" s="34" t="n">
        <f aca="false">IF(AM$15=1,INDEX(Vol_O,2,AM$14)/12*(1+P_dVol),0)</f>
        <v>9166.66666666667</v>
      </c>
      <c r="AN22" s="34" t="n">
        <f aca="false">IF(AN$15=1,INDEX(Vol_O,2,AN$14)/12*(1+P_dVol),0)</f>
        <v>9166.66666666667</v>
      </c>
      <c r="AO22" s="34" t="n">
        <f aca="false">IF(AO$15=1,INDEX(Vol_O,2,AO$14)/12*(1+P_dVol),0)</f>
        <v>9166.66666666667</v>
      </c>
      <c r="AP22" s="34" t="n">
        <f aca="false">IF(AP$15=1,INDEX(Vol_O,2,AP$14)/12*(1+P_dVol),0)</f>
        <v>10000</v>
      </c>
      <c r="AQ22" s="34" t="n">
        <f aca="false">IF(AQ$15=1,INDEX(Vol_O,2,AQ$14)/12*(1+P_dVol),0)</f>
        <v>10000</v>
      </c>
      <c r="AR22" s="34" t="n">
        <f aca="false">IF(AR$15=1,INDEX(Vol_O,2,AR$14)/12*(1+P_dVol),0)</f>
        <v>10000</v>
      </c>
      <c r="AS22" s="34" t="n">
        <f aca="false">IF(AS$15=1,INDEX(Vol_O,2,AS$14)/12*(1+P_dVol),0)</f>
        <v>10000</v>
      </c>
      <c r="AT22" s="34" t="n">
        <f aca="false">IF(AT$15=1,INDEX(Vol_O,2,AT$14)/12*(1+P_dVol),0)</f>
        <v>10000</v>
      </c>
      <c r="AU22" s="34" t="n">
        <f aca="false">IF(AU$15=1,INDEX(Vol_O,2,AU$14)/12*(1+P_dVol),0)</f>
        <v>10000</v>
      </c>
      <c r="AV22" s="34" t="n">
        <f aca="false">IF(AV$15=1,INDEX(Vol_O,2,AV$14)/12*(1+P_dVol),0)</f>
        <v>10000</v>
      </c>
      <c r="AW22" s="34" t="n">
        <f aca="false">IF(AW$15=1,INDEX(Vol_O,2,AW$14)/12*(1+P_dVol),0)</f>
        <v>10000</v>
      </c>
      <c r="AX22" s="34" t="n">
        <f aca="false">IF(AX$15=1,INDEX(Vol_O,2,AX$14)/12*(1+P_dVol),0)</f>
        <v>10000</v>
      </c>
      <c r="AY22" s="34" t="n">
        <f aca="false">IF(AY$15=1,INDEX(Vol_O,2,AY$14)/12*(1+P_dVol),0)</f>
        <v>10000</v>
      </c>
      <c r="AZ22" s="34" t="n">
        <f aca="false">IF(AZ$15=1,INDEX(Vol_O,2,AZ$14)/12*(1+P_dVol),0)</f>
        <v>10000</v>
      </c>
      <c r="BA22" s="34" t="n">
        <f aca="false">IF(BA$15=1,INDEX(Vol_O,2,BA$14)/12*(1+P_dVol),0)</f>
        <v>10000</v>
      </c>
      <c r="BB22" s="34" t="n">
        <f aca="false">IF(BB$15=1,INDEX(Vol_O,2,BB$14)/12*(1+P_dVol),0)</f>
        <v>10000</v>
      </c>
      <c r="BC22" s="34" t="n">
        <f aca="false">IF(BC$15=1,INDEX(Vol_O,2,BC$14)/12*(1+P_dVol),0)</f>
        <v>10000</v>
      </c>
      <c r="BD22" s="34" t="n">
        <f aca="false">IF(BD$15=1,INDEX(Vol_O,2,BD$14)/12*(1+P_dVol),0)</f>
        <v>10000</v>
      </c>
      <c r="BE22" s="34" t="n">
        <f aca="false">IF(BE$15=1,INDEX(Vol_O,2,BE$14)/12*(1+P_dVol),0)</f>
        <v>10000</v>
      </c>
      <c r="BF22" s="34" t="n">
        <f aca="false">IF(BF$15=1,INDEX(Vol_O,2,BF$14)/12*(1+P_dVol),0)</f>
        <v>10000</v>
      </c>
      <c r="BG22" s="34" t="n">
        <f aca="false">IF(BG$15=1,INDEX(Vol_O,2,BG$14)/12*(1+P_dVol),0)</f>
        <v>10000</v>
      </c>
      <c r="BH22" s="34" t="n">
        <f aca="false">IF(BH$15=1,INDEX(Vol_O,2,BH$14)/12*(1+P_dVol),0)</f>
        <v>10000</v>
      </c>
      <c r="BI22" s="34" t="n">
        <f aca="false">IF(BI$15=1,INDEX(Vol_O,2,BI$14)/12*(1+P_dVol),0)</f>
        <v>10000</v>
      </c>
      <c r="BJ22" s="34" t="n">
        <f aca="false">IF(BJ$15=1,INDEX(Vol_O,2,BJ$14)/12*(1+P_dVol),0)</f>
        <v>10000</v>
      </c>
      <c r="BK22" s="34" t="n">
        <f aca="false">IF(BK$15=1,INDEX(Vol_O,2,BK$14)/12*(1+P_dVol),0)</f>
        <v>10000</v>
      </c>
      <c r="BL22" s="34" t="n">
        <f aca="false">IF(BL$15=1,INDEX(Vol_O,2,BL$14)/12*(1+P_dVol),0)</f>
        <v>10000</v>
      </c>
      <c r="BM22" s="34" t="n">
        <f aca="false">IF(BM$15=1,INDEX(Vol_O,2,BM$14)/12*(1+P_dVol),0)</f>
        <v>10000</v>
      </c>
      <c r="BN22" s="34" t="n">
        <f aca="false">IF(BN$15=1,INDEX(Vol_O,2,BN$14)/12*(1+P_dVol),0)</f>
        <v>10000</v>
      </c>
      <c r="BO22" s="34" t="n">
        <f aca="false">IF(BO$15=1,INDEX(Vol_O,2,BO$14)/12*(1+P_dVol),0)</f>
        <v>10000</v>
      </c>
      <c r="BP22" s="34" t="n">
        <f aca="false">IF(BP$15=1,INDEX(Vol_O,2,BP$14)/12*(1+P_dVol),0)</f>
        <v>10000</v>
      </c>
      <c r="BQ22" s="34" t="n">
        <f aca="false">IF(BQ$15=1,INDEX(Vol_O,2,BQ$14)/12*(1+P_dVol),0)</f>
        <v>10000</v>
      </c>
      <c r="BR22" s="34" t="n">
        <f aca="false">IF(BR$15=1,INDEX(Vol_O,2,BR$14)/12*(1+P_dVol),0)</f>
        <v>10000</v>
      </c>
      <c r="BS22" s="34" t="n">
        <f aca="false">IF(BS$15=1,INDEX(Vol_O,2,BS$14)/12*(1+P_dVol),0)</f>
        <v>10000</v>
      </c>
      <c r="BT22" s="34" t="n">
        <f aca="false">IF(BT$15=1,INDEX(Vol_O,2,BT$14)/12*(1+P_dVol),0)</f>
        <v>10000</v>
      </c>
      <c r="BU22" s="34" t="n">
        <f aca="false">IF(BU$15=1,INDEX(Vol_O,2,BU$14)/12*(1+P_dVol),0)</f>
        <v>10000</v>
      </c>
      <c r="BV22" s="34" t="n">
        <f aca="false">IF(BV$15=1,INDEX(Vol_O,2,BV$14)/12*(1+P_dVol),0)</f>
        <v>10000</v>
      </c>
      <c r="BW22" s="34" t="n">
        <f aca="false">IF(BW$15=1,INDEX(Vol_O,2,BW$14)/12*(1+P_dVol),0)</f>
        <v>10000</v>
      </c>
      <c r="BX22" s="34" t="n">
        <f aca="false">IF(BX$15=1,INDEX(Vol_O,2,BX$14)/12*(1+P_dVol),0)</f>
        <v>10000</v>
      </c>
      <c r="BY22" s="34" t="n">
        <f aca="false">IF(BY$15=1,INDEX(Vol_O,2,BY$14)/12*(1+P_dVol),0)</f>
        <v>10000</v>
      </c>
      <c r="BZ22" s="34" t="n">
        <f aca="false">IF(BZ$15=1,INDEX(Vol_O,2,BZ$14)/12*(1+P_dVol),0)</f>
        <v>10000</v>
      </c>
      <c r="CA22" s="34" t="n">
        <f aca="false">IF(CA$15=1,INDEX(Vol_O,2,CA$14)/12*(1+P_dVol),0)</f>
        <v>10000</v>
      </c>
      <c r="CB22" s="34" t="n">
        <f aca="false">IF(CB$15=1,INDEX(Vol_O,2,CB$14)/12*(1+P_dVol),0)</f>
        <v>10000</v>
      </c>
      <c r="CC22" s="34" t="n">
        <f aca="false">IF(CC$15=1,INDEX(Vol_O,2,CC$14)/12*(1+P_dVol),0)</f>
        <v>10000</v>
      </c>
      <c r="CD22" s="34" t="n">
        <f aca="false">IF(CD$15=1,INDEX(Vol_O,2,CD$14)/12*(1+P_dVol),0)</f>
        <v>10000</v>
      </c>
      <c r="CE22" s="34" t="n">
        <f aca="false">IF(CE$15=1,INDEX(Vol_O,2,CE$14)/12*(1+P_dVol),0)</f>
        <v>10000</v>
      </c>
      <c r="CF22" s="34" t="n">
        <f aca="false">IF(CF$15=1,INDEX(Vol_O,2,CF$14)/12*(1+P_dVol),0)</f>
        <v>10000</v>
      </c>
      <c r="CG22" s="34" t="n">
        <f aca="false">IF(CG$15=1,INDEX(Vol_O,2,CG$14)/12*(1+P_dVol),0)</f>
        <v>10000</v>
      </c>
      <c r="CH22" s="34" t="n">
        <f aca="false">IF(CH$15=1,INDEX(Vol_O,2,CH$14)/12*(1+P_dVol),0)</f>
        <v>10000</v>
      </c>
      <c r="CI22" s="34" t="n">
        <f aca="false">IF(CI$15=1,INDEX(Vol_O,2,CI$14)/12*(1+P_dVol),0)</f>
        <v>10000</v>
      </c>
      <c r="CJ22" s="34" t="n">
        <f aca="false">IF(CJ$15=1,INDEX(Vol_O,2,CJ$14)/12*(1+P_dVol),0)</f>
        <v>10000</v>
      </c>
      <c r="CK22" s="34" t="n">
        <f aca="false">IF(CK$15=1,INDEX(Vol_O,2,CK$14)/12*(1+P_dVol),0)</f>
        <v>10000</v>
      </c>
      <c r="CL22" s="34" t="n">
        <f aca="false">IF(CL$15=1,INDEX(Vol_O,2,CL$14)/12*(1+P_dVol),0)</f>
        <v>10000</v>
      </c>
      <c r="CM22" s="34" t="n">
        <f aca="false">IF(CM$15=1,INDEX(Vol_O,2,CM$14)/12*(1+P_dVol),0)</f>
        <v>10000</v>
      </c>
      <c r="CN22" s="34" t="n">
        <f aca="false">IF(CN$15=1,INDEX(Vol_O,2,CN$14)/12*(1+P_dVol),0)</f>
        <v>10000</v>
      </c>
      <c r="CO22" s="34" t="n">
        <f aca="false">IF(CO$15=1,INDEX(Vol_O,2,CO$14)/12*(1+P_dVol),0)</f>
        <v>10000</v>
      </c>
      <c r="CP22" s="34" t="n">
        <f aca="false">IF(CP$15=1,INDEX(Vol_O,2,CP$14)/12*(1+P_dVol),0)</f>
        <v>10000</v>
      </c>
      <c r="CQ22" s="34" t="n">
        <f aca="false">IF(CQ$15=1,INDEX(Vol_O,2,CQ$14)/12*(1+P_dVol),0)</f>
        <v>10000</v>
      </c>
      <c r="CR22" s="34" t="n">
        <f aca="false">IF(CR$15=1,INDEX(Vol_O,2,CR$14)/12*(1+P_dVol),0)</f>
        <v>10000</v>
      </c>
      <c r="CS22" s="34" t="n">
        <f aca="false">IF(CS$15=1,INDEX(Vol_O,2,CS$14)/12*(1+P_dVol),0)</f>
        <v>10000</v>
      </c>
      <c r="CT22" s="34" t="n">
        <f aca="false">IF(CT$15=1,INDEX(Vol_O,2,CT$14)/12*(1+P_dVol),0)</f>
        <v>10000</v>
      </c>
      <c r="CU22" s="34" t="n">
        <f aca="false">IF(CU$15=1,INDEX(Vol_O,2,CU$14)/12*(1+P_dVol),0)</f>
        <v>10000</v>
      </c>
      <c r="CV22" s="34" t="n">
        <f aca="false">IF(CV$15=1,INDEX(Vol_O,2,CV$14)/12*(1+P_dVol),0)</f>
        <v>10000</v>
      </c>
      <c r="CW22" s="34" t="n">
        <f aca="false">IF(CW$15=1,INDEX(Vol_O,2,CW$14)/12*(1+P_dVol),0)</f>
        <v>10000</v>
      </c>
      <c r="CX22" s="34" t="n">
        <f aca="false">IF(CX$15=1,INDEX(Vol_O,2,CX$14)/12*(1+P_dVol),0)</f>
        <v>10000</v>
      </c>
      <c r="CY22" s="34" t="n">
        <f aca="false">IF(CY$15=1,INDEX(Vol_O,2,CY$14)/12*(1+P_dVol),0)</f>
        <v>10000</v>
      </c>
      <c r="CZ22" s="34" t="n">
        <f aca="false">IF(CZ$15=1,INDEX(Vol_O,2,CZ$14)/12*(1+P_dVol),0)</f>
        <v>10000</v>
      </c>
      <c r="DA22" s="34" t="n">
        <f aca="false">IF(DA$15=1,INDEX(Vol_O,2,DA$14)/12*(1+P_dVol),0)</f>
        <v>10000</v>
      </c>
      <c r="DB22" s="34" t="n">
        <f aca="false">IF(DB$15=1,INDEX(Vol_O,2,DB$14)/12*(1+P_dVol),0)</f>
        <v>10000</v>
      </c>
      <c r="DC22" s="34" t="n">
        <f aca="false">IF(DC$15=1,INDEX(Vol_O,2,DC$14)/12*(1+P_dVol),0)</f>
        <v>10000</v>
      </c>
      <c r="DD22" s="34" t="n">
        <f aca="false">IF(DD$15=1,INDEX(Vol_O,2,DD$14)/12*(1+P_dVol),0)</f>
        <v>10000</v>
      </c>
      <c r="DE22" s="34" t="n">
        <f aca="false">IF(DE$15=1,INDEX(Vol_O,2,DE$14)/12*(1+P_dVol),0)</f>
        <v>10000</v>
      </c>
      <c r="DF22" s="34" t="n">
        <f aca="false">IF(DF$15=1,INDEX(Vol_O,2,DF$14)/12*(1+P_dVol),0)</f>
        <v>10000</v>
      </c>
      <c r="DG22" s="34" t="n">
        <f aca="false">IF(DG$15=1,INDEX(Vol_O,2,DG$14)/12*(1+P_dVol),0)</f>
        <v>10000</v>
      </c>
      <c r="DH22" s="34" t="n">
        <f aca="false">IF(DH$15=1,INDEX(Vol_O,2,DH$14)/12*(1+P_dVol),0)</f>
        <v>10000</v>
      </c>
      <c r="DI22" s="34" t="n">
        <f aca="false">IF(DI$15=1,INDEX(Vol_O,2,DI$14)/12*(1+P_dVol),0)</f>
        <v>10000</v>
      </c>
      <c r="DJ22" s="34" t="n">
        <f aca="false">IF(DJ$15=1,INDEX(Vol_O,2,DJ$14)/12*(1+P_dVol),0)</f>
        <v>10000</v>
      </c>
      <c r="DK22" s="34" t="n">
        <f aca="false">IF(DK$15=1,INDEX(Vol_O,2,DK$14)/12*(1+P_dVol),0)</f>
        <v>10000</v>
      </c>
      <c r="DL22" s="34" t="n">
        <f aca="false">IF(DL$15=1,INDEX(Vol_O,2,DL$14)/12*(1+P_dVol),0)</f>
        <v>10000</v>
      </c>
      <c r="DM22" s="34" t="n">
        <f aca="false">IF(DM$15=1,INDEX(Vol_O,2,DM$14)/12*(1+P_dVol),0)</f>
        <v>10000</v>
      </c>
      <c r="DN22" s="34" t="n">
        <f aca="false">IF(DN$15=1,INDEX(Vol_O,2,DN$14)/12*(1+P_dVol),0)</f>
        <v>10000</v>
      </c>
      <c r="DO22" s="34" t="n">
        <f aca="false">IF(DO$15=1,INDEX(Vol_O,2,DO$14)/12*(1+P_dVol),0)</f>
        <v>10000</v>
      </c>
      <c r="DP22" s="34" t="n">
        <f aca="false">IF(DP$15=1,INDEX(Vol_O,2,DP$14)/12*(1+P_dVol),0)</f>
        <v>10000</v>
      </c>
      <c r="DQ22" s="34" t="n">
        <f aca="false">IF(DQ$15=1,INDEX(Vol_O,2,DQ$14)/12*(1+P_dVol),0)</f>
        <v>10000</v>
      </c>
      <c r="DR22" s="34" t="n">
        <f aca="false">IF(DR$15=1,INDEX(Vol_O,2,DR$14)/12*(1+P_dVol),0)</f>
        <v>10000</v>
      </c>
      <c r="DS22" s="34" t="n">
        <f aca="false">IF(DS$15=1,INDEX(Vol_O,2,DS$14)/12*(1+P_dVol),0)</f>
        <v>10000</v>
      </c>
      <c r="DT22" s="34" t="n">
        <f aca="false">IF(DT$15=1,INDEX(Vol_O,2,DT$14)/12*(1+P_dVol),0)</f>
        <v>10000</v>
      </c>
      <c r="DU22" s="34" t="n">
        <f aca="false">IF(DU$15=1,INDEX(Vol_O,2,DU$14)/12*(1+P_dVol),0)</f>
        <v>10000</v>
      </c>
      <c r="DV22" s="34" t="n">
        <f aca="false">IF(DV$15=1,INDEX(Vol_O,2,DV$14)/12*(1+P_dVol),0)</f>
        <v>0</v>
      </c>
      <c r="DW22" s="34" t="n">
        <f aca="false">IF(DW$15=1,INDEX(Vol_O,2,DW$14)/12*(1+P_dVol),0)</f>
        <v>0</v>
      </c>
      <c r="DX22" s="34" t="n">
        <f aca="false">IF(DX$15=1,INDEX(Vol_O,2,DX$14)/12*(1+P_dVol),0)</f>
        <v>0</v>
      </c>
      <c r="DY22" s="34" t="n">
        <f aca="false">IF(DY$15=1,INDEX(Vol_O,2,DY$14)/12*(1+P_dVol),0)</f>
        <v>0</v>
      </c>
      <c r="DZ22" s="34" t="n">
        <f aca="false">IF(DZ$15=1,INDEX(Vol_O,2,DZ$14)/12*(1+P_dVol),0)</f>
        <v>0</v>
      </c>
      <c r="EA22" s="34" t="n">
        <f aca="false">IF(EA$15=1,INDEX(Vol_O,2,EA$14)/12*(1+P_dVol),0)</f>
        <v>0</v>
      </c>
      <c r="EB22" s="34" t="n">
        <f aca="false">IF(EB$15=1,INDEX(Vol_O,2,EB$14)/12*(1+P_dVol),0)</f>
        <v>0</v>
      </c>
      <c r="EC22" s="34" t="n">
        <f aca="false">IF(EC$15=1,INDEX(Vol_O,2,EC$14)/12*(1+P_dVol),0)</f>
        <v>0</v>
      </c>
      <c r="ED22" s="34" t="n">
        <f aca="false">IF(ED$15=1,INDEX(Vol_O,2,ED$14)/12*(1+P_dVol),0)</f>
        <v>0</v>
      </c>
      <c r="EE22" s="34" t="n">
        <f aca="false">IF(EE$15=1,INDEX(Vol_O,2,EE$14)/12*(1+P_dVol),0)</f>
        <v>0</v>
      </c>
      <c r="EF22" s="34" t="n">
        <f aca="false">IF(EF$15=1,INDEX(Vol_O,2,EF$14)/12*(1+P_dVol),0)</f>
        <v>0</v>
      </c>
      <c r="EG22" s="34" t="n">
        <f aca="false">IF(EG$15=1,INDEX(Vol_O,2,EG$14)/12*(1+P_dVol),0)</f>
        <v>0</v>
      </c>
      <c r="EH22" s="34" t="n">
        <f aca="false">IF(EH$15=1,INDEX(Vol_O,2,EH$14)/12*(1+P_dVol),0)</f>
        <v>0</v>
      </c>
      <c r="EI22" s="34" t="n">
        <f aca="false">IF(EI$15=1,INDEX(Vol_O,2,EI$14)/12*(1+P_dVol),0)</f>
        <v>0</v>
      </c>
      <c r="EJ22" s="34" t="n">
        <f aca="false">IF(EJ$15=1,INDEX(Vol_O,2,EJ$14)/12*(1+P_dVol),0)</f>
        <v>0</v>
      </c>
      <c r="EK22" s="34" t="n">
        <f aca="false">IF(EK$15=1,INDEX(Vol_O,2,EK$14)/12*(1+P_dVol),0)</f>
        <v>0</v>
      </c>
      <c r="EL22" s="34" t="n">
        <f aca="false">IF(EL$15=1,INDEX(Vol_O,2,EL$14)/12*(1+P_dVol),0)</f>
        <v>0</v>
      </c>
      <c r="EM22" s="34" t="n">
        <f aca="false">IF(EM$15=1,INDEX(Vol_O,2,EM$14)/12*(1+P_dVol),0)</f>
        <v>0</v>
      </c>
      <c r="EN22" s="34" t="n">
        <f aca="false">IF(EN$15=1,INDEX(Vol_O,2,EN$14)/12*(1+P_dVol),0)</f>
        <v>0</v>
      </c>
      <c r="EO22" s="34" t="n">
        <f aca="false">IF(EO$15=1,INDEX(Vol_O,2,EO$14)/12*(1+P_dVol),0)</f>
        <v>0</v>
      </c>
      <c r="EP22" s="34" t="n">
        <f aca="false">IF(EP$15=1,INDEX(Vol_O,2,EP$14)/12*(1+P_dVol),0)</f>
        <v>0</v>
      </c>
      <c r="EQ22" s="34" t="n">
        <f aca="false">IF(EQ$15=1,INDEX(Vol_O,2,EQ$14)/12*(1+P_dVol),0)</f>
        <v>0</v>
      </c>
      <c r="ER22" s="34" t="n">
        <f aca="false">IF(ER$15=1,INDEX(Vol_O,2,ER$14)/12*(1+P_dVol),0)</f>
        <v>0</v>
      </c>
      <c r="ES22" s="34" t="n">
        <f aca="false">IF(ES$15=1,INDEX(Vol_O,2,ES$14)/12*(1+P_dVol),0)</f>
        <v>0</v>
      </c>
    </row>
    <row r="23" customFormat="false" ht="15" hidden="false" customHeight="false" outlineLevel="0" collapsed="false">
      <c r="A23" s="2" t="s">
        <v>560</v>
      </c>
      <c r="B23" s="39" t="str">
        <f aca="false">IF(INDEX(Prod_Nombre,3)="","Producto 3",INDEX(Prod_Nombre,3))&amp;" — unidades"</f>
        <v>Producto 3 — unidades</v>
      </c>
      <c r="C23" s="6" t="s">
        <v>286</v>
      </c>
      <c r="E23" s="40" t="n">
        <f aca="false">SUM(F23:ES23)</f>
        <v>0</v>
      </c>
      <c r="F23" s="34" t="n">
        <f aca="false">IF(F$15=1,INDEX(Vol_O,3,F$14)/12*(1+P_dVol),0)</f>
        <v>0</v>
      </c>
      <c r="G23" s="34" t="n">
        <f aca="false">IF(G$15=1,INDEX(Vol_O,3,G$14)/12*(1+P_dVol),0)</f>
        <v>0</v>
      </c>
      <c r="H23" s="34" t="n">
        <f aca="false">IF(H$15=1,INDEX(Vol_O,3,H$14)/12*(1+P_dVol),0)</f>
        <v>0</v>
      </c>
      <c r="I23" s="34" t="n">
        <f aca="false">IF(I$15=1,INDEX(Vol_O,3,I$14)/12*(1+P_dVol),0)</f>
        <v>0</v>
      </c>
      <c r="J23" s="34" t="n">
        <f aca="false">IF(J$15=1,INDEX(Vol_O,3,J$14)/12*(1+P_dVol),0)</f>
        <v>0</v>
      </c>
      <c r="K23" s="34" t="n">
        <f aca="false">IF(K$15=1,INDEX(Vol_O,3,K$14)/12*(1+P_dVol),0)</f>
        <v>0</v>
      </c>
      <c r="L23" s="34" t="n">
        <f aca="false">IF(L$15=1,INDEX(Vol_O,3,L$14)/12*(1+P_dVol),0)</f>
        <v>0</v>
      </c>
      <c r="M23" s="34" t="n">
        <f aca="false">IF(M$15=1,INDEX(Vol_O,3,M$14)/12*(1+P_dVol),0)</f>
        <v>0</v>
      </c>
      <c r="N23" s="34" t="n">
        <f aca="false">IF(N$15=1,INDEX(Vol_O,3,N$14)/12*(1+P_dVol),0)</f>
        <v>0</v>
      </c>
      <c r="O23" s="34" t="n">
        <f aca="false">IF(O$15=1,INDEX(Vol_O,3,O$14)/12*(1+P_dVol),0)</f>
        <v>0</v>
      </c>
      <c r="P23" s="34" t="n">
        <f aca="false">IF(P$15=1,INDEX(Vol_O,3,P$14)/12*(1+P_dVol),0)</f>
        <v>0</v>
      </c>
      <c r="Q23" s="34" t="n">
        <f aca="false">IF(Q$15=1,INDEX(Vol_O,3,Q$14)/12*(1+P_dVol),0)</f>
        <v>0</v>
      </c>
      <c r="R23" s="34" t="n">
        <f aca="false">IF(R$15=1,INDEX(Vol_O,3,R$14)/12*(1+P_dVol),0)</f>
        <v>0</v>
      </c>
      <c r="S23" s="34" t="n">
        <f aca="false">IF(S$15=1,INDEX(Vol_O,3,S$14)/12*(1+P_dVol),0)</f>
        <v>0</v>
      </c>
      <c r="T23" s="34" t="n">
        <f aca="false">IF(T$15=1,INDEX(Vol_O,3,T$14)/12*(1+P_dVol),0)</f>
        <v>0</v>
      </c>
      <c r="U23" s="34" t="n">
        <f aca="false">IF(U$15=1,INDEX(Vol_O,3,U$14)/12*(1+P_dVol),0)</f>
        <v>0</v>
      </c>
      <c r="V23" s="34" t="n">
        <f aca="false">IF(V$15=1,INDEX(Vol_O,3,V$14)/12*(1+P_dVol),0)</f>
        <v>0</v>
      </c>
      <c r="W23" s="34" t="n">
        <f aca="false">IF(W$15=1,INDEX(Vol_O,3,W$14)/12*(1+P_dVol),0)</f>
        <v>0</v>
      </c>
      <c r="X23" s="34" t="n">
        <f aca="false">IF(X$15=1,INDEX(Vol_O,3,X$14)/12*(1+P_dVol),0)</f>
        <v>0</v>
      </c>
      <c r="Y23" s="34" t="n">
        <f aca="false">IF(Y$15=1,INDEX(Vol_O,3,Y$14)/12*(1+P_dVol),0)</f>
        <v>0</v>
      </c>
      <c r="Z23" s="34" t="n">
        <f aca="false">IF(Z$15=1,INDEX(Vol_O,3,Z$14)/12*(1+P_dVol),0)</f>
        <v>0</v>
      </c>
      <c r="AA23" s="34" t="n">
        <f aca="false">IF(AA$15=1,INDEX(Vol_O,3,AA$14)/12*(1+P_dVol),0)</f>
        <v>0</v>
      </c>
      <c r="AB23" s="34" t="n">
        <f aca="false">IF(AB$15=1,INDEX(Vol_O,3,AB$14)/12*(1+P_dVol),0)</f>
        <v>0</v>
      </c>
      <c r="AC23" s="34" t="n">
        <f aca="false">IF(AC$15=1,INDEX(Vol_O,3,AC$14)/12*(1+P_dVol),0)</f>
        <v>0</v>
      </c>
      <c r="AD23" s="34" t="n">
        <f aca="false">IF(AD$15=1,INDEX(Vol_O,3,AD$14)/12*(1+P_dVol),0)</f>
        <v>0</v>
      </c>
      <c r="AE23" s="34" t="n">
        <f aca="false">IF(AE$15=1,INDEX(Vol_O,3,AE$14)/12*(1+P_dVol),0)</f>
        <v>0</v>
      </c>
      <c r="AF23" s="34" t="n">
        <f aca="false">IF(AF$15=1,INDEX(Vol_O,3,AF$14)/12*(1+P_dVol),0)</f>
        <v>0</v>
      </c>
      <c r="AG23" s="34" t="n">
        <f aca="false">IF(AG$15=1,INDEX(Vol_O,3,AG$14)/12*(1+P_dVol),0)</f>
        <v>0</v>
      </c>
      <c r="AH23" s="34" t="n">
        <f aca="false">IF(AH$15=1,INDEX(Vol_O,3,AH$14)/12*(1+P_dVol),0)</f>
        <v>0</v>
      </c>
      <c r="AI23" s="34" t="n">
        <f aca="false">IF(AI$15=1,INDEX(Vol_O,3,AI$14)/12*(1+P_dVol),0)</f>
        <v>0</v>
      </c>
      <c r="AJ23" s="34" t="n">
        <f aca="false">IF(AJ$15=1,INDEX(Vol_O,3,AJ$14)/12*(1+P_dVol),0)</f>
        <v>0</v>
      </c>
      <c r="AK23" s="34" t="n">
        <f aca="false">IF(AK$15=1,INDEX(Vol_O,3,AK$14)/12*(1+P_dVol),0)</f>
        <v>0</v>
      </c>
      <c r="AL23" s="34" t="n">
        <f aca="false">IF(AL$15=1,INDEX(Vol_O,3,AL$14)/12*(1+P_dVol),0)</f>
        <v>0</v>
      </c>
      <c r="AM23" s="34" t="n">
        <f aca="false">IF(AM$15=1,INDEX(Vol_O,3,AM$14)/12*(1+P_dVol),0)</f>
        <v>0</v>
      </c>
      <c r="AN23" s="34" t="n">
        <f aca="false">IF(AN$15=1,INDEX(Vol_O,3,AN$14)/12*(1+P_dVol),0)</f>
        <v>0</v>
      </c>
      <c r="AO23" s="34" t="n">
        <f aca="false">IF(AO$15=1,INDEX(Vol_O,3,AO$14)/12*(1+P_dVol),0)</f>
        <v>0</v>
      </c>
      <c r="AP23" s="34" t="n">
        <f aca="false">IF(AP$15=1,INDEX(Vol_O,3,AP$14)/12*(1+P_dVol),0)</f>
        <v>0</v>
      </c>
      <c r="AQ23" s="34" t="n">
        <f aca="false">IF(AQ$15=1,INDEX(Vol_O,3,AQ$14)/12*(1+P_dVol),0)</f>
        <v>0</v>
      </c>
      <c r="AR23" s="34" t="n">
        <f aca="false">IF(AR$15=1,INDEX(Vol_O,3,AR$14)/12*(1+P_dVol),0)</f>
        <v>0</v>
      </c>
      <c r="AS23" s="34" t="n">
        <f aca="false">IF(AS$15=1,INDEX(Vol_O,3,AS$14)/12*(1+P_dVol),0)</f>
        <v>0</v>
      </c>
      <c r="AT23" s="34" t="n">
        <f aca="false">IF(AT$15=1,INDEX(Vol_O,3,AT$14)/12*(1+P_dVol),0)</f>
        <v>0</v>
      </c>
      <c r="AU23" s="34" t="n">
        <f aca="false">IF(AU$15=1,INDEX(Vol_O,3,AU$14)/12*(1+P_dVol),0)</f>
        <v>0</v>
      </c>
      <c r="AV23" s="34" t="n">
        <f aca="false">IF(AV$15=1,INDEX(Vol_O,3,AV$14)/12*(1+P_dVol),0)</f>
        <v>0</v>
      </c>
      <c r="AW23" s="34" t="n">
        <f aca="false">IF(AW$15=1,INDEX(Vol_O,3,AW$14)/12*(1+P_dVol),0)</f>
        <v>0</v>
      </c>
      <c r="AX23" s="34" t="n">
        <f aca="false">IF(AX$15=1,INDEX(Vol_O,3,AX$14)/12*(1+P_dVol),0)</f>
        <v>0</v>
      </c>
      <c r="AY23" s="34" t="n">
        <f aca="false">IF(AY$15=1,INDEX(Vol_O,3,AY$14)/12*(1+P_dVol),0)</f>
        <v>0</v>
      </c>
      <c r="AZ23" s="34" t="n">
        <f aca="false">IF(AZ$15=1,INDEX(Vol_O,3,AZ$14)/12*(1+P_dVol),0)</f>
        <v>0</v>
      </c>
      <c r="BA23" s="34" t="n">
        <f aca="false">IF(BA$15=1,INDEX(Vol_O,3,BA$14)/12*(1+P_dVol),0)</f>
        <v>0</v>
      </c>
      <c r="BB23" s="34" t="n">
        <f aca="false">IF(BB$15=1,INDEX(Vol_O,3,BB$14)/12*(1+P_dVol),0)</f>
        <v>0</v>
      </c>
      <c r="BC23" s="34" t="n">
        <f aca="false">IF(BC$15=1,INDEX(Vol_O,3,BC$14)/12*(1+P_dVol),0)</f>
        <v>0</v>
      </c>
      <c r="BD23" s="34" t="n">
        <f aca="false">IF(BD$15=1,INDEX(Vol_O,3,BD$14)/12*(1+P_dVol),0)</f>
        <v>0</v>
      </c>
      <c r="BE23" s="34" t="n">
        <f aca="false">IF(BE$15=1,INDEX(Vol_O,3,BE$14)/12*(1+P_dVol),0)</f>
        <v>0</v>
      </c>
      <c r="BF23" s="34" t="n">
        <f aca="false">IF(BF$15=1,INDEX(Vol_O,3,BF$14)/12*(1+P_dVol),0)</f>
        <v>0</v>
      </c>
      <c r="BG23" s="34" t="n">
        <f aca="false">IF(BG$15=1,INDEX(Vol_O,3,BG$14)/12*(1+P_dVol),0)</f>
        <v>0</v>
      </c>
      <c r="BH23" s="34" t="n">
        <f aca="false">IF(BH$15=1,INDEX(Vol_O,3,BH$14)/12*(1+P_dVol),0)</f>
        <v>0</v>
      </c>
      <c r="BI23" s="34" t="n">
        <f aca="false">IF(BI$15=1,INDEX(Vol_O,3,BI$14)/12*(1+P_dVol),0)</f>
        <v>0</v>
      </c>
      <c r="BJ23" s="34" t="n">
        <f aca="false">IF(BJ$15=1,INDEX(Vol_O,3,BJ$14)/12*(1+P_dVol),0)</f>
        <v>0</v>
      </c>
      <c r="BK23" s="34" t="n">
        <f aca="false">IF(BK$15=1,INDEX(Vol_O,3,BK$14)/12*(1+P_dVol),0)</f>
        <v>0</v>
      </c>
      <c r="BL23" s="34" t="n">
        <f aca="false">IF(BL$15=1,INDEX(Vol_O,3,BL$14)/12*(1+P_dVol),0)</f>
        <v>0</v>
      </c>
      <c r="BM23" s="34" t="n">
        <f aca="false">IF(BM$15=1,INDEX(Vol_O,3,BM$14)/12*(1+P_dVol),0)</f>
        <v>0</v>
      </c>
      <c r="BN23" s="34" t="n">
        <f aca="false">IF(BN$15=1,INDEX(Vol_O,3,BN$14)/12*(1+P_dVol),0)</f>
        <v>0</v>
      </c>
      <c r="BO23" s="34" t="n">
        <f aca="false">IF(BO$15=1,INDEX(Vol_O,3,BO$14)/12*(1+P_dVol),0)</f>
        <v>0</v>
      </c>
      <c r="BP23" s="34" t="n">
        <f aca="false">IF(BP$15=1,INDEX(Vol_O,3,BP$14)/12*(1+P_dVol),0)</f>
        <v>0</v>
      </c>
      <c r="BQ23" s="34" t="n">
        <f aca="false">IF(BQ$15=1,INDEX(Vol_O,3,BQ$14)/12*(1+P_dVol),0)</f>
        <v>0</v>
      </c>
      <c r="BR23" s="34" t="n">
        <f aca="false">IF(BR$15=1,INDEX(Vol_O,3,BR$14)/12*(1+P_dVol),0)</f>
        <v>0</v>
      </c>
      <c r="BS23" s="34" t="n">
        <f aca="false">IF(BS$15=1,INDEX(Vol_O,3,BS$14)/12*(1+P_dVol),0)</f>
        <v>0</v>
      </c>
      <c r="BT23" s="34" t="n">
        <f aca="false">IF(BT$15=1,INDEX(Vol_O,3,BT$14)/12*(1+P_dVol),0)</f>
        <v>0</v>
      </c>
      <c r="BU23" s="34" t="n">
        <f aca="false">IF(BU$15=1,INDEX(Vol_O,3,BU$14)/12*(1+P_dVol),0)</f>
        <v>0</v>
      </c>
      <c r="BV23" s="34" t="n">
        <f aca="false">IF(BV$15=1,INDEX(Vol_O,3,BV$14)/12*(1+P_dVol),0)</f>
        <v>0</v>
      </c>
      <c r="BW23" s="34" t="n">
        <f aca="false">IF(BW$15=1,INDEX(Vol_O,3,BW$14)/12*(1+P_dVol),0)</f>
        <v>0</v>
      </c>
      <c r="BX23" s="34" t="n">
        <f aca="false">IF(BX$15=1,INDEX(Vol_O,3,BX$14)/12*(1+P_dVol),0)</f>
        <v>0</v>
      </c>
      <c r="BY23" s="34" t="n">
        <f aca="false">IF(BY$15=1,INDEX(Vol_O,3,BY$14)/12*(1+P_dVol),0)</f>
        <v>0</v>
      </c>
      <c r="BZ23" s="34" t="n">
        <f aca="false">IF(BZ$15=1,INDEX(Vol_O,3,BZ$14)/12*(1+P_dVol),0)</f>
        <v>0</v>
      </c>
      <c r="CA23" s="34" t="n">
        <f aca="false">IF(CA$15=1,INDEX(Vol_O,3,CA$14)/12*(1+P_dVol),0)</f>
        <v>0</v>
      </c>
      <c r="CB23" s="34" t="n">
        <f aca="false">IF(CB$15=1,INDEX(Vol_O,3,CB$14)/12*(1+P_dVol),0)</f>
        <v>0</v>
      </c>
      <c r="CC23" s="34" t="n">
        <f aca="false">IF(CC$15=1,INDEX(Vol_O,3,CC$14)/12*(1+P_dVol),0)</f>
        <v>0</v>
      </c>
      <c r="CD23" s="34" t="n">
        <f aca="false">IF(CD$15=1,INDEX(Vol_O,3,CD$14)/12*(1+P_dVol),0)</f>
        <v>0</v>
      </c>
      <c r="CE23" s="34" t="n">
        <f aca="false">IF(CE$15=1,INDEX(Vol_O,3,CE$14)/12*(1+P_dVol),0)</f>
        <v>0</v>
      </c>
      <c r="CF23" s="34" t="n">
        <f aca="false">IF(CF$15=1,INDEX(Vol_O,3,CF$14)/12*(1+P_dVol),0)</f>
        <v>0</v>
      </c>
      <c r="CG23" s="34" t="n">
        <f aca="false">IF(CG$15=1,INDEX(Vol_O,3,CG$14)/12*(1+P_dVol),0)</f>
        <v>0</v>
      </c>
      <c r="CH23" s="34" t="n">
        <f aca="false">IF(CH$15=1,INDEX(Vol_O,3,CH$14)/12*(1+P_dVol),0)</f>
        <v>0</v>
      </c>
      <c r="CI23" s="34" t="n">
        <f aca="false">IF(CI$15=1,INDEX(Vol_O,3,CI$14)/12*(1+P_dVol),0)</f>
        <v>0</v>
      </c>
      <c r="CJ23" s="34" t="n">
        <f aca="false">IF(CJ$15=1,INDEX(Vol_O,3,CJ$14)/12*(1+P_dVol),0)</f>
        <v>0</v>
      </c>
      <c r="CK23" s="34" t="n">
        <f aca="false">IF(CK$15=1,INDEX(Vol_O,3,CK$14)/12*(1+P_dVol),0)</f>
        <v>0</v>
      </c>
      <c r="CL23" s="34" t="n">
        <f aca="false">IF(CL$15=1,INDEX(Vol_O,3,CL$14)/12*(1+P_dVol),0)</f>
        <v>0</v>
      </c>
      <c r="CM23" s="34" t="n">
        <f aca="false">IF(CM$15=1,INDEX(Vol_O,3,CM$14)/12*(1+P_dVol),0)</f>
        <v>0</v>
      </c>
      <c r="CN23" s="34" t="n">
        <f aca="false">IF(CN$15=1,INDEX(Vol_O,3,CN$14)/12*(1+P_dVol),0)</f>
        <v>0</v>
      </c>
      <c r="CO23" s="34" t="n">
        <f aca="false">IF(CO$15=1,INDEX(Vol_O,3,CO$14)/12*(1+P_dVol),0)</f>
        <v>0</v>
      </c>
      <c r="CP23" s="34" t="n">
        <f aca="false">IF(CP$15=1,INDEX(Vol_O,3,CP$14)/12*(1+P_dVol),0)</f>
        <v>0</v>
      </c>
      <c r="CQ23" s="34" t="n">
        <f aca="false">IF(CQ$15=1,INDEX(Vol_O,3,CQ$14)/12*(1+P_dVol),0)</f>
        <v>0</v>
      </c>
      <c r="CR23" s="34" t="n">
        <f aca="false">IF(CR$15=1,INDEX(Vol_O,3,CR$14)/12*(1+P_dVol),0)</f>
        <v>0</v>
      </c>
      <c r="CS23" s="34" t="n">
        <f aca="false">IF(CS$15=1,INDEX(Vol_O,3,CS$14)/12*(1+P_dVol),0)</f>
        <v>0</v>
      </c>
      <c r="CT23" s="34" t="n">
        <f aca="false">IF(CT$15=1,INDEX(Vol_O,3,CT$14)/12*(1+P_dVol),0)</f>
        <v>0</v>
      </c>
      <c r="CU23" s="34" t="n">
        <f aca="false">IF(CU$15=1,INDEX(Vol_O,3,CU$14)/12*(1+P_dVol),0)</f>
        <v>0</v>
      </c>
      <c r="CV23" s="34" t="n">
        <f aca="false">IF(CV$15=1,INDEX(Vol_O,3,CV$14)/12*(1+P_dVol),0)</f>
        <v>0</v>
      </c>
      <c r="CW23" s="34" t="n">
        <f aca="false">IF(CW$15=1,INDEX(Vol_O,3,CW$14)/12*(1+P_dVol),0)</f>
        <v>0</v>
      </c>
      <c r="CX23" s="34" t="n">
        <f aca="false">IF(CX$15=1,INDEX(Vol_O,3,CX$14)/12*(1+P_dVol),0)</f>
        <v>0</v>
      </c>
      <c r="CY23" s="34" t="n">
        <f aca="false">IF(CY$15=1,INDEX(Vol_O,3,CY$14)/12*(1+P_dVol),0)</f>
        <v>0</v>
      </c>
      <c r="CZ23" s="34" t="n">
        <f aca="false">IF(CZ$15=1,INDEX(Vol_O,3,CZ$14)/12*(1+P_dVol),0)</f>
        <v>0</v>
      </c>
      <c r="DA23" s="34" t="n">
        <f aca="false">IF(DA$15=1,INDEX(Vol_O,3,DA$14)/12*(1+P_dVol),0)</f>
        <v>0</v>
      </c>
      <c r="DB23" s="34" t="n">
        <f aca="false">IF(DB$15=1,INDEX(Vol_O,3,DB$14)/12*(1+P_dVol),0)</f>
        <v>0</v>
      </c>
      <c r="DC23" s="34" t="n">
        <f aca="false">IF(DC$15=1,INDEX(Vol_O,3,DC$14)/12*(1+P_dVol),0)</f>
        <v>0</v>
      </c>
      <c r="DD23" s="34" t="n">
        <f aca="false">IF(DD$15=1,INDEX(Vol_O,3,DD$14)/12*(1+P_dVol),0)</f>
        <v>0</v>
      </c>
      <c r="DE23" s="34" t="n">
        <f aca="false">IF(DE$15=1,INDEX(Vol_O,3,DE$14)/12*(1+P_dVol),0)</f>
        <v>0</v>
      </c>
      <c r="DF23" s="34" t="n">
        <f aca="false">IF(DF$15=1,INDEX(Vol_O,3,DF$14)/12*(1+P_dVol),0)</f>
        <v>0</v>
      </c>
      <c r="DG23" s="34" t="n">
        <f aca="false">IF(DG$15=1,INDEX(Vol_O,3,DG$14)/12*(1+P_dVol),0)</f>
        <v>0</v>
      </c>
      <c r="DH23" s="34" t="n">
        <f aca="false">IF(DH$15=1,INDEX(Vol_O,3,DH$14)/12*(1+P_dVol),0)</f>
        <v>0</v>
      </c>
      <c r="DI23" s="34" t="n">
        <f aca="false">IF(DI$15=1,INDEX(Vol_O,3,DI$14)/12*(1+P_dVol),0)</f>
        <v>0</v>
      </c>
      <c r="DJ23" s="34" t="n">
        <f aca="false">IF(DJ$15=1,INDEX(Vol_O,3,DJ$14)/12*(1+P_dVol),0)</f>
        <v>0</v>
      </c>
      <c r="DK23" s="34" t="n">
        <f aca="false">IF(DK$15=1,INDEX(Vol_O,3,DK$14)/12*(1+P_dVol),0)</f>
        <v>0</v>
      </c>
      <c r="DL23" s="34" t="n">
        <f aca="false">IF(DL$15=1,INDEX(Vol_O,3,DL$14)/12*(1+P_dVol),0)</f>
        <v>0</v>
      </c>
      <c r="DM23" s="34" t="n">
        <f aca="false">IF(DM$15=1,INDEX(Vol_O,3,DM$14)/12*(1+P_dVol),0)</f>
        <v>0</v>
      </c>
      <c r="DN23" s="34" t="n">
        <f aca="false">IF(DN$15=1,INDEX(Vol_O,3,DN$14)/12*(1+P_dVol),0)</f>
        <v>0</v>
      </c>
      <c r="DO23" s="34" t="n">
        <f aca="false">IF(DO$15=1,INDEX(Vol_O,3,DO$14)/12*(1+P_dVol),0)</f>
        <v>0</v>
      </c>
      <c r="DP23" s="34" t="n">
        <f aca="false">IF(DP$15=1,INDEX(Vol_O,3,DP$14)/12*(1+P_dVol),0)</f>
        <v>0</v>
      </c>
      <c r="DQ23" s="34" t="n">
        <f aca="false">IF(DQ$15=1,INDEX(Vol_O,3,DQ$14)/12*(1+P_dVol),0)</f>
        <v>0</v>
      </c>
      <c r="DR23" s="34" t="n">
        <f aca="false">IF(DR$15=1,INDEX(Vol_O,3,DR$14)/12*(1+P_dVol),0)</f>
        <v>0</v>
      </c>
      <c r="DS23" s="34" t="n">
        <f aca="false">IF(DS$15=1,INDEX(Vol_O,3,DS$14)/12*(1+P_dVol),0)</f>
        <v>0</v>
      </c>
      <c r="DT23" s="34" t="n">
        <f aca="false">IF(DT$15=1,INDEX(Vol_O,3,DT$14)/12*(1+P_dVol),0)</f>
        <v>0</v>
      </c>
      <c r="DU23" s="34" t="n">
        <f aca="false">IF(DU$15=1,INDEX(Vol_O,3,DU$14)/12*(1+P_dVol),0)</f>
        <v>0</v>
      </c>
      <c r="DV23" s="34" t="n">
        <f aca="false">IF(DV$15=1,INDEX(Vol_O,3,DV$14)/12*(1+P_dVol),0)</f>
        <v>0</v>
      </c>
      <c r="DW23" s="34" t="n">
        <f aca="false">IF(DW$15=1,INDEX(Vol_O,3,DW$14)/12*(1+P_dVol),0)</f>
        <v>0</v>
      </c>
      <c r="DX23" s="34" t="n">
        <f aca="false">IF(DX$15=1,INDEX(Vol_O,3,DX$14)/12*(1+P_dVol),0)</f>
        <v>0</v>
      </c>
      <c r="DY23" s="34" t="n">
        <f aca="false">IF(DY$15=1,INDEX(Vol_O,3,DY$14)/12*(1+P_dVol),0)</f>
        <v>0</v>
      </c>
      <c r="DZ23" s="34" t="n">
        <f aca="false">IF(DZ$15=1,INDEX(Vol_O,3,DZ$14)/12*(1+P_dVol),0)</f>
        <v>0</v>
      </c>
      <c r="EA23" s="34" t="n">
        <f aca="false">IF(EA$15=1,INDEX(Vol_O,3,EA$14)/12*(1+P_dVol),0)</f>
        <v>0</v>
      </c>
      <c r="EB23" s="34" t="n">
        <f aca="false">IF(EB$15=1,INDEX(Vol_O,3,EB$14)/12*(1+P_dVol),0)</f>
        <v>0</v>
      </c>
      <c r="EC23" s="34" t="n">
        <f aca="false">IF(EC$15=1,INDEX(Vol_O,3,EC$14)/12*(1+P_dVol),0)</f>
        <v>0</v>
      </c>
      <c r="ED23" s="34" t="n">
        <f aca="false">IF(ED$15=1,INDEX(Vol_O,3,ED$14)/12*(1+P_dVol),0)</f>
        <v>0</v>
      </c>
      <c r="EE23" s="34" t="n">
        <f aca="false">IF(EE$15=1,INDEX(Vol_O,3,EE$14)/12*(1+P_dVol),0)</f>
        <v>0</v>
      </c>
      <c r="EF23" s="34" t="n">
        <f aca="false">IF(EF$15=1,INDEX(Vol_O,3,EF$14)/12*(1+P_dVol),0)</f>
        <v>0</v>
      </c>
      <c r="EG23" s="34" t="n">
        <f aca="false">IF(EG$15=1,INDEX(Vol_O,3,EG$14)/12*(1+P_dVol),0)</f>
        <v>0</v>
      </c>
      <c r="EH23" s="34" t="n">
        <f aca="false">IF(EH$15=1,INDEX(Vol_O,3,EH$14)/12*(1+P_dVol),0)</f>
        <v>0</v>
      </c>
      <c r="EI23" s="34" t="n">
        <f aca="false">IF(EI$15=1,INDEX(Vol_O,3,EI$14)/12*(1+P_dVol),0)</f>
        <v>0</v>
      </c>
      <c r="EJ23" s="34" t="n">
        <f aca="false">IF(EJ$15=1,INDEX(Vol_O,3,EJ$14)/12*(1+P_dVol),0)</f>
        <v>0</v>
      </c>
      <c r="EK23" s="34" t="n">
        <f aca="false">IF(EK$15=1,INDEX(Vol_O,3,EK$14)/12*(1+P_dVol),0)</f>
        <v>0</v>
      </c>
      <c r="EL23" s="34" t="n">
        <f aca="false">IF(EL$15=1,INDEX(Vol_O,3,EL$14)/12*(1+P_dVol),0)</f>
        <v>0</v>
      </c>
      <c r="EM23" s="34" t="n">
        <f aca="false">IF(EM$15=1,INDEX(Vol_O,3,EM$14)/12*(1+P_dVol),0)</f>
        <v>0</v>
      </c>
      <c r="EN23" s="34" t="n">
        <f aca="false">IF(EN$15=1,INDEX(Vol_O,3,EN$14)/12*(1+P_dVol),0)</f>
        <v>0</v>
      </c>
      <c r="EO23" s="34" t="n">
        <f aca="false">IF(EO$15=1,INDEX(Vol_O,3,EO$14)/12*(1+P_dVol),0)</f>
        <v>0</v>
      </c>
      <c r="EP23" s="34" t="n">
        <f aca="false">IF(EP$15=1,INDEX(Vol_O,3,EP$14)/12*(1+P_dVol),0)</f>
        <v>0</v>
      </c>
      <c r="EQ23" s="34" t="n">
        <f aca="false">IF(EQ$15=1,INDEX(Vol_O,3,EQ$14)/12*(1+P_dVol),0)</f>
        <v>0</v>
      </c>
      <c r="ER23" s="34" t="n">
        <f aca="false">IF(ER$15=1,INDEX(Vol_O,3,ER$14)/12*(1+P_dVol),0)</f>
        <v>0</v>
      </c>
      <c r="ES23" s="34" t="n">
        <f aca="false">IF(ES$15=1,INDEX(Vol_O,3,ES$14)/12*(1+P_dVol),0)</f>
        <v>0</v>
      </c>
    </row>
    <row r="24" customFormat="false" ht="15" hidden="false" customHeight="false" outlineLevel="0" collapsed="false">
      <c r="A24" s="2" t="s">
        <v>561</v>
      </c>
      <c r="B24" s="39" t="str">
        <f aca="false">IF(INDEX(Prod_Nombre,4)="","Producto 4",INDEX(Prod_Nombre,4))&amp;" — unidades"</f>
        <v>Producto 4 — unidades</v>
      </c>
      <c r="C24" s="6" t="s">
        <v>286</v>
      </c>
      <c r="E24" s="40" t="n">
        <f aca="false">SUM(F24:ES24)</f>
        <v>0</v>
      </c>
      <c r="F24" s="34" t="n">
        <f aca="false">IF(F$15=1,INDEX(Vol_O,4,F$14)/12*(1+P_dVol),0)</f>
        <v>0</v>
      </c>
      <c r="G24" s="34" t="n">
        <f aca="false">IF(G$15=1,INDEX(Vol_O,4,G$14)/12*(1+P_dVol),0)</f>
        <v>0</v>
      </c>
      <c r="H24" s="34" t="n">
        <f aca="false">IF(H$15=1,INDEX(Vol_O,4,H$14)/12*(1+P_dVol),0)</f>
        <v>0</v>
      </c>
      <c r="I24" s="34" t="n">
        <f aca="false">IF(I$15=1,INDEX(Vol_O,4,I$14)/12*(1+P_dVol),0)</f>
        <v>0</v>
      </c>
      <c r="J24" s="34" t="n">
        <f aca="false">IF(J$15=1,INDEX(Vol_O,4,J$14)/12*(1+P_dVol),0)</f>
        <v>0</v>
      </c>
      <c r="K24" s="34" t="n">
        <f aca="false">IF(K$15=1,INDEX(Vol_O,4,K$14)/12*(1+P_dVol),0)</f>
        <v>0</v>
      </c>
      <c r="L24" s="34" t="n">
        <f aca="false">IF(L$15=1,INDEX(Vol_O,4,L$14)/12*(1+P_dVol),0)</f>
        <v>0</v>
      </c>
      <c r="M24" s="34" t="n">
        <f aca="false">IF(M$15=1,INDEX(Vol_O,4,M$14)/12*(1+P_dVol),0)</f>
        <v>0</v>
      </c>
      <c r="N24" s="34" t="n">
        <f aca="false">IF(N$15=1,INDEX(Vol_O,4,N$14)/12*(1+P_dVol),0)</f>
        <v>0</v>
      </c>
      <c r="O24" s="34" t="n">
        <f aca="false">IF(O$15=1,INDEX(Vol_O,4,O$14)/12*(1+P_dVol),0)</f>
        <v>0</v>
      </c>
      <c r="P24" s="34" t="n">
        <f aca="false">IF(P$15=1,INDEX(Vol_O,4,P$14)/12*(1+P_dVol),0)</f>
        <v>0</v>
      </c>
      <c r="Q24" s="34" t="n">
        <f aca="false">IF(Q$15=1,INDEX(Vol_O,4,Q$14)/12*(1+P_dVol),0)</f>
        <v>0</v>
      </c>
      <c r="R24" s="34" t="n">
        <f aca="false">IF(R$15=1,INDEX(Vol_O,4,R$14)/12*(1+P_dVol),0)</f>
        <v>0</v>
      </c>
      <c r="S24" s="34" t="n">
        <f aca="false">IF(S$15=1,INDEX(Vol_O,4,S$14)/12*(1+P_dVol),0)</f>
        <v>0</v>
      </c>
      <c r="T24" s="34" t="n">
        <f aca="false">IF(T$15=1,INDEX(Vol_O,4,T$14)/12*(1+P_dVol),0)</f>
        <v>0</v>
      </c>
      <c r="U24" s="34" t="n">
        <f aca="false">IF(U$15=1,INDEX(Vol_O,4,U$14)/12*(1+P_dVol),0)</f>
        <v>0</v>
      </c>
      <c r="V24" s="34" t="n">
        <f aca="false">IF(V$15=1,INDEX(Vol_O,4,V$14)/12*(1+P_dVol),0)</f>
        <v>0</v>
      </c>
      <c r="W24" s="34" t="n">
        <f aca="false">IF(W$15=1,INDEX(Vol_O,4,W$14)/12*(1+P_dVol),0)</f>
        <v>0</v>
      </c>
      <c r="X24" s="34" t="n">
        <f aca="false">IF(X$15=1,INDEX(Vol_O,4,X$14)/12*(1+P_dVol),0)</f>
        <v>0</v>
      </c>
      <c r="Y24" s="34" t="n">
        <f aca="false">IF(Y$15=1,INDEX(Vol_O,4,Y$14)/12*(1+P_dVol),0)</f>
        <v>0</v>
      </c>
      <c r="Z24" s="34" t="n">
        <f aca="false">IF(Z$15=1,INDEX(Vol_O,4,Z$14)/12*(1+P_dVol),0)</f>
        <v>0</v>
      </c>
      <c r="AA24" s="34" t="n">
        <f aca="false">IF(AA$15=1,INDEX(Vol_O,4,AA$14)/12*(1+P_dVol),0)</f>
        <v>0</v>
      </c>
      <c r="AB24" s="34" t="n">
        <f aca="false">IF(AB$15=1,INDEX(Vol_O,4,AB$14)/12*(1+P_dVol),0)</f>
        <v>0</v>
      </c>
      <c r="AC24" s="34" t="n">
        <f aca="false">IF(AC$15=1,INDEX(Vol_O,4,AC$14)/12*(1+P_dVol),0)</f>
        <v>0</v>
      </c>
      <c r="AD24" s="34" t="n">
        <f aca="false">IF(AD$15=1,INDEX(Vol_O,4,AD$14)/12*(1+P_dVol),0)</f>
        <v>0</v>
      </c>
      <c r="AE24" s="34" t="n">
        <f aca="false">IF(AE$15=1,INDEX(Vol_O,4,AE$14)/12*(1+P_dVol),0)</f>
        <v>0</v>
      </c>
      <c r="AF24" s="34" t="n">
        <f aca="false">IF(AF$15=1,INDEX(Vol_O,4,AF$14)/12*(1+P_dVol),0)</f>
        <v>0</v>
      </c>
      <c r="AG24" s="34" t="n">
        <f aca="false">IF(AG$15=1,INDEX(Vol_O,4,AG$14)/12*(1+P_dVol),0)</f>
        <v>0</v>
      </c>
      <c r="AH24" s="34" t="n">
        <f aca="false">IF(AH$15=1,INDEX(Vol_O,4,AH$14)/12*(1+P_dVol),0)</f>
        <v>0</v>
      </c>
      <c r="AI24" s="34" t="n">
        <f aca="false">IF(AI$15=1,INDEX(Vol_O,4,AI$14)/12*(1+P_dVol),0)</f>
        <v>0</v>
      </c>
      <c r="AJ24" s="34" t="n">
        <f aca="false">IF(AJ$15=1,INDEX(Vol_O,4,AJ$14)/12*(1+P_dVol),0)</f>
        <v>0</v>
      </c>
      <c r="AK24" s="34" t="n">
        <f aca="false">IF(AK$15=1,INDEX(Vol_O,4,AK$14)/12*(1+P_dVol),0)</f>
        <v>0</v>
      </c>
      <c r="AL24" s="34" t="n">
        <f aca="false">IF(AL$15=1,INDEX(Vol_O,4,AL$14)/12*(1+P_dVol),0)</f>
        <v>0</v>
      </c>
      <c r="AM24" s="34" t="n">
        <f aca="false">IF(AM$15=1,INDEX(Vol_O,4,AM$14)/12*(1+P_dVol),0)</f>
        <v>0</v>
      </c>
      <c r="AN24" s="34" t="n">
        <f aca="false">IF(AN$15=1,INDEX(Vol_O,4,AN$14)/12*(1+P_dVol),0)</f>
        <v>0</v>
      </c>
      <c r="AO24" s="34" t="n">
        <f aca="false">IF(AO$15=1,INDEX(Vol_O,4,AO$14)/12*(1+P_dVol),0)</f>
        <v>0</v>
      </c>
      <c r="AP24" s="34" t="n">
        <f aca="false">IF(AP$15=1,INDEX(Vol_O,4,AP$14)/12*(1+P_dVol),0)</f>
        <v>0</v>
      </c>
      <c r="AQ24" s="34" t="n">
        <f aca="false">IF(AQ$15=1,INDEX(Vol_O,4,AQ$14)/12*(1+P_dVol),0)</f>
        <v>0</v>
      </c>
      <c r="AR24" s="34" t="n">
        <f aca="false">IF(AR$15=1,INDEX(Vol_O,4,AR$14)/12*(1+P_dVol),0)</f>
        <v>0</v>
      </c>
      <c r="AS24" s="34" t="n">
        <f aca="false">IF(AS$15=1,INDEX(Vol_O,4,AS$14)/12*(1+P_dVol),0)</f>
        <v>0</v>
      </c>
      <c r="AT24" s="34" t="n">
        <f aca="false">IF(AT$15=1,INDEX(Vol_O,4,AT$14)/12*(1+P_dVol),0)</f>
        <v>0</v>
      </c>
      <c r="AU24" s="34" t="n">
        <f aca="false">IF(AU$15=1,INDEX(Vol_O,4,AU$14)/12*(1+P_dVol),0)</f>
        <v>0</v>
      </c>
      <c r="AV24" s="34" t="n">
        <f aca="false">IF(AV$15=1,INDEX(Vol_O,4,AV$14)/12*(1+P_dVol),0)</f>
        <v>0</v>
      </c>
      <c r="AW24" s="34" t="n">
        <f aca="false">IF(AW$15=1,INDEX(Vol_O,4,AW$14)/12*(1+P_dVol),0)</f>
        <v>0</v>
      </c>
      <c r="AX24" s="34" t="n">
        <f aca="false">IF(AX$15=1,INDEX(Vol_O,4,AX$14)/12*(1+P_dVol),0)</f>
        <v>0</v>
      </c>
      <c r="AY24" s="34" t="n">
        <f aca="false">IF(AY$15=1,INDEX(Vol_O,4,AY$14)/12*(1+P_dVol),0)</f>
        <v>0</v>
      </c>
      <c r="AZ24" s="34" t="n">
        <f aca="false">IF(AZ$15=1,INDEX(Vol_O,4,AZ$14)/12*(1+P_dVol),0)</f>
        <v>0</v>
      </c>
      <c r="BA24" s="34" t="n">
        <f aca="false">IF(BA$15=1,INDEX(Vol_O,4,BA$14)/12*(1+P_dVol),0)</f>
        <v>0</v>
      </c>
      <c r="BB24" s="34" t="n">
        <f aca="false">IF(BB$15=1,INDEX(Vol_O,4,BB$14)/12*(1+P_dVol),0)</f>
        <v>0</v>
      </c>
      <c r="BC24" s="34" t="n">
        <f aca="false">IF(BC$15=1,INDEX(Vol_O,4,BC$14)/12*(1+P_dVol),0)</f>
        <v>0</v>
      </c>
      <c r="BD24" s="34" t="n">
        <f aca="false">IF(BD$15=1,INDEX(Vol_O,4,BD$14)/12*(1+P_dVol),0)</f>
        <v>0</v>
      </c>
      <c r="BE24" s="34" t="n">
        <f aca="false">IF(BE$15=1,INDEX(Vol_O,4,BE$14)/12*(1+P_dVol),0)</f>
        <v>0</v>
      </c>
      <c r="BF24" s="34" t="n">
        <f aca="false">IF(BF$15=1,INDEX(Vol_O,4,BF$14)/12*(1+P_dVol),0)</f>
        <v>0</v>
      </c>
      <c r="BG24" s="34" t="n">
        <f aca="false">IF(BG$15=1,INDEX(Vol_O,4,BG$14)/12*(1+P_dVol),0)</f>
        <v>0</v>
      </c>
      <c r="BH24" s="34" t="n">
        <f aca="false">IF(BH$15=1,INDEX(Vol_O,4,BH$14)/12*(1+P_dVol),0)</f>
        <v>0</v>
      </c>
      <c r="BI24" s="34" t="n">
        <f aca="false">IF(BI$15=1,INDEX(Vol_O,4,BI$14)/12*(1+P_dVol),0)</f>
        <v>0</v>
      </c>
      <c r="BJ24" s="34" t="n">
        <f aca="false">IF(BJ$15=1,INDEX(Vol_O,4,BJ$14)/12*(1+P_dVol),0)</f>
        <v>0</v>
      </c>
      <c r="BK24" s="34" t="n">
        <f aca="false">IF(BK$15=1,INDEX(Vol_O,4,BK$14)/12*(1+P_dVol),0)</f>
        <v>0</v>
      </c>
      <c r="BL24" s="34" t="n">
        <f aca="false">IF(BL$15=1,INDEX(Vol_O,4,BL$14)/12*(1+P_dVol),0)</f>
        <v>0</v>
      </c>
      <c r="BM24" s="34" t="n">
        <f aca="false">IF(BM$15=1,INDEX(Vol_O,4,BM$14)/12*(1+P_dVol),0)</f>
        <v>0</v>
      </c>
      <c r="BN24" s="34" t="n">
        <f aca="false">IF(BN$15=1,INDEX(Vol_O,4,BN$14)/12*(1+P_dVol),0)</f>
        <v>0</v>
      </c>
      <c r="BO24" s="34" t="n">
        <f aca="false">IF(BO$15=1,INDEX(Vol_O,4,BO$14)/12*(1+P_dVol),0)</f>
        <v>0</v>
      </c>
      <c r="BP24" s="34" t="n">
        <f aca="false">IF(BP$15=1,INDEX(Vol_O,4,BP$14)/12*(1+P_dVol),0)</f>
        <v>0</v>
      </c>
      <c r="BQ24" s="34" t="n">
        <f aca="false">IF(BQ$15=1,INDEX(Vol_O,4,BQ$14)/12*(1+P_dVol),0)</f>
        <v>0</v>
      </c>
      <c r="BR24" s="34" t="n">
        <f aca="false">IF(BR$15=1,INDEX(Vol_O,4,BR$14)/12*(1+P_dVol),0)</f>
        <v>0</v>
      </c>
      <c r="BS24" s="34" t="n">
        <f aca="false">IF(BS$15=1,INDEX(Vol_O,4,BS$14)/12*(1+P_dVol),0)</f>
        <v>0</v>
      </c>
      <c r="BT24" s="34" t="n">
        <f aca="false">IF(BT$15=1,INDEX(Vol_O,4,BT$14)/12*(1+P_dVol),0)</f>
        <v>0</v>
      </c>
      <c r="BU24" s="34" t="n">
        <f aca="false">IF(BU$15=1,INDEX(Vol_O,4,BU$14)/12*(1+P_dVol),0)</f>
        <v>0</v>
      </c>
      <c r="BV24" s="34" t="n">
        <f aca="false">IF(BV$15=1,INDEX(Vol_O,4,BV$14)/12*(1+P_dVol),0)</f>
        <v>0</v>
      </c>
      <c r="BW24" s="34" t="n">
        <f aca="false">IF(BW$15=1,INDEX(Vol_O,4,BW$14)/12*(1+P_dVol),0)</f>
        <v>0</v>
      </c>
      <c r="BX24" s="34" t="n">
        <f aca="false">IF(BX$15=1,INDEX(Vol_O,4,BX$14)/12*(1+P_dVol),0)</f>
        <v>0</v>
      </c>
      <c r="BY24" s="34" t="n">
        <f aca="false">IF(BY$15=1,INDEX(Vol_O,4,BY$14)/12*(1+P_dVol),0)</f>
        <v>0</v>
      </c>
      <c r="BZ24" s="34" t="n">
        <f aca="false">IF(BZ$15=1,INDEX(Vol_O,4,BZ$14)/12*(1+P_dVol),0)</f>
        <v>0</v>
      </c>
      <c r="CA24" s="34" t="n">
        <f aca="false">IF(CA$15=1,INDEX(Vol_O,4,CA$14)/12*(1+P_dVol),0)</f>
        <v>0</v>
      </c>
      <c r="CB24" s="34" t="n">
        <f aca="false">IF(CB$15=1,INDEX(Vol_O,4,CB$14)/12*(1+P_dVol),0)</f>
        <v>0</v>
      </c>
      <c r="CC24" s="34" t="n">
        <f aca="false">IF(CC$15=1,INDEX(Vol_O,4,CC$14)/12*(1+P_dVol),0)</f>
        <v>0</v>
      </c>
      <c r="CD24" s="34" t="n">
        <f aca="false">IF(CD$15=1,INDEX(Vol_O,4,CD$14)/12*(1+P_dVol),0)</f>
        <v>0</v>
      </c>
      <c r="CE24" s="34" t="n">
        <f aca="false">IF(CE$15=1,INDEX(Vol_O,4,CE$14)/12*(1+P_dVol),0)</f>
        <v>0</v>
      </c>
      <c r="CF24" s="34" t="n">
        <f aca="false">IF(CF$15=1,INDEX(Vol_O,4,CF$14)/12*(1+P_dVol),0)</f>
        <v>0</v>
      </c>
      <c r="CG24" s="34" t="n">
        <f aca="false">IF(CG$15=1,INDEX(Vol_O,4,CG$14)/12*(1+P_dVol),0)</f>
        <v>0</v>
      </c>
      <c r="CH24" s="34" t="n">
        <f aca="false">IF(CH$15=1,INDEX(Vol_O,4,CH$14)/12*(1+P_dVol),0)</f>
        <v>0</v>
      </c>
      <c r="CI24" s="34" t="n">
        <f aca="false">IF(CI$15=1,INDEX(Vol_O,4,CI$14)/12*(1+P_dVol),0)</f>
        <v>0</v>
      </c>
      <c r="CJ24" s="34" t="n">
        <f aca="false">IF(CJ$15=1,INDEX(Vol_O,4,CJ$14)/12*(1+P_dVol),0)</f>
        <v>0</v>
      </c>
      <c r="CK24" s="34" t="n">
        <f aca="false">IF(CK$15=1,INDEX(Vol_O,4,CK$14)/12*(1+P_dVol),0)</f>
        <v>0</v>
      </c>
      <c r="CL24" s="34" t="n">
        <f aca="false">IF(CL$15=1,INDEX(Vol_O,4,CL$14)/12*(1+P_dVol),0)</f>
        <v>0</v>
      </c>
      <c r="CM24" s="34" t="n">
        <f aca="false">IF(CM$15=1,INDEX(Vol_O,4,CM$14)/12*(1+P_dVol),0)</f>
        <v>0</v>
      </c>
      <c r="CN24" s="34" t="n">
        <f aca="false">IF(CN$15=1,INDEX(Vol_O,4,CN$14)/12*(1+P_dVol),0)</f>
        <v>0</v>
      </c>
      <c r="CO24" s="34" t="n">
        <f aca="false">IF(CO$15=1,INDEX(Vol_O,4,CO$14)/12*(1+P_dVol),0)</f>
        <v>0</v>
      </c>
      <c r="CP24" s="34" t="n">
        <f aca="false">IF(CP$15=1,INDEX(Vol_O,4,CP$14)/12*(1+P_dVol),0)</f>
        <v>0</v>
      </c>
      <c r="CQ24" s="34" t="n">
        <f aca="false">IF(CQ$15=1,INDEX(Vol_O,4,CQ$14)/12*(1+P_dVol),0)</f>
        <v>0</v>
      </c>
      <c r="CR24" s="34" t="n">
        <f aca="false">IF(CR$15=1,INDEX(Vol_O,4,CR$14)/12*(1+P_dVol),0)</f>
        <v>0</v>
      </c>
      <c r="CS24" s="34" t="n">
        <f aca="false">IF(CS$15=1,INDEX(Vol_O,4,CS$14)/12*(1+P_dVol),0)</f>
        <v>0</v>
      </c>
      <c r="CT24" s="34" t="n">
        <f aca="false">IF(CT$15=1,INDEX(Vol_O,4,CT$14)/12*(1+P_dVol),0)</f>
        <v>0</v>
      </c>
      <c r="CU24" s="34" t="n">
        <f aca="false">IF(CU$15=1,INDEX(Vol_O,4,CU$14)/12*(1+P_dVol),0)</f>
        <v>0</v>
      </c>
      <c r="CV24" s="34" t="n">
        <f aca="false">IF(CV$15=1,INDEX(Vol_O,4,CV$14)/12*(1+P_dVol),0)</f>
        <v>0</v>
      </c>
      <c r="CW24" s="34" t="n">
        <f aca="false">IF(CW$15=1,INDEX(Vol_O,4,CW$14)/12*(1+P_dVol),0)</f>
        <v>0</v>
      </c>
      <c r="CX24" s="34" t="n">
        <f aca="false">IF(CX$15=1,INDEX(Vol_O,4,CX$14)/12*(1+P_dVol),0)</f>
        <v>0</v>
      </c>
      <c r="CY24" s="34" t="n">
        <f aca="false">IF(CY$15=1,INDEX(Vol_O,4,CY$14)/12*(1+P_dVol),0)</f>
        <v>0</v>
      </c>
      <c r="CZ24" s="34" t="n">
        <f aca="false">IF(CZ$15=1,INDEX(Vol_O,4,CZ$14)/12*(1+P_dVol),0)</f>
        <v>0</v>
      </c>
      <c r="DA24" s="34" t="n">
        <f aca="false">IF(DA$15=1,INDEX(Vol_O,4,DA$14)/12*(1+P_dVol),0)</f>
        <v>0</v>
      </c>
      <c r="DB24" s="34" t="n">
        <f aca="false">IF(DB$15=1,INDEX(Vol_O,4,DB$14)/12*(1+P_dVol),0)</f>
        <v>0</v>
      </c>
      <c r="DC24" s="34" t="n">
        <f aca="false">IF(DC$15=1,INDEX(Vol_O,4,DC$14)/12*(1+P_dVol),0)</f>
        <v>0</v>
      </c>
      <c r="DD24" s="34" t="n">
        <f aca="false">IF(DD$15=1,INDEX(Vol_O,4,DD$14)/12*(1+P_dVol),0)</f>
        <v>0</v>
      </c>
      <c r="DE24" s="34" t="n">
        <f aca="false">IF(DE$15=1,INDEX(Vol_O,4,DE$14)/12*(1+P_dVol),0)</f>
        <v>0</v>
      </c>
      <c r="DF24" s="34" t="n">
        <f aca="false">IF(DF$15=1,INDEX(Vol_O,4,DF$14)/12*(1+P_dVol),0)</f>
        <v>0</v>
      </c>
      <c r="DG24" s="34" t="n">
        <f aca="false">IF(DG$15=1,INDEX(Vol_O,4,DG$14)/12*(1+P_dVol),0)</f>
        <v>0</v>
      </c>
      <c r="DH24" s="34" t="n">
        <f aca="false">IF(DH$15=1,INDEX(Vol_O,4,DH$14)/12*(1+P_dVol),0)</f>
        <v>0</v>
      </c>
      <c r="DI24" s="34" t="n">
        <f aca="false">IF(DI$15=1,INDEX(Vol_O,4,DI$14)/12*(1+P_dVol),0)</f>
        <v>0</v>
      </c>
      <c r="DJ24" s="34" t="n">
        <f aca="false">IF(DJ$15=1,INDEX(Vol_O,4,DJ$14)/12*(1+P_dVol),0)</f>
        <v>0</v>
      </c>
      <c r="DK24" s="34" t="n">
        <f aca="false">IF(DK$15=1,INDEX(Vol_O,4,DK$14)/12*(1+P_dVol),0)</f>
        <v>0</v>
      </c>
      <c r="DL24" s="34" t="n">
        <f aca="false">IF(DL$15=1,INDEX(Vol_O,4,DL$14)/12*(1+P_dVol),0)</f>
        <v>0</v>
      </c>
      <c r="DM24" s="34" t="n">
        <f aca="false">IF(DM$15=1,INDEX(Vol_O,4,DM$14)/12*(1+P_dVol),0)</f>
        <v>0</v>
      </c>
      <c r="DN24" s="34" t="n">
        <f aca="false">IF(DN$15=1,INDEX(Vol_O,4,DN$14)/12*(1+P_dVol),0)</f>
        <v>0</v>
      </c>
      <c r="DO24" s="34" t="n">
        <f aca="false">IF(DO$15=1,INDEX(Vol_O,4,DO$14)/12*(1+P_dVol),0)</f>
        <v>0</v>
      </c>
      <c r="DP24" s="34" t="n">
        <f aca="false">IF(DP$15=1,INDEX(Vol_O,4,DP$14)/12*(1+P_dVol),0)</f>
        <v>0</v>
      </c>
      <c r="DQ24" s="34" t="n">
        <f aca="false">IF(DQ$15=1,INDEX(Vol_O,4,DQ$14)/12*(1+P_dVol),0)</f>
        <v>0</v>
      </c>
      <c r="DR24" s="34" t="n">
        <f aca="false">IF(DR$15=1,INDEX(Vol_O,4,DR$14)/12*(1+P_dVol),0)</f>
        <v>0</v>
      </c>
      <c r="DS24" s="34" t="n">
        <f aca="false">IF(DS$15=1,INDEX(Vol_O,4,DS$14)/12*(1+P_dVol),0)</f>
        <v>0</v>
      </c>
      <c r="DT24" s="34" t="n">
        <f aca="false">IF(DT$15=1,INDEX(Vol_O,4,DT$14)/12*(1+P_dVol),0)</f>
        <v>0</v>
      </c>
      <c r="DU24" s="34" t="n">
        <f aca="false">IF(DU$15=1,INDEX(Vol_O,4,DU$14)/12*(1+P_dVol),0)</f>
        <v>0</v>
      </c>
      <c r="DV24" s="34" t="n">
        <f aca="false">IF(DV$15=1,INDEX(Vol_O,4,DV$14)/12*(1+P_dVol),0)</f>
        <v>0</v>
      </c>
      <c r="DW24" s="34" t="n">
        <f aca="false">IF(DW$15=1,INDEX(Vol_O,4,DW$14)/12*(1+P_dVol),0)</f>
        <v>0</v>
      </c>
      <c r="DX24" s="34" t="n">
        <f aca="false">IF(DX$15=1,INDEX(Vol_O,4,DX$14)/12*(1+P_dVol),0)</f>
        <v>0</v>
      </c>
      <c r="DY24" s="34" t="n">
        <f aca="false">IF(DY$15=1,INDEX(Vol_O,4,DY$14)/12*(1+P_dVol),0)</f>
        <v>0</v>
      </c>
      <c r="DZ24" s="34" t="n">
        <f aca="false">IF(DZ$15=1,INDEX(Vol_O,4,DZ$14)/12*(1+P_dVol),0)</f>
        <v>0</v>
      </c>
      <c r="EA24" s="34" t="n">
        <f aca="false">IF(EA$15=1,INDEX(Vol_O,4,EA$14)/12*(1+P_dVol),0)</f>
        <v>0</v>
      </c>
      <c r="EB24" s="34" t="n">
        <f aca="false">IF(EB$15=1,INDEX(Vol_O,4,EB$14)/12*(1+P_dVol),0)</f>
        <v>0</v>
      </c>
      <c r="EC24" s="34" t="n">
        <f aca="false">IF(EC$15=1,INDEX(Vol_O,4,EC$14)/12*(1+P_dVol),0)</f>
        <v>0</v>
      </c>
      <c r="ED24" s="34" t="n">
        <f aca="false">IF(ED$15=1,INDEX(Vol_O,4,ED$14)/12*(1+P_dVol),0)</f>
        <v>0</v>
      </c>
      <c r="EE24" s="34" t="n">
        <f aca="false">IF(EE$15=1,INDEX(Vol_O,4,EE$14)/12*(1+P_dVol),0)</f>
        <v>0</v>
      </c>
      <c r="EF24" s="34" t="n">
        <f aca="false">IF(EF$15=1,INDEX(Vol_O,4,EF$14)/12*(1+P_dVol),0)</f>
        <v>0</v>
      </c>
      <c r="EG24" s="34" t="n">
        <f aca="false">IF(EG$15=1,INDEX(Vol_O,4,EG$14)/12*(1+P_dVol),0)</f>
        <v>0</v>
      </c>
      <c r="EH24" s="34" t="n">
        <f aca="false">IF(EH$15=1,INDEX(Vol_O,4,EH$14)/12*(1+P_dVol),0)</f>
        <v>0</v>
      </c>
      <c r="EI24" s="34" t="n">
        <f aca="false">IF(EI$15=1,INDEX(Vol_O,4,EI$14)/12*(1+P_dVol),0)</f>
        <v>0</v>
      </c>
      <c r="EJ24" s="34" t="n">
        <f aca="false">IF(EJ$15=1,INDEX(Vol_O,4,EJ$14)/12*(1+P_dVol),0)</f>
        <v>0</v>
      </c>
      <c r="EK24" s="34" t="n">
        <f aca="false">IF(EK$15=1,INDEX(Vol_O,4,EK$14)/12*(1+P_dVol),0)</f>
        <v>0</v>
      </c>
      <c r="EL24" s="34" t="n">
        <f aca="false">IF(EL$15=1,INDEX(Vol_O,4,EL$14)/12*(1+P_dVol),0)</f>
        <v>0</v>
      </c>
      <c r="EM24" s="34" t="n">
        <f aca="false">IF(EM$15=1,INDEX(Vol_O,4,EM$14)/12*(1+P_dVol),0)</f>
        <v>0</v>
      </c>
      <c r="EN24" s="34" t="n">
        <f aca="false">IF(EN$15=1,INDEX(Vol_O,4,EN$14)/12*(1+P_dVol),0)</f>
        <v>0</v>
      </c>
      <c r="EO24" s="34" t="n">
        <f aca="false">IF(EO$15=1,INDEX(Vol_O,4,EO$14)/12*(1+P_dVol),0)</f>
        <v>0</v>
      </c>
      <c r="EP24" s="34" t="n">
        <f aca="false">IF(EP$15=1,INDEX(Vol_O,4,EP$14)/12*(1+P_dVol),0)</f>
        <v>0</v>
      </c>
      <c r="EQ24" s="34" t="n">
        <f aca="false">IF(EQ$15=1,INDEX(Vol_O,4,EQ$14)/12*(1+P_dVol),0)</f>
        <v>0</v>
      </c>
      <c r="ER24" s="34" t="n">
        <f aca="false">IF(ER$15=1,INDEX(Vol_O,4,ER$14)/12*(1+P_dVol),0)</f>
        <v>0</v>
      </c>
      <c r="ES24" s="34" t="n">
        <f aca="false">IF(ES$15=1,INDEX(Vol_O,4,ES$14)/12*(1+P_dVol),0)</f>
        <v>0</v>
      </c>
    </row>
    <row r="25" customFormat="false" ht="15" hidden="false" customHeight="false" outlineLevel="0" collapsed="false">
      <c r="A25" s="2" t="s">
        <v>562</v>
      </c>
      <c r="B25" s="39" t="str">
        <f aca="false">IF(INDEX(Prod_Nombre,5)="","Producto 5",INDEX(Prod_Nombre,5))&amp;" — unidades"</f>
        <v>Producto 5 — unidades</v>
      </c>
      <c r="C25" s="6" t="s">
        <v>286</v>
      </c>
      <c r="E25" s="40" t="n">
        <f aca="false">SUM(F25:ES25)</f>
        <v>0</v>
      </c>
      <c r="F25" s="34" t="n">
        <f aca="false">IF(F$15=1,INDEX(Vol_O,5,F$14)/12*(1+P_dVol),0)</f>
        <v>0</v>
      </c>
      <c r="G25" s="34" t="n">
        <f aca="false">IF(G$15=1,INDEX(Vol_O,5,G$14)/12*(1+P_dVol),0)</f>
        <v>0</v>
      </c>
      <c r="H25" s="34" t="n">
        <f aca="false">IF(H$15=1,INDEX(Vol_O,5,H$14)/12*(1+P_dVol),0)</f>
        <v>0</v>
      </c>
      <c r="I25" s="34" t="n">
        <f aca="false">IF(I$15=1,INDEX(Vol_O,5,I$14)/12*(1+P_dVol),0)</f>
        <v>0</v>
      </c>
      <c r="J25" s="34" t="n">
        <f aca="false">IF(J$15=1,INDEX(Vol_O,5,J$14)/12*(1+P_dVol),0)</f>
        <v>0</v>
      </c>
      <c r="K25" s="34" t="n">
        <f aca="false">IF(K$15=1,INDEX(Vol_O,5,K$14)/12*(1+P_dVol),0)</f>
        <v>0</v>
      </c>
      <c r="L25" s="34" t="n">
        <f aca="false">IF(L$15=1,INDEX(Vol_O,5,L$14)/12*(1+P_dVol),0)</f>
        <v>0</v>
      </c>
      <c r="M25" s="34" t="n">
        <f aca="false">IF(M$15=1,INDEX(Vol_O,5,M$14)/12*(1+P_dVol),0)</f>
        <v>0</v>
      </c>
      <c r="N25" s="34" t="n">
        <f aca="false">IF(N$15=1,INDEX(Vol_O,5,N$14)/12*(1+P_dVol),0)</f>
        <v>0</v>
      </c>
      <c r="O25" s="34" t="n">
        <f aca="false">IF(O$15=1,INDEX(Vol_O,5,O$14)/12*(1+P_dVol),0)</f>
        <v>0</v>
      </c>
      <c r="P25" s="34" t="n">
        <f aca="false">IF(P$15=1,INDEX(Vol_O,5,P$14)/12*(1+P_dVol),0)</f>
        <v>0</v>
      </c>
      <c r="Q25" s="34" t="n">
        <f aca="false">IF(Q$15=1,INDEX(Vol_O,5,Q$14)/12*(1+P_dVol),0)</f>
        <v>0</v>
      </c>
      <c r="R25" s="34" t="n">
        <f aca="false">IF(R$15=1,INDEX(Vol_O,5,R$14)/12*(1+P_dVol),0)</f>
        <v>0</v>
      </c>
      <c r="S25" s="34" t="n">
        <f aca="false">IF(S$15=1,INDEX(Vol_O,5,S$14)/12*(1+P_dVol),0)</f>
        <v>0</v>
      </c>
      <c r="T25" s="34" t="n">
        <f aca="false">IF(T$15=1,INDEX(Vol_O,5,T$14)/12*(1+P_dVol),0)</f>
        <v>0</v>
      </c>
      <c r="U25" s="34" t="n">
        <f aca="false">IF(U$15=1,INDEX(Vol_O,5,U$14)/12*(1+P_dVol),0)</f>
        <v>0</v>
      </c>
      <c r="V25" s="34" t="n">
        <f aca="false">IF(V$15=1,INDEX(Vol_O,5,V$14)/12*(1+P_dVol),0)</f>
        <v>0</v>
      </c>
      <c r="W25" s="34" t="n">
        <f aca="false">IF(W$15=1,INDEX(Vol_O,5,W$14)/12*(1+P_dVol),0)</f>
        <v>0</v>
      </c>
      <c r="X25" s="34" t="n">
        <f aca="false">IF(X$15=1,INDEX(Vol_O,5,X$14)/12*(1+P_dVol),0)</f>
        <v>0</v>
      </c>
      <c r="Y25" s="34" t="n">
        <f aca="false">IF(Y$15=1,INDEX(Vol_O,5,Y$14)/12*(1+P_dVol),0)</f>
        <v>0</v>
      </c>
      <c r="Z25" s="34" t="n">
        <f aca="false">IF(Z$15=1,INDEX(Vol_O,5,Z$14)/12*(1+P_dVol),0)</f>
        <v>0</v>
      </c>
      <c r="AA25" s="34" t="n">
        <f aca="false">IF(AA$15=1,INDEX(Vol_O,5,AA$14)/12*(1+P_dVol),0)</f>
        <v>0</v>
      </c>
      <c r="AB25" s="34" t="n">
        <f aca="false">IF(AB$15=1,INDEX(Vol_O,5,AB$14)/12*(1+P_dVol),0)</f>
        <v>0</v>
      </c>
      <c r="AC25" s="34" t="n">
        <f aca="false">IF(AC$15=1,INDEX(Vol_O,5,AC$14)/12*(1+P_dVol),0)</f>
        <v>0</v>
      </c>
      <c r="AD25" s="34" t="n">
        <f aca="false">IF(AD$15=1,INDEX(Vol_O,5,AD$14)/12*(1+P_dVol),0)</f>
        <v>0</v>
      </c>
      <c r="AE25" s="34" t="n">
        <f aca="false">IF(AE$15=1,INDEX(Vol_O,5,AE$14)/12*(1+P_dVol),0)</f>
        <v>0</v>
      </c>
      <c r="AF25" s="34" t="n">
        <f aca="false">IF(AF$15=1,INDEX(Vol_O,5,AF$14)/12*(1+P_dVol),0)</f>
        <v>0</v>
      </c>
      <c r="AG25" s="34" t="n">
        <f aca="false">IF(AG$15=1,INDEX(Vol_O,5,AG$14)/12*(1+P_dVol),0)</f>
        <v>0</v>
      </c>
      <c r="AH25" s="34" t="n">
        <f aca="false">IF(AH$15=1,INDEX(Vol_O,5,AH$14)/12*(1+P_dVol),0)</f>
        <v>0</v>
      </c>
      <c r="AI25" s="34" t="n">
        <f aca="false">IF(AI$15=1,INDEX(Vol_O,5,AI$14)/12*(1+P_dVol),0)</f>
        <v>0</v>
      </c>
      <c r="AJ25" s="34" t="n">
        <f aca="false">IF(AJ$15=1,INDEX(Vol_O,5,AJ$14)/12*(1+P_dVol),0)</f>
        <v>0</v>
      </c>
      <c r="AK25" s="34" t="n">
        <f aca="false">IF(AK$15=1,INDEX(Vol_O,5,AK$14)/12*(1+P_dVol),0)</f>
        <v>0</v>
      </c>
      <c r="AL25" s="34" t="n">
        <f aca="false">IF(AL$15=1,INDEX(Vol_O,5,AL$14)/12*(1+P_dVol),0)</f>
        <v>0</v>
      </c>
      <c r="AM25" s="34" t="n">
        <f aca="false">IF(AM$15=1,INDEX(Vol_O,5,AM$14)/12*(1+P_dVol),0)</f>
        <v>0</v>
      </c>
      <c r="AN25" s="34" t="n">
        <f aca="false">IF(AN$15=1,INDEX(Vol_O,5,AN$14)/12*(1+P_dVol),0)</f>
        <v>0</v>
      </c>
      <c r="AO25" s="34" t="n">
        <f aca="false">IF(AO$15=1,INDEX(Vol_O,5,AO$14)/12*(1+P_dVol),0)</f>
        <v>0</v>
      </c>
      <c r="AP25" s="34" t="n">
        <f aca="false">IF(AP$15=1,INDEX(Vol_O,5,AP$14)/12*(1+P_dVol),0)</f>
        <v>0</v>
      </c>
      <c r="AQ25" s="34" t="n">
        <f aca="false">IF(AQ$15=1,INDEX(Vol_O,5,AQ$14)/12*(1+P_dVol),0)</f>
        <v>0</v>
      </c>
      <c r="AR25" s="34" t="n">
        <f aca="false">IF(AR$15=1,INDEX(Vol_O,5,AR$14)/12*(1+P_dVol),0)</f>
        <v>0</v>
      </c>
      <c r="AS25" s="34" t="n">
        <f aca="false">IF(AS$15=1,INDEX(Vol_O,5,AS$14)/12*(1+P_dVol),0)</f>
        <v>0</v>
      </c>
      <c r="AT25" s="34" t="n">
        <f aca="false">IF(AT$15=1,INDEX(Vol_O,5,AT$14)/12*(1+P_dVol),0)</f>
        <v>0</v>
      </c>
      <c r="AU25" s="34" t="n">
        <f aca="false">IF(AU$15=1,INDEX(Vol_O,5,AU$14)/12*(1+P_dVol),0)</f>
        <v>0</v>
      </c>
      <c r="AV25" s="34" t="n">
        <f aca="false">IF(AV$15=1,INDEX(Vol_O,5,AV$14)/12*(1+P_dVol),0)</f>
        <v>0</v>
      </c>
      <c r="AW25" s="34" t="n">
        <f aca="false">IF(AW$15=1,INDEX(Vol_O,5,AW$14)/12*(1+P_dVol),0)</f>
        <v>0</v>
      </c>
      <c r="AX25" s="34" t="n">
        <f aca="false">IF(AX$15=1,INDEX(Vol_O,5,AX$14)/12*(1+P_dVol),0)</f>
        <v>0</v>
      </c>
      <c r="AY25" s="34" t="n">
        <f aca="false">IF(AY$15=1,INDEX(Vol_O,5,AY$14)/12*(1+P_dVol),0)</f>
        <v>0</v>
      </c>
      <c r="AZ25" s="34" t="n">
        <f aca="false">IF(AZ$15=1,INDEX(Vol_O,5,AZ$14)/12*(1+P_dVol),0)</f>
        <v>0</v>
      </c>
      <c r="BA25" s="34" t="n">
        <f aca="false">IF(BA$15=1,INDEX(Vol_O,5,BA$14)/12*(1+P_dVol),0)</f>
        <v>0</v>
      </c>
      <c r="BB25" s="34" t="n">
        <f aca="false">IF(BB$15=1,INDEX(Vol_O,5,BB$14)/12*(1+P_dVol),0)</f>
        <v>0</v>
      </c>
      <c r="BC25" s="34" t="n">
        <f aca="false">IF(BC$15=1,INDEX(Vol_O,5,BC$14)/12*(1+P_dVol),0)</f>
        <v>0</v>
      </c>
      <c r="BD25" s="34" t="n">
        <f aca="false">IF(BD$15=1,INDEX(Vol_O,5,BD$14)/12*(1+P_dVol),0)</f>
        <v>0</v>
      </c>
      <c r="BE25" s="34" t="n">
        <f aca="false">IF(BE$15=1,INDEX(Vol_O,5,BE$14)/12*(1+P_dVol),0)</f>
        <v>0</v>
      </c>
      <c r="BF25" s="34" t="n">
        <f aca="false">IF(BF$15=1,INDEX(Vol_O,5,BF$14)/12*(1+P_dVol),0)</f>
        <v>0</v>
      </c>
      <c r="BG25" s="34" t="n">
        <f aca="false">IF(BG$15=1,INDEX(Vol_O,5,BG$14)/12*(1+P_dVol),0)</f>
        <v>0</v>
      </c>
      <c r="BH25" s="34" t="n">
        <f aca="false">IF(BH$15=1,INDEX(Vol_O,5,BH$14)/12*(1+P_dVol),0)</f>
        <v>0</v>
      </c>
      <c r="BI25" s="34" t="n">
        <f aca="false">IF(BI$15=1,INDEX(Vol_O,5,BI$14)/12*(1+P_dVol),0)</f>
        <v>0</v>
      </c>
      <c r="BJ25" s="34" t="n">
        <f aca="false">IF(BJ$15=1,INDEX(Vol_O,5,BJ$14)/12*(1+P_dVol),0)</f>
        <v>0</v>
      </c>
      <c r="BK25" s="34" t="n">
        <f aca="false">IF(BK$15=1,INDEX(Vol_O,5,BK$14)/12*(1+P_dVol),0)</f>
        <v>0</v>
      </c>
      <c r="BL25" s="34" t="n">
        <f aca="false">IF(BL$15=1,INDEX(Vol_O,5,BL$14)/12*(1+P_dVol),0)</f>
        <v>0</v>
      </c>
      <c r="BM25" s="34" t="n">
        <f aca="false">IF(BM$15=1,INDEX(Vol_O,5,BM$14)/12*(1+P_dVol),0)</f>
        <v>0</v>
      </c>
      <c r="BN25" s="34" t="n">
        <f aca="false">IF(BN$15=1,INDEX(Vol_O,5,BN$14)/12*(1+P_dVol),0)</f>
        <v>0</v>
      </c>
      <c r="BO25" s="34" t="n">
        <f aca="false">IF(BO$15=1,INDEX(Vol_O,5,BO$14)/12*(1+P_dVol),0)</f>
        <v>0</v>
      </c>
      <c r="BP25" s="34" t="n">
        <f aca="false">IF(BP$15=1,INDEX(Vol_O,5,BP$14)/12*(1+P_dVol),0)</f>
        <v>0</v>
      </c>
      <c r="BQ25" s="34" t="n">
        <f aca="false">IF(BQ$15=1,INDEX(Vol_O,5,BQ$14)/12*(1+P_dVol),0)</f>
        <v>0</v>
      </c>
      <c r="BR25" s="34" t="n">
        <f aca="false">IF(BR$15=1,INDEX(Vol_O,5,BR$14)/12*(1+P_dVol),0)</f>
        <v>0</v>
      </c>
      <c r="BS25" s="34" t="n">
        <f aca="false">IF(BS$15=1,INDEX(Vol_O,5,BS$14)/12*(1+P_dVol),0)</f>
        <v>0</v>
      </c>
      <c r="BT25" s="34" t="n">
        <f aca="false">IF(BT$15=1,INDEX(Vol_O,5,BT$14)/12*(1+P_dVol),0)</f>
        <v>0</v>
      </c>
      <c r="BU25" s="34" t="n">
        <f aca="false">IF(BU$15=1,INDEX(Vol_O,5,BU$14)/12*(1+P_dVol),0)</f>
        <v>0</v>
      </c>
      <c r="BV25" s="34" t="n">
        <f aca="false">IF(BV$15=1,INDEX(Vol_O,5,BV$14)/12*(1+P_dVol),0)</f>
        <v>0</v>
      </c>
      <c r="BW25" s="34" t="n">
        <f aca="false">IF(BW$15=1,INDEX(Vol_O,5,BW$14)/12*(1+P_dVol),0)</f>
        <v>0</v>
      </c>
      <c r="BX25" s="34" t="n">
        <f aca="false">IF(BX$15=1,INDEX(Vol_O,5,BX$14)/12*(1+P_dVol),0)</f>
        <v>0</v>
      </c>
      <c r="BY25" s="34" t="n">
        <f aca="false">IF(BY$15=1,INDEX(Vol_O,5,BY$14)/12*(1+P_dVol),0)</f>
        <v>0</v>
      </c>
      <c r="BZ25" s="34" t="n">
        <f aca="false">IF(BZ$15=1,INDEX(Vol_O,5,BZ$14)/12*(1+P_dVol),0)</f>
        <v>0</v>
      </c>
      <c r="CA25" s="34" t="n">
        <f aca="false">IF(CA$15=1,INDEX(Vol_O,5,CA$14)/12*(1+P_dVol),0)</f>
        <v>0</v>
      </c>
      <c r="CB25" s="34" t="n">
        <f aca="false">IF(CB$15=1,INDEX(Vol_O,5,CB$14)/12*(1+P_dVol),0)</f>
        <v>0</v>
      </c>
      <c r="CC25" s="34" t="n">
        <f aca="false">IF(CC$15=1,INDEX(Vol_O,5,CC$14)/12*(1+P_dVol),0)</f>
        <v>0</v>
      </c>
      <c r="CD25" s="34" t="n">
        <f aca="false">IF(CD$15=1,INDEX(Vol_O,5,CD$14)/12*(1+P_dVol),0)</f>
        <v>0</v>
      </c>
      <c r="CE25" s="34" t="n">
        <f aca="false">IF(CE$15=1,INDEX(Vol_O,5,CE$14)/12*(1+P_dVol),0)</f>
        <v>0</v>
      </c>
      <c r="CF25" s="34" t="n">
        <f aca="false">IF(CF$15=1,INDEX(Vol_O,5,CF$14)/12*(1+P_dVol),0)</f>
        <v>0</v>
      </c>
      <c r="CG25" s="34" t="n">
        <f aca="false">IF(CG$15=1,INDEX(Vol_O,5,CG$14)/12*(1+P_dVol),0)</f>
        <v>0</v>
      </c>
      <c r="CH25" s="34" t="n">
        <f aca="false">IF(CH$15=1,INDEX(Vol_O,5,CH$14)/12*(1+P_dVol),0)</f>
        <v>0</v>
      </c>
      <c r="CI25" s="34" t="n">
        <f aca="false">IF(CI$15=1,INDEX(Vol_O,5,CI$14)/12*(1+P_dVol),0)</f>
        <v>0</v>
      </c>
      <c r="CJ25" s="34" t="n">
        <f aca="false">IF(CJ$15=1,INDEX(Vol_O,5,CJ$14)/12*(1+P_dVol),0)</f>
        <v>0</v>
      </c>
      <c r="CK25" s="34" t="n">
        <f aca="false">IF(CK$15=1,INDEX(Vol_O,5,CK$14)/12*(1+P_dVol),0)</f>
        <v>0</v>
      </c>
      <c r="CL25" s="34" t="n">
        <f aca="false">IF(CL$15=1,INDEX(Vol_O,5,CL$14)/12*(1+P_dVol),0)</f>
        <v>0</v>
      </c>
      <c r="CM25" s="34" t="n">
        <f aca="false">IF(CM$15=1,INDEX(Vol_O,5,CM$14)/12*(1+P_dVol),0)</f>
        <v>0</v>
      </c>
      <c r="CN25" s="34" t="n">
        <f aca="false">IF(CN$15=1,INDEX(Vol_O,5,CN$14)/12*(1+P_dVol),0)</f>
        <v>0</v>
      </c>
      <c r="CO25" s="34" t="n">
        <f aca="false">IF(CO$15=1,INDEX(Vol_O,5,CO$14)/12*(1+P_dVol),0)</f>
        <v>0</v>
      </c>
      <c r="CP25" s="34" t="n">
        <f aca="false">IF(CP$15=1,INDEX(Vol_O,5,CP$14)/12*(1+P_dVol),0)</f>
        <v>0</v>
      </c>
      <c r="CQ25" s="34" t="n">
        <f aca="false">IF(CQ$15=1,INDEX(Vol_O,5,CQ$14)/12*(1+P_dVol),0)</f>
        <v>0</v>
      </c>
      <c r="CR25" s="34" t="n">
        <f aca="false">IF(CR$15=1,INDEX(Vol_O,5,CR$14)/12*(1+P_dVol),0)</f>
        <v>0</v>
      </c>
      <c r="CS25" s="34" t="n">
        <f aca="false">IF(CS$15=1,INDEX(Vol_O,5,CS$14)/12*(1+P_dVol),0)</f>
        <v>0</v>
      </c>
      <c r="CT25" s="34" t="n">
        <f aca="false">IF(CT$15=1,INDEX(Vol_O,5,CT$14)/12*(1+P_dVol),0)</f>
        <v>0</v>
      </c>
      <c r="CU25" s="34" t="n">
        <f aca="false">IF(CU$15=1,INDEX(Vol_O,5,CU$14)/12*(1+P_dVol),0)</f>
        <v>0</v>
      </c>
      <c r="CV25" s="34" t="n">
        <f aca="false">IF(CV$15=1,INDEX(Vol_O,5,CV$14)/12*(1+P_dVol),0)</f>
        <v>0</v>
      </c>
      <c r="CW25" s="34" t="n">
        <f aca="false">IF(CW$15=1,INDEX(Vol_O,5,CW$14)/12*(1+P_dVol),0)</f>
        <v>0</v>
      </c>
      <c r="CX25" s="34" t="n">
        <f aca="false">IF(CX$15=1,INDEX(Vol_O,5,CX$14)/12*(1+P_dVol),0)</f>
        <v>0</v>
      </c>
      <c r="CY25" s="34" t="n">
        <f aca="false">IF(CY$15=1,INDEX(Vol_O,5,CY$14)/12*(1+P_dVol),0)</f>
        <v>0</v>
      </c>
      <c r="CZ25" s="34" t="n">
        <f aca="false">IF(CZ$15=1,INDEX(Vol_O,5,CZ$14)/12*(1+P_dVol),0)</f>
        <v>0</v>
      </c>
      <c r="DA25" s="34" t="n">
        <f aca="false">IF(DA$15=1,INDEX(Vol_O,5,DA$14)/12*(1+P_dVol),0)</f>
        <v>0</v>
      </c>
      <c r="DB25" s="34" t="n">
        <f aca="false">IF(DB$15=1,INDEX(Vol_O,5,DB$14)/12*(1+P_dVol),0)</f>
        <v>0</v>
      </c>
      <c r="DC25" s="34" t="n">
        <f aca="false">IF(DC$15=1,INDEX(Vol_O,5,DC$14)/12*(1+P_dVol),0)</f>
        <v>0</v>
      </c>
      <c r="DD25" s="34" t="n">
        <f aca="false">IF(DD$15=1,INDEX(Vol_O,5,DD$14)/12*(1+P_dVol),0)</f>
        <v>0</v>
      </c>
      <c r="DE25" s="34" t="n">
        <f aca="false">IF(DE$15=1,INDEX(Vol_O,5,DE$14)/12*(1+P_dVol),0)</f>
        <v>0</v>
      </c>
      <c r="DF25" s="34" t="n">
        <f aca="false">IF(DF$15=1,INDEX(Vol_O,5,DF$14)/12*(1+P_dVol),0)</f>
        <v>0</v>
      </c>
      <c r="DG25" s="34" t="n">
        <f aca="false">IF(DG$15=1,INDEX(Vol_O,5,DG$14)/12*(1+P_dVol),0)</f>
        <v>0</v>
      </c>
      <c r="DH25" s="34" t="n">
        <f aca="false">IF(DH$15=1,INDEX(Vol_O,5,DH$14)/12*(1+P_dVol),0)</f>
        <v>0</v>
      </c>
      <c r="DI25" s="34" t="n">
        <f aca="false">IF(DI$15=1,INDEX(Vol_O,5,DI$14)/12*(1+P_dVol),0)</f>
        <v>0</v>
      </c>
      <c r="DJ25" s="34" t="n">
        <f aca="false">IF(DJ$15=1,INDEX(Vol_O,5,DJ$14)/12*(1+P_dVol),0)</f>
        <v>0</v>
      </c>
      <c r="DK25" s="34" t="n">
        <f aca="false">IF(DK$15=1,INDEX(Vol_O,5,DK$14)/12*(1+P_dVol),0)</f>
        <v>0</v>
      </c>
      <c r="DL25" s="34" t="n">
        <f aca="false">IF(DL$15=1,INDEX(Vol_O,5,DL$14)/12*(1+P_dVol),0)</f>
        <v>0</v>
      </c>
      <c r="DM25" s="34" t="n">
        <f aca="false">IF(DM$15=1,INDEX(Vol_O,5,DM$14)/12*(1+P_dVol),0)</f>
        <v>0</v>
      </c>
      <c r="DN25" s="34" t="n">
        <f aca="false">IF(DN$15=1,INDEX(Vol_O,5,DN$14)/12*(1+P_dVol),0)</f>
        <v>0</v>
      </c>
      <c r="DO25" s="34" t="n">
        <f aca="false">IF(DO$15=1,INDEX(Vol_O,5,DO$14)/12*(1+P_dVol),0)</f>
        <v>0</v>
      </c>
      <c r="DP25" s="34" t="n">
        <f aca="false">IF(DP$15=1,INDEX(Vol_O,5,DP$14)/12*(1+P_dVol),0)</f>
        <v>0</v>
      </c>
      <c r="DQ25" s="34" t="n">
        <f aca="false">IF(DQ$15=1,INDEX(Vol_O,5,DQ$14)/12*(1+P_dVol),0)</f>
        <v>0</v>
      </c>
      <c r="DR25" s="34" t="n">
        <f aca="false">IF(DR$15=1,INDEX(Vol_O,5,DR$14)/12*(1+P_dVol),0)</f>
        <v>0</v>
      </c>
      <c r="DS25" s="34" t="n">
        <f aca="false">IF(DS$15=1,INDEX(Vol_O,5,DS$14)/12*(1+P_dVol),0)</f>
        <v>0</v>
      </c>
      <c r="DT25" s="34" t="n">
        <f aca="false">IF(DT$15=1,INDEX(Vol_O,5,DT$14)/12*(1+P_dVol),0)</f>
        <v>0</v>
      </c>
      <c r="DU25" s="34" t="n">
        <f aca="false">IF(DU$15=1,INDEX(Vol_O,5,DU$14)/12*(1+P_dVol),0)</f>
        <v>0</v>
      </c>
      <c r="DV25" s="34" t="n">
        <f aca="false">IF(DV$15=1,INDEX(Vol_O,5,DV$14)/12*(1+P_dVol),0)</f>
        <v>0</v>
      </c>
      <c r="DW25" s="34" t="n">
        <f aca="false">IF(DW$15=1,INDEX(Vol_O,5,DW$14)/12*(1+P_dVol),0)</f>
        <v>0</v>
      </c>
      <c r="DX25" s="34" t="n">
        <f aca="false">IF(DX$15=1,INDEX(Vol_O,5,DX$14)/12*(1+P_dVol),0)</f>
        <v>0</v>
      </c>
      <c r="DY25" s="34" t="n">
        <f aca="false">IF(DY$15=1,INDEX(Vol_O,5,DY$14)/12*(1+P_dVol),0)</f>
        <v>0</v>
      </c>
      <c r="DZ25" s="34" t="n">
        <f aca="false">IF(DZ$15=1,INDEX(Vol_O,5,DZ$14)/12*(1+P_dVol),0)</f>
        <v>0</v>
      </c>
      <c r="EA25" s="34" t="n">
        <f aca="false">IF(EA$15=1,INDEX(Vol_O,5,EA$14)/12*(1+P_dVol),0)</f>
        <v>0</v>
      </c>
      <c r="EB25" s="34" t="n">
        <f aca="false">IF(EB$15=1,INDEX(Vol_O,5,EB$14)/12*(1+P_dVol),0)</f>
        <v>0</v>
      </c>
      <c r="EC25" s="34" t="n">
        <f aca="false">IF(EC$15=1,INDEX(Vol_O,5,EC$14)/12*(1+P_dVol),0)</f>
        <v>0</v>
      </c>
      <c r="ED25" s="34" t="n">
        <f aca="false">IF(ED$15=1,INDEX(Vol_O,5,ED$14)/12*(1+P_dVol),0)</f>
        <v>0</v>
      </c>
      <c r="EE25" s="34" t="n">
        <f aca="false">IF(EE$15=1,INDEX(Vol_O,5,EE$14)/12*(1+P_dVol),0)</f>
        <v>0</v>
      </c>
      <c r="EF25" s="34" t="n">
        <f aca="false">IF(EF$15=1,INDEX(Vol_O,5,EF$14)/12*(1+P_dVol),0)</f>
        <v>0</v>
      </c>
      <c r="EG25" s="34" t="n">
        <f aca="false">IF(EG$15=1,INDEX(Vol_O,5,EG$14)/12*(1+P_dVol),0)</f>
        <v>0</v>
      </c>
      <c r="EH25" s="34" t="n">
        <f aca="false">IF(EH$15=1,INDEX(Vol_O,5,EH$14)/12*(1+P_dVol),0)</f>
        <v>0</v>
      </c>
      <c r="EI25" s="34" t="n">
        <f aca="false">IF(EI$15=1,INDEX(Vol_O,5,EI$14)/12*(1+P_dVol),0)</f>
        <v>0</v>
      </c>
      <c r="EJ25" s="34" t="n">
        <f aca="false">IF(EJ$15=1,INDEX(Vol_O,5,EJ$14)/12*(1+P_dVol),0)</f>
        <v>0</v>
      </c>
      <c r="EK25" s="34" t="n">
        <f aca="false">IF(EK$15=1,INDEX(Vol_O,5,EK$14)/12*(1+P_dVol),0)</f>
        <v>0</v>
      </c>
      <c r="EL25" s="34" t="n">
        <f aca="false">IF(EL$15=1,INDEX(Vol_O,5,EL$14)/12*(1+P_dVol),0)</f>
        <v>0</v>
      </c>
      <c r="EM25" s="34" t="n">
        <f aca="false">IF(EM$15=1,INDEX(Vol_O,5,EM$14)/12*(1+P_dVol),0)</f>
        <v>0</v>
      </c>
      <c r="EN25" s="34" t="n">
        <f aca="false">IF(EN$15=1,INDEX(Vol_O,5,EN$14)/12*(1+P_dVol),0)</f>
        <v>0</v>
      </c>
      <c r="EO25" s="34" t="n">
        <f aca="false">IF(EO$15=1,INDEX(Vol_O,5,EO$14)/12*(1+P_dVol),0)</f>
        <v>0</v>
      </c>
      <c r="EP25" s="34" t="n">
        <f aca="false">IF(EP$15=1,INDEX(Vol_O,5,EP$14)/12*(1+P_dVol),0)</f>
        <v>0</v>
      </c>
      <c r="EQ25" s="34" t="n">
        <f aca="false">IF(EQ$15=1,INDEX(Vol_O,5,EQ$14)/12*(1+P_dVol),0)</f>
        <v>0</v>
      </c>
      <c r="ER25" s="34" t="n">
        <f aca="false">IF(ER$15=1,INDEX(Vol_O,5,ER$14)/12*(1+P_dVol),0)</f>
        <v>0</v>
      </c>
      <c r="ES25" s="34" t="n">
        <f aca="false">IF(ES$15=1,INDEX(Vol_O,5,ES$14)/12*(1+P_dVol),0)</f>
        <v>0</v>
      </c>
    </row>
    <row r="26" customFormat="false" ht="15" hidden="false" customHeight="false" outlineLevel="0" collapsed="false">
      <c r="A26" s="2" t="s">
        <v>563</v>
      </c>
      <c r="B26" s="39" t="str">
        <f aca="false">IF(INDEX(Prod_Nombre,6)="","Producto 6",INDEX(Prod_Nombre,6))&amp;" — unidades"</f>
        <v>Producto 6 — unidades</v>
      </c>
      <c r="C26" s="6" t="s">
        <v>286</v>
      </c>
      <c r="E26" s="40" t="n">
        <f aca="false">SUM(F26:ES26)</f>
        <v>0</v>
      </c>
      <c r="F26" s="34" t="n">
        <f aca="false">IF(F$15=1,INDEX(Vol_O,6,F$14)/12*(1+P_dVol),0)</f>
        <v>0</v>
      </c>
      <c r="G26" s="34" t="n">
        <f aca="false">IF(G$15=1,INDEX(Vol_O,6,G$14)/12*(1+P_dVol),0)</f>
        <v>0</v>
      </c>
      <c r="H26" s="34" t="n">
        <f aca="false">IF(H$15=1,INDEX(Vol_O,6,H$14)/12*(1+P_dVol),0)</f>
        <v>0</v>
      </c>
      <c r="I26" s="34" t="n">
        <f aca="false">IF(I$15=1,INDEX(Vol_O,6,I$14)/12*(1+P_dVol),0)</f>
        <v>0</v>
      </c>
      <c r="J26" s="34" t="n">
        <f aca="false">IF(J$15=1,INDEX(Vol_O,6,J$14)/12*(1+P_dVol),0)</f>
        <v>0</v>
      </c>
      <c r="K26" s="34" t="n">
        <f aca="false">IF(K$15=1,INDEX(Vol_O,6,K$14)/12*(1+P_dVol),0)</f>
        <v>0</v>
      </c>
      <c r="L26" s="34" t="n">
        <f aca="false">IF(L$15=1,INDEX(Vol_O,6,L$14)/12*(1+P_dVol),0)</f>
        <v>0</v>
      </c>
      <c r="M26" s="34" t="n">
        <f aca="false">IF(M$15=1,INDEX(Vol_O,6,M$14)/12*(1+P_dVol),0)</f>
        <v>0</v>
      </c>
      <c r="N26" s="34" t="n">
        <f aca="false">IF(N$15=1,INDEX(Vol_O,6,N$14)/12*(1+P_dVol),0)</f>
        <v>0</v>
      </c>
      <c r="O26" s="34" t="n">
        <f aca="false">IF(O$15=1,INDEX(Vol_O,6,O$14)/12*(1+P_dVol),0)</f>
        <v>0</v>
      </c>
      <c r="P26" s="34" t="n">
        <f aca="false">IF(P$15=1,INDEX(Vol_O,6,P$14)/12*(1+P_dVol),0)</f>
        <v>0</v>
      </c>
      <c r="Q26" s="34" t="n">
        <f aca="false">IF(Q$15=1,INDEX(Vol_O,6,Q$14)/12*(1+P_dVol),0)</f>
        <v>0</v>
      </c>
      <c r="R26" s="34" t="n">
        <f aca="false">IF(R$15=1,INDEX(Vol_O,6,R$14)/12*(1+P_dVol),0)</f>
        <v>0</v>
      </c>
      <c r="S26" s="34" t="n">
        <f aca="false">IF(S$15=1,INDEX(Vol_O,6,S$14)/12*(1+P_dVol),0)</f>
        <v>0</v>
      </c>
      <c r="T26" s="34" t="n">
        <f aca="false">IF(T$15=1,INDEX(Vol_O,6,T$14)/12*(1+P_dVol),0)</f>
        <v>0</v>
      </c>
      <c r="U26" s="34" t="n">
        <f aca="false">IF(U$15=1,INDEX(Vol_O,6,U$14)/12*(1+P_dVol),0)</f>
        <v>0</v>
      </c>
      <c r="V26" s="34" t="n">
        <f aca="false">IF(V$15=1,INDEX(Vol_O,6,V$14)/12*(1+P_dVol),0)</f>
        <v>0</v>
      </c>
      <c r="W26" s="34" t="n">
        <f aca="false">IF(W$15=1,INDEX(Vol_O,6,W$14)/12*(1+P_dVol),0)</f>
        <v>0</v>
      </c>
      <c r="X26" s="34" t="n">
        <f aca="false">IF(X$15=1,INDEX(Vol_O,6,X$14)/12*(1+P_dVol),0)</f>
        <v>0</v>
      </c>
      <c r="Y26" s="34" t="n">
        <f aca="false">IF(Y$15=1,INDEX(Vol_O,6,Y$14)/12*(1+P_dVol),0)</f>
        <v>0</v>
      </c>
      <c r="Z26" s="34" t="n">
        <f aca="false">IF(Z$15=1,INDEX(Vol_O,6,Z$14)/12*(1+P_dVol),0)</f>
        <v>0</v>
      </c>
      <c r="AA26" s="34" t="n">
        <f aca="false">IF(AA$15=1,INDEX(Vol_O,6,AA$14)/12*(1+P_dVol),0)</f>
        <v>0</v>
      </c>
      <c r="AB26" s="34" t="n">
        <f aca="false">IF(AB$15=1,INDEX(Vol_O,6,AB$14)/12*(1+P_dVol),0)</f>
        <v>0</v>
      </c>
      <c r="AC26" s="34" t="n">
        <f aca="false">IF(AC$15=1,INDEX(Vol_O,6,AC$14)/12*(1+P_dVol),0)</f>
        <v>0</v>
      </c>
      <c r="AD26" s="34" t="n">
        <f aca="false">IF(AD$15=1,INDEX(Vol_O,6,AD$14)/12*(1+P_dVol),0)</f>
        <v>0</v>
      </c>
      <c r="AE26" s="34" t="n">
        <f aca="false">IF(AE$15=1,INDEX(Vol_O,6,AE$14)/12*(1+P_dVol),0)</f>
        <v>0</v>
      </c>
      <c r="AF26" s="34" t="n">
        <f aca="false">IF(AF$15=1,INDEX(Vol_O,6,AF$14)/12*(1+P_dVol),0)</f>
        <v>0</v>
      </c>
      <c r="AG26" s="34" t="n">
        <f aca="false">IF(AG$15=1,INDEX(Vol_O,6,AG$14)/12*(1+P_dVol),0)</f>
        <v>0</v>
      </c>
      <c r="AH26" s="34" t="n">
        <f aca="false">IF(AH$15=1,INDEX(Vol_O,6,AH$14)/12*(1+P_dVol),0)</f>
        <v>0</v>
      </c>
      <c r="AI26" s="34" t="n">
        <f aca="false">IF(AI$15=1,INDEX(Vol_O,6,AI$14)/12*(1+P_dVol),0)</f>
        <v>0</v>
      </c>
      <c r="AJ26" s="34" t="n">
        <f aca="false">IF(AJ$15=1,INDEX(Vol_O,6,AJ$14)/12*(1+P_dVol),0)</f>
        <v>0</v>
      </c>
      <c r="AK26" s="34" t="n">
        <f aca="false">IF(AK$15=1,INDEX(Vol_O,6,AK$14)/12*(1+P_dVol),0)</f>
        <v>0</v>
      </c>
      <c r="AL26" s="34" t="n">
        <f aca="false">IF(AL$15=1,INDEX(Vol_O,6,AL$14)/12*(1+P_dVol),0)</f>
        <v>0</v>
      </c>
      <c r="AM26" s="34" t="n">
        <f aca="false">IF(AM$15=1,INDEX(Vol_O,6,AM$14)/12*(1+P_dVol),0)</f>
        <v>0</v>
      </c>
      <c r="AN26" s="34" t="n">
        <f aca="false">IF(AN$15=1,INDEX(Vol_O,6,AN$14)/12*(1+P_dVol),0)</f>
        <v>0</v>
      </c>
      <c r="AO26" s="34" t="n">
        <f aca="false">IF(AO$15=1,INDEX(Vol_O,6,AO$14)/12*(1+P_dVol),0)</f>
        <v>0</v>
      </c>
      <c r="AP26" s="34" t="n">
        <f aca="false">IF(AP$15=1,INDEX(Vol_O,6,AP$14)/12*(1+P_dVol),0)</f>
        <v>0</v>
      </c>
      <c r="AQ26" s="34" t="n">
        <f aca="false">IF(AQ$15=1,INDEX(Vol_O,6,AQ$14)/12*(1+P_dVol),0)</f>
        <v>0</v>
      </c>
      <c r="AR26" s="34" t="n">
        <f aca="false">IF(AR$15=1,INDEX(Vol_O,6,AR$14)/12*(1+P_dVol),0)</f>
        <v>0</v>
      </c>
      <c r="AS26" s="34" t="n">
        <f aca="false">IF(AS$15=1,INDEX(Vol_O,6,AS$14)/12*(1+P_dVol),0)</f>
        <v>0</v>
      </c>
      <c r="AT26" s="34" t="n">
        <f aca="false">IF(AT$15=1,INDEX(Vol_O,6,AT$14)/12*(1+P_dVol),0)</f>
        <v>0</v>
      </c>
      <c r="AU26" s="34" t="n">
        <f aca="false">IF(AU$15=1,INDEX(Vol_O,6,AU$14)/12*(1+P_dVol),0)</f>
        <v>0</v>
      </c>
      <c r="AV26" s="34" t="n">
        <f aca="false">IF(AV$15=1,INDEX(Vol_O,6,AV$14)/12*(1+P_dVol),0)</f>
        <v>0</v>
      </c>
      <c r="AW26" s="34" t="n">
        <f aca="false">IF(AW$15=1,INDEX(Vol_O,6,AW$14)/12*(1+P_dVol),0)</f>
        <v>0</v>
      </c>
      <c r="AX26" s="34" t="n">
        <f aca="false">IF(AX$15=1,INDEX(Vol_O,6,AX$14)/12*(1+P_dVol),0)</f>
        <v>0</v>
      </c>
      <c r="AY26" s="34" t="n">
        <f aca="false">IF(AY$15=1,INDEX(Vol_O,6,AY$14)/12*(1+P_dVol),0)</f>
        <v>0</v>
      </c>
      <c r="AZ26" s="34" t="n">
        <f aca="false">IF(AZ$15=1,INDEX(Vol_O,6,AZ$14)/12*(1+P_dVol),0)</f>
        <v>0</v>
      </c>
      <c r="BA26" s="34" t="n">
        <f aca="false">IF(BA$15=1,INDEX(Vol_O,6,BA$14)/12*(1+P_dVol),0)</f>
        <v>0</v>
      </c>
      <c r="BB26" s="34" t="n">
        <f aca="false">IF(BB$15=1,INDEX(Vol_O,6,BB$14)/12*(1+P_dVol),0)</f>
        <v>0</v>
      </c>
      <c r="BC26" s="34" t="n">
        <f aca="false">IF(BC$15=1,INDEX(Vol_O,6,BC$14)/12*(1+P_dVol),0)</f>
        <v>0</v>
      </c>
      <c r="BD26" s="34" t="n">
        <f aca="false">IF(BD$15=1,INDEX(Vol_O,6,BD$14)/12*(1+P_dVol),0)</f>
        <v>0</v>
      </c>
      <c r="BE26" s="34" t="n">
        <f aca="false">IF(BE$15=1,INDEX(Vol_O,6,BE$14)/12*(1+P_dVol),0)</f>
        <v>0</v>
      </c>
      <c r="BF26" s="34" t="n">
        <f aca="false">IF(BF$15=1,INDEX(Vol_O,6,BF$14)/12*(1+P_dVol),0)</f>
        <v>0</v>
      </c>
      <c r="BG26" s="34" t="n">
        <f aca="false">IF(BG$15=1,INDEX(Vol_O,6,BG$14)/12*(1+P_dVol),0)</f>
        <v>0</v>
      </c>
      <c r="BH26" s="34" t="n">
        <f aca="false">IF(BH$15=1,INDEX(Vol_O,6,BH$14)/12*(1+P_dVol),0)</f>
        <v>0</v>
      </c>
      <c r="BI26" s="34" t="n">
        <f aca="false">IF(BI$15=1,INDEX(Vol_O,6,BI$14)/12*(1+P_dVol),0)</f>
        <v>0</v>
      </c>
      <c r="BJ26" s="34" t="n">
        <f aca="false">IF(BJ$15=1,INDEX(Vol_O,6,BJ$14)/12*(1+P_dVol),0)</f>
        <v>0</v>
      </c>
      <c r="BK26" s="34" t="n">
        <f aca="false">IF(BK$15=1,INDEX(Vol_O,6,BK$14)/12*(1+P_dVol),0)</f>
        <v>0</v>
      </c>
      <c r="BL26" s="34" t="n">
        <f aca="false">IF(BL$15=1,INDEX(Vol_O,6,BL$14)/12*(1+P_dVol),0)</f>
        <v>0</v>
      </c>
      <c r="BM26" s="34" t="n">
        <f aca="false">IF(BM$15=1,INDEX(Vol_O,6,BM$14)/12*(1+P_dVol),0)</f>
        <v>0</v>
      </c>
      <c r="BN26" s="34" t="n">
        <f aca="false">IF(BN$15=1,INDEX(Vol_O,6,BN$14)/12*(1+P_dVol),0)</f>
        <v>0</v>
      </c>
      <c r="BO26" s="34" t="n">
        <f aca="false">IF(BO$15=1,INDEX(Vol_O,6,BO$14)/12*(1+P_dVol),0)</f>
        <v>0</v>
      </c>
      <c r="BP26" s="34" t="n">
        <f aca="false">IF(BP$15=1,INDEX(Vol_O,6,BP$14)/12*(1+P_dVol),0)</f>
        <v>0</v>
      </c>
      <c r="BQ26" s="34" t="n">
        <f aca="false">IF(BQ$15=1,INDEX(Vol_O,6,BQ$14)/12*(1+P_dVol),0)</f>
        <v>0</v>
      </c>
      <c r="BR26" s="34" t="n">
        <f aca="false">IF(BR$15=1,INDEX(Vol_O,6,BR$14)/12*(1+P_dVol),0)</f>
        <v>0</v>
      </c>
      <c r="BS26" s="34" t="n">
        <f aca="false">IF(BS$15=1,INDEX(Vol_O,6,BS$14)/12*(1+P_dVol),0)</f>
        <v>0</v>
      </c>
      <c r="BT26" s="34" t="n">
        <f aca="false">IF(BT$15=1,INDEX(Vol_O,6,BT$14)/12*(1+P_dVol),0)</f>
        <v>0</v>
      </c>
      <c r="BU26" s="34" t="n">
        <f aca="false">IF(BU$15=1,INDEX(Vol_O,6,BU$14)/12*(1+P_dVol),0)</f>
        <v>0</v>
      </c>
      <c r="BV26" s="34" t="n">
        <f aca="false">IF(BV$15=1,INDEX(Vol_O,6,BV$14)/12*(1+P_dVol),0)</f>
        <v>0</v>
      </c>
      <c r="BW26" s="34" t="n">
        <f aca="false">IF(BW$15=1,INDEX(Vol_O,6,BW$14)/12*(1+P_dVol),0)</f>
        <v>0</v>
      </c>
      <c r="BX26" s="34" t="n">
        <f aca="false">IF(BX$15=1,INDEX(Vol_O,6,BX$14)/12*(1+P_dVol),0)</f>
        <v>0</v>
      </c>
      <c r="BY26" s="34" t="n">
        <f aca="false">IF(BY$15=1,INDEX(Vol_O,6,BY$14)/12*(1+P_dVol),0)</f>
        <v>0</v>
      </c>
      <c r="BZ26" s="34" t="n">
        <f aca="false">IF(BZ$15=1,INDEX(Vol_O,6,BZ$14)/12*(1+P_dVol),0)</f>
        <v>0</v>
      </c>
      <c r="CA26" s="34" t="n">
        <f aca="false">IF(CA$15=1,INDEX(Vol_O,6,CA$14)/12*(1+P_dVol),0)</f>
        <v>0</v>
      </c>
      <c r="CB26" s="34" t="n">
        <f aca="false">IF(CB$15=1,INDEX(Vol_O,6,CB$14)/12*(1+P_dVol),0)</f>
        <v>0</v>
      </c>
      <c r="CC26" s="34" t="n">
        <f aca="false">IF(CC$15=1,INDEX(Vol_O,6,CC$14)/12*(1+P_dVol),0)</f>
        <v>0</v>
      </c>
      <c r="CD26" s="34" t="n">
        <f aca="false">IF(CD$15=1,INDEX(Vol_O,6,CD$14)/12*(1+P_dVol),0)</f>
        <v>0</v>
      </c>
      <c r="CE26" s="34" t="n">
        <f aca="false">IF(CE$15=1,INDEX(Vol_O,6,CE$14)/12*(1+P_dVol),0)</f>
        <v>0</v>
      </c>
      <c r="CF26" s="34" t="n">
        <f aca="false">IF(CF$15=1,INDEX(Vol_O,6,CF$14)/12*(1+P_dVol),0)</f>
        <v>0</v>
      </c>
      <c r="CG26" s="34" t="n">
        <f aca="false">IF(CG$15=1,INDEX(Vol_O,6,CG$14)/12*(1+P_dVol),0)</f>
        <v>0</v>
      </c>
      <c r="CH26" s="34" t="n">
        <f aca="false">IF(CH$15=1,INDEX(Vol_O,6,CH$14)/12*(1+P_dVol),0)</f>
        <v>0</v>
      </c>
      <c r="CI26" s="34" t="n">
        <f aca="false">IF(CI$15=1,INDEX(Vol_O,6,CI$14)/12*(1+P_dVol),0)</f>
        <v>0</v>
      </c>
      <c r="CJ26" s="34" t="n">
        <f aca="false">IF(CJ$15=1,INDEX(Vol_O,6,CJ$14)/12*(1+P_dVol),0)</f>
        <v>0</v>
      </c>
      <c r="CK26" s="34" t="n">
        <f aca="false">IF(CK$15=1,INDEX(Vol_O,6,CK$14)/12*(1+P_dVol),0)</f>
        <v>0</v>
      </c>
      <c r="CL26" s="34" t="n">
        <f aca="false">IF(CL$15=1,INDEX(Vol_O,6,CL$14)/12*(1+P_dVol),0)</f>
        <v>0</v>
      </c>
      <c r="CM26" s="34" t="n">
        <f aca="false">IF(CM$15=1,INDEX(Vol_O,6,CM$14)/12*(1+P_dVol),0)</f>
        <v>0</v>
      </c>
      <c r="CN26" s="34" t="n">
        <f aca="false">IF(CN$15=1,INDEX(Vol_O,6,CN$14)/12*(1+P_dVol),0)</f>
        <v>0</v>
      </c>
      <c r="CO26" s="34" t="n">
        <f aca="false">IF(CO$15=1,INDEX(Vol_O,6,CO$14)/12*(1+P_dVol),0)</f>
        <v>0</v>
      </c>
      <c r="CP26" s="34" t="n">
        <f aca="false">IF(CP$15=1,INDEX(Vol_O,6,CP$14)/12*(1+P_dVol),0)</f>
        <v>0</v>
      </c>
      <c r="CQ26" s="34" t="n">
        <f aca="false">IF(CQ$15=1,INDEX(Vol_O,6,CQ$14)/12*(1+P_dVol),0)</f>
        <v>0</v>
      </c>
      <c r="CR26" s="34" t="n">
        <f aca="false">IF(CR$15=1,INDEX(Vol_O,6,CR$14)/12*(1+P_dVol),0)</f>
        <v>0</v>
      </c>
      <c r="CS26" s="34" t="n">
        <f aca="false">IF(CS$15=1,INDEX(Vol_O,6,CS$14)/12*(1+P_dVol),0)</f>
        <v>0</v>
      </c>
      <c r="CT26" s="34" t="n">
        <f aca="false">IF(CT$15=1,INDEX(Vol_O,6,CT$14)/12*(1+P_dVol),0)</f>
        <v>0</v>
      </c>
      <c r="CU26" s="34" t="n">
        <f aca="false">IF(CU$15=1,INDEX(Vol_O,6,CU$14)/12*(1+P_dVol),0)</f>
        <v>0</v>
      </c>
      <c r="CV26" s="34" t="n">
        <f aca="false">IF(CV$15=1,INDEX(Vol_O,6,CV$14)/12*(1+P_dVol),0)</f>
        <v>0</v>
      </c>
      <c r="CW26" s="34" t="n">
        <f aca="false">IF(CW$15=1,INDEX(Vol_O,6,CW$14)/12*(1+P_dVol),0)</f>
        <v>0</v>
      </c>
      <c r="CX26" s="34" t="n">
        <f aca="false">IF(CX$15=1,INDEX(Vol_O,6,CX$14)/12*(1+P_dVol),0)</f>
        <v>0</v>
      </c>
      <c r="CY26" s="34" t="n">
        <f aca="false">IF(CY$15=1,INDEX(Vol_O,6,CY$14)/12*(1+P_dVol),0)</f>
        <v>0</v>
      </c>
      <c r="CZ26" s="34" t="n">
        <f aca="false">IF(CZ$15=1,INDEX(Vol_O,6,CZ$14)/12*(1+P_dVol),0)</f>
        <v>0</v>
      </c>
      <c r="DA26" s="34" t="n">
        <f aca="false">IF(DA$15=1,INDEX(Vol_O,6,DA$14)/12*(1+P_dVol),0)</f>
        <v>0</v>
      </c>
      <c r="DB26" s="34" t="n">
        <f aca="false">IF(DB$15=1,INDEX(Vol_O,6,DB$14)/12*(1+P_dVol),0)</f>
        <v>0</v>
      </c>
      <c r="DC26" s="34" t="n">
        <f aca="false">IF(DC$15=1,INDEX(Vol_O,6,DC$14)/12*(1+P_dVol),0)</f>
        <v>0</v>
      </c>
      <c r="DD26" s="34" t="n">
        <f aca="false">IF(DD$15=1,INDEX(Vol_O,6,DD$14)/12*(1+P_dVol),0)</f>
        <v>0</v>
      </c>
      <c r="DE26" s="34" t="n">
        <f aca="false">IF(DE$15=1,INDEX(Vol_O,6,DE$14)/12*(1+P_dVol),0)</f>
        <v>0</v>
      </c>
      <c r="DF26" s="34" t="n">
        <f aca="false">IF(DF$15=1,INDEX(Vol_O,6,DF$14)/12*(1+P_dVol),0)</f>
        <v>0</v>
      </c>
      <c r="DG26" s="34" t="n">
        <f aca="false">IF(DG$15=1,INDEX(Vol_O,6,DG$14)/12*(1+P_dVol),0)</f>
        <v>0</v>
      </c>
      <c r="DH26" s="34" t="n">
        <f aca="false">IF(DH$15=1,INDEX(Vol_O,6,DH$14)/12*(1+P_dVol),0)</f>
        <v>0</v>
      </c>
      <c r="DI26" s="34" t="n">
        <f aca="false">IF(DI$15=1,INDEX(Vol_O,6,DI$14)/12*(1+P_dVol),0)</f>
        <v>0</v>
      </c>
      <c r="DJ26" s="34" t="n">
        <f aca="false">IF(DJ$15=1,INDEX(Vol_O,6,DJ$14)/12*(1+P_dVol),0)</f>
        <v>0</v>
      </c>
      <c r="DK26" s="34" t="n">
        <f aca="false">IF(DK$15=1,INDEX(Vol_O,6,DK$14)/12*(1+P_dVol),0)</f>
        <v>0</v>
      </c>
      <c r="DL26" s="34" t="n">
        <f aca="false">IF(DL$15=1,INDEX(Vol_O,6,DL$14)/12*(1+P_dVol),0)</f>
        <v>0</v>
      </c>
      <c r="DM26" s="34" t="n">
        <f aca="false">IF(DM$15=1,INDEX(Vol_O,6,DM$14)/12*(1+P_dVol),0)</f>
        <v>0</v>
      </c>
      <c r="DN26" s="34" t="n">
        <f aca="false">IF(DN$15=1,INDEX(Vol_O,6,DN$14)/12*(1+P_dVol),0)</f>
        <v>0</v>
      </c>
      <c r="DO26" s="34" t="n">
        <f aca="false">IF(DO$15=1,INDEX(Vol_O,6,DO$14)/12*(1+P_dVol),0)</f>
        <v>0</v>
      </c>
      <c r="DP26" s="34" t="n">
        <f aca="false">IF(DP$15=1,INDEX(Vol_O,6,DP$14)/12*(1+P_dVol),0)</f>
        <v>0</v>
      </c>
      <c r="DQ26" s="34" t="n">
        <f aca="false">IF(DQ$15=1,INDEX(Vol_O,6,DQ$14)/12*(1+P_dVol),0)</f>
        <v>0</v>
      </c>
      <c r="DR26" s="34" t="n">
        <f aca="false">IF(DR$15=1,INDEX(Vol_O,6,DR$14)/12*(1+P_dVol),0)</f>
        <v>0</v>
      </c>
      <c r="DS26" s="34" t="n">
        <f aca="false">IF(DS$15=1,INDEX(Vol_O,6,DS$14)/12*(1+P_dVol),0)</f>
        <v>0</v>
      </c>
      <c r="DT26" s="34" t="n">
        <f aca="false">IF(DT$15=1,INDEX(Vol_O,6,DT$14)/12*(1+P_dVol),0)</f>
        <v>0</v>
      </c>
      <c r="DU26" s="34" t="n">
        <f aca="false">IF(DU$15=1,INDEX(Vol_O,6,DU$14)/12*(1+P_dVol),0)</f>
        <v>0</v>
      </c>
      <c r="DV26" s="34" t="n">
        <f aca="false">IF(DV$15=1,INDEX(Vol_O,6,DV$14)/12*(1+P_dVol),0)</f>
        <v>0</v>
      </c>
      <c r="DW26" s="34" t="n">
        <f aca="false">IF(DW$15=1,INDEX(Vol_O,6,DW$14)/12*(1+P_dVol),0)</f>
        <v>0</v>
      </c>
      <c r="DX26" s="34" t="n">
        <f aca="false">IF(DX$15=1,INDEX(Vol_O,6,DX$14)/12*(1+P_dVol),0)</f>
        <v>0</v>
      </c>
      <c r="DY26" s="34" t="n">
        <f aca="false">IF(DY$15=1,INDEX(Vol_O,6,DY$14)/12*(1+P_dVol),0)</f>
        <v>0</v>
      </c>
      <c r="DZ26" s="34" t="n">
        <f aca="false">IF(DZ$15=1,INDEX(Vol_O,6,DZ$14)/12*(1+P_dVol),0)</f>
        <v>0</v>
      </c>
      <c r="EA26" s="34" t="n">
        <f aca="false">IF(EA$15=1,INDEX(Vol_O,6,EA$14)/12*(1+P_dVol),0)</f>
        <v>0</v>
      </c>
      <c r="EB26" s="34" t="n">
        <f aca="false">IF(EB$15=1,INDEX(Vol_O,6,EB$14)/12*(1+P_dVol),0)</f>
        <v>0</v>
      </c>
      <c r="EC26" s="34" t="n">
        <f aca="false">IF(EC$15=1,INDEX(Vol_O,6,EC$14)/12*(1+P_dVol),0)</f>
        <v>0</v>
      </c>
      <c r="ED26" s="34" t="n">
        <f aca="false">IF(ED$15=1,INDEX(Vol_O,6,ED$14)/12*(1+P_dVol),0)</f>
        <v>0</v>
      </c>
      <c r="EE26" s="34" t="n">
        <f aca="false">IF(EE$15=1,INDEX(Vol_O,6,EE$14)/12*(1+P_dVol),0)</f>
        <v>0</v>
      </c>
      <c r="EF26" s="34" t="n">
        <f aca="false">IF(EF$15=1,INDEX(Vol_O,6,EF$14)/12*(1+P_dVol),0)</f>
        <v>0</v>
      </c>
      <c r="EG26" s="34" t="n">
        <f aca="false">IF(EG$15=1,INDEX(Vol_O,6,EG$14)/12*(1+P_dVol),0)</f>
        <v>0</v>
      </c>
      <c r="EH26" s="34" t="n">
        <f aca="false">IF(EH$15=1,INDEX(Vol_O,6,EH$14)/12*(1+P_dVol),0)</f>
        <v>0</v>
      </c>
      <c r="EI26" s="34" t="n">
        <f aca="false">IF(EI$15=1,INDEX(Vol_O,6,EI$14)/12*(1+P_dVol),0)</f>
        <v>0</v>
      </c>
      <c r="EJ26" s="34" t="n">
        <f aca="false">IF(EJ$15=1,INDEX(Vol_O,6,EJ$14)/12*(1+P_dVol),0)</f>
        <v>0</v>
      </c>
      <c r="EK26" s="34" t="n">
        <f aca="false">IF(EK$15=1,INDEX(Vol_O,6,EK$14)/12*(1+P_dVol),0)</f>
        <v>0</v>
      </c>
      <c r="EL26" s="34" t="n">
        <f aca="false">IF(EL$15=1,INDEX(Vol_O,6,EL$14)/12*(1+P_dVol),0)</f>
        <v>0</v>
      </c>
      <c r="EM26" s="34" t="n">
        <f aca="false">IF(EM$15=1,INDEX(Vol_O,6,EM$14)/12*(1+P_dVol),0)</f>
        <v>0</v>
      </c>
      <c r="EN26" s="34" t="n">
        <f aca="false">IF(EN$15=1,INDEX(Vol_O,6,EN$14)/12*(1+P_dVol),0)</f>
        <v>0</v>
      </c>
      <c r="EO26" s="34" t="n">
        <f aca="false">IF(EO$15=1,INDEX(Vol_O,6,EO$14)/12*(1+P_dVol),0)</f>
        <v>0</v>
      </c>
      <c r="EP26" s="34" t="n">
        <f aca="false">IF(EP$15=1,INDEX(Vol_O,6,EP$14)/12*(1+P_dVol),0)</f>
        <v>0</v>
      </c>
      <c r="EQ26" s="34" t="n">
        <f aca="false">IF(EQ$15=1,INDEX(Vol_O,6,EQ$14)/12*(1+P_dVol),0)</f>
        <v>0</v>
      </c>
      <c r="ER26" s="34" t="n">
        <f aca="false">IF(ER$15=1,INDEX(Vol_O,6,ER$14)/12*(1+P_dVol),0)</f>
        <v>0</v>
      </c>
      <c r="ES26" s="34" t="n">
        <f aca="false">IF(ES$15=1,INDEX(Vol_O,6,ES$14)/12*(1+P_dVol),0)</f>
        <v>0</v>
      </c>
    </row>
    <row r="27" customFormat="false" ht="15" hidden="false" customHeight="false" outlineLevel="0" collapsed="false">
      <c r="A27" s="2" t="s">
        <v>564</v>
      </c>
      <c r="B27" s="39" t="str">
        <f aca="false">IF(INDEX(Prod_Nombre,7)="","Producto 7",INDEX(Prod_Nombre,7))&amp;" — unidades"</f>
        <v>Producto 7 — unidades</v>
      </c>
      <c r="C27" s="6" t="s">
        <v>286</v>
      </c>
      <c r="E27" s="40" t="n">
        <f aca="false">SUM(F27:ES27)</f>
        <v>0</v>
      </c>
      <c r="F27" s="34" t="n">
        <f aca="false">IF(F$15=1,INDEX(Vol_O,7,F$14)/12*(1+P_dVol),0)</f>
        <v>0</v>
      </c>
      <c r="G27" s="34" t="n">
        <f aca="false">IF(G$15=1,INDEX(Vol_O,7,G$14)/12*(1+P_dVol),0)</f>
        <v>0</v>
      </c>
      <c r="H27" s="34" t="n">
        <f aca="false">IF(H$15=1,INDEX(Vol_O,7,H$14)/12*(1+P_dVol),0)</f>
        <v>0</v>
      </c>
      <c r="I27" s="34" t="n">
        <f aca="false">IF(I$15=1,INDEX(Vol_O,7,I$14)/12*(1+P_dVol),0)</f>
        <v>0</v>
      </c>
      <c r="J27" s="34" t="n">
        <f aca="false">IF(J$15=1,INDEX(Vol_O,7,J$14)/12*(1+P_dVol),0)</f>
        <v>0</v>
      </c>
      <c r="K27" s="34" t="n">
        <f aca="false">IF(K$15=1,INDEX(Vol_O,7,K$14)/12*(1+P_dVol),0)</f>
        <v>0</v>
      </c>
      <c r="L27" s="34" t="n">
        <f aca="false">IF(L$15=1,INDEX(Vol_O,7,L$14)/12*(1+P_dVol),0)</f>
        <v>0</v>
      </c>
      <c r="M27" s="34" t="n">
        <f aca="false">IF(M$15=1,INDEX(Vol_O,7,M$14)/12*(1+P_dVol),0)</f>
        <v>0</v>
      </c>
      <c r="N27" s="34" t="n">
        <f aca="false">IF(N$15=1,INDEX(Vol_O,7,N$14)/12*(1+P_dVol),0)</f>
        <v>0</v>
      </c>
      <c r="O27" s="34" t="n">
        <f aca="false">IF(O$15=1,INDEX(Vol_O,7,O$14)/12*(1+P_dVol),0)</f>
        <v>0</v>
      </c>
      <c r="P27" s="34" t="n">
        <f aca="false">IF(P$15=1,INDEX(Vol_O,7,P$14)/12*(1+P_dVol),0)</f>
        <v>0</v>
      </c>
      <c r="Q27" s="34" t="n">
        <f aca="false">IF(Q$15=1,INDEX(Vol_O,7,Q$14)/12*(1+P_dVol),0)</f>
        <v>0</v>
      </c>
      <c r="R27" s="34" t="n">
        <f aca="false">IF(R$15=1,INDEX(Vol_O,7,R$14)/12*(1+P_dVol),0)</f>
        <v>0</v>
      </c>
      <c r="S27" s="34" t="n">
        <f aca="false">IF(S$15=1,INDEX(Vol_O,7,S$14)/12*(1+P_dVol),0)</f>
        <v>0</v>
      </c>
      <c r="T27" s="34" t="n">
        <f aca="false">IF(T$15=1,INDEX(Vol_O,7,T$14)/12*(1+P_dVol),0)</f>
        <v>0</v>
      </c>
      <c r="U27" s="34" t="n">
        <f aca="false">IF(U$15=1,INDEX(Vol_O,7,U$14)/12*(1+P_dVol),0)</f>
        <v>0</v>
      </c>
      <c r="V27" s="34" t="n">
        <f aca="false">IF(V$15=1,INDEX(Vol_O,7,V$14)/12*(1+P_dVol),0)</f>
        <v>0</v>
      </c>
      <c r="W27" s="34" t="n">
        <f aca="false">IF(W$15=1,INDEX(Vol_O,7,W$14)/12*(1+P_dVol),0)</f>
        <v>0</v>
      </c>
      <c r="X27" s="34" t="n">
        <f aca="false">IF(X$15=1,INDEX(Vol_O,7,X$14)/12*(1+P_dVol),0)</f>
        <v>0</v>
      </c>
      <c r="Y27" s="34" t="n">
        <f aca="false">IF(Y$15=1,INDEX(Vol_O,7,Y$14)/12*(1+P_dVol),0)</f>
        <v>0</v>
      </c>
      <c r="Z27" s="34" t="n">
        <f aca="false">IF(Z$15=1,INDEX(Vol_O,7,Z$14)/12*(1+P_dVol),0)</f>
        <v>0</v>
      </c>
      <c r="AA27" s="34" t="n">
        <f aca="false">IF(AA$15=1,INDEX(Vol_O,7,AA$14)/12*(1+P_dVol),0)</f>
        <v>0</v>
      </c>
      <c r="AB27" s="34" t="n">
        <f aca="false">IF(AB$15=1,INDEX(Vol_O,7,AB$14)/12*(1+P_dVol),0)</f>
        <v>0</v>
      </c>
      <c r="AC27" s="34" t="n">
        <f aca="false">IF(AC$15=1,INDEX(Vol_O,7,AC$14)/12*(1+P_dVol),0)</f>
        <v>0</v>
      </c>
      <c r="AD27" s="34" t="n">
        <f aca="false">IF(AD$15=1,INDEX(Vol_O,7,AD$14)/12*(1+P_dVol),0)</f>
        <v>0</v>
      </c>
      <c r="AE27" s="34" t="n">
        <f aca="false">IF(AE$15=1,INDEX(Vol_O,7,AE$14)/12*(1+P_dVol),0)</f>
        <v>0</v>
      </c>
      <c r="AF27" s="34" t="n">
        <f aca="false">IF(AF$15=1,INDEX(Vol_O,7,AF$14)/12*(1+P_dVol),0)</f>
        <v>0</v>
      </c>
      <c r="AG27" s="34" t="n">
        <f aca="false">IF(AG$15=1,INDEX(Vol_O,7,AG$14)/12*(1+P_dVol),0)</f>
        <v>0</v>
      </c>
      <c r="AH27" s="34" t="n">
        <f aca="false">IF(AH$15=1,INDEX(Vol_O,7,AH$14)/12*(1+P_dVol),0)</f>
        <v>0</v>
      </c>
      <c r="AI27" s="34" t="n">
        <f aca="false">IF(AI$15=1,INDEX(Vol_O,7,AI$14)/12*(1+P_dVol),0)</f>
        <v>0</v>
      </c>
      <c r="AJ27" s="34" t="n">
        <f aca="false">IF(AJ$15=1,INDEX(Vol_O,7,AJ$14)/12*(1+P_dVol),0)</f>
        <v>0</v>
      </c>
      <c r="AK27" s="34" t="n">
        <f aca="false">IF(AK$15=1,INDEX(Vol_O,7,AK$14)/12*(1+P_dVol),0)</f>
        <v>0</v>
      </c>
      <c r="AL27" s="34" t="n">
        <f aca="false">IF(AL$15=1,INDEX(Vol_O,7,AL$14)/12*(1+P_dVol),0)</f>
        <v>0</v>
      </c>
      <c r="AM27" s="34" t="n">
        <f aca="false">IF(AM$15=1,INDEX(Vol_O,7,AM$14)/12*(1+P_dVol),0)</f>
        <v>0</v>
      </c>
      <c r="AN27" s="34" t="n">
        <f aca="false">IF(AN$15=1,INDEX(Vol_O,7,AN$14)/12*(1+P_dVol),0)</f>
        <v>0</v>
      </c>
      <c r="AO27" s="34" t="n">
        <f aca="false">IF(AO$15=1,INDEX(Vol_O,7,AO$14)/12*(1+P_dVol),0)</f>
        <v>0</v>
      </c>
      <c r="AP27" s="34" t="n">
        <f aca="false">IF(AP$15=1,INDEX(Vol_O,7,AP$14)/12*(1+P_dVol),0)</f>
        <v>0</v>
      </c>
      <c r="AQ27" s="34" t="n">
        <f aca="false">IF(AQ$15=1,INDEX(Vol_O,7,AQ$14)/12*(1+P_dVol),0)</f>
        <v>0</v>
      </c>
      <c r="AR27" s="34" t="n">
        <f aca="false">IF(AR$15=1,INDEX(Vol_O,7,AR$14)/12*(1+P_dVol),0)</f>
        <v>0</v>
      </c>
      <c r="AS27" s="34" t="n">
        <f aca="false">IF(AS$15=1,INDEX(Vol_O,7,AS$14)/12*(1+P_dVol),0)</f>
        <v>0</v>
      </c>
      <c r="AT27" s="34" t="n">
        <f aca="false">IF(AT$15=1,INDEX(Vol_O,7,AT$14)/12*(1+P_dVol),0)</f>
        <v>0</v>
      </c>
      <c r="AU27" s="34" t="n">
        <f aca="false">IF(AU$15=1,INDEX(Vol_O,7,AU$14)/12*(1+P_dVol),0)</f>
        <v>0</v>
      </c>
      <c r="AV27" s="34" t="n">
        <f aca="false">IF(AV$15=1,INDEX(Vol_O,7,AV$14)/12*(1+P_dVol),0)</f>
        <v>0</v>
      </c>
      <c r="AW27" s="34" t="n">
        <f aca="false">IF(AW$15=1,INDEX(Vol_O,7,AW$14)/12*(1+P_dVol),0)</f>
        <v>0</v>
      </c>
      <c r="AX27" s="34" t="n">
        <f aca="false">IF(AX$15=1,INDEX(Vol_O,7,AX$14)/12*(1+P_dVol),0)</f>
        <v>0</v>
      </c>
      <c r="AY27" s="34" t="n">
        <f aca="false">IF(AY$15=1,INDEX(Vol_O,7,AY$14)/12*(1+P_dVol),0)</f>
        <v>0</v>
      </c>
      <c r="AZ27" s="34" t="n">
        <f aca="false">IF(AZ$15=1,INDEX(Vol_O,7,AZ$14)/12*(1+P_dVol),0)</f>
        <v>0</v>
      </c>
      <c r="BA27" s="34" t="n">
        <f aca="false">IF(BA$15=1,INDEX(Vol_O,7,BA$14)/12*(1+P_dVol),0)</f>
        <v>0</v>
      </c>
      <c r="BB27" s="34" t="n">
        <f aca="false">IF(BB$15=1,INDEX(Vol_O,7,BB$14)/12*(1+P_dVol),0)</f>
        <v>0</v>
      </c>
      <c r="BC27" s="34" t="n">
        <f aca="false">IF(BC$15=1,INDEX(Vol_O,7,BC$14)/12*(1+P_dVol),0)</f>
        <v>0</v>
      </c>
      <c r="BD27" s="34" t="n">
        <f aca="false">IF(BD$15=1,INDEX(Vol_O,7,BD$14)/12*(1+P_dVol),0)</f>
        <v>0</v>
      </c>
      <c r="BE27" s="34" t="n">
        <f aca="false">IF(BE$15=1,INDEX(Vol_O,7,BE$14)/12*(1+P_dVol),0)</f>
        <v>0</v>
      </c>
      <c r="BF27" s="34" t="n">
        <f aca="false">IF(BF$15=1,INDEX(Vol_O,7,BF$14)/12*(1+P_dVol),0)</f>
        <v>0</v>
      </c>
      <c r="BG27" s="34" t="n">
        <f aca="false">IF(BG$15=1,INDEX(Vol_O,7,BG$14)/12*(1+P_dVol),0)</f>
        <v>0</v>
      </c>
      <c r="BH27" s="34" t="n">
        <f aca="false">IF(BH$15=1,INDEX(Vol_O,7,BH$14)/12*(1+P_dVol),0)</f>
        <v>0</v>
      </c>
      <c r="BI27" s="34" t="n">
        <f aca="false">IF(BI$15=1,INDEX(Vol_O,7,BI$14)/12*(1+P_dVol),0)</f>
        <v>0</v>
      </c>
      <c r="BJ27" s="34" t="n">
        <f aca="false">IF(BJ$15=1,INDEX(Vol_O,7,BJ$14)/12*(1+P_dVol),0)</f>
        <v>0</v>
      </c>
      <c r="BK27" s="34" t="n">
        <f aca="false">IF(BK$15=1,INDEX(Vol_O,7,BK$14)/12*(1+P_dVol),0)</f>
        <v>0</v>
      </c>
      <c r="BL27" s="34" t="n">
        <f aca="false">IF(BL$15=1,INDEX(Vol_O,7,BL$14)/12*(1+P_dVol),0)</f>
        <v>0</v>
      </c>
      <c r="BM27" s="34" t="n">
        <f aca="false">IF(BM$15=1,INDEX(Vol_O,7,BM$14)/12*(1+P_dVol),0)</f>
        <v>0</v>
      </c>
      <c r="BN27" s="34" t="n">
        <f aca="false">IF(BN$15=1,INDEX(Vol_O,7,BN$14)/12*(1+P_dVol),0)</f>
        <v>0</v>
      </c>
      <c r="BO27" s="34" t="n">
        <f aca="false">IF(BO$15=1,INDEX(Vol_O,7,BO$14)/12*(1+P_dVol),0)</f>
        <v>0</v>
      </c>
      <c r="BP27" s="34" t="n">
        <f aca="false">IF(BP$15=1,INDEX(Vol_O,7,BP$14)/12*(1+P_dVol),0)</f>
        <v>0</v>
      </c>
      <c r="BQ27" s="34" t="n">
        <f aca="false">IF(BQ$15=1,INDEX(Vol_O,7,BQ$14)/12*(1+P_dVol),0)</f>
        <v>0</v>
      </c>
      <c r="BR27" s="34" t="n">
        <f aca="false">IF(BR$15=1,INDEX(Vol_O,7,BR$14)/12*(1+P_dVol),0)</f>
        <v>0</v>
      </c>
      <c r="BS27" s="34" t="n">
        <f aca="false">IF(BS$15=1,INDEX(Vol_O,7,BS$14)/12*(1+P_dVol),0)</f>
        <v>0</v>
      </c>
      <c r="BT27" s="34" t="n">
        <f aca="false">IF(BT$15=1,INDEX(Vol_O,7,BT$14)/12*(1+P_dVol),0)</f>
        <v>0</v>
      </c>
      <c r="BU27" s="34" t="n">
        <f aca="false">IF(BU$15=1,INDEX(Vol_O,7,BU$14)/12*(1+P_dVol),0)</f>
        <v>0</v>
      </c>
      <c r="BV27" s="34" t="n">
        <f aca="false">IF(BV$15=1,INDEX(Vol_O,7,BV$14)/12*(1+P_dVol),0)</f>
        <v>0</v>
      </c>
      <c r="BW27" s="34" t="n">
        <f aca="false">IF(BW$15=1,INDEX(Vol_O,7,BW$14)/12*(1+P_dVol),0)</f>
        <v>0</v>
      </c>
      <c r="BX27" s="34" t="n">
        <f aca="false">IF(BX$15=1,INDEX(Vol_O,7,BX$14)/12*(1+P_dVol),0)</f>
        <v>0</v>
      </c>
      <c r="BY27" s="34" t="n">
        <f aca="false">IF(BY$15=1,INDEX(Vol_O,7,BY$14)/12*(1+P_dVol),0)</f>
        <v>0</v>
      </c>
      <c r="BZ27" s="34" t="n">
        <f aca="false">IF(BZ$15=1,INDEX(Vol_O,7,BZ$14)/12*(1+P_dVol),0)</f>
        <v>0</v>
      </c>
      <c r="CA27" s="34" t="n">
        <f aca="false">IF(CA$15=1,INDEX(Vol_O,7,CA$14)/12*(1+P_dVol),0)</f>
        <v>0</v>
      </c>
      <c r="CB27" s="34" t="n">
        <f aca="false">IF(CB$15=1,INDEX(Vol_O,7,CB$14)/12*(1+P_dVol),0)</f>
        <v>0</v>
      </c>
      <c r="CC27" s="34" t="n">
        <f aca="false">IF(CC$15=1,INDEX(Vol_O,7,CC$14)/12*(1+P_dVol),0)</f>
        <v>0</v>
      </c>
      <c r="CD27" s="34" t="n">
        <f aca="false">IF(CD$15=1,INDEX(Vol_O,7,CD$14)/12*(1+P_dVol),0)</f>
        <v>0</v>
      </c>
      <c r="CE27" s="34" t="n">
        <f aca="false">IF(CE$15=1,INDEX(Vol_O,7,CE$14)/12*(1+P_dVol),0)</f>
        <v>0</v>
      </c>
      <c r="CF27" s="34" t="n">
        <f aca="false">IF(CF$15=1,INDEX(Vol_O,7,CF$14)/12*(1+P_dVol),0)</f>
        <v>0</v>
      </c>
      <c r="CG27" s="34" t="n">
        <f aca="false">IF(CG$15=1,INDEX(Vol_O,7,CG$14)/12*(1+P_dVol),0)</f>
        <v>0</v>
      </c>
      <c r="CH27" s="34" t="n">
        <f aca="false">IF(CH$15=1,INDEX(Vol_O,7,CH$14)/12*(1+P_dVol),0)</f>
        <v>0</v>
      </c>
      <c r="CI27" s="34" t="n">
        <f aca="false">IF(CI$15=1,INDEX(Vol_O,7,CI$14)/12*(1+P_dVol),0)</f>
        <v>0</v>
      </c>
      <c r="CJ27" s="34" t="n">
        <f aca="false">IF(CJ$15=1,INDEX(Vol_O,7,CJ$14)/12*(1+P_dVol),0)</f>
        <v>0</v>
      </c>
      <c r="CK27" s="34" t="n">
        <f aca="false">IF(CK$15=1,INDEX(Vol_O,7,CK$14)/12*(1+P_dVol),0)</f>
        <v>0</v>
      </c>
      <c r="CL27" s="34" t="n">
        <f aca="false">IF(CL$15=1,INDEX(Vol_O,7,CL$14)/12*(1+P_dVol),0)</f>
        <v>0</v>
      </c>
      <c r="CM27" s="34" t="n">
        <f aca="false">IF(CM$15=1,INDEX(Vol_O,7,CM$14)/12*(1+P_dVol),0)</f>
        <v>0</v>
      </c>
      <c r="CN27" s="34" t="n">
        <f aca="false">IF(CN$15=1,INDEX(Vol_O,7,CN$14)/12*(1+P_dVol),0)</f>
        <v>0</v>
      </c>
      <c r="CO27" s="34" t="n">
        <f aca="false">IF(CO$15=1,INDEX(Vol_O,7,CO$14)/12*(1+P_dVol),0)</f>
        <v>0</v>
      </c>
      <c r="CP27" s="34" t="n">
        <f aca="false">IF(CP$15=1,INDEX(Vol_O,7,CP$14)/12*(1+P_dVol),0)</f>
        <v>0</v>
      </c>
      <c r="CQ27" s="34" t="n">
        <f aca="false">IF(CQ$15=1,INDEX(Vol_O,7,CQ$14)/12*(1+P_dVol),0)</f>
        <v>0</v>
      </c>
      <c r="CR27" s="34" t="n">
        <f aca="false">IF(CR$15=1,INDEX(Vol_O,7,CR$14)/12*(1+P_dVol),0)</f>
        <v>0</v>
      </c>
      <c r="CS27" s="34" t="n">
        <f aca="false">IF(CS$15=1,INDEX(Vol_O,7,CS$14)/12*(1+P_dVol),0)</f>
        <v>0</v>
      </c>
      <c r="CT27" s="34" t="n">
        <f aca="false">IF(CT$15=1,INDEX(Vol_O,7,CT$14)/12*(1+P_dVol),0)</f>
        <v>0</v>
      </c>
      <c r="CU27" s="34" t="n">
        <f aca="false">IF(CU$15=1,INDEX(Vol_O,7,CU$14)/12*(1+P_dVol),0)</f>
        <v>0</v>
      </c>
      <c r="CV27" s="34" t="n">
        <f aca="false">IF(CV$15=1,INDEX(Vol_O,7,CV$14)/12*(1+P_dVol),0)</f>
        <v>0</v>
      </c>
      <c r="CW27" s="34" t="n">
        <f aca="false">IF(CW$15=1,INDEX(Vol_O,7,CW$14)/12*(1+P_dVol),0)</f>
        <v>0</v>
      </c>
      <c r="CX27" s="34" t="n">
        <f aca="false">IF(CX$15=1,INDEX(Vol_O,7,CX$14)/12*(1+P_dVol),0)</f>
        <v>0</v>
      </c>
      <c r="CY27" s="34" t="n">
        <f aca="false">IF(CY$15=1,INDEX(Vol_O,7,CY$14)/12*(1+P_dVol),0)</f>
        <v>0</v>
      </c>
      <c r="CZ27" s="34" t="n">
        <f aca="false">IF(CZ$15=1,INDEX(Vol_O,7,CZ$14)/12*(1+P_dVol),0)</f>
        <v>0</v>
      </c>
      <c r="DA27" s="34" t="n">
        <f aca="false">IF(DA$15=1,INDEX(Vol_O,7,DA$14)/12*(1+P_dVol),0)</f>
        <v>0</v>
      </c>
      <c r="DB27" s="34" t="n">
        <f aca="false">IF(DB$15=1,INDEX(Vol_O,7,DB$14)/12*(1+P_dVol),0)</f>
        <v>0</v>
      </c>
      <c r="DC27" s="34" t="n">
        <f aca="false">IF(DC$15=1,INDEX(Vol_O,7,DC$14)/12*(1+P_dVol),0)</f>
        <v>0</v>
      </c>
      <c r="DD27" s="34" t="n">
        <f aca="false">IF(DD$15=1,INDEX(Vol_O,7,DD$14)/12*(1+P_dVol),0)</f>
        <v>0</v>
      </c>
      <c r="DE27" s="34" t="n">
        <f aca="false">IF(DE$15=1,INDEX(Vol_O,7,DE$14)/12*(1+P_dVol),0)</f>
        <v>0</v>
      </c>
      <c r="DF27" s="34" t="n">
        <f aca="false">IF(DF$15=1,INDEX(Vol_O,7,DF$14)/12*(1+P_dVol),0)</f>
        <v>0</v>
      </c>
      <c r="DG27" s="34" t="n">
        <f aca="false">IF(DG$15=1,INDEX(Vol_O,7,DG$14)/12*(1+P_dVol),0)</f>
        <v>0</v>
      </c>
      <c r="DH27" s="34" t="n">
        <f aca="false">IF(DH$15=1,INDEX(Vol_O,7,DH$14)/12*(1+P_dVol),0)</f>
        <v>0</v>
      </c>
      <c r="DI27" s="34" t="n">
        <f aca="false">IF(DI$15=1,INDEX(Vol_O,7,DI$14)/12*(1+P_dVol),0)</f>
        <v>0</v>
      </c>
      <c r="DJ27" s="34" t="n">
        <f aca="false">IF(DJ$15=1,INDEX(Vol_O,7,DJ$14)/12*(1+P_dVol),0)</f>
        <v>0</v>
      </c>
      <c r="DK27" s="34" t="n">
        <f aca="false">IF(DK$15=1,INDEX(Vol_O,7,DK$14)/12*(1+P_dVol),0)</f>
        <v>0</v>
      </c>
      <c r="DL27" s="34" t="n">
        <f aca="false">IF(DL$15=1,INDEX(Vol_O,7,DL$14)/12*(1+P_dVol),0)</f>
        <v>0</v>
      </c>
      <c r="DM27" s="34" t="n">
        <f aca="false">IF(DM$15=1,INDEX(Vol_O,7,DM$14)/12*(1+P_dVol),0)</f>
        <v>0</v>
      </c>
      <c r="DN27" s="34" t="n">
        <f aca="false">IF(DN$15=1,INDEX(Vol_O,7,DN$14)/12*(1+P_dVol),0)</f>
        <v>0</v>
      </c>
      <c r="DO27" s="34" t="n">
        <f aca="false">IF(DO$15=1,INDEX(Vol_O,7,DO$14)/12*(1+P_dVol),0)</f>
        <v>0</v>
      </c>
      <c r="DP27" s="34" t="n">
        <f aca="false">IF(DP$15=1,INDEX(Vol_O,7,DP$14)/12*(1+P_dVol),0)</f>
        <v>0</v>
      </c>
      <c r="DQ27" s="34" t="n">
        <f aca="false">IF(DQ$15=1,INDEX(Vol_O,7,DQ$14)/12*(1+P_dVol),0)</f>
        <v>0</v>
      </c>
      <c r="DR27" s="34" t="n">
        <f aca="false">IF(DR$15=1,INDEX(Vol_O,7,DR$14)/12*(1+P_dVol),0)</f>
        <v>0</v>
      </c>
      <c r="DS27" s="34" t="n">
        <f aca="false">IF(DS$15=1,INDEX(Vol_O,7,DS$14)/12*(1+P_dVol),0)</f>
        <v>0</v>
      </c>
      <c r="DT27" s="34" t="n">
        <f aca="false">IF(DT$15=1,INDEX(Vol_O,7,DT$14)/12*(1+P_dVol),0)</f>
        <v>0</v>
      </c>
      <c r="DU27" s="34" t="n">
        <f aca="false">IF(DU$15=1,INDEX(Vol_O,7,DU$14)/12*(1+P_dVol),0)</f>
        <v>0</v>
      </c>
      <c r="DV27" s="34" t="n">
        <f aca="false">IF(DV$15=1,INDEX(Vol_O,7,DV$14)/12*(1+P_dVol),0)</f>
        <v>0</v>
      </c>
      <c r="DW27" s="34" t="n">
        <f aca="false">IF(DW$15=1,INDEX(Vol_O,7,DW$14)/12*(1+P_dVol),0)</f>
        <v>0</v>
      </c>
      <c r="DX27" s="34" t="n">
        <f aca="false">IF(DX$15=1,INDEX(Vol_O,7,DX$14)/12*(1+P_dVol),0)</f>
        <v>0</v>
      </c>
      <c r="DY27" s="34" t="n">
        <f aca="false">IF(DY$15=1,INDEX(Vol_O,7,DY$14)/12*(1+P_dVol),0)</f>
        <v>0</v>
      </c>
      <c r="DZ27" s="34" t="n">
        <f aca="false">IF(DZ$15=1,INDEX(Vol_O,7,DZ$14)/12*(1+P_dVol),0)</f>
        <v>0</v>
      </c>
      <c r="EA27" s="34" t="n">
        <f aca="false">IF(EA$15=1,INDEX(Vol_O,7,EA$14)/12*(1+P_dVol),0)</f>
        <v>0</v>
      </c>
      <c r="EB27" s="34" t="n">
        <f aca="false">IF(EB$15=1,INDEX(Vol_O,7,EB$14)/12*(1+P_dVol),0)</f>
        <v>0</v>
      </c>
      <c r="EC27" s="34" t="n">
        <f aca="false">IF(EC$15=1,INDEX(Vol_O,7,EC$14)/12*(1+P_dVol),0)</f>
        <v>0</v>
      </c>
      <c r="ED27" s="34" t="n">
        <f aca="false">IF(ED$15=1,INDEX(Vol_O,7,ED$14)/12*(1+P_dVol),0)</f>
        <v>0</v>
      </c>
      <c r="EE27" s="34" t="n">
        <f aca="false">IF(EE$15=1,INDEX(Vol_O,7,EE$14)/12*(1+P_dVol),0)</f>
        <v>0</v>
      </c>
      <c r="EF27" s="34" t="n">
        <f aca="false">IF(EF$15=1,INDEX(Vol_O,7,EF$14)/12*(1+P_dVol),0)</f>
        <v>0</v>
      </c>
      <c r="EG27" s="34" t="n">
        <f aca="false">IF(EG$15=1,INDEX(Vol_O,7,EG$14)/12*(1+P_dVol),0)</f>
        <v>0</v>
      </c>
      <c r="EH27" s="34" t="n">
        <f aca="false">IF(EH$15=1,INDEX(Vol_O,7,EH$14)/12*(1+P_dVol),0)</f>
        <v>0</v>
      </c>
      <c r="EI27" s="34" t="n">
        <f aca="false">IF(EI$15=1,INDEX(Vol_O,7,EI$14)/12*(1+P_dVol),0)</f>
        <v>0</v>
      </c>
      <c r="EJ27" s="34" t="n">
        <f aca="false">IF(EJ$15=1,INDEX(Vol_O,7,EJ$14)/12*(1+P_dVol),0)</f>
        <v>0</v>
      </c>
      <c r="EK27" s="34" t="n">
        <f aca="false">IF(EK$15=1,INDEX(Vol_O,7,EK$14)/12*(1+P_dVol),0)</f>
        <v>0</v>
      </c>
      <c r="EL27" s="34" t="n">
        <f aca="false">IF(EL$15=1,INDEX(Vol_O,7,EL$14)/12*(1+P_dVol),0)</f>
        <v>0</v>
      </c>
      <c r="EM27" s="34" t="n">
        <f aca="false">IF(EM$15=1,INDEX(Vol_O,7,EM$14)/12*(1+P_dVol),0)</f>
        <v>0</v>
      </c>
      <c r="EN27" s="34" t="n">
        <f aca="false">IF(EN$15=1,INDEX(Vol_O,7,EN$14)/12*(1+P_dVol),0)</f>
        <v>0</v>
      </c>
      <c r="EO27" s="34" t="n">
        <f aca="false">IF(EO$15=1,INDEX(Vol_O,7,EO$14)/12*(1+P_dVol),0)</f>
        <v>0</v>
      </c>
      <c r="EP27" s="34" t="n">
        <f aca="false">IF(EP$15=1,INDEX(Vol_O,7,EP$14)/12*(1+P_dVol),0)</f>
        <v>0</v>
      </c>
      <c r="EQ27" s="34" t="n">
        <f aca="false">IF(EQ$15=1,INDEX(Vol_O,7,EQ$14)/12*(1+P_dVol),0)</f>
        <v>0</v>
      </c>
      <c r="ER27" s="34" t="n">
        <f aca="false">IF(ER$15=1,INDEX(Vol_O,7,ER$14)/12*(1+P_dVol),0)</f>
        <v>0</v>
      </c>
      <c r="ES27" s="34" t="n">
        <f aca="false">IF(ES$15=1,INDEX(Vol_O,7,ES$14)/12*(1+P_dVol),0)</f>
        <v>0</v>
      </c>
    </row>
    <row r="28" customFormat="false" ht="15" hidden="false" customHeight="false" outlineLevel="0" collapsed="false">
      <c r="A28" s="2" t="s">
        <v>565</v>
      </c>
      <c r="B28" s="39" t="str">
        <f aca="false">IF(INDEX(Prod_Nombre,8)="","Producto 8",INDEX(Prod_Nombre,8))&amp;" — unidades"</f>
        <v>Producto 8 — unidades</v>
      </c>
      <c r="C28" s="6" t="s">
        <v>286</v>
      </c>
      <c r="E28" s="40" t="n">
        <f aca="false">SUM(F28:ES28)</f>
        <v>0</v>
      </c>
      <c r="F28" s="34" t="n">
        <f aca="false">IF(F$15=1,INDEX(Vol_O,8,F$14)/12*(1+P_dVol),0)</f>
        <v>0</v>
      </c>
      <c r="G28" s="34" t="n">
        <f aca="false">IF(G$15=1,INDEX(Vol_O,8,G$14)/12*(1+P_dVol),0)</f>
        <v>0</v>
      </c>
      <c r="H28" s="34" t="n">
        <f aca="false">IF(H$15=1,INDEX(Vol_O,8,H$14)/12*(1+P_dVol),0)</f>
        <v>0</v>
      </c>
      <c r="I28" s="34" t="n">
        <f aca="false">IF(I$15=1,INDEX(Vol_O,8,I$14)/12*(1+P_dVol),0)</f>
        <v>0</v>
      </c>
      <c r="J28" s="34" t="n">
        <f aca="false">IF(J$15=1,INDEX(Vol_O,8,J$14)/12*(1+P_dVol),0)</f>
        <v>0</v>
      </c>
      <c r="K28" s="34" t="n">
        <f aca="false">IF(K$15=1,INDEX(Vol_O,8,K$14)/12*(1+P_dVol),0)</f>
        <v>0</v>
      </c>
      <c r="L28" s="34" t="n">
        <f aca="false">IF(L$15=1,INDEX(Vol_O,8,L$14)/12*(1+P_dVol),0)</f>
        <v>0</v>
      </c>
      <c r="M28" s="34" t="n">
        <f aca="false">IF(M$15=1,INDEX(Vol_O,8,M$14)/12*(1+P_dVol),0)</f>
        <v>0</v>
      </c>
      <c r="N28" s="34" t="n">
        <f aca="false">IF(N$15=1,INDEX(Vol_O,8,N$14)/12*(1+P_dVol),0)</f>
        <v>0</v>
      </c>
      <c r="O28" s="34" t="n">
        <f aca="false">IF(O$15=1,INDEX(Vol_O,8,O$14)/12*(1+P_dVol),0)</f>
        <v>0</v>
      </c>
      <c r="P28" s="34" t="n">
        <f aca="false">IF(P$15=1,INDEX(Vol_O,8,P$14)/12*(1+P_dVol),0)</f>
        <v>0</v>
      </c>
      <c r="Q28" s="34" t="n">
        <f aca="false">IF(Q$15=1,INDEX(Vol_O,8,Q$14)/12*(1+P_dVol),0)</f>
        <v>0</v>
      </c>
      <c r="R28" s="34" t="n">
        <f aca="false">IF(R$15=1,INDEX(Vol_O,8,R$14)/12*(1+P_dVol),0)</f>
        <v>0</v>
      </c>
      <c r="S28" s="34" t="n">
        <f aca="false">IF(S$15=1,INDEX(Vol_O,8,S$14)/12*(1+P_dVol),0)</f>
        <v>0</v>
      </c>
      <c r="T28" s="34" t="n">
        <f aca="false">IF(T$15=1,INDEX(Vol_O,8,T$14)/12*(1+P_dVol),0)</f>
        <v>0</v>
      </c>
      <c r="U28" s="34" t="n">
        <f aca="false">IF(U$15=1,INDEX(Vol_O,8,U$14)/12*(1+P_dVol),0)</f>
        <v>0</v>
      </c>
      <c r="V28" s="34" t="n">
        <f aca="false">IF(V$15=1,INDEX(Vol_O,8,V$14)/12*(1+P_dVol),0)</f>
        <v>0</v>
      </c>
      <c r="W28" s="34" t="n">
        <f aca="false">IF(W$15=1,INDEX(Vol_O,8,W$14)/12*(1+P_dVol),0)</f>
        <v>0</v>
      </c>
      <c r="X28" s="34" t="n">
        <f aca="false">IF(X$15=1,INDEX(Vol_O,8,X$14)/12*(1+P_dVol),0)</f>
        <v>0</v>
      </c>
      <c r="Y28" s="34" t="n">
        <f aca="false">IF(Y$15=1,INDEX(Vol_O,8,Y$14)/12*(1+P_dVol),0)</f>
        <v>0</v>
      </c>
      <c r="Z28" s="34" t="n">
        <f aca="false">IF(Z$15=1,INDEX(Vol_O,8,Z$14)/12*(1+P_dVol),0)</f>
        <v>0</v>
      </c>
      <c r="AA28" s="34" t="n">
        <f aca="false">IF(AA$15=1,INDEX(Vol_O,8,AA$14)/12*(1+P_dVol),0)</f>
        <v>0</v>
      </c>
      <c r="AB28" s="34" t="n">
        <f aca="false">IF(AB$15=1,INDEX(Vol_O,8,AB$14)/12*(1+P_dVol),0)</f>
        <v>0</v>
      </c>
      <c r="AC28" s="34" t="n">
        <f aca="false">IF(AC$15=1,INDEX(Vol_O,8,AC$14)/12*(1+P_dVol),0)</f>
        <v>0</v>
      </c>
      <c r="AD28" s="34" t="n">
        <f aca="false">IF(AD$15=1,INDEX(Vol_O,8,AD$14)/12*(1+P_dVol),0)</f>
        <v>0</v>
      </c>
      <c r="AE28" s="34" t="n">
        <f aca="false">IF(AE$15=1,INDEX(Vol_O,8,AE$14)/12*(1+P_dVol),0)</f>
        <v>0</v>
      </c>
      <c r="AF28" s="34" t="n">
        <f aca="false">IF(AF$15=1,INDEX(Vol_O,8,AF$14)/12*(1+P_dVol),0)</f>
        <v>0</v>
      </c>
      <c r="AG28" s="34" t="n">
        <f aca="false">IF(AG$15=1,INDEX(Vol_O,8,AG$14)/12*(1+P_dVol),0)</f>
        <v>0</v>
      </c>
      <c r="AH28" s="34" t="n">
        <f aca="false">IF(AH$15=1,INDEX(Vol_O,8,AH$14)/12*(1+P_dVol),0)</f>
        <v>0</v>
      </c>
      <c r="AI28" s="34" t="n">
        <f aca="false">IF(AI$15=1,INDEX(Vol_O,8,AI$14)/12*(1+P_dVol),0)</f>
        <v>0</v>
      </c>
      <c r="AJ28" s="34" t="n">
        <f aca="false">IF(AJ$15=1,INDEX(Vol_O,8,AJ$14)/12*(1+P_dVol),0)</f>
        <v>0</v>
      </c>
      <c r="AK28" s="34" t="n">
        <f aca="false">IF(AK$15=1,INDEX(Vol_O,8,AK$14)/12*(1+P_dVol),0)</f>
        <v>0</v>
      </c>
      <c r="AL28" s="34" t="n">
        <f aca="false">IF(AL$15=1,INDEX(Vol_O,8,AL$14)/12*(1+P_dVol),0)</f>
        <v>0</v>
      </c>
      <c r="AM28" s="34" t="n">
        <f aca="false">IF(AM$15=1,INDEX(Vol_O,8,AM$14)/12*(1+P_dVol),0)</f>
        <v>0</v>
      </c>
      <c r="AN28" s="34" t="n">
        <f aca="false">IF(AN$15=1,INDEX(Vol_O,8,AN$14)/12*(1+P_dVol),0)</f>
        <v>0</v>
      </c>
      <c r="AO28" s="34" t="n">
        <f aca="false">IF(AO$15=1,INDEX(Vol_O,8,AO$14)/12*(1+P_dVol),0)</f>
        <v>0</v>
      </c>
      <c r="AP28" s="34" t="n">
        <f aca="false">IF(AP$15=1,INDEX(Vol_O,8,AP$14)/12*(1+P_dVol),0)</f>
        <v>0</v>
      </c>
      <c r="AQ28" s="34" t="n">
        <f aca="false">IF(AQ$15=1,INDEX(Vol_O,8,AQ$14)/12*(1+P_dVol),0)</f>
        <v>0</v>
      </c>
      <c r="AR28" s="34" t="n">
        <f aca="false">IF(AR$15=1,INDEX(Vol_O,8,AR$14)/12*(1+P_dVol),0)</f>
        <v>0</v>
      </c>
      <c r="AS28" s="34" t="n">
        <f aca="false">IF(AS$15=1,INDEX(Vol_O,8,AS$14)/12*(1+P_dVol),0)</f>
        <v>0</v>
      </c>
      <c r="AT28" s="34" t="n">
        <f aca="false">IF(AT$15=1,INDEX(Vol_O,8,AT$14)/12*(1+P_dVol),0)</f>
        <v>0</v>
      </c>
      <c r="AU28" s="34" t="n">
        <f aca="false">IF(AU$15=1,INDEX(Vol_O,8,AU$14)/12*(1+P_dVol),0)</f>
        <v>0</v>
      </c>
      <c r="AV28" s="34" t="n">
        <f aca="false">IF(AV$15=1,INDEX(Vol_O,8,AV$14)/12*(1+P_dVol),0)</f>
        <v>0</v>
      </c>
      <c r="AW28" s="34" t="n">
        <f aca="false">IF(AW$15=1,INDEX(Vol_O,8,AW$14)/12*(1+P_dVol),0)</f>
        <v>0</v>
      </c>
      <c r="AX28" s="34" t="n">
        <f aca="false">IF(AX$15=1,INDEX(Vol_O,8,AX$14)/12*(1+P_dVol),0)</f>
        <v>0</v>
      </c>
      <c r="AY28" s="34" t="n">
        <f aca="false">IF(AY$15=1,INDEX(Vol_O,8,AY$14)/12*(1+P_dVol),0)</f>
        <v>0</v>
      </c>
      <c r="AZ28" s="34" t="n">
        <f aca="false">IF(AZ$15=1,INDEX(Vol_O,8,AZ$14)/12*(1+P_dVol),0)</f>
        <v>0</v>
      </c>
      <c r="BA28" s="34" t="n">
        <f aca="false">IF(BA$15=1,INDEX(Vol_O,8,BA$14)/12*(1+P_dVol),0)</f>
        <v>0</v>
      </c>
      <c r="BB28" s="34" t="n">
        <f aca="false">IF(BB$15=1,INDEX(Vol_O,8,BB$14)/12*(1+P_dVol),0)</f>
        <v>0</v>
      </c>
      <c r="BC28" s="34" t="n">
        <f aca="false">IF(BC$15=1,INDEX(Vol_O,8,BC$14)/12*(1+P_dVol),0)</f>
        <v>0</v>
      </c>
      <c r="BD28" s="34" t="n">
        <f aca="false">IF(BD$15=1,INDEX(Vol_O,8,BD$14)/12*(1+P_dVol),0)</f>
        <v>0</v>
      </c>
      <c r="BE28" s="34" t="n">
        <f aca="false">IF(BE$15=1,INDEX(Vol_O,8,BE$14)/12*(1+P_dVol),0)</f>
        <v>0</v>
      </c>
      <c r="BF28" s="34" t="n">
        <f aca="false">IF(BF$15=1,INDEX(Vol_O,8,BF$14)/12*(1+P_dVol),0)</f>
        <v>0</v>
      </c>
      <c r="BG28" s="34" t="n">
        <f aca="false">IF(BG$15=1,INDEX(Vol_O,8,BG$14)/12*(1+P_dVol),0)</f>
        <v>0</v>
      </c>
      <c r="BH28" s="34" t="n">
        <f aca="false">IF(BH$15=1,INDEX(Vol_O,8,BH$14)/12*(1+P_dVol),0)</f>
        <v>0</v>
      </c>
      <c r="BI28" s="34" t="n">
        <f aca="false">IF(BI$15=1,INDEX(Vol_O,8,BI$14)/12*(1+P_dVol),0)</f>
        <v>0</v>
      </c>
      <c r="BJ28" s="34" t="n">
        <f aca="false">IF(BJ$15=1,INDEX(Vol_O,8,BJ$14)/12*(1+P_dVol),0)</f>
        <v>0</v>
      </c>
      <c r="BK28" s="34" t="n">
        <f aca="false">IF(BK$15=1,INDEX(Vol_O,8,BK$14)/12*(1+P_dVol),0)</f>
        <v>0</v>
      </c>
      <c r="BL28" s="34" t="n">
        <f aca="false">IF(BL$15=1,INDEX(Vol_O,8,BL$14)/12*(1+P_dVol),0)</f>
        <v>0</v>
      </c>
      <c r="BM28" s="34" t="n">
        <f aca="false">IF(BM$15=1,INDEX(Vol_O,8,BM$14)/12*(1+P_dVol),0)</f>
        <v>0</v>
      </c>
      <c r="BN28" s="34" t="n">
        <f aca="false">IF(BN$15=1,INDEX(Vol_O,8,BN$14)/12*(1+P_dVol),0)</f>
        <v>0</v>
      </c>
      <c r="BO28" s="34" t="n">
        <f aca="false">IF(BO$15=1,INDEX(Vol_O,8,BO$14)/12*(1+P_dVol),0)</f>
        <v>0</v>
      </c>
      <c r="BP28" s="34" t="n">
        <f aca="false">IF(BP$15=1,INDEX(Vol_O,8,BP$14)/12*(1+P_dVol),0)</f>
        <v>0</v>
      </c>
      <c r="BQ28" s="34" t="n">
        <f aca="false">IF(BQ$15=1,INDEX(Vol_O,8,BQ$14)/12*(1+P_dVol),0)</f>
        <v>0</v>
      </c>
      <c r="BR28" s="34" t="n">
        <f aca="false">IF(BR$15=1,INDEX(Vol_O,8,BR$14)/12*(1+P_dVol),0)</f>
        <v>0</v>
      </c>
      <c r="BS28" s="34" t="n">
        <f aca="false">IF(BS$15=1,INDEX(Vol_O,8,BS$14)/12*(1+P_dVol),0)</f>
        <v>0</v>
      </c>
      <c r="BT28" s="34" t="n">
        <f aca="false">IF(BT$15=1,INDEX(Vol_O,8,BT$14)/12*(1+P_dVol),0)</f>
        <v>0</v>
      </c>
      <c r="BU28" s="34" t="n">
        <f aca="false">IF(BU$15=1,INDEX(Vol_O,8,BU$14)/12*(1+P_dVol),0)</f>
        <v>0</v>
      </c>
      <c r="BV28" s="34" t="n">
        <f aca="false">IF(BV$15=1,INDEX(Vol_O,8,BV$14)/12*(1+P_dVol),0)</f>
        <v>0</v>
      </c>
      <c r="BW28" s="34" t="n">
        <f aca="false">IF(BW$15=1,INDEX(Vol_O,8,BW$14)/12*(1+P_dVol),0)</f>
        <v>0</v>
      </c>
      <c r="BX28" s="34" t="n">
        <f aca="false">IF(BX$15=1,INDEX(Vol_O,8,BX$14)/12*(1+P_dVol),0)</f>
        <v>0</v>
      </c>
      <c r="BY28" s="34" t="n">
        <f aca="false">IF(BY$15=1,INDEX(Vol_O,8,BY$14)/12*(1+P_dVol),0)</f>
        <v>0</v>
      </c>
      <c r="BZ28" s="34" t="n">
        <f aca="false">IF(BZ$15=1,INDEX(Vol_O,8,BZ$14)/12*(1+P_dVol),0)</f>
        <v>0</v>
      </c>
      <c r="CA28" s="34" t="n">
        <f aca="false">IF(CA$15=1,INDEX(Vol_O,8,CA$14)/12*(1+P_dVol),0)</f>
        <v>0</v>
      </c>
      <c r="CB28" s="34" t="n">
        <f aca="false">IF(CB$15=1,INDEX(Vol_O,8,CB$14)/12*(1+P_dVol),0)</f>
        <v>0</v>
      </c>
      <c r="CC28" s="34" t="n">
        <f aca="false">IF(CC$15=1,INDEX(Vol_O,8,CC$14)/12*(1+P_dVol),0)</f>
        <v>0</v>
      </c>
      <c r="CD28" s="34" t="n">
        <f aca="false">IF(CD$15=1,INDEX(Vol_O,8,CD$14)/12*(1+P_dVol),0)</f>
        <v>0</v>
      </c>
      <c r="CE28" s="34" t="n">
        <f aca="false">IF(CE$15=1,INDEX(Vol_O,8,CE$14)/12*(1+P_dVol),0)</f>
        <v>0</v>
      </c>
      <c r="CF28" s="34" t="n">
        <f aca="false">IF(CF$15=1,INDEX(Vol_O,8,CF$14)/12*(1+P_dVol),0)</f>
        <v>0</v>
      </c>
      <c r="CG28" s="34" t="n">
        <f aca="false">IF(CG$15=1,INDEX(Vol_O,8,CG$14)/12*(1+P_dVol),0)</f>
        <v>0</v>
      </c>
      <c r="CH28" s="34" t="n">
        <f aca="false">IF(CH$15=1,INDEX(Vol_O,8,CH$14)/12*(1+P_dVol),0)</f>
        <v>0</v>
      </c>
      <c r="CI28" s="34" t="n">
        <f aca="false">IF(CI$15=1,INDEX(Vol_O,8,CI$14)/12*(1+P_dVol),0)</f>
        <v>0</v>
      </c>
      <c r="CJ28" s="34" t="n">
        <f aca="false">IF(CJ$15=1,INDEX(Vol_O,8,CJ$14)/12*(1+P_dVol),0)</f>
        <v>0</v>
      </c>
      <c r="CK28" s="34" t="n">
        <f aca="false">IF(CK$15=1,INDEX(Vol_O,8,CK$14)/12*(1+P_dVol),0)</f>
        <v>0</v>
      </c>
      <c r="CL28" s="34" t="n">
        <f aca="false">IF(CL$15=1,INDEX(Vol_O,8,CL$14)/12*(1+P_dVol),0)</f>
        <v>0</v>
      </c>
      <c r="CM28" s="34" t="n">
        <f aca="false">IF(CM$15=1,INDEX(Vol_O,8,CM$14)/12*(1+P_dVol),0)</f>
        <v>0</v>
      </c>
      <c r="CN28" s="34" t="n">
        <f aca="false">IF(CN$15=1,INDEX(Vol_O,8,CN$14)/12*(1+P_dVol),0)</f>
        <v>0</v>
      </c>
      <c r="CO28" s="34" t="n">
        <f aca="false">IF(CO$15=1,INDEX(Vol_O,8,CO$14)/12*(1+P_dVol),0)</f>
        <v>0</v>
      </c>
      <c r="CP28" s="34" t="n">
        <f aca="false">IF(CP$15=1,INDEX(Vol_O,8,CP$14)/12*(1+P_dVol),0)</f>
        <v>0</v>
      </c>
      <c r="CQ28" s="34" t="n">
        <f aca="false">IF(CQ$15=1,INDEX(Vol_O,8,CQ$14)/12*(1+P_dVol),0)</f>
        <v>0</v>
      </c>
      <c r="CR28" s="34" t="n">
        <f aca="false">IF(CR$15=1,INDEX(Vol_O,8,CR$14)/12*(1+P_dVol),0)</f>
        <v>0</v>
      </c>
      <c r="CS28" s="34" t="n">
        <f aca="false">IF(CS$15=1,INDEX(Vol_O,8,CS$14)/12*(1+P_dVol),0)</f>
        <v>0</v>
      </c>
      <c r="CT28" s="34" t="n">
        <f aca="false">IF(CT$15=1,INDEX(Vol_O,8,CT$14)/12*(1+P_dVol),0)</f>
        <v>0</v>
      </c>
      <c r="CU28" s="34" t="n">
        <f aca="false">IF(CU$15=1,INDEX(Vol_O,8,CU$14)/12*(1+P_dVol),0)</f>
        <v>0</v>
      </c>
      <c r="CV28" s="34" t="n">
        <f aca="false">IF(CV$15=1,INDEX(Vol_O,8,CV$14)/12*(1+P_dVol),0)</f>
        <v>0</v>
      </c>
      <c r="CW28" s="34" t="n">
        <f aca="false">IF(CW$15=1,INDEX(Vol_O,8,CW$14)/12*(1+P_dVol),0)</f>
        <v>0</v>
      </c>
      <c r="CX28" s="34" t="n">
        <f aca="false">IF(CX$15=1,INDEX(Vol_O,8,CX$14)/12*(1+P_dVol),0)</f>
        <v>0</v>
      </c>
      <c r="CY28" s="34" t="n">
        <f aca="false">IF(CY$15=1,INDEX(Vol_O,8,CY$14)/12*(1+P_dVol),0)</f>
        <v>0</v>
      </c>
      <c r="CZ28" s="34" t="n">
        <f aca="false">IF(CZ$15=1,INDEX(Vol_O,8,CZ$14)/12*(1+P_dVol),0)</f>
        <v>0</v>
      </c>
      <c r="DA28" s="34" t="n">
        <f aca="false">IF(DA$15=1,INDEX(Vol_O,8,DA$14)/12*(1+P_dVol),0)</f>
        <v>0</v>
      </c>
      <c r="DB28" s="34" t="n">
        <f aca="false">IF(DB$15=1,INDEX(Vol_O,8,DB$14)/12*(1+P_dVol),0)</f>
        <v>0</v>
      </c>
      <c r="DC28" s="34" t="n">
        <f aca="false">IF(DC$15=1,INDEX(Vol_O,8,DC$14)/12*(1+P_dVol),0)</f>
        <v>0</v>
      </c>
      <c r="DD28" s="34" t="n">
        <f aca="false">IF(DD$15=1,INDEX(Vol_O,8,DD$14)/12*(1+P_dVol),0)</f>
        <v>0</v>
      </c>
      <c r="DE28" s="34" t="n">
        <f aca="false">IF(DE$15=1,INDEX(Vol_O,8,DE$14)/12*(1+P_dVol),0)</f>
        <v>0</v>
      </c>
      <c r="DF28" s="34" t="n">
        <f aca="false">IF(DF$15=1,INDEX(Vol_O,8,DF$14)/12*(1+P_dVol),0)</f>
        <v>0</v>
      </c>
      <c r="DG28" s="34" t="n">
        <f aca="false">IF(DG$15=1,INDEX(Vol_O,8,DG$14)/12*(1+P_dVol),0)</f>
        <v>0</v>
      </c>
      <c r="DH28" s="34" t="n">
        <f aca="false">IF(DH$15=1,INDEX(Vol_O,8,DH$14)/12*(1+P_dVol),0)</f>
        <v>0</v>
      </c>
      <c r="DI28" s="34" t="n">
        <f aca="false">IF(DI$15=1,INDEX(Vol_O,8,DI$14)/12*(1+P_dVol),0)</f>
        <v>0</v>
      </c>
      <c r="DJ28" s="34" t="n">
        <f aca="false">IF(DJ$15=1,INDEX(Vol_O,8,DJ$14)/12*(1+P_dVol),0)</f>
        <v>0</v>
      </c>
      <c r="DK28" s="34" t="n">
        <f aca="false">IF(DK$15=1,INDEX(Vol_O,8,DK$14)/12*(1+P_dVol),0)</f>
        <v>0</v>
      </c>
      <c r="DL28" s="34" t="n">
        <f aca="false">IF(DL$15=1,INDEX(Vol_O,8,DL$14)/12*(1+P_dVol),0)</f>
        <v>0</v>
      </c>
      <c r="DM28" s="34" t="n">
        <f aca="false">IF(DM$15=1,INDEX(Vol_O,8,DM$14)/12*(1+P_dVol),0)</f>
        <v>0</v>
      </c>
      <c r="DN28" s="34" t="n">
        <f aca="false">IF(DN$15=1,INDEX(Vol_O,8,DN$14)/12*(1+P_dVol),0)</f>
        <v>0</v>
      </c>
      <c r="DO28" s="34" t="n">
        <f aca="false">IF(DO$15=1,INDEX(Vol_O,8,DO$14)/12*(1+P_dVol),0)</f>
        <v>0</v>
      </c>
      <c r="DP28" s="34" t="n">
        <f aca="false">IF(DP$15=1,INDEX(Vol_O,8,DP$14)/12*(1+P_dVol),0)</f>
        <v>0</v>
      </c>
      <c r="DQ28" s="34" t="n">
        <f aca="false">IF(DQ$15=1,INDEX(Vol_O,8,DQ$14)/12*(1+P_dVol),0)</f>
        <v>0</v>
      </c>
      <c r="DR28" s="34" t="n">
        <f aca="false">IF(DR$15=1,INDEX(Vol_O,8,DR$14)/12*(1+P_dVol),0)</f>
        <v>0</v>
      </c>
      <c r="DS28" s="34" t="n">
        <f aca="false">IF(DS$15=1,INDEX(Vol_O,8,DS$14)/12*(1+P_dVol),0)</f>
        <v>0</v>
      </c>
      <c r="DT28" s="34" t="n">
        <f aca="false">IF(DT$15=1,INDEX(Vol_O,8,DT$14)/12*(1+P_dVol),0)</f>
        <v>0</v>
      </c>
      <c r="DU28" s="34" t="n">
        <f aca="false">IF(DU$15=1,INDEX(Vol_O,8,DU$14)/12*(1+P_dVol),0)</f>
        <v>0</v>
      </c>
      <c r="DV28" s="34" t="n">
        <f aca="false">IF(DV$15=1,INDEX(Vol_O,8,DV$14)/12*(1+P_dVol),0)</f>
        <v>0</v>
      </c>
      <c r="DW28" s="34" t="n">
        <f aca="false">IF(DW$15=1,INDEX(Vol_O,8,DW$14)/12*(1+P_dVol),0)</f>
        <v>0</v>
      </c>
      <c r="DX28" s="34" t="n">
        <f aca="false">IF(DX$15=1,INDEX(Vol_O,8,DX$14)/12*(1+P_dVol),0)</f>
        <v>0</v>
      </c>
      <c r="DY28" s="34" t="n">
        <f aca="false">IF(DY$15=1,INDEX(Vol_O,8,DY$14)/12*(1+P_dVol),0)</f>
        <v>0</v>
      </c>
      <c r="DZ28" s="34" t="n">
        <f aca="false">IF(DZ$15=1,INDEX(Vol_O,8,DZ$14)/12*(1+P_dVol),0)</f>
        <v>0</v>
      </c>
      <c r="EA28" s="34" t="n">
        <f aca="false">IF(EA$15=1,INDEX(Vol_O,8,EA$14)/12*(1+P_dVol),0)</f>
        <v>0</v>
      </c>
      <c r="EB28" s="34" t="n">
        <f aca="false">IF(EB$15=1,INDEX(Vol_O,8,EB$14)/12*(1+P_dVol),0)</f>
        <v>0</v>
      </c>
      <c r="EC28" s="34" t="n">
        <f aca="false">IF(EC$15=1,INDEX(Vol_O,8,EC$14)/12*(1+P_dVol),0)</f>
        <v>0</v>
      </c>
      <c r="ED28" s="34" t="n">
        <f aca="false">IF(ED$15=1,INDEX(Vol_O,8,ED$14)/12*(1+P_dVol),0)</f>
        <v>0</v>
      </c>
      <c r="EE28" s="34" t="n">
        <f aca="false">IF(EE$15=1,INDEX(Vol_O,8,EE$14)/12*(1+P_dVol),0)</f>
        <v>0</v>
      </c>
      <c r="EF28" s="34" t="n">
        <f aca="false">IF(EF$15=1,INDEX(Vol_O,8,EF$14)/12*(1+P_dVol),0)</f>
        <v>0</v>
      </c>
      <c r="EG28" s="34" t="n">
        <f aca="false">IF(EG$15=1,INDEX(Vol_O,8,EG$14)/12*(1+P_dVol),0)</f>
        <v>0</v>
      </c>
      <c r="EH28" s="34" t="n">
        <f aca="false">IF(EH$15=1,INDEX(Vol_O,8,EH$14)/12*(1+P_dVol),0)</f>
        <v>0</v>
      </c>
      <c r="EI28" s="34" t="n">
        <f aca="false">IF(EI$15=1,INDEX(Vol_O,8,EI$14)/12*(1+P_dVol),0)</f>
        <v>0</v>
      </c>
      <c r="EJ28" s="34" t="n">
        <f aca="false">IF(EJ$15=1,INDEX(Vol_O,8,EJ$14)/12*(1+P_dVol),0)</f>
        <v>0</v>
      </c>
      <c r="EK28" s="34" t="n">
        <f aca="false">IF(EK$15=1,INDEX(Vol_O,8,EK$14)/12*(1+P_dVol),0)</f>
        <v>0</v>
      </c>
      <c r="EL28" s="34" t="n">
        <f aca="false">IF(EL$15=1,INDEX(Vol_O,8,EL$14)/12*(1+P_dVol),0)</f>
        <v>0</v>
      </c>
      <c r="EM28" s="34" t="n">
        <f aca="false">IF(EM$15=1,INDEX(Vol_O,8,EM$14)/12*(1+P_dVol),0)</f>
        <v>0</v>
      </c>
      <c r="EN28" s="34" t="n">
        <f aca="false">IF(EN$15=1,INDEX(Vol_O,8,EN$14)/12*(1+P_dVol),0)</f>
        <v>0</v>
      </c>
      <c r="EO28" s="34" t="n">
        <f aca="false">IF(EO$15=1,INDEX(Vol_O,8,EO$14)/12*(1+P_dVol),0)</f>
        <v>0</v>
      </c>
      <c r="EP28" s="34" t="n">
        <f aca="false">IF(EP$15=1,INDEX(Vol_O,8,EP$14)/12*(1+P_dVol),0)</f>
        <v>0</v>
      </c>
      <c r="EQ28" s="34" t="n">
        <f aca="false">IF(EQ$15=1,INDEX(Vol_O,8,EQ$14)/12*(1+P_dVol),0)</f>
        <v>0</v>
      </c>
      <c r="ER28" s="34" t="n">
        <f aca="false">IF(ER$15=1,INDEX(Vol_O,8,ER$14)/12*(1+P_dVol),0)</f>
        <v>0</v>
      </c>
      <c r="ES28" s="34" t="n">
        <f aca="false">IF(ES$15=1,INDEX(Vol_O,8,ES$14)/12*(1+P_dVol),0)</f>
        <v>0</v>
      </c>
    </row>
    <row r="29" customFormat="false" ht="15" hidden="false" customHeight="false" outlineLevel="0" collapsed="false">
      <c r="A29" s="2" t="s">
        <v>566</v>
      </c>
      <c r="B29" s="39" t="str">
        <f aca="false">IF(INDEX(Prod_Nombre,9)="","Producto 9",INDEX(Prod_Nombre,9))&amp;" — unidades"</f>
        <v>Producto 9 — unidades</v>
      </c>
      <c r="C29" s="6" t="s">
        <v>286</v>
      </c>
      <c r="E29" s="40" t="n">
        <f aca="false">SUM(F29:ES29)</f>
        <v>0</v>
      </c>
      <c r="F29" s="34" t="n">
        <f aca="false">IF(F$15=1,INDEX(Vol_O,9,F$14)/12*(1+P_dVol),0)</f>
        <v>0</v>
      </c>
      <c r="G29" s="34" t="n">
        <f aca="false">IF(G$15=1,INDEX(Vol_O,9,G$14)/12*(1+P_dVol),0)</f>
        <v>0</v>
      </c>
      <c r="H29" s="34" t="n">
        <f aca="false">IF(H$15=1,INDEX(Vol_O,9,H$14)/12*(1+P_dVol),0)</f>
        <v>0</v>
      </c>
      <c r="I29" s="34" t="n">
        <f aca="false">IF(I$15=1,INDEX(Vol_O,9,I$14)/12*(1+P_dVol),0)</f>
        <v>0</v>
      </c>
      <c r="J29" s="34" t="n">
        <f aca="false">IF(J$15=1,INDEX(Vol_O,9,J$14)/12*(1+P_dVol),0)</f>
        <v>0</v>
      </c>
      <c r="K29" s="34" t="n">
        <f aca="false">IF(K$15=1,INDEX(Vol_O,9,K$14)/12*(1+P_dVol),0)</f>
        <v>0</v>
      </c>
      <c r="L29" s="34" t="n">
        <f aca="false">IF(L$15=1,INDEX(Vol_O,9,L$14)/12*(1+P_dVol),0)</f>
        <v>0</v>
      </c>
      <c r="M29" s="34" t="n">
        <f aca="false">IF(M$15=1,INDEX(Vol_O,9,M$14)/12*(1+P_dVol),0)</f>
        <v>0</v>
      </c>
      <c r="N29" s="34" t="n">
        <f aca="false">IF(N$15=1,INDEX(Vol_O,9,N$14)/12*(1+P_dVol),0)</f>
        <v>0</v>
      </c>
      <c r="O29" s="34" t="n">
        <f aca="false">IF(O$15=1,INDEX(Vol_O,9,O$14)/12*(1+P_dVol),0)</f>
        <v>0</v>
      </c>
      <c r="P29" s="34" t="n">
        <f aca="false">IF(P$15=1,INDEX(Vol_O,9,P$14)/12*(1+P_dVol),0)</f>
        <v>0</v>
      </c>
      <c r="Q29" s="34" t="n">
        <f aca="false">IF(Q$15=1,INDEX(Vol_O,9,Q$14)/12*(1+P_dVol),0)</f>
        <v>0</v>
      </c>
      <c r="R29" s="34" t="n">
        <f aca="false">IF(R$15=1,INDEX(Vol_O,9,R$14)/12*(1+P_dVol),0)</f>
        <v>0</v>
      </c>
      <c r="S29" s="34" t="n">
        <f aca="false">IF(S$15=1,INDEX(Vol_O,9,S$14)/12*(1+P_dVol),0)</f>
        <v>0</v>
      </c>
      <c r="T29" s="34" t="n">
        <f aca="false">IF(T$15=1,INDEX(Vol_O,9,T$14)/12*(1+P_dVol),0)</f>
        <v>0</v>
      </c>
      <c r="U29" s="34" t="n">
        <f aca="false">IF(U$15=1,INDEX(Vol_O,9,U$14)/12*(1+P_dVol),0)</f>
        <v>0</v>
      </c>
      <c r="V29" s="34" t="n">
        <f aca="false">IF(V$15=1,INDEX(Vol_O,9,V$14)/12*(1+P_dVol),0)</f>
        <v>0</v>
      </c>
      <c r="W29" s="34" t="n">
        <f aca="false">IF(W$15=1,INDEX(Vol_O,9,W$14)/12*(1+P_dVol),0)</f>
        <v>0</v>
      </c>
      <c r="X29" s="34" t="n">
        <f aca="false">IF(X$15=1,INDEX(Vol_O,9,X$14)/12*(1+P_dVol),0)</f>
        <v>0</v>
      </c>
      <c r="Y29" s="34" t="n">
        <f aca="false">IF(Y$15=1,INDEX(Vol_O,9,Y$14)/12*(1+P_dVol),0)</f>
        <v>0</v>
      </c>
      <c r="Z29" s="34" t="n">
        <f aca="false">IF(Z$15=1,INDEX(Vol_O,9,Z$14)/12*(1+P_dVol),0)</f>
        <v>0</v>
      </c>
      <c r="AA29" s="34" t="n">
        <f aca="false">IF(AA$15=1,INDEX(Vol_O,9,AA$14)/12*(1+P_dVol),0)</f>
        <v>0</v>
      </c>
      <c r="AB29" s="34" t="n">
        <f aca="false">IF(AB$15=1,INDEX(Vol_O,9,AB$14)/12*(1+P_dVol),0)</f>
        <v>0</v>
      </c>
      <c r="AC29" s="34" t="n">
        <f aca="false">IF(AC$15=1,INDEX(Vol_O,9,AC$14)/12*(1+P_dVol),0)</f>
        <v>0</v>
      </c>
      <c r="AD29" s="34" t="n">
        <f aca="false">IF(AD$15=1,INDEX(Vol_O,9,AD$14)/12*(1+P_dVol),0)</f>
        <v>0</v>
      </c>
      <c r="AE29" s="34" t="n">
        <f aca="false">IF(AE$15=1,INDEX(Vol_O,9,AE$14)/12*(1+P_dVol),0)</f>
        <v>0</v>
      </c>
      <c r="AF29" s="34" t="n">
        <f aca="false">IF(AF$15=1,INDEX(Vol_O,9,AF$14)/12*(1+P_dVol),0)</f>
        <v>0</v>
      </c>
      <c r="AG29" s="34" t="n">
        <f aca="false">IF(AG$15=1,INDEX(Vol_O,9,AG$14)/12*(1+P_dVol),0)</f>
        <v>0</v>
      </c>
      <c r="AH29" s="34" t="n">
        <f aca="false">IF(AH$15=1,INDEX(Vol_O,9,AH$14)/12*(1+P_dVol),0)</f>
        <v>0</v>
      </c>
      <c r="AI29" s="34" t="n">
        <f aca="false">IF(AI$15=1,INDEX(Vol_O,9,AI$14)/12*(1+P_dVol),0)</f>
        <v>0</v>
      </c>
      <c r="AJ29" s="34" t="n">
        <f aca="false">IF(AJ$15=1,INDEX(Vol_O,9,AJ$14)/12*(1+P_dVol),0)</f>
        <v>0</v>
      </c>
      <c r="AK29" s="34" t="n">
        <f aca="false">IF(AK$15=1,INDEX(Vol_O,9,AK$14)/12*(1+P_dVol),0)</f>
        <v>0</v>
      </c>
      <c r="AL29" s="34" t="n">
        <f aca="false">IF(AL$15=1,INDEX(Vol_O,9,AL$14)/12*(1+P_dVol),0)</f>
        <v>0</v>
      </c>
      <c r="AM29" s="34" t="n">
        <f aca="false">IF(AM$15=1,INDEX(Vol_O,9,AM$14)/12*(1+P_dVol),0)</f>
        <v>0</v>
      </c>
      <c r="AN29" s="34" t="n">
        <f aca="false">IF(AN$15=1,INDEX(Vol_O,9,AN$14)/12*(1+P_dVol),0)</f>
        <v>0</v>
      </c>
      <c r="AO29" s="34" t="n">
        <f aca="false">IF(AO$15=1,INDEX(Vol_O,9,AO$14)/12*(1+P_dVol),0)</f>
        <v>0</v>
      </c>
      <c r="AP29" s="34" t="n">
        <f aca="false">IF(AP$15=1,INDEX(Vol_O,9,AP$14)/12*(1+P_dVol),0)</f>
        <v>0</v>
      </c>
      <c r="AQ29" s="34" t="n">
        <f aca="false">IF(AQ$15=1,INDEX(Vol_O,9,AQ$14)/12*(1+P_dVol),0)</f>
        <v>0</v>
      </c>
      <c r="AR29" s="34" t="n">
        <f aca="false">IF(AR$15=1,INDEX(Vol_O,9,AR$14)/12*(1+P_dVol),0)</f>
        <v>0</v>
      </c>
      <c r="AS29" s="34" t="n">
        <f aca="false">IF(AS$15=1,INDEX(Vol_O,9,AS$14)/12*(1+P_dVol),0)</f>
        <v>0</v>
      </c>
      <c r="AT29" s="34" t="n">
        <f aca="false">IF(AT$15=1,INDEX(Vol_O,9,AT$14)/12*(1+P_dVol),0)</f>
        <v>0</v>
      </c>
      <c r="AU29" s="34" t="n">
        <f aca="false">IF(AU$15=1,INDEX(Vol_O,9,AU$14)/12*(1+P_dVol),0)</f>
        <v>0</v>
      </c>
      <c r="AV29" s="34" t="n">
        <f aca="false">IF(AV$15=1,INDEX(Vol_O,9,AV$14)/12*(1+P_dVol),0)</f>
        <v>0</v>
      </c>
      <c r="AW29" s="34" t="n">
        <f aca="false">IF(AW$15=1,INDEX(Vol_O,9,AW$14)/12*(1+P_dVol),0)</f>
        <v>0</v>
      </c>
      <c r="AX29" s="34" t="n">
        <f aca="false">IF(AX$15=1,INDEX(Vol_O,9,AX$14)/12*(1+P_dVol),0)</f>
        <v>0</v>
      </c>
      <c r="AY29" s="34" t="n">
        <f aca="false">IF(AY$15=1,INDEX(Vol_O,9,AY$14)/12*(1+P_dVol),0)</f>
        <v>0</v>
      </c>
      <c r="AZ29" s="34" t="n">
        <f aca="false">IF(AZ$15=1,INDEX(Vol_O,9,AZ$14)/12*(1+P_dVol),0)</f>
        <v>0</v>
      </c>
      <c r="BA29" s="34" t="n">
        <f aca="false">IF(BA$15=1,INDEX(Vol_O,9,BA$14)/12*(1+P_dVol),0)</f>
        <v>0</v>
      </c>
      <c r="BB29" s="34" t="n">
        <f aca="false">IF(BB$15=1,INDEX(Vol_O,9,BB$14)/12*(1+P_dVol),0)</f>
        <v>0</v>
      </c>
      <c r="BC29" s="34" t="n">
        <f aca="false">IF(BC$15=1,INDEX(Vol_O,9,BC$14)/12*(1+P_dVol),0)</f>
        <v>0</v>
      </c>
      <c r="BD29" s="34" t="n">
        <f aca="false">IF(BD$15=1,INDEX(Vol_O,9,BD$14)/12*(1+P_dVol),0)</f>
        <v>0</v>
      </c>
      <c r="BE29" s="34" t="n">
        <f aca="false">IF(BE$15=1,INDEX(Vol_O,9,BE$14)/12*(1+P_dVol),0)</f>
        <v>0</v>
      </c>
      <c r="BF29" s="34" t="n">
        <f aca="false">IF(BF$15=1,INDEX(Vol_O,9,BF$14)/12*(1+P_dVol),0)</f>
        <v>0</v>
      </c>
      <c r="BG29" s="34" t="n">
        <f aca="false">IF(BG$15=1,INDEX(Vol_O,9,BG$14)/12*(1+P_dVol),0)</f>
        <v>0</v>
      </c>
      <c r="BH29" s="34" t="n">
        <f aca="false">IF(BH$15=1,INDEX(Vol_O,9,BH$14)/12*(1+P_dVol),0)</f>
        <v>0</v>
      </c>
      <c r="BI29" s="34" t="n">
        <f aca="false">IF(BI$15=1,INDEX(Vol_O,9,BI$14)/12*(1+P_dVol),0)</f>
        <v>0</v>
      </c>
      <c r="BJ29" s="34" t="n">
        <f aca="false">IF(BJ$15=1,INDEX(Vol_O,9,BJ$14)/12*(1+P_dVol),0)</f>
        <v>0</v>
      </c>
      <c r="BK29" s="34" t="n">
        <f aca="false">IF(BK$15=1,INDEX(Vol_O,9,BK$14)/12*(1+P_dVol),0)</f>
        <v>0</v>
      </c>
      <c r="BL29" s="34" t="n">
        <f aca="false">IF(BL$15=1,INDEX(Vol_O,9,BL$14)/12*(1+P_dVol),0)</f>
        <v>0</v>
      </c>
      <c r="BM29" s="34" t="n">
        <f aca="false">IF(BM$15=1,INDEX(Vol_O,9,BM$14)/12*(1+P_dVol),0)</f>
        <v>0</v>
      </c>
      <c r="BN29" s="34" t="n">
        <f aca="false">IF(BN$15=1,INDEX(Vol_O,9,BN$14)/12*(1+P_dVol),0)</f>
        <v>0</v>
      </c>
      <c r="BO29" s="34" t="n">
        <f aca="false">IF(BO$15=1,INDEX(Vol_O,9,BO$14)/12*(1+P_dVol),0)</f>
        <v>0</v>
      </c>
      <c r="BP29" s="34" t="n">
        <f aca="false">IF(BP$15=1,INDEX(Vol_O,9,BP$14)/12*(1+P_dVol),0)</f>
        <v>0</v>
      </c>
      <c r="BQ29" s="34" t="n">
        <f aca="false">IF(BQ$15=1,INDEX(Vol_O,9,BQ$14)/12*(1+P_dVol),0)</f>
        <v>0</v>
      </c>
      <c r="BR29" s="34" t="n">
        <f aca="false">IF(BR$15=1,INDEX(Vol_O,9,BR$14)/12*(1+P_dVol),0)</f>
        <v>0</v>
      </c>
      <c r="BS29" s="34" t="n">
        <f aca="false">IF(BS$15=1,INDEX(Vol_O,9,BS$14)/12*(1+P_dVol),0)</f>
        <v>0</v>
      </c>
      <c r="BT29" s="34" t="n">
        <f aca="false">IF(BT$15=1,INDEX(Vol_O,9,BT$14)/12*(1+P_dVol),0)</f>
        <v>0</v>
      </c>
      <c r="BU29" s="34" t="n">
        <f aca="false">IF(BU$15=1,INDEX(Vol_O,9,BU$14)/12*(1+P_dVol),0)</f>
        <v>0</v>
      </c>
      <c r="BV29" s="34" t="n">
        <f aca="false">IF(BV$15=1,INDEX(Vol_O,9,BV$14)/12*(1+P_dVol),0)</f>
        <v>0</v>
      </c>
      <c r="BW29" s="34" t="n">
        <f aca="false">IF(BW$15=1,INDEX(Vol_O,9,BW$14)/12*(1+P_dVol),0)</f>
        <v>0</v>
      </c>
      <c r="BX29" s="34" t="n">
        <f aca="false">IF(BX$15=1,INDEX(Vol_O,9,BX$14)/12*(1+P_dVol),0)</f>
        <v>0</v>
      </c>
      <c r="BY29" s="34" t="n">
        <f aca="false">IF(BY$15=1,INDEX(Vol_O,9,BY$14)/12*(1+P_dVol),0)</f>
        <v>0</v>
      </c>
      <c r="BZ29" s="34" t="n">
        <f aca="false">IF(BZ$15=1,INDEX(Vol_O,9,BZ$14)/12*(1+P_dVol),0)</f>
        <v>0</v>
      </c>
      <c r="CA29" s="34" t="n">
        <f aca="false">IF(CA$15=1,INDEX(Vol_O,9,CA$14)/12*(1+P_dVol),0)</f>
        <v>0</v>
      </c>
      <c r="CB29" s="34" t="n">
        <f aca="false">IF(CB$15=1,INDEX(Vol_O,9,CB$14)/12*(1+P_dVol),0)</f>
        <v>0</v>
      </c>
      <c r="CC29" s="34" t="n">
        <f aca="false">IF(CC$15=1,INDEX(Vol_O,9,CC$14)/12*(1+P_dVol),0)</f>
        <v>0</v>
      </c>
      <c r="CD29" s="34" t="n">
        <f aca="false">IF(CD$15=1,INDEX(Vol_O,9,CD$14)/12*(1+P_dVol),0)</f>
        <v>0</v>
      </c>
      <c r="CE29" s="34" t="n">
        <f aca="false">IF(CE$15=1,INDEX(Vol_O,9,CE$14)/12*(1+P_dVol),0)</f>
        <v>0</v>
      </c>
      <c r="CF29" s="34" t="n">
        <f aca="false">IF(CF$15=1,INDEX(Vol_O,9,CF$14)/12*(1+P_dVol),0)</f>
        <v>0</v>
      </c>
      <c r="CG29" s="34" t="n">
        <f aca="false">IF(CG$15=1,INDEX(Vol_O,9,CG$14)/12*(1+P_dVol),0)</f>
        <v>0</v>
      </c>
      <c r="CH29" s="34" t="n">
        <f aca="false">IF(CH$15=1,INDEX(Vol_O,9,CH$14)/12*(1+P_dVol),0)</f>
        <v>0</v>
      </c>
      <c r="CI29" s="34" t="n">
        <f aca="false">IF(CI$15=1,INDEX(Vol_O,9,CI$14)/12*(1+P_dVol),0)</f>
        <v>0</v>
      </c>
      <c r="CJ29" s="34" t="n">
        <f aca="false">IF(CJ$15=1,INDEX(Vol_O,9,CJ$14)/12*(1+P_dVol),0)</f>
        <v>0</v>
      </c>
      <c r="CK29" s="34" t="n">
        <f aca="false">IF(CK$15=1,INDEX(Vol_O,9,CK$14)/12*(1+P_dVol),0)</f>
        <v>0</v>
      </c>
      <c r="CL29" s="34" t="n">
        <f aca="false">IF(CL$15=1,INDEX(Vol_O,9,CL$14)/12*(1+P_dVol),0)</f>
        <v>0</v>
      </c>
      <c r="CM29" s="34" t="n">
        <f aca="false">IF(CM$15=1,INDEX(Vol_O,9,CM$14)/12*(1+P_dVol),0)</f>
        <v>0</v>
      </c>
      <c r="CN29" s="34" t="n">
        <f aca="false">IF(CN$15=1,INDEX(Vol_O,9,CN$14)/12*(1+P_dVol),0)</f>
        <v>0</v>
      </c>
      <c r="CO29" s="34" t="n">
        <f aca="false">IF(CO$15=1,INDEX(Vol_O,9,CO$14)/12*(1+P_dVol),0)</f>
        <v>0</v>
      </c>
      <c r="CP29" s="34" t="n">
        <f aca="false">IF(CP$15=1,INDEX(Vol_O,9,CP$14)/12*(1+P_dVol),0)</f>
        <v>0</v>
      </c>
      <c r="CQ29" s="34" t="n">
        <f aca="false">IF(CQ$15=1,INDEX(Vol_O,9,CQ$14)/12*(1+P_dVol),0)</f>
        <v>0</v>
      </c>
      <c r="CR29" s="34" t="n">
        <f aca="false">IF(CR$15=1,INDEX(Vol_O,9,CR$14)/12*(1+P_dVol),0)</f>
        <v>0</v>
      </c>
      <c r="CS29" s="34" t="n">
        <f aca="false">IF(CS$15=1,INDEX(Vol_O,9,CS$14)/12*(1+P_dVol),0)</f>
        <v>0</v>
      </c>
      <c r="CT29" s="34" t="n">
        <f aca="false">IF(CT$15=1,INDEX(Vol_O,9,CT$14)/12*(1+P_dVol),0)</f>
        <v>0</v>
      </c>
      <c r="CU29" s="34" t="n">
        <f aca="false">IF(CU$15=1,INDEX(Vol_O,9,CU$14)/12*(1+P_dVol),0)</f>
        <v>0</v>
      </c>
      <c r="CV29" s="34" t="n">
        <f aca="false">IF(CV$15=1,INDEX(Vol_O,9,CV$14)/12*(1+P_dVol),0)</f>
        <v>0</v>
      </c>
      <c r="CW29" s="34" t="n">
        <f aca="false">IF(CW$15=1,INDEX(Vol_O,9,CW$14)/12*(1+P_dVol),0)</f>
        <v>0</v>
      </c>
      <c r="CX29" s="34" t="n">
        <f aca="false">IF(CX$15=1,INDEX(Vol_O,9,CX$14)/12*(1+P_dVol),0)</f>
        <v>0</v>
      </c>
      <c r="CY29" s="34" t="n">
        <f aca="false">IF(CY$15=1,INDEX(Vol_O,9,CY$14)/12*(1+P_dVol),0)</f>
        <v>0</v>
      </c>
      <c r="CZ29" s="34" t="n">
        <f aca="false">IF(CZ$15=1,INDEX(Vol_O,9,CZ$14)/12*(1+P_dVol),0)</f>
        <v>0</v>
      </c>
      <c r="DA29" s="34" t="n">
        <f aca="false">IF(DA$15=1,INDEX(Vol_O,9,DA$14)/12*(1+P_dVol),0)</f>
        <v>0</v>
      </c>
      <c r="DB29" s="34" t="n">
        <f aca="false">IF(DB$15=1,INDEX(Vol_O,9,DB$14)/12*(1+P_dVol),0)</f>
        <v>0</v>
      </c>
      <c r="DC29" s="34" t="n">
        <f aca="false">IF(DC$15=1,INDEX(Vol_O,9,DC$14)/12*(1+P_dVol),0)</f>
        <v>0</v>
      </c>
      <c r="DD29" s="34" t="n">
        <f aca="false">IF(DD$15=1,INDEX(Vol_O,9,DD$14)/12*(1+P_dVol),0)</f>
        <v>0</v>
      </c>
      <c r="DE29" s="34" t="n">
        <f aca="false">IF(DE$15=1,INDEX(Vol_O,9,DE$14)/12*(1+P_dVol),0)</f>
        <v>0</v>
      </c>
      <c r="DF29" s="34" t="n">
        <f aca="false">IF(DF$15=1,INDEX(Vol_O,9,DF$14)/12*(1+P_dVol),0)</f>
        <v>0</v>
      </c>
      <c r="DG29" s="34" t="n">
        <f aca="false">IF(DG$15=1,INDEX(Vol_O,9,DG$14)/12*(1+P_dVol),0)</f>
        <v>0</v>
      </c>
      <c r="DH29" s="34" t="n">
        <f aca="false">IF(DH$15=1,INDEX(Vol_O,9,DH$14)/12*(1+P_dVol),0)</f>
        <v>0</v>
      </c>
      <c r="DI29" s="34" t="n">
        <f aca="false">IF(DI$15=1,INDEX(Vol_O,9,DI$14)/12*(1+P_dVol),0)</f>
        <v>0</v>
      </c>
      <c r="DJ29" s="34" t="n">
        <f aca="false">IF(DJ$15=1,INDEX(Vol_O,9,DJ$14)/12*(1+P_dVol),0)</f>
        <v>0</v>
      </c>
      <c r="DK29" s="34" t="n">
        <f aca="false">IF(DK$15=1,INDEX(Vol_O,9,DK$14)/12*(1+P_dVol),0)</f>
        <v>0</v>
      </c>
      <c r="DL29" s="34" t="n">
        <f aca="false">IF(DL$15=1,INDEX(Vol_O,9,DL$14)/12*(1+P_dVol),0)</f>
        <v>0</v>
      </c>
      <c r="DM29" s="34" t="n">
        <f aca="false">IF(DM$15=1,INDEX(Vol_O,9,DM$14)/12*(1+P_dVol),0)</f>
        <v>0</v>
      </c>
      <c r="DN29" s="34" t="n">
        <f aca="false">IF(DN$15=1,INDEX(Vol_O,9,DN$14)/12*(1+P_dVol),0)</f>
        <v>0</v>
      </c>
      <c r="DO29" s="34" t="n">
        <f aca="false">IF(DO$15=1,INDEX(Vol_O,9,DO$14)/12*(1+P_dVol),0)</f>
        <v>0</v>
      </c>
      <c r="DP29" s="34" t="n">
        <f aca="false">IF(DP$15=1,INDEX(Vol_O,9,DP$14)/12*(1+P_dVol),0)</f>
        <v>0</v>
      </c>
      <c r="DQ29" s="34" t="n">
        <f aca="false">IF(DQ$15=1,INDEX(Vol_O,9,DQ$14)/12*(1+P_dVol),0)</f>
        <v>0</v>
      </c>
      <c r="DR29" s="34" t="n">
        <f aca="false">IF(DR$15=1,INDEX(Vol_O,9,DR$14)/12*(1+P_dVol),0)</f>
        <v>0</v>
      </c>
      <c r="DS29" s="34" t="n">
        <f aca="false">IF(DS$15=1,INDEX(Vol_O,9,DS$14)/12*(1+P_dVol),0)</f>
        <v>0</v>
      </c>
      <c r="DT29" s="34" t="n">
        <f aca="false">IF(DT$15=1,INDEX(Vol_O,9,DT$14)/12*(1+P_dVol),0)</f>
        <v>0</v>
      </c>
      <c r="DU29" s="34" t="n">
        <f aca="false">IF(DU$15=1,INDEX(Vol_O,9,DU$14)/12*(1+P_dVol),0)</f>
        <v>0</v>
      </c>
      <c r="DV29" s="34" t="n">
        <f aca="false">IF(DV$15=1,INDEX(Vol_O,9,DV$14)/12*(1+P_dVol),0)</f>
        <v>0</v>
      </c>
      <c r="DW29" s="34" t="n">
        <f aca="false">IF(DW$15=1,INDEX(Vol_O,9,DW$14)/12*(1+P_dVol),0)</f>
        <v>0</v>
      </c>
      <c r="DX29" s="34" t="n">
        <f aca="false">IF(DX$15=1,INDEX(Vol_O,9,DX$14)/12*(1+P_dVol),0)</f>
        <v>0</v>
      </c>
      <c r="DY29" s="34" t="n">
        <f aca="false">IF(DY$15=1,INDEX(Vol_O,9,DY$14)/12*(1+P_dVol),0)</f>
        <v>0</v>
      </c>
      <c r="DZ29" s="34" t="n">
        <f aca="false">IF(DZ$15=1,INDEX(Vol_O,9,DZ$14)/12*(1+P_dVol),0)</f>
        <v>0</v>
      </c>
      <c r="EA29" s="34" t="n">
        <f aca="false">IF(EA$15=1,INDEX(Vol_O,9,EA$14)/12*(1+P_dVol),0)</f>
        <v>0</v>
      </c>
      <c r="EB29" s="34" t="n">
        <f aca="false">IF(EB$15=1,INDEX(Vol_O,9,EB$14)/12*(1+P_dVol),0)</f>
        <v>0</v>
      </c>
      <c r="EC29" s="34" t="n">
        <f aca="false">IF(EC$15=1,INDEX(Vol_O,9,EC$14)/12*(1+P_dVol),0)</f>
        <v>0</v>
      </c>
      <c r="ED29" s="34" t="n">
        <f aca="false">IF(ED$15=1,INDEX(Vol_O,9,ED$14)/12*(1+P_dVol),0)</f>
        <v>0</v>
      </c>
      <c r="EE29" s="34" t="n">
        <f aca="false">IF(EE$15=1,INDEX(Vol_O,9,EE$14)/12*(1+P_dVol),0)</f>
        <v>0</v>
      </c>
      <c r="EF29" s="34" t="n">
        <f aca="false">IF(EF$15=1,INDEX(Vol_O,9,EF$14)/12*(1+P_dVol),0)</f>
        <v>0</v>
      </c>
      <c r="EG29" s="34" t="n">
        <f aca="false">IF(EG$15=1,INDEX(Vol_O,9,EG$14)/12*(1+P_dVol),0)</f>
        <v>0</v>
      </c>
      <c r="EH29" s="34" t="n">
        <f aca="false">IF(EH$15=1,INDEX(Vol_O,9,EH$14)/12*(1+P_dVol),0)</f>
        <v>0</v>
      </c>
      <c r="EI29" s="34" t="n">
        <f aca="false">IF(EI$15=1,INDEX(Vol_O,9,EI$14)/12*(1+P_dVol),0)</f>
        <v>0</v>
      </c>
      <c r="EJ29" s="34" t="n">
        <f aca="false">IF(EJ$15=1,INDEX(Vol_O,9,EJ$14)/12*(1+P_dVol),0)</f>
        <v>0</v>
      </c>
      <c r="EK29" s="34" t="n">
        <f aca="false">IF(EK$15=1,INDEX(Vol_O,9,EK$14)/12*(1+P_dVol),0)</f>
        <v>0</v>
      </c>
      <c r="EL29" s="34" t="n">
        <f aca="false">IF(EL$15=1,INDEX(Vol_O,9,EL$14)/12*(1+P_dVol),0)</f>
        <v>0</v>
      </c>
      <c r="EM29" s="34" t="n">
        <f aca="false">IF(EM$15=1,INDEX(Vol_O,9,EM$14)/12*(1+P_dVol),0)</f>
        <v>0</v>
      </c>
      <c r="EN29" s="34" t="n">
        <f aca="false">IF(EN$15=1,INDEX(Vol_O,9,EN$14)/12*(1+P_dVol),0)</f>
        <v>0</v>
      </c>
      <c r="EO29" s="34" t="n">
        <f aca="false">IF(EO$15=1,INDEX(Vol_O,9,EO$14)/12*(1+P_dVol),0)</f>
        <v>0</v>
      </c>
      <c r="EP29" s="34" t="n">
        <f aca="false">IF(EP$15=1,INDEX(Vol_O,9,EP$14)/12*(1+P_dVol),0)</f>
        <v>0</v>
      </c>
      <c r="EQ29" s="34" t="n">
        <f aca="false">IF(EQ$15=1,INDEX(Vol_O,9,EQ$14)/12*(1+P_dVol),0)</f>
        <v>0</v>
      </c>
      <c r="ER29" s="34" t="n">
        <f aca="false">IF(ER$15=1,INDEX(Vol_O,9,ER$14)/12*(1+P_dVol),0)</f>
        <v>0</v>
      </c>
      <c r="ES29" s="34" t="n">
        <f aca="false">IF(ES$15=1,INDEX(Vol_O,9,ES$14)/12*(1+P_dVol),0)</f>
        <v>0</v>
      </c>
    </row>
    <row r="30" customFormat="false" ht="15" hidden="false" customHeight="false" outlineLevel="0" collapsed="false">
      <c r="A30" s="2" t="s">
        <v>567</v>
      </c>
      <c r="B30" s="39" t="str">
        <f aca="false">IF(INDEX(Prod_Nombre,10)="","Producto 10",INDEX(Prod_Nombre,10))&amp;" — unidades"</f>
        <v>Producto 10 — unidades</v>
      </c>
      <c r="C30" s="6" t="s">
        <v>286</v>
      </c>
      <c r="E30" s="40" t="n">
        <f aca="false">SUM(F30:ES30)</f>
        <v>0</v>
      </c>
      <c r="F30" s="34" t="n">
        <f aca="false">IF(F$15=1,INDEX(Vol_O,10,F$14)/12*(1+P_dVol),0)</f>
        <v>0</v>
      </c>
      <c r="G30" s="34" t="n">
        <f aca="false">IF(G$15=1,INDEX(Vol_O,10,G$14)/12*(1+P_dVol),0)</f>
        <v>0</v>
      </c>
      <c r="H30" s="34" t="n">
        <f aca="false">IF(H$15=1,INDEX(Vol_O,10,H$14)/12*(1+P_dVol),0)</f>
        <v>0</v>
      </c>
      <c r="I30" s="34" t="n">
        <f aca="false">IF(I$15=1,INDEX(Vol_O,10,I$14)/12*(1+P_dVol),0)</f>
        <v>0</v>
      </c>
      <c r="J30" s="34" t="n">
        <f aca="false">IF(J$15=1,INDEX(Vol_O,10,J$14)/12*(1+P_dVol),0)</f>
        <v>0</v>
      </c>
      <c r="K30" s="34" t="n">
        <f aca="false">IF(K$15=1,INDEX(Vol_O,10,K$14)/12*(1+P_dVol),0)</f>
        <v>0</v>
      </c>
      <c r="L30" s="34" t="n">
        <f aca="false">IF(L$15=1,INDEX(Vol_O,10,L$14)/12*(1+P_dVol),0)</f>
        <v>0</v>
      </c>
      <c r="M30" s="34" t="n">
        <f aca="false">IF(M$15=1,INDEX(Vol_O,10,M$14)/12*(1+P_dVol),0)</f>
        <v>0</v>
      </c>
      <c r="N30" s="34" t="n">
        <f aca="false">IF(N$15=1,INDEX(Vol_O,10,N$14)/12*(1+P_dVol),0)</f>
        <v>0</v>
      </c>
      <c r="O30" s="34" t="n">
        <f aca="false">IF(O$15=1,INDEX(Vol_O,10,O$14)/12*(1+P_dVol),0)</f>
        <v>0</v>
      </c>
      <c r="P30" s="34" t="n">
        <f aca="false">IF(P$15=1,INDEX(Vol_O,10,P$14)/12*(1+P_dVol),0)</f>
        <v>0</v>
      </c>
      <c r="Q30" s="34" t="n">
        <f aca="false">IF(Q$15=1,INDEX(Vol_O,10,Q$14)/12*(1+P_dVol),0)</f>
        <v>0</v>
      </c>
      <c r="R30" s="34" t="n">
        <f aca="false">IF(R$15=1,INDEX(Vol_O,10,R$14)/12*(1+P_dVol),0)</f>
        <v>0</v>
      </c>
      <c r="S30" s="34" t="n">
        <f aca="false">IF(S$15=1,INDEX(Vol_O,10,S$14)/12*(1+P_dVol),0)</f>
        <v>0</v>
      </c>
      <c r="T30" s="34" t="n">
        <f aca="false">IF(T$15=1,INDEX(Vol_O,10,T$14)/12*(1+P_dVol),0)</f>
        <v>0</v>
      </c>
      <c r="U30" s="34" t="n">
        <f aca="false">IF(U$15=1,INDEX(Vol_O,10,U$14)/12*(1+P_dVol),0)</f>
        <v>0</v>
      </c>
      <c r="V30" s="34" t="n">
        <f aca="false">IF(V$15=1,INDEX(Vol_O,10,V$14)/12*(1+P_dVol),0)</f>
        <v>0</v>
      </c>
      <c r="W30" s="34" t="n">
        <f aca="false">IF(W$15=1,INDEX(Vol_O,10,W$14)/12*(1+P_dVol),0)</f>
        <v>0</v>
      </c>
      <c r="X30" s="34" t="n">
        <f aca="false">IF(X$15=1,INDEX(Vol_O,10,X$14)/12*(1+P_dVol),0)</f>
        <v>0</v>
      </c>
      <c r="Y30" s="34" t="n">
        <f aca="false">IF(Y$15=1,INDEX(Vol_O,10,Y$14)/12*(1+P_dVol),0)</f>
        <v>0</v>
      </c>
      <c r="Z30" s="34" t="n">
        <f aca="false">IF(Z$15=1,INDEX(Vol_O,10,Z$14)/12*(1+P_dVol),0)</f>
        <v>0</v>
      </c>
      <c r="AA30" s="34" t="n">
        <f aca="false">IF(AA$15=1,INDEX(Vol_O,10,AA$14)/12*(1+P_dVol),0)</f>
        <v>0</v>
      </c>
      <c r="AB30" s="34" t="n">
        <f aca="false">IF(AB$15=1,INDEX(Vol_O,10,AB$14)/12*(1+P_dVol),0)</f>
        <v>0</v>
      </c>
      <c r="AC30" s="34" t="n">
        <f aca="false">IF(AC$15=1,INDEX(Vol_O,10,AC$14)/12*(1+P_dVol),0)</f>
        <v>0</v>
      </c>
      <c r="AD30" s="34" t="n">
        <f aca="false">IF(AD$15=1,INDEX(Vol_O,10,AD$14)/12*(1+P_dVol),0)</f>
        <v>0</v>
      </c>
      <c r="AE30" s="34" t="n">
        <f aca="false">IF(AE$15=1,INDEX(Vol_O,10,AE$14)/12*(1+P_dVol),0)</f>
        <v>0</v>
      </c>
      <c r="AF30" s="34" t="n">
        <f aca="false">IF(AF$15=1,INDEX(Vol_O,10,AF$14)/12*(1+P_dVol),0)</f>
        <v>0</v>
      </c>
      <c r="AG30" s="34" t="n">
        <f aca="false">IF(AG$15=1,INDEX(Vol_O,10,AG$14)/12*(1+P_dVol),0)</f>
        <v>0</v>
      </c>
      <c r="AH30" s="34" t="n">
        <f aca="false">IF(AH$15=1,INDEX(Vol_O,10,AH$14)/12*(1+P_dVol),0)</f>
        <v>0</v>
      </c>
      <c r="AI30" s="34" t="n">
        <f aca="false">IF(AI$15=1,INDEX(Vol_O,10,AI$14)/12*(1+P_dVol),0)</f>
        <v>0</v>
      </c>
      <c r="AJ30" s="34" t="n">
        <f aca="false">IF(AJ$15=1,INDEX(Vol_O,10,AJ$14)/12*(1+P_dVol),0)</f>
        <v>0</v>
      </c>
      <c r="AK30" s="34" t="n">
        <f aca="false">IF(AK$15=1,INDEX(Vol_O,10,AK$14)/12*(1+P_dVol),0)</f>
        <v>0</v>
      </c>
      <c r="AL30" s="34" t="n">
        <f aca="false">IF(AL$15=1,INDEX(Vol_O,10,AL$14)/12*(1+P_dVol),0)</f>
        <v>0</v>
      </c>
      <c r="AM30" s="34" t="n">
        <f aca="false">IF(AM$15=1,INDEX(Vol_O,10,AM$14)/12*(1+P_dVol),0)</f>
        <v>0</v>
      </c>
      <c r="AN30" s="34" t="n">
        <f aca="false">IF(AN$15=1,INDEX(Vol_O,10,AN$14)/12*(1+P_dVol),0)</f>
        <v>0</v>
      </c>
      <c r="AO30" s="34" t="n">
        <f aca="false">IF(AO$15=1,INDEX(Vol_O,10,AO$14)/12*(1+P_dVol),0)</f>
        <v>0</v>
      </c>
      <c r="AP30" s="34" t="n">
        <f aca="false">IF(AP$15=1,INDEX(Vol_O,10,AP$14)/12*(1+P_dVol),0)</f>
        <v>0</v>
      </c>
      <c r="AQ30" s="34" t="n">
        <f aca="false">IF(AQ$15=1,INDEX(Vol_O,10,AQ$14)/12*(1+P_dVol),0)</f>
        <v>0</v>
      </c>
      <c r="AR30" s="34" t="n">
        <f aca="false">IF(AR$15=1,INDEX(Vol_O,10,AR$14)/12*(1+P_dVol),0)</f>
        <v>0</v>
      </c>
      <c r="AS30" s="34" t="n">
        <f aca="false">IF(AS$15=1,INDEX(Vol_O,10,AS$14)/12*(1+P_dVol),0)</f>
        <v>0</v>
      </c>
      <c r="AT30" s="34" t="n">
        <f aca="false">IF(AT$15=1,INDEX(Vol_O,10,AT$14)/12*(1+P_dVol),0)</f>
        <v>0</v>
      </c>
      <c r="AU30" s="34" t="n">
        <f aca="false">IF(AU$15=1,INDEX(Vol_O,10,AU$14)/12*(1+P_dVol),0)</f>
        <v>0</v>
      </c>
      <c r="AV30" s="34" t="n">
        <f aca="false">IF(AV$15=1,INDEX(Vol_O,10,AV$14)/12*(1+P_dVol),0)</f>
        <v>0</v>
      </c>
      <c r="AW30" s="34" t="n">
        <f aca="false">IF(AW$15=1,INDEX(Vol_O,10,AW$14)/12*(1+P_dVol),0)</f>
        <v>0</v>
      </c>
      <c r="AX30" s="34" t="n">
        <f aca="false">IF(AX$15=1,INDEX(Vol_O,10,AX$14)/12*(1+P_dVol),0)</f>
        <v>0</v>
      </c>
      <c r="AY30" s="34" t="n">
        <f aca="false">IF(AY$15=1,INDEX(Vol_O,10,AY$14)/12*(1+P_dVol),0)</f>
        <v>0</v>
      </c>
      <c r="AZ30" s="34" t="n">
        <f aca="false">IF(AZ$15=1,INDEX(Vol_O,10,AZ$14)/12*(1+P_dVol),0)</f>
        <v>0</v>
      </c>
      <c r="BA30" s="34" t="n">
        <f aca="false">IF(BA$15=1,INDEX(Vol_O,10,BA$14)/12*(1+P_dVol),0)</f>
        <v>0</v>
      </c>
      <c r="BB30" s="34" t="n">
        <f aca="false">IF(BB$15=1,INDEX(Vol_O,10,BB$14)/12*(1+P_dVol),0)</f>
        <v>0</v>
      </c>
      <c r="BC30" s="34" t="n">
        <f aca="false">IF(BC$15=1,INDEX(Vol_O,10,BC$14)/12*(1+P_dVol),0)</f>
        <v>0</v>
      </c>
      <c r="BD30" s="34" t="n">
        <f aca="false">IF(BD$15=1,INDEX(Vol_O,10,BD$14)/12*(1+P_dVol),0)</f>
        <v>0</v>
      </c>
      <c r="BE30" s="34" t="n">
        <f aca="false">IF(BE$15=1,INDEX(Vol_O,10,BE$14)/12*(1+P_dVol),0)</f>
        <v>0</v>
      </c>
      <c r="BF30" s="34" t="n">
        <f aca="false">IF(BF$15=1,INDEX(Vol_O,10,BF$14)/12*(1+P_dVol),0)</f>
        <v>0</v>
      </c>
      <c r="BG30" s="34" t="n">
        <f aca="false">IF(BG$15=1,INDEX(Vol_O,10,BG$14)/12*(1+P_dVol),0)</f>
        <v>0</v>
      </c>
      <c r="BH30" s="34" t="n">
        <f aca="false">IF(BH$15=1,INDEX(Vol_O,10,BH$14)/12*(1+P_dVol),0)</f>
        <v>0</v>
      </c>
      <c r="BI30" s="34" t="n">
        <f aca="false">IF(BI$15=1,INDEX(Vol_O,10,BI$14)/12*(1+P_dVol),0)</f>
        <v>0</v>
      </c>
      <c r="BJ30" s="34" t="n">
        <f aca="false">IF(BJ$15=1,INDEX(Vol_O,10,BJ$14)/12*(1+P_dVol),0)</f>
        <v>0</v>
      </c>
      <c r="BK30" s="34" t="n">
        <f aca="false">IF(BK$15=1,INDEX(Vol_O,10,BK$14)/12*(1+P_dVol),0)</f>
        <v>0</v>
      </c>
      <c r="BL30" s="34" t="n">
        <f aca="false">IF(BL$15=1,INDEX(Vol_O,10,BL$14)/12*(1+P_dVol),0)</f>
        <v>0</v>
      </c>
      <c r="BM30" s="34" t="n">
        <f aca="false">IF(BM$15=1,INDEX(Vol_O,10,BM$14)/12*(1+P_dVol),0)</f>
        <v>0</v>
      </c>
      <c r="BN30" s="34" t="n">
        <f aca="false">IF(BN$15=1,INDEX(Vol_O,10,BN$14)/12*(1+P_dVol),0)</f>
        <v>0</v>
      </c>
      <c r="BO30" s="34" t="n">
        <f aca="false">IF(BO$15=1,INDEX(Vol_O,10,BO$14)/12*(1+P_dVol),0)</f>
        <v>0</v>
      </c>
      <c r="BP30" s="34" t="n">
        <f aca="false">IF(BP$15=1,INDEX(Vol_O,10,BP$14)/12*(1+P_dVol),0)</f>
        <v>0</v>
      </c>
      <c r="BQ30" s="34" t="n">
        <f aca="false">IF(BQ$15=1,INDEX(Vol_O,10,BQ$14)/12*(1+P_dVol),0)</f>
        <v>0</v>
      </c>
      <c r="BR30" s="34" t="n">
        <f aca="false">IF(BR$15=1,INDEX(Vol_O,10,BR$14)/12*(1+P_dVol),0)</f>
        <v>0</v>
      </c>
      <c r="BS30" s="34" t="n">
        <f aca="false">IF(BS$15=1,INDEX(Vol_O,10,BS$14)/12*(1+P_dVol),0)</f>
        <v>0</v>
      </c>
      <c r="BT30" s="34" t="n">
        <f aca="false">IF(BT$15=1,INDEX(Vol_O,10,BT$14)/12*(1+P_dVol),0)</f>
        <v>0</v>
      </c>
      <c r="BU30" s="34" t="n">
        <f aca="false">IF(BU$15=1,INDEX(Vol_O,10,BU$14)/12*(1+P_dVol),0)</f>
        <v>0</v>
      </c>
      <c r="BV30" s="34" t="n">
        <f aca="false">IF(BV$15=1,INDEX(Vol_O,10,BV$14)/12*(1+P_dVol),0)</f>
        <v>0</v>
      </c>
      <c r="BW30" s="34" t="n">
        <f aca="false">IF(BW$15=1,INDEX(Vol_O,10,BW$14)/12*(1+P_dVol),0)</f>
        <v>0</v>
      </c>
      <c r="BX30" s="34" t="n">
        <f aca="false">IF(BX$15=1,INDEX(Vol_O,10,BX$14)/12*(1+P_dVol),0)</f>
        <v>0</v>
      </c>
      <c r="BY30" s="34" t="n">
        <f aca="false">IF(BY$15=1,INDEX(Vol_O,10,BY$14)/12*(1+P_dVol),0)</f>
        <v>0</v>
      </c>
      <c r="BZ30" s="34" t="n">
        <f aca="false">IF(BZ$15=1,INDEX(Vol_O,10,BZ$14)/12*(1+P_dVol),0)</f>
        <v>0</v>
      </c>
      <c r="CA30" s="34" t="n">
        <f aca="false">IF(CA$15=1,INDEX(Vol_O,10,CA$14)/12*(1+P_dVol),0)</f>
        <v>0</v>
      </c>
      <c r="CB30" s="34" t="n">
        <f aca="false">IF(CB$15=1,INDEX(Vol_O,10,CB$14)/12*(1+P_dVol),0)</f>
        <v>0</v>
      </c>
      <c r="CC30" s="34" t="n">
        <f aca="false">IF(CC$15=1,INDEX(Vol_O,10,CC$14)/12*(1+P_dVol),0)</f>
        <v>0</v>
      </c>
      <c r="CD30" s="34" t="n">
        <f aca="false">IF(CD$15=1,INDEX(Vol_O,10,CD$14)/12*(1+P_dVol),0)</f>
        <v>0</v>
      </c>
      <c r="CE30" s="34" t="n">
        <f aca="false">IF(CE$15=1,INDEX(Vol_O,10,CE$14)/12*(1+P_dVol),0)</f>
        <v>0</v>
      </c>
      <c r="CF30" s="34" t="n">
        <f aca="false">IF(CF$15=1,INDEX(Vol_O,10,CF$14)/12*(1+P_dVol),0)</f>
        <v>0</v>
      </c>
      <c r="CG30" s="34" t="n">
        <f aca="false">IF(CG$15=1,INDEX(Vol_O,10,CG$14)/12*(1+P_dVol),0)</f>
        <v>0</v>
      </c>
      <c r="CH30" s="34" t="n">
        <f aca="false">IF(CH$15=1,INDEX(Vol_O,10,CH$14)/12*(1+P_dVol),0)</f>
        <v>0</v>
      </c>
      <c r="CI30" s="34" t="n">
        <f aca="false">IF(CI$15=1,INDEX(Vol_O,10,CI$14)/12*(1+P_dVol),0)</f>
        <v>0</v>
      </c>
      <c r="CJ30" s="34" t="n">
        <f aca="false">IF(CJ$15=1,INDEX(Vol_O,10,CJ$14)/12*(1+P_dVol),0)</f>
        <v>0</v>
      </c>
      <c r="CK30" s="34" t="n">
        <f aca="false">IF(CK$15=1,INDEX(Vol_O,10,CK$14)/12*(1+P_dVol),0)</f>
        <v>0</v>
      </c>
      <c r="CL30" s="34" t="n">
        <f aca="false">IF(CL$15=1,INDEX(Vol_O,10,CL$14)/12*(1+P_dVol),0)</f>
        <v>0</v>
      </c>
      <c r="CM30" s="34" t="n">
        <f aca="false">IF(CM$15=1,INDEX(Vol_O,10,CM$14)/12*(1+P_dVol),0)</f>
        <v>0</v>
      </c>
      <c r="CN30" s="34" t="n">
        <f aca="false">IF(CN$15=1,INDEX(Vol_O,10,CN$14)/12*(1+P_dVol),0)</f>
        <v>0</v>
      </c>
      <c r="CO30" s="34" t="n">
        <f aca="false">IF(CO$15=1,INDEX(Vol_O,10,CO$14)/12*(1+P_dVol),0)</f>
        <v>0</v>
      </c>
      <c r="CP30" s="34" t="n">
        <f aca="false">IF(CP$15=1,INDEX(Vol_O,10,CP$14)/12*(1+P_dVol),0)</f>
        <v>0</v>
      </c>
      <c r="CQ30" s="34" t="n">
        <f aca="false">IF(CQ$15=1,INDEX(Vol_O,10,CQ$14)/12*(1+P_dVol),0)</f>
        <v>0</v>
      </c>
      <c r="CR30" s="34" t="n">
        <f aca="false">IF(CR$15=1,INDEX(Vol_O,10,CR$14)/12*(1+P_dVol),0)</f>
        <v>0</v>
      </c>
      <c r="CS30" s="34" t="n">
        <f aca="false">IF(CS$15=1,INDEX(Vol_O,10,CS$14)/12*(1+P_dVol),0)</f>
        <v>0</v>
      </c>
      <c r="CT30" s="34" t="n">
        <f aca="false">IF(CT$15=1,INDEX(Vol_O,10,CT$14)/12*(1+P_dVol),0)</f>
        <v>0</v>
      </c>
      <c r="CU30" s="34" t="n">
        <f aca="false">IF(CU$15=1,INDEX(Vol_O,10,CU$14)/12*(1+P_dVol),0)</f>
        <v>0</v>
      </c>
      <c r="CV30" s="34" t="n">
        <f aca="false">IF(CV$15=1,INDEX(Vol_O,10,CV$14)/12*(1+P_dVol),0)</f>
        <v>0</v>
      </c>
      <c r="CW30" s="34" t="n">
        <f aca="false">IF(CW$15=1,INDEX(Vol_O,10,CW$14)/12*(1+P_dVol),0)</f>
        <v>0</v>
      </c>
      <c r="CX30" s="34" t="n">
        <f aca="false">IF(CX$15=1,INDEX(Vol_O,10,CX$14)/12*(1+P_dVol),0)</f>
        <v>0</v>
      </c>
      <c r="CY30" s="34" t="n">
        <f aca="false">IF(CY$15=1,INDEX(Vol_O,10,CY$14)/12*(1+P_dVol),0)</f>
        <v>0</v>
      </c>
      <c r="CZ30" s="34" t="n">
        <f aca="false">IF(CZ$15=1,INDEX(Vol_O,10,CZ$14)/12*(1+P_dVol),0)</f>
        <v>0</v>
      </c>
      <c r="DA30" s="34" t="n">
        <f aca="false">IF(DA$15=1,INDEX(Vol_O,10,DA$14)/12*(1+P_dVol),0)</f>
        <v>0</v>
      </c>
      <c r="DB30" s="34" t="n">
        <f aca="false">IF(DB$15=1,INDEX(Vol_O,10,DB$14)/12*(1+P_dVol),0)</f>
        <v>0</v>
      </c>
      <c r="DC30" s="34" t="n">
        <f aca="false">IF(DC$15=1,INDEX(Vol_O,10,DC$14)/12*(1+P_dVol),0)</f>
        <v>0</v>
      </c>
      <c r="DD30" s="34" t="n">
        <f aca="false">IF(DD$15=1,INDEX(Vol_O,10,DD$14)/12*(1+P_dVol),0)</f>
        <v>0</v>
      </c>
      <c r="DE30" s="34" t="n">
        <f aca="false">IF(DE$15=1,INDEX(Vol_O,10,DE$14)/12*(1+P_dVol),0)</f>
        <v>0</v>
      </c>
      <c r="DF30" s="34" t="n">
        <f aca="false">IF(DF$15=1,INDEX(Vol_O,10,DF$14)/12*(1+P_dVol),0)</f>
        <v>0</v>
      </c>
      <c r="DG30" s="34" t="n">
        <f aca="false">IF(DG$15=1,INDEX(Vol_O,10,DG$14)/12*(1+P_dVol),0)</f>
        <v>0</v>
      </c>
      <c r="DH30" s="34" t="n">
        <f aca="false">IF(DH$15=1,INDEX(Vol_O,10,DH$14)/12*(1+P_dVol),0)</f>
        <v>0</v>
      </c>
      <c r="DI30" s="34" t="n">
        <f aca="false">IF(DI$15=1,INDEX(Vol_O,10,DI$14)/12*(1+P_dVol),0)</f>
        <v>0</v>
      </c>
      <c r="DJ30" s="34" t="n">
        <f aca="false">IF(DJ$15=1,INDEX(Vol_O,10,DJ$14)/12*(1+P_dVol),0)</f>
        <v>0</v>
      </c>
      <c r="DK30" s="34" t="n">
        <f aca="false">IF(DK$15=1,INDEX(Vol_O,10,DK$14)/12*(1+P_dVol),0)</f>
        <v>0</v>
      </c>
      <c r="DL30" s="34" t="n">
        <f aca="false">IF(DL$15=1,INDEX(Vol_O,10,DL$14)/12*(1+P_dVol),0)</f>
        <v>0</v>
      </c>
      <c r="DM30" s="34" t="n">
        <f aca="false">IF(DM$15=1,INDEX(Vol_O,10,DM$14)/12*(1+P_dVol),0)</f>
        <v>0</v>
      </c>
      <c r="DN30" s="34" t="n">
        <f aca="false">IF(DN$15=1,INDEX(Vol_O,10,DN$14)/12*(1+P_dVol),0)</f>
        <v>0</v>
      </c>
      <c r="DO30" s="34" t="n">
        <f aca="false">IF(DO$15=1,INDEX(Vol_O,10,DO$14)/12*(1+P_dVol),0)</f>
        <v>0</v>
      </c>
      <c r="DP30" s="34" t="n">
        <f aca="false">IF(DP$15=1,INDEX(Vol_O,10,DP$14)/12*(1+P_dVol),0)</f>
        <v>0</v>
      </c>
      <c r="DQ30" s="34" t="n">
        <f aca="false">IF(DQ$15=1,INDEX(Vol_O,10,DQ$14)/12*(1+P_dVol),0)</f>
        <v>0</v>
      </c>
      <c r="DR30" s="34" t="n">
        <f aca="false">IF(DR$15=1,INDEX(Vol_O,10,DR$14)/12*(1+P_dVol),0)</f>
        <v>0</v>
      </c>
      <c r="DS30" s="34" t="n">
        <f aca="false">IF(DS$15=1,INDEX(Vol_O,10,DS$14)/12*(1+P_dVol),0)</f>
        <v>0</v>
      </c>
      <c r="DT30" s="34" t="n">
        <f aca="false">IF(DT$15=1,INDEX(Vol_O,10,DT$14)/12*(1+P_dVol),0)</f>
        <v>0</v>
      </c>
      <c r="DU30" s="34" t="n">
        <f aca="false">IF(DU$15=1,INDEX(Vol_O,10,DU$14)/12*(1+P_dVol),0)</f>
        <v>0</v>
      </c>
      <c r="DV30" s="34" t="n">
        <f aca="false">IF(DV$15=1,INDEX(Vol_O,10,DV$14)/12*(1+P_dVol),0)</f>
        <v>0</v>
      </c>
      <c r="DW30" s="34" t="n">
        <f aca="false">IF(DW$15=1,INDEX(Vol_O,10,DW$14)/12*(1+P_dVol),0)</f>
        <v>0</v>
      </c>
      <c r="DX30" s="34" t="n">
        <f aca="false">IF(DX$15=1,INDEX(Vol_O,10,DX$14)/12*(1+P_dVol),0)</f>
        <v>0</v>
      </c>
      <c r="DY30" s="34" t="n">
        <f aca="false">IF(DY$15=1,INDEX(Vol_O,10,DY$14)/12*(1+P_dVol),0)</f>
        <v>0</v>
      </c>
      <c r="DZ30" s="34" t="n">
        <f aca="false">IF(DZ$15=1,INDEX(Vol_O,10,DZ$14)/12*(1+P_dVol),0)</f>
        <v>0</v>
      </c>
      <c r="EA30" s="34" t="n">
        <f aca="false">IF(EA$15=1,INDEX(Vol_O,10,EA$14)/12*(1+P_dVol),0)</f>
        <v>0</v>
      </c>
      <c r="EB30" s="34" t="n">
        <f aca="false">IF(EB$15=1,INDEX(Vol_O,10,EB$14)/12*(1+P_dVol),0)</f>
        <v>0</v>
      </c>
      <c r="EC30" s="34" t="n">
        <f aca="false">IF(EC$15=1,INDEX(Vol_O,10,EC$14)/12*(1+P_dVol),0)</f>
        <v>0</v>
      </c>
      <c r="ED30" s="34" t="n">
        <f aca="false">IF(ED$15=1,INDEX(Vol_O,10,ED$14)/12*(1+P_dVol),0)</f>
        <v>0</v>
      </c>
      <c r="EE30" s="34" t="n">
        <f aca="false">IF(EE$15=1,INDEX(Vol_O,10,EE$14)/12*(1+P_dVol),0)</f>
        <v>0</v>
      </c>
      <c r="EF30" s="34" t="n">
        <f aca="false">IF(EF$15=1,INDEX(Vol_O,10,EF$14)/12*(1+P_dVol),0)</f>
        <v>0</v>
      </c>
      <c r="EG30" s="34" t="n">
        <f aca="false">IF(EG$15=1,INDEX(Vol_O,10,EG$14)/12*(1+P_dVol),0)</f>
        <v>0</v>
      </c>
      <c r="EH30" s="34" t="n">
        <f aca="false">IF(EH$15=1,INDEX(Vol_O,10,EH$14)/12*(1+P_dVol),0)</f>
        <v>0</v>
      </c>
      <c r="EI30" s="34" t="n">
        <f aca="false">IF(EI$15=1,INDEX(Vol_O,10,EI$14)/12*(1+P_dVol),0)</f>
        <v>0</v>
      </c>
      <c r="EJ30" s="34" t="n">
        <f aca="false">IF(EJ$15=1,INDEX(Vol_O,10,EJ$14)/12*(1+P_dVol),0)</f>
        <v>0</v>
      </c>
      <c r="EK30" s="34" t="n">
        <f aca="false">IF(EK$15=1,INDEX(Vol_O,10,EK$14)/12*(1+P_dVol),0)</f>
        <v>0</v>
      </c>
      <c r="EL30" s="34" t="n">
        <f aca="false">IF(EL$15=1,INDEX(Vol_O,10,EL$14)/12*(1+P_dVol),0)</f>
        <v>0</v>
      </c>
      <c r="EM30" s="34" t="n">
        <f aca="false">IF(EM$15=1,INDEX(Vol_O,10,EM$14)/12*(1+P_dVol),0)</f>
        <v>0</v>
      </c>
      <c r="EN30" s="34" t="n">
        <f aca="false">IF(EN$15=1,INDEX(Vol_O,10,EN$14)/12*(1+P_dVol),0)</f>
        <v>0</v>
      </c>
      <c r="EO30" s="34" t="n">
        <f aca="false">IF(EO$15=1,INDEX(Vol_O,10,EO$14)/12*(1+P_dVol),0)</f>
        <v>0</v>
      </c>
      <c r="EP30" s="34" t="n">
        <f aca="false">IF(EP$15=1,INDEX(Vol_O,10,EP$14)/12*(1+P_dVol),0)</f>
        <v>0</v>
      </c>
      <c r="EQ30" s="34" t="n">
        <f aca="false">IF(EQ$15=1,INDEX(Vol_O,10,EQ$14)/12*(1+P_dVol),0)</f>
        <v>0</v>
      </c>
      <c r="ER30" s="34" t="n">
        <f aca="false">IF(ER$15=1,INDEX(Vol_O,10,ER$14)/12*(1+P_dVol),0)</f>
        <v>0</v>
      </c>
      <c r="ES30" s="34" t="n">
        <f aca="false">IF(ES$15=1,INDEX(Vol_O,10,ES$14)/12*(1+P_dVol),0)</f>
        <v>0</v>
      </c>
    </row>
    <row r="31" customFormat="false" ht="15" hidden="false" customHeight="false" outlineLevel="0" collapsed="false">
      <c r="A31" s="2" t="s">
        <v>568</v>
      </c>
      <c r="B31" s="39" t="str">
        <f aca="false">IF(INDEX(Prod_Nombre,11)="","Producto 11",INDEX(Prod_Nombre,11))&amp;" — unidades"</f>
        <v>Producto 11 — unidades</v>
      </c>
      <c r="C31" s="6" t="s">
        <v>286</v>
      </c>
      <c r="E31" s="40" t="n">
        <f aca="false">SUM(F31:ES31)</f>
        <v>0</v>
      </c>
      <c r="F31" s="34" t="n">
        <f aca="false">IF(F$15=1,INDEX(Vol_O,11,F$14)/12*(1+P_dVol),0)</f>
        <v>0</v>
      </c>
      <c r="G31" s="34" t="n">
        <f aca="false">IF(G$15=1,INDEX(Vol_O,11,G$14)/12*(1+P_dVol),0)</f>
        <v>0</v>
      </c>
      <c r="H31" s="34" t="n">
        <f aca="false">IF(H$15=1,INDEX(Vol_O,11,H$14)/12*(1+P_dVol),0)</f>
        <v>0</v>
      </c>
      <c r="I31" s="34" t="n">
        <f aca="false">IF(I$15=1,INDEX(Vol_O,11,I$14)/12*(1+P_dVol),0)</f>
        <v>0</v>
      </c>
      <c r="J31" s="34" t="n">
        <f aca="false">IF(J$15=1,INDEX(Vol_O,11,J$14)/12*(1+P_dVol),0)</f>
        <v>0</v>
      </c>
      <c r="K31" s="34" t="n">
        <f aca="false">IF(K$15=1,INDEX(Vol_O,11,K$14)/12*(1+P_dVol),0)</f>
        <v>0</v>
      </c>
      <c r="L31" s="34" t="n">
        <f aca="false">IF(L$15=1,INDEX(Vol_O,11,L$14)/12*(1+P_dVol),0)</f>
        <v>0</v>
      </c>
      <c r="M31" s="34" t="n">
        <f aca="false">IF(M$15=1,INDEX(Vol_O,11,M$14)/12*(1+P_dVol),0)</f>
        <v>0</v>
      </c>
      <c r="N31" s="34" t="n">
        <f aca="false">IF(N$15=1,INDEX(Vol_O,11,N$14)/12*(1+P_dVol),0)</f>
        <v>0</v>
      </c>
      <c r="O31" s="34" t="n">
        <f aca="false">IF(O$15=1,INDEX(Vol_O,11,O$14)/12*(1+P_dVol),0)</f>
        <v>0</v>
      </c>
      <c r="P31" s="34" t="n">
        <f aca="false">IF(P$15=1,INDEX(Vol_O,11,P$14)/12*(1+P_dVol),0)</f>
        <v>0</v>
      </c>
      <c r="Q31" s="34" t="n">
        <f aca="false">IF(Q$15=1,INDEX(Vol_O,11,Q$14)/12*(1+P_dVol),0)</f>
        <v>0</v>
      </c>
      <c r="R31" s="34" t="n">
        <f aca="false">IF(R$15=1,INDEX(Vol_O,11,R$14)/12*(1+P_dVol),0)</f>
        <v>0</v>
      </c>
      <c r="S31" s="34" t="n">
        <f aca="false">IF(S$15=1,INDEX(Vol_O,11,S$14)/12*(1+P_dVol),0)</f>
        <v>0</v>
      </c>
      <c r="T31" s="34" t="n">
        <f aca="false">IF(T$15=1,INDEX(Vol_O,11,T$14)/12*(1+P_dVol),0)</f>
        <v>0</v>
      </c>
      <c r="U31" s="34" t="n">
        <f aca="false">IF(U$15=1,INDEX(Vol_O,11,U$14)/12*(1+P_dVol),0)</f>
        <v>0</v>
      </c>
      <c r="V31" s="34" t="n">
        <f aca="false">IF(V$15=1,INDEX(Vol_O,11,V$14)/12*(1+P_dVol),0)</f>
        <v>0</v>
      </c>
      <c r="W31" s="34" t="n">
        <f aca="false">IF(W$15=1,INDEX(Vol_O,11,W$14)/12*(1+P_dVol),0)</f>
        <v>0</v>
      </c>
      <c r="X31" s="34" t="n">
        <f aca="false">IF(X$15=1,INDEX(Vol_O,11,X$14)/12*(1+P_dVol),0)</f>
        <v>0</v>
      </c>
      <c r="Y31" s="34" t="n">
        <f aca="false">IF(Y$15=1,INDEX(Vol_O,11,Y$14)/12*(1+P_dVol),0)</f>
        <v>0</v>
      </c>
      <c r="Z31" s="34" t="n">
        <f aca="false">IF(Z$15=1,INDEX(Vol_O,11,Z$14)/12*(1+P_dVol),0)</f>
        <v>0</v>
      </c>
      <c r="AA31" s="34" t="n">
        <f aca="false">IF(AA$15=1,INDEX(Vol_O,11,AA$14)/12*(1+P_dVol),0)</f>
        <v>0</v>
      </c>
      <c r="AB31" s="34" t="n">
        <f aca="false">IF(AB$15=1,INDEX(Vol_O,11,AB$14)/12*(1+P_dVol),0)</f>
        <v>0</v>
      </c>
      <c r="AC31" s="34" t="n">
        <f aca="false">IF(AC$15=1,INDEX(Vol_O,11,AC$14)/12*(1+P_dVol),0)</f>
        <v>0</v>
      </c>
      <c r="AD31" s="34" t="n">
        <f aca="false">IF(AD$15=1,INDEX(Vol_O,11,AD$14)/12*(1+P_dVol),0)</f>
        <v>0</v>
      </c>
      <c r="AE31" s="34" t="n">
        <f aca="false">IF(AE$15=1,INDEX(Vol_O,11,AE$14)/12*(1+P_dVol),0)</f>
        <v>0</v>
      </c>
      <c r="AF31" s="34" t="n">
        <f aca="false">IF(AF$15=1,INDEX(Vol_O,11,AF$14)/12*(1+P_dVol),0)</f>
        <v>0</v>
      </c>
      <c r="AG31" s="34" t="n">
        <f aca="false">IF(AG$15=1,INDEX(Vol_O,11,AG$14)/12*(1+P_dVol),0)</f>
        <v>0</v>
      </c>
      <c r="AH31" s="34" t="n">
        <f aca="false">IF(AH$15=1,INDEX(Vol_O,11,AH$14)/12*(1+P_dVol),0)</f>
        <v>0</v>
      </c>
      <c r="AI31" s="34" t="n">
        <f aca="false">IF(AI$15=1,INDEX(Vol_O,11,AI$14)/12*(1+P_dVol),0)</f>
        <v>0</v>
      </c>
      <c r="AJ31" s="34" t="n">
        <f aca="false">IF(AJ$15=1,INDEX(Vol_O,11,AJ$14)/12*(1+P_dVol),0)</f>
        <v>0</v>
      </c>
      <c r="AK31" s="34" t="n">
        <f aca="false">IF(AK$15=1,INDEX(Vol_O,11,AK$14)/12*(1+P_dVol),0)</f>
        <v>0</v>
      </c>
      <c r="AL31" s="34" t="n">
        <f aca="false">IF(AL$15=1,INDEX(Vol_O,11,AL$14)/12*(1+P_dVol),0)</f>
        <v>0</v>
      </c>
      <c r="AM31" s="34" t="n">
        <f aca="false">IF(AM$15=1,INDEX(Vol_O,11,AM$14)/12*(1+P_dVol),0)</f>
        <v>0</v>
      </c>
      <c r="AN31" s="34" t="n">
        <f aca="false">IF(AN$15=1,INDEX(Vol_O,11,AN$14)/12*(1+P_dVol),0)</f>
        <v>0</v>
      </c>
      <c r="AO31" s="34" t="n">
        <f aca="false">IF(AO$15=1,INDEX(Vol_O,11,AO$14)/12*(1+P_dVol),0)</f>
        <v>0</v>
      </c>
      <c r="AP31" s="34" t="n">
        <f aca="false">IF(AP$15=1,INDEX(Vol_O,11,AP$14)/12*(1+P_dVol),0)</f>
        <v>0</v>
      </c>
      <c r="AQ31" s="34" t="n">
        <f aca="false">IF(AQ$15=1,INDEX(Vol_O,11,AQ$14)/12*(1+P_dVol),0)</f>
        <v>0</v>
      </c>
      <c r="AR31" s="34" t="n">
        <f aca="false">IF(AR$15=1,INDEX(Vol_O,11,AR$14)/12*(1+P_dVol),0)</f>
        <v>0</v>
      </c>
      <c r="AS31" s="34" t="n">
        <f aca="false">IF(AS$15=1,INDEX(Vol_O,11,AS$14)/12*(1+P_dVol),0)</f>
        <v>0</v>
      </c>
      <c r="AT31" s="34" t="n">
        <f aca="false">IF(AT$15=1,INDEX(Vol_O,11,AT$14)/12*(1+P_dVol),0)</f>
        <v>0</v>
      </c>
      <c r="AU31" s="34" t="n">
        <f aca="false">IF(AU$15=1,INDEX(Vol_O,11,AU$14)/12*(1+P_dVol),0)</f>
        <v>0</v>
      </c>
      <c r="AV31" s="34" t="n">
        <f aca="false">IF(AV$15=1,INDEX(Vol_O,11,AV$14)/12*(1+P_dVol),0)</f>
        <v>0</v>
      </c>
      <c r="AW31" s="34" t="n">
        <f aca="false">IF(AW$15=1,INDEX(Vol_O,11,AW$14)/12*(1+P_dVol),0)</f>
        <v>0</v>
      </c>
      <c r="AX31" s="34" t="n">
        <f aca="false">IF(AX$15=1,INDEX(Vol_O,11,AX$14)/12*(1+P_dVol),0)</f>
        <v>0</v>
      </c>
      <c r="AY31" s="34" t="n">
        <f aca="false">IF(AY$15=1,INDEX(Vol_O,11,AY$14)/12*(1+P_dVol),0)</f>
        <v>0</v>
      </c>
      <c r="AZ31" s="34" t="n">
        <f aca="false">IF(AZ$15=1,INDEX(Vol_O,11,AZ$14)/12*(1+P_dVol),0)</f>
        <v>0</v>
      </c>
      <c r="BA31" s="34" t="n">
        <f aca="false">IF(BA$15=1,INDEX(Vol_O,11,BA$14)/12*(1+P_dVol),0)</f>
        <v>0</v>
      </c>
      <c r="BB31" s="34" t="n">
        <f aca="false">IF(BB$15=1,INDEX(Vol_O,11,BB$14)/12*(1+P_dVol),0)</f>
        <v>0</v>
      </c>
      <c r="BC31" s="34" t="n">
        <f aca="false">IF(BC$15=1,INDEX(Vol_O,11,BC$14)/12*(1+P_dVol),0)</f>
        <v>0</v>
      </c>
      <c r="BD31" s="34" t="n">
        <f aca="false">IF(BD$15=1,INDEX(Vol_O,11,BD$14)/12*(1+P_dVol),0)</f>
        <v>0</v>
      </c>
      <c r="BE31" s="34" t="n">
        <f aca="false">IF(BE$15=1,INDEX(Vol_O,11,BE$14)/12*(1+P_dVol),0)</f>
        <v>0</v>
      </c>
      <c r="BF31" s="34" t="n">
        <f aca="false">IF(BF$15=1,INDEX(Vol_O,11,BF$14)/12*(1+P_dVol),0)</f>
        <v>0</v>
      </c>
      <c r="BG31" s="34" t="n">
        <f aca="false">IF(BG$15=1,INDEX(Vol_O,11,BG$14)/12*(1+P_dVol),0)</f>
        <v>0</v>
      </c>
      <c r="BH31" s="34" t="n">
        <f aca="false">IF(BH$15=1,INDEX(Vol_O,11,BH$14)/12*(1+P_dVol),0)</f>
        <v>0</v>
      </c>
      <c r="BI31" s="34" t="n">
        <f aca="false">IF(BI$15=1,INDEX(Vol_O,11,BI$14)/12*(1+P_dVol),0)</f>
        <v>0</v>
      </c>
      <c r="BJ31" s="34" t="n">
        <f aca="false">IF(BJ$15=1,INDEX(Vol_O,11,BJ$14)/12*(1+P_dVol),0)</f>
        <v>0</v>
      </c>
      <c r="BK31" s="34" t="n">
        <f aca="false">IF(BK$15=1,INDEX(Vol_O,11,BK$14)/12*(1+P_dVol),0)</f>
        <v>0</v>
      </c>
      <c r="BL31" s="34" t="n">
        <f aca="false">IF(BL$15=1,INDEX(Vol_O,11,BL$14)/12*(1+P_dVol),0)</f>
        <v>0</v>
      </c>
      <c r="BM31" s="34" t="n">
        <f aca="false">IF(BM$15=1,INDEX(Vol_O,11,BM$14)/12*(1+P_dVol),0)</f>
        <v>0</v>
      </c>
      <c r="BN31" s="34" t="n">
        <f aca="false">IF(BN$15=1,INDEX(Vol_O,11,BN$14)/12*(1+P_dVol),0)</f>
        <v>0</v>
      </c>
      <c r="BO31" s="34" t="n">
        <f aca="false">IF(BO$15=1,INDEX(Vol_O,11,BO$14)/12*(1+P_dVol),0)</f>
        <v>0</v>
      </c>
      <c r="BP31" s="34" t="n">
        <f aca="false">IF(BP$15=1,INDEX(Vol_O,11,BP$14)/12*(1+P_dVol),0)</f>
        <v>0</v>
      </c>
      <c r="BQ31" s="34" t="n">
        <f aca="false">IF(BQ$15=1,INDEX(Vol_O,11,BQ$14)/12*(1+P_dVol),0)</f>
        <v>0</v>
      </c>
      <c r="BR31" s="34" t="n">
        <f aca="false">IF(BR$15=1,INDEX(Vol_O,11,BR$14)/12*(1+P_dVol),0)</f>
        <v>0</v>
      </c>
      <c r="BS31" s="34" t="n">
        <f aca="false">IF(BS$15=1,INDEX(Vol_O,11,BS$14)/12*(1+P_dVol),0)</f>
        <v>0</v>
      </c>
      <c r="BT31" s="34" t="n">
        <f aca="false">IF(BT$15=1,INDEX(Vol_O,11,BT$14)/12*(1+P_dVol),0)</f>
        <v>0</v>
      </c>
      <c r="BU31" s="34" t="n">
        <f aca="false">IF(BU$15=1,INDEX(Vol_O,11,BU$14)/12*(1+P_dVol),0)</f>
        <v>0</v>
      </c>
      <c r="BV31" s="34" t="n">
        <f aca="false">IF(BV$15=1,INDEX(Vol_O,11,BV$14)/12*(1+P_dVol),0)</f>
        <v>0</v>
      </c>
      <c r="BW31" s="34" t="n">
        <f aca="false">IF(BW$15=1,INDEX(Vol_O,11,BW$14)/12*(1+P_dVol),0)</f>
        <v>0</v>
      </c>
      <c r="BX31" s="34" t="n">
        <f aca="false">IF(BX$15=1,INDEX(Vol_O,11,BX$14)/12*(1+P_dVol),0)</f>
        <v>0</v>
      </c>
      <c r="BY31" s="34" t="n">
        <f aca="false">IF(BY$15=1,INDEX(Vol_O,11,BY$14)/12*(1+P_dVol),0)</f>
        <v>0</v>
      </c>
      <c r="BZ31" s="34" t="n">
        <f aca="false">IF(BZ$15=1,INDEX(Vol_O,11,BZ$14)/12*(1+P_dVol),0)</f>
        <v>0</v>
      </c>
      <c r="CA31" s="34" t="n">
        <f aca="false">IF(CA$15=1,INDEX(Vol_O,11,CA$14)/12*(1+P_dVol),0)</f>
        <v>0</v>
      </c>
      <c r="CB31" s="34" t="n">
        <f aca="false">IF(CB$15=1,INDEX(Vol_O,11,CB$14)/12*(1+P_dVol),0)</f>
        <v>0</v>
      </c>
      <c r="CC31" s="34" t="n">
        <f aca="false">IF(CC$15=1,INDEX(Vol_O,11,CC$14)/12*(1+P_dVol),0)</f>
        <v>0</v>
      </c>
      <c r="CD31" s="34" t="n">
        <f aca="false">IF(CD$15=1,INDEX(Vol_O,11,CD$14)/12*(1+P_dVol),0)</f>
        <v>0</v>
      </c>
      <c r="CE31" s="34" t="n">
        <f aca="false">IF(CE$15=1,INDEX(Vol_O,11,CE$14)/12*(1+P_dVol),0)</f>
        <v>0</v>
      </c>
      <c r="CF31" s="34" t="n">
        <f aca="false">IF(CF$15=1,INDEX(Vol_O,11,CF$14)/12*(1+P_dVol),0)</f>
        <v>0</v>
      </c>
      <c r="CG31" s="34" t="n">
        <f aca="false">IF(CG$15=1,INDEX(Vol_O,11,CG$14)/12*(1+P_dVol),0)</f>
        <v>0</v>
      </c>
      <c r="CH31" s="34" t="n">
        <f aca="false">IF(CH$15=1,INDEX(Vol_O,11,CH$14)/12*(1+P_dVol),0)</f>
        <v>0</v>
      </c>
      <c r="CI31" s="34" t="n">
        <f aca="false">IF(CI$15=1,INDEX(Vol_O,11,CI$14)/12*(1+P_dVol),0)</f>
        <v>0</v>
      </c>
      <c r="CJ31" s="34" t="n">
        <f aca="false">IF(CJ$15=1,INDEX(Vol_O,11,CJ$14)/12*(1+P_dVol),0)</f>
        <v>0</v>
      </c>
      <c r="CK31" s="34" t="n">
        <f aca="false">IF(CK$15=1,INDEX(Vol_O,11,CK$14)/12*(1+P_dVol),0)</f>
        <v>0</v>
      </c>
      <c r="CL31" s="34" t="n">
        <f aca="false">IF(CL$15=1,INDEX(Vol_O,11,CL$14)/12*(1+P_dVol),0)</f>
        <v>0</v>
      </c>
      <c r="CM31" s="34" t="n">
        <f aca="false">IF(CM$15=1,INDEX(Vol_O,11,CM$14)/12*(1+P_dVol),0)</f>
        <v>0</v>
      </c>
      <c r="CN31" s="34" t="n">
        <f aca="false">IF(CN$15=1,INDEX(Vol_O,11,CN$14)/12*(1+P_dVol),0)</f>
        <v>0</v>
      </c>
      <c r="CO31" s="34" t="n">
        <f aca="false">IF(CO$15=1,INDEX(Vol_O,11,CO$14)/12*(1+P_dVol),0)</f>
        <v>0</v>
      </c>
      <c r="CP31" s="34" t="n">
        <f aca="false">IF(CP$15=1,INDEX(Vol_O,11,CP$14)/12*(1+P_dVol),0)</f>
        <v>0</v>
      </c>
      <c r="CQ31" s="34" t="n">
        <f aca="false">IF(CQ$15=1,INDEX(Vol_O,11,CQ$14)/12*(1+P_dVol),0)</f>
        <v>0</v>
      </c>
      <c r="CR31" s="34" t="n">
        <f aca="false">IF(CR$15=1,INDEX(Vol_O,11,CR$14)/12*(1+P_dVol),0)</f>
        <v>0</v>
      </c>
      <c r="CS31" s="34" t="n">
        <f aca="false">IF(CS$15=1,INDEX(Vol_O,11,CS$14)/12*(1+P_dVol),0)</f>
        <v>0</v>
      </c>
      <c r="CT31" s="34" t="n">
        <f aca="false">IF(CT$15=1,INDEX(Vol_O,11,CT$14)/12*(1+P_dVol),0)</f>
        <v>0</v>
      </c>
      <c r="CU31" s="34" t="n">
        <f aca="false">IF(CU$15=1,INDEX(Vol_O,11,CU$14)/12*(1+P_dVol),0)</f>
        <v>0</v>
      </c>
      <c r="CV31" s="34" t="n">
        <f aca="false">IF(CV$15=1,INDEX(Vol_O,11,CV$14)/12*(1+P_dVol),0)</f>
        <v>0</v>
      </c>
      <c r="CW31" s="34" t="n">
        <f aca="false">IF(CW$15=1,INDEX(Vol_O,11,CW$14)/12*(1+P_dVol),0)</f>
        <v>0</v>
      </c>
      <c r="CX31" s="34" t="n">
        <f aca="false">IF(CX$15=1,INDEX(Vol_O,11,CX$14)/12*(1+P_dVol),0)</f>
        <v>0</v>
      </c>
      <c r="CY31" s="34" t="n">
        <f aca="false">IF(CY$15=1,INDEX(Vol_O,11,CY$14)/12*(1+P_dVol),0)</f>
        <v>0</v>
      </c>
      <c r="CZ31" s="34" t="n">
        <f aca="false">IF(CZ$15=1,INDEX(Vol_O,11,CZ$14)/12*(1+P_dVol),0)</f>
        <v>0</v>
      </c>
      <c r="DA31" s="34" t="n">
        <f aca="false">IF(DA$15=1,INDEX(Vol_O,11,DA$14)/12*(1+P_dVol),0)</f>
        <v>0</v>
      </c>
      <c r="DB31" s="34" t="n">
        <f aca="false">IF(DB$15=1,INDEX(Vol_O,11,DB$14)/12*(1+P_dVol),0)</f>
        <v>0</v>
      </c>
      <c r="DC31" s="34" t="n">
        <f aca="false">IF(DC$15=1,INDEX(Vol_O,11,DC$14)/12*(1+P_dVol),0)</f>
        <v>0</v>
      </c>
      <c r="DD31" s="34" t="n">
        <f aca="false">IF(DD$15=1,INDEX(Vol_O,11,DD$14)/12*(1+P_dVol),0)</f>
        <v>0</v>
      </c>
      <c r="DE31" s="34" t="n">
        <f aca="false">IF(DE$15=1,INDEX(Vol_O,11,DE$14)/12*(1+P_dVol),0)</f>
        <v>0</v>
      </c>
      <c r="DF31" s="34" t="n">
        <f aca="false">IF(DF$15=1,INDEX(Vol_O,11,DF$14)/12*(1+P_dVol),0)</f>
        <v>0</v>
      </c>
      <c r="DG31" s="34" t="n">
        <f aca="false">IF(DG$15=1,INDEX(Vol_O,11,DG$14)/12*(1+P_dVol),0)</f>
        <v>0</v>
      </c>
      <c r="DH31" s="34" t="n">
        <f aca="false">IF(DH$15=1,INDEX(Vol_O,11,DH$14)/12*(1+P_dVol),0)</f>
        <v>0</v>
      </c>
      <c r="DI31" s="34" t="n">
        <f aca="false">IF(DI$15=1,INDEX(Vol_O,11,DI$14)/12*(1+P_dVol),0)</f>
        <v>0</v>
      </c>
      <c r="DJ31" s="34" t="n">
        <f aca="false">IF(DJ$15=1,INDEX(Vol_O,11,DJ$14)/12*(1+P_dVol),0)</f>
        <v>0</v>
      </c>
      <c r="DK31" s="34" t="n">
        <f aca="false">IF(DK$15=1,INDEX(Vol_O,11,DK$14)/12*(1+P_dVol),0)</f>
        <v>0</v>
      </c>
      <c r="DL31" s="34" t="n">
        <f aca="false">IF(DL$15=1,INDEX(Vol_O,11,DL$14)/12*(1+P_dVol),0)</f>
        <v>0</v>
      </c>
      <c r="DM31" s="34" t="n">
        <f aca="false">IF(DM$15=1,INDEX(Vol_O,11,DM$14)/12*(1+P_dVol),0)</f>
        <v>0</v>
      </c>
      <c r="DN31" s="34" t="n">
        <f aca="false">IF(DN$15=1,INDEX(Vol_O,11,DN$14)/12*(1+P_dVol),0)</f>
        <v>0</v>
      </c>
      <c r="DO31" s="34" t="n">
        <f aca="false">IF(DO$15=1,INDEX(Vol_O,11,DO$14)/12*(1+P_dVol),0)</f>
        <v>0</v>
      </c>
      <c r="DP31" s="34" t="n">
        <f aca="false">IF(DP$15=1,INDEX(Vol_O,11,DP$14)/12*(1+P_dVol),0)</f>
        <v>0</v>
      </c>
      <c r="DQ31" s="34" t="n">
        <f aca="false">IF(DQ$15=1,INDEX(Vol_O,11,DQ$14)/12*(1+P_dVol),0)</f>
        <v>0</v>
      </c>
      <c r="DR31" s="34" t="n">
        <f aca="false">IF(DR$15=1,INDEX(Vol_O,11,DR$14)/12*(1+P_dVol),0)</f>
        <v>0</v>
      </c>
      <c r="DS31" s="34" t="n">
        <f aca="false">IF(DS$15=1,INDEX(Vol_O,11,DS$14)/12*(1+P_dVol),0)</f>
        <v>0</v>
      </c>
      <c r="DT31" s="34" t="n">
        <f aca="false">IF(DT$15=1,INDEX(Vol_O,11,DT$14)/12*(1+P_dVol),0)</f>
        <v>0</v>
      </c>
      <c r="DU31" s="34" t="n">
        <f aca="false">IF(DU$15=1,INDEX(Vol_O,11,DU$14)/12*(1+P_dVol),0)</f>
        <v>0</v>
      </c>
      <c r="DV31" s="34" t="n">
        <f aca="false">IF(DV$15=1,INDEX(Vol_O,11,DV$14)/12*(1+P_dVol),0)</f>
        <v>0</v>
      </c>
      <c r="DW31" s="34" t="n">
        <f aca="false">IF(DW$15=1,INDEX(Vol_O,11,DW$14)/12*(1+P_dVol),0)</f>
        <v>0</v>
      </c>
      <c r="DX31" s="34" t="n">
        <f aca="false">IF(DX$15=1,INDEX(Vol_O,11,DX$14)/12*(1+P_dVol),0)</f>
        <v>0</v>
      </c>
      <c r="DY31" s="34" t="n">
        <f aca="false">IF(DY$15=1,INDEX(Vol_O,11,DY$14)/12*(1+P_dVol),0)</f>
        <v>0</v>
      </c>
      <c r="DZ31" s="34" t="n">
        <f aca="false">IF(DZ$15=1,INDEX(Vol_O,11,DZ$14)/12*(1+P_dVol),0)</f>
        <v>0</v>
      </c>
      <c r="EA31" s="34" t="n">
        <f aca="false">IF(EA$15=1,INDEX(Vol_O,11,EA$14)/12*(1+P_dVol),0)</f>
        <v>0</v>
      </c>
      <c r="EB31" s="34" t="n">
        <f aca="false">IF(EB$15=1,INDEX(Vol_O,11,EB$14)/12*(1+P_dVol),0)</f>
        <v>0</v>
      </c>
      <c r="EC31" s="34" t="n">
        <f aca="false">IF(EC$15=1,INDEX(Vol_O,11,EC$14)/12*(1+P_dVol),0)</f>
        <v>0</v>
      </c>
      <c r="ED31" s="34" t="n">
        <f aca="false">IF(ED$15=1,INDEX(Vol_O,11,ED$14)/12*(1+P_dVol),0)</f>
        <v>0</v>
      </c>
      <c r="EE31" s="34" t="n">
        <f aca="false">IF(EE$15=1,INDEX(Vol_O,11,EE$14)/12*(1+P_dVol),0)</f>
        <v>0</v>
      </c>
      <c r="EF31" s="34" t="n">
        <f aca="false">IF(EF$15=1,INDEX(Vol_O,11,EF$14)/12*(1+P_dVol),0)</f>
        <v>0</v>
      </c>
      <c r="EG31" s="34" t="n">
        <f aca="false">IF(EG$15=1,INDEX(Vol_O,11,EG$14)/12*(1+P_dVol),0)</f>
        <v>0</v>
      </c>
      <c r="EH31" s="34" t="n">
        <f aca="false">IF(EH$15=1,INDEX(Vol_O,11,EH$14)/12*(1+P_dVol),0)</f>
        <v>0</v>
      </c>
      <c r="EI31" s="34" t="n">
        <f aca="false">IF(EI$15=1,INDEX(Vol_O,11,EI$14)/12*(1+P_dVol),0)</f>
        <v>0</v>
      </c>
      <c r="EJ31" s="34" t="n">
        <f aca="false">IF(EJ$15=1,INDEX(Vol_O,11,EJ$14)/12*(1+P_dVol),0)</f>
        <v>0</v>
      </c>
      <c r="EK31" s="34" t="n">
        <f aca="false">IF(EK$15=1,INDEX(Vol_O,11,EK$14)/12*(1+P_dVol),0)</f>
        <v>0</v>
      </c>
      <c r="EL31" s="34" t="n">
        <f aca="false">IF(EL$15=1,INDEX(Vol_O,11,EL$14)/12*(1+P_dVol),0)</f>
        <v>0</v>
      </c>
      <c r="EM31" s="34" t="n">
        <f aca="false">IF(EM$15=1,INDEX(Vol_O,11,EM$14)/12*(1+P_dVol),0)</f>
        <v>0</v>
      </c>
      <c r="EN31" s="34" t="n">
        <f aca="false">IF(EN$15=1,INDEX(Vol_O,11,EN$14)/12*(1+P_dVol),0)</f>
        <v>0</v>
      </c>
      <c r="EO31" s="34" t="n">
        <f aca="false">IF(EO$15=1,INDEX(Vol_O,11,EO$14)/12*(1+P_dVol),0)</f>
        <v>0</v>
      </c>
      <c r="EP31" s="34" t="n">
        <f aca="false">IF(EP$15=1,INDEX(Vol_O,11,EP$14)/12*(1+P_dVol),0)</f>
        <v>0</v>
      </c>
      <c r="EQ31" s="34" t="n">
        <f aca="false">IF(EQ$15=1,INDEX(Vol_O,11,EQ$14)/12*(1+P_dVol),0)</f>
        <v>0</v>
      </c>
      <c r="ER31" s="34" t="n">
        <f aca="false">IF(ER$15=1,INDEX(Vol_O,11,ER$14)/12*(1+P_dVol),0)</f>
        <v>0</v>
      </c>
      <c r="ES31" s="34" t="n">
        <f aca="false">IF(ES$15=1,INDEX(Vol_O,11,ES$14)/12*(1+P_dVol),0)</f>
        <v>0</v>
      </c>
    </row>
    <row r="32" customFormat="false" ht="15" hidden="false" customHeight="false" outlineLevel="0" collapsed="false">
      <c r="A32" s="2" t="s">
        <v>569</v>
      </c>
      <c r="B32" s="39" t="str">
        <f aca="false">IF(INDEX(Prod_Nombre,12)="","Producto 12",INDEX(Prod_Nombre,12))&amp;" — unidades"</f>
        <v>Producto 12 — unidades</v>
      </c>
      <c r="C32" s="6" t="s">
        <v>286</v>
      </c>
      <c r="E32" s="40" t="n">
        <f aca="false">SUM(F32:ES32)</f>
        <v>0</v>
      </c>
      <c r="F32" s="34" t="n">
        <f aca="false">IF(F$15=1,INDEX(Vol_O,12,F$14)/12*(1+P_dVol),0)</f>
        <v>0</v>
      </c>
      <c r="G32" s="34" t="n">
        <f aca="false">IF(G$15=1,INDEX(Vol_O,12,G$14)/12*(1+P_dVol),0)</f>
        <v>0</v>
      </c>
      <c r="H32" s="34" t="n">
        <f aca="false">IF(H$15=1,INDEX(Vol_O,12,H$14)/12*(1+P_dVol),0)</f>
        <v>0</v>
      </c>
      <c r="I32" s="34" t="n">
        <f aca="false">IF(I$15=1,INDEX(Vol_O,12,I$14)/12*(1+P_dVol),0)</f>
        <v>0</v>
      </c>
      <c r="J32" s="34" t="n">
        <f aca="false">IF(J$15=1,INDEX(Vol_O,12,J$14)/12*(1+P_dVol),0)</f>
        <v>0</v>
      </c>
      <c r="K32" s="34" t="n">
        <f aca="false">IF(K$15=1,INDEX(Vol_O,12,K$14)/12*(1+P_dVol),0)</f>
        <v>0</v>
      </c>
      <c r="L32" s="34" t="n">
        <f aca="false">IF(L$15=1,INDEX(Vol_O,12,L$14)/12*(1+P_dVol),0)</f>
        <v>0</v>
      </c>
      <c r="M32" s="34" t="n">
        <f aca="false">IF(M$15=1,INDEX(Vol_O,12,M$14)/12*(1+P_dVol),0)</f>
        <v>0</v>
      </c>
      <c r="N32" s="34" t="n">
        <f aca="false">IF(N$15=1,INDEX(Vol_O,12,N$14)/12*(1+P_dVol),0)</f>
        <v>0</v>
      </c>
      <c r="O32" s="34" t="n">
        <f aca="false">IF(O$15=1,INDEX(Vol_O,12,O$14)/12*(1+P_dVol),0)</f>
        <v>0</v>
      </c>
      <c r="P32" s="34" t="n">
        <f aca="false">IF(P$15=1,INDEX(Vol_O,12,P$14)/12*(1+P_dVol),0)</f>
        <v>0</v>
      </c>
      <c r="Q32" s="34" t="n">
        <f aca="false">IF(Q$15=1,INDEX(Vol_O,12,Q$14)/12*(1+P_dVol),0)</f>
        <v>0</v>
      </c>
      <c r="R32" s="34" t="n">
        <f aca="false">IF(R$15=1,INDEX(Vol_O,12,R$14)/12*(1+P_dVol),0)</f>
        <v>0</v>
      </c>
      <c r="S32" s="34" t="n">
        <f aca="false">IF(S$15=1,INDEX(Vol_O,12,S$14)/12*(1+P_dVol),0)</f>
        <v>0</v>
      </c>
      <c r="T32" s="34" t="n">
        <f aca="false">IF(T$15=1,INDEX(Vol_O,12,T$14)/12*(1+P_dVol),0)</f>
        <v>0</v>
      </c>
      <c r="U32" s="34" t="n">
        <f aca="false">IF(U$15=1,INDEX(Vol_O,12,U$14)/12*(1+P_dVol),0)</f>
        <v>0</v>
      </c>
      <c r="V32" s="34" t="n">
        <f aca="false">IF(V$15=1,INDEX(Vol_O,12,V$14)/12*(1+P_dVol),0)</f>
        <v>0</v>
      </c>
      <c r="W32" s="34" t="n">
        <f aca="false">IF(W$15=1,INDEX(Vol_O,12,W$14)/12*(1+P_dVol),0)</f>
        <v>0</v>
      </c>
      <c r="X32" s="34" t="n">
        <f aca="false">IF(X$15=1,INDEX(Vol_O,12,X$14)/12*(1+P_dVol),0)</f>
        <v>0</v>
      </c>
      <c r="Y32" s="34" t="n">
        <f aca="false">IF(Y$15=1,INDEX(Vol_O,12,Y$14)/12*(1+P_dVol),0)</f>
        <v>0</v>
      </c>
      <c r="Z32" s="34" t="n">
        <f aca="false">IF(Z$15=1,INDEX(Vol_O,12,Z$14)/12*(1+P_dVol),0)</f>
        <v>0</v>
      </c>
      <c r="AA32" s="34" t="n">
        <f aca="false">IF(AA$15=1,INDEX(Vol_O,12,AA$14)/12*(1+P_dVol),0)</f>
        <v>0</v>
      </c>
      <c r="AB32" s="34" t="n">
        <f aca="false">IF(AB$15=1,INDEX(Vol_O,12,AB$14)/12*(1+P_dVol),0)</f>
        <v>0</v>
      </c>
      <c r="AC32" s="34" t="n">
        <f aca="false">IF(AC$15=1,INDEX(Vol_O,12,AC$14)/12*(1+P_dVol),0)</f>
        <v>0</v>
      </c>
      <c r="AD32" s="34" t="n">
        <f aca="false">IF(AD$15=1,INDEX(Vol_O,12,AD$14)/12*(1+P_dVol),0)</f>
        <v>0</v>
      </c>
      <c r="AE32" s="34" t="n">
        <f aca="false">IF(AE$15=1,INDEX(Vol_O,12,AE$14)/12*(1+P_dVol),0)</f>
        <v>0</v>
      </c>
      <c r="AF32" s="34" t="n">
        <f aca="false">IF(AF$15=1,INDEX(Vol_O,12,AF$14)/12*(1+P_dVol),0)</f>
        <v>0</v>
      </c>
      <c r="AG32" s="34" t="n">
        <f aca="false">IF(AG$15=1,INDEX(Vol_O,12,AG$14)/12*(1+P_dVol),0)</f>
        <v>0</v>
      </c>
      <c r="AH32" s="34" t="n">
        <f aca="false">IF(AH$15=1,INDEX(Vol_O,12,AH$14)/12*(1+P_dVol),0)</f>
        <v>0</v>
      </c>
      <c r="AI32" s="34" t="n">
        <f aca="false">IF(AI$15=1,INDEX(Vol_O,12,AI$14)/12*(1+P_dVol),0)</f>
        <v>0</v>
      </c>
      <c r="AJ32" s="34" t="n">
        <f aca="false">IF(AJ$15=1,INDEX(Vol_O,12,AJ$14)/12*(1+P_dVol),0)</f>
        <v>0</v>
      </c>
      <c r="AK32" s="34" t="n">
        <f aca="false">IF(AK$15=1,INDEX(Vol_O,12,AK$14)/12*(1+P_dVol),0)</f>
        <v>0</v>
      </c>
      <c r="AL32" s="34" t="n">
        <f aca="false">IF(AL$15=1,INDEX(Vol_O,12,AL$14)/12*(1+P_dVol),0)</f>
        <v>0</v>
      </c>
      <c r="AM32" s="34" t="n">
        <f aca="false">IF(AM$15=1,INDEX(Vol_O,12,AM$14)/12*(1+P_dVol),0)</f>
        <v>0</v>
      </c>
      <c r="AN32" s="34" t="n">
        <f aca="false">IF(AN$15=1,INDEX(Vol_O,12,AN$14)/12*(1+P_dVol),0)</f>
        <v>0</v>
      </c>
      <c r="AO32" s="34" t="n">
        <f aca="false">IF(AO$15=1,INDEX(Vol_O,12,AO$14)/12*(1+P_dVol),0)</f>
        <v>0</v>
      </c>
      <c r="AP32" s="34" t="n">
        <f aca="false">IF(AP$15=1,INDEX(Vol_O,12,AP$14)/12*(1+P_dVol),0)</f>
        <v>0</v>
      </c>
      <c r="AQ32" s="34" t="n">
        <f aca="false">IF(AQ$15=1,INDEX(Vol_O,12,AQ$14)/12*(1+P_dVol),0)</f>
        <v>0</v>
      </c>
      <c r="AR32" s="34" t="n">
        <f aca="false">IF(AR$15=1,INDEX(Vol_O,12,AR$14)/12*(1+P_dVol),0)</f>
        <v>0</v>
      </c>
      <c r="AS32" s="34" t="n">
        <f aca="false">IF(AS$15=1,INDEX(Vol_O,12,AS$14)/12*(1+P_dVol),0)</f>
        <v>0</v>
      </c>
      <c r="AT32" s="34" t="n">
        <f aca="false">IF(AT$15=1,INDEX(Vol_O,12,AT$14)/12*(1+P_dVol),0)</f>
        <v>0</v>
      </c>
      <c r="AU32" s="34" t="n">
        <f aca="false">IF(AU$15=1,INDEX(Vol_O,12,AU$14)/12*(1+P_dVol),0)</f>
        <v>0</v>
      </c>
      <c r="AV32" s="34" t="n">
        <f aca="false">IF(AV$15=1,INDEX(Vol_O,12,AV$14)/12*(1+P_dVol),0)</f>
        <v>0</v>
      </c>
      <c r="AW32" s="34" t="n">
        <f aca="false">IF(AW$15=1,INDEX(Vol_O,12,AW$14)/12*(1+P_dVol),0)</f>
        <v>0</v>
      </c>
      <c r="AX32" s="34" t="n">
        <f aca="false">IF(AX$15=1,INDEX(Vol_O,12,AX$14)/12*(1+P_dVol),0)</f>
        <v>0</v>
      </c>
      <c r="AY32" s="34" t="n">
        <f aca="false">IF(AY$15=1,INDEX(Vol_O,12,AY$14)/12*(1+P_dVol),0)</f>
        <v>0</v>
      </c>
      <c r="AZ32" s="34" t="n">
        <f aca="false">IF(AZ$15=1,INDEX(Vol_O,12,AZ$14)/12*(1+P_dVol),0)</f>
        <v>0</v>
      </c>
      <c r="BA32" s="34" t="n">
        <f aca="false">IF(BA$15=1,INDEX(Vol_O,12,BA$14)/12*(1+P_dVol),0)</f>
        <v>0</v>
      </c>
      <c r="BB32" s="34" t="n">
        <f aca="false">IF(BB$15=1,INDEX(Vol_O,12,BB$14)/12*(1+P_dVol),0)</f>
        <v>0</v>
      </c>
      <c r="BC32" s="34" t="n">
        <f aca="false">IF(BC$15=1,INDEX(Vol_O,12,BC$14)/12*(1+P_dVol),0)</f>
        <v>0</v>
      </c>
      <c r="BD32" s="34" t="n">
        <f aca="false">IF(BD$15=1,INDEX(Vol_O,12,BD$14)/12*(1+P_dVol),0)</f>
        <v>0</v>
      </c>
      <c r="BE32" s="34" t="n">
        <f aca="false">IF(BE$15=1,INDEX(Vol_O,12,BE$14)/12*(1+P_dVol),0)</f>
        <v>0</v>
      </c>
      <c r="BF32" s="34" t="n">
        <f aca="false">IF(BF$15=1,INDEX(Vol_O,12,BF$14)/12*(1+P_dVol),0)</f>
        <v>0</v>
      </c>
      <c r="BG32" s="34" t="n">
        <f aca="false">IF(BG$15=1,INDEX(Vol_O,12,BG$14)/12*(1+P_dVol),0)</f>
        <v>0</v>
      </c>
      <c r="BH32" s="34" t="n">
        <f aca="false">IF(BH$15=1,INDEX(Vol_O,12,BH$14)/12*(1+P_dVol),0)</f>
        <v>0</v>
      </c>
      <c r="BI32" s="34" t="n">
        <f aca="false">IF(BI$15=1,INDEX(Vol_O,12,BI$14)/12*(1+P_dVol),0)</f>
        <v>0</v>
      </c>
      <c r="BJ32" s="34" t="n">
        <f aca="false">IF(BJ$15=1,INDEX(Vol_O,12,BJ$14)/12*(1+P_dVol),0)</f>
        <v>0</v>
      </c>
      <c r="BK32" s="34" t="n">
        <f aca="false">IF(BK$15=1,INDEX(Vol_O,12,BK$14)/12*(1+P_dVol),0)</f>
        <v>0</v>
      </c>
      <c r="BL32" s="34" t="n">
        <f aca="false">IF(BL$15=1,INDEX(Vol_O,12,BL$14)/12*(1+P_dVol),0)</f>
        <v>0</v>
      </c>
      <c r="BM32" s="34" t="n">
        <f aca="false">IF(BM$15=1,INDEX(Vol_O,12,BM$14)/12*(1+P_dVol),0)</f>
        <v>0</v>
      </c>
      <c r="BN32" s="34" t="n">
        <f aca="false">IF(BN$15=1,INDEX(Vol_O,12,BN$14)/12*(1+P_dVol),0)</f>
        <v>0</v>
      </c>
      <c r="BO32" s="34" t="n">
        <f aca="false">IF(BO$15=1,INDEX(Vol_O,12,BO$14)/12*(1+P_dVol),0)</f>
        <v>0</v>
      </c>
      <c r="BP32" s="34" t="n">
        <f aca="false">IF(BP$15=1,INDEX(Vol_O,12,BP$14)/12*(1+P_dVol),0)</f>
        <v>0</v>
      </c>
      <c r="BQ32" s="34" t="n">
        <f aca="false">IF(BQ$15=1,INDEX(Vol_O,12,BQ$14)/12*(1+P_dVol),0)</f>
        <v>0</v>
      </c>
      <c r="BR32" s="34" t="n">
        <f aca="false">IF(BR$15=1,INDEX(Vol_O,12,BR$14)/12*(1+P_dVol),0)</f>
        <v>0</v>
      </c>
      <c r="BS32" s="34" t="n">
        <f aca="false">IF(BS$15=1,INDEX(Vol_O,12,BS$14)/12*(1+P_dVol),0)</f>
        <v>0</v>
      </c>
      <c r="BT32" s="34" t="n">
        <f aca="false">IF(BT$15=1,INDEX(Vol_O,12,BT$14)/12*(1+P_dVol),0)</f>
        <v>0</v>
      </c>
      <c r="BU32" s="34" t="n">
        <f aca="false">IF(BU$15=1,INDEX(Vol_O,12,BU$14)/12*(1+P_dVol),0)</f>
        <v>0</v>
      </c>
      <c r="BV32" s="34" t="n">
        <f aca="false">IF(BV$15=1,INDEX(Vol_O,12,BV$14)/12*(1+P_dVol),0)</f>
        <v>0</v>
      </c>
      <c r="BW32" s="34" t="n">
        <f aca="false">IF(BW$15=1,INDEX(Vol_O,12,BW$14)/12*(1+P_dVol),0)</f>
        <v>0</v>
      </c>
      <c r="BX32" s="34" t="n">
        <f aca="false">IF(BX$15=1,INDEX(Vol_O,12,BX$14)/12*(1+P_dVol),0)</f>
        <v>0</v>
      </c>
      <c r="BY32" s="34" t="n">
        <f aca="false">IF(BY$15=1,INDEX(Vol_O,12,BY$14)/12*(1+P_dVol),0)</f>
        <v>0</v>
      </c>
      <c r="BZ32" s="34" t="n">
        <f aca="false">IF(BZ$15=1,INDEX(Vol_O,12,BZ$14)/12*(1+P_dVol),0)</f>
        <v>0</v>
      </c>
      <c r="CA32" s="34" t="n">
        <f aca="false">IF(CA$15=1,INDEX(Vol_O,12,CA$14)/12*(1+P_dVol),0)</f>
        <v>0</v>
      </c>
      <c r="CB32" s="34" t="n">
        <f aca="false">IF(CB$15=1,INDEX(Vol_O,12,CB$14)/12*(1+P_dVol),0)</f>
        <v>0</v>
      </c>
      <c r="CC32" s="34" t="n">
        <f aca="false">IF(CC$15=1,INDEX(Vol_O,12,CC$14)/12*(1+P_dVol),0)</f>
        <v>0</v>
      </c>
      <c r="CD32" s="34" t="n">
        <f aca="false">IF(CD$15=1,INDEX(Vol_O,12,CD$14)/12*(1+P_dVol),0)</f>
        <v>0</v>
      </c>
      <c r="CE32" s="34" t="n">
        <f aca="false">IF(CE$15=1,INDEX(Vol_O,12,CE$14)/12*(1+P_dVol),0)</f>
        <v>0</v>
      </c>
      <c r="CF32" s="34" t="n">
        <f aca="false">IF(CF$15=1,INDEX(Vol_O,12,CF$14)/12*(1+P_dVol),0)</f>
        <v>0</v>
      </c>
      <c r="CG32" s="34" t="n">
        <f aca="false">IF(CG$15=1,INDEX(Vol_O,12,CG$14)/12*(1+P_dVol),0)</f>
        <v>0</v>
      </c>
      <c r="CH32" s="34" t="n">
        <f aca="false">IF(CH$15=1,INDEX(Vol_O,12,CH$14)/12*(1+P_dVol),0)</f>
        <v>0</v>
      </c>
      <c r="CI32" s="34" t="n">
        <f aca="false">IF(CI$15=1,INDEX(Vol_O,12,CI$14)/12*(1+P_dVol),0)</f>
        <v>0</v>
      </c>
      <c r="CJ32" s="34" t="n">
        <f aca="false">IF(CJ$15=1,INDEX(Vol_O,12,CJ$14)/12*(1+P_dVol),0)</f>
        <v>0</v>
      </c>
      <c r="CK32" s="34" t="n">
        <f aca="false">IF(CK$15=1,INDEX(Vol_O,12,CK$14)/12*(1+P_dVol),0)</f>
        <v>0</v>
      </c>
      <c r="CL32" s="34" t="n">
        <f aca="false">IF(CL$15=1,INDEX(Vol_O,12,CL$14)/12*(1+P_dVol),0)</f>
        <v>0</v>
      </c>
      <c r="CM32" s="34" t="n">
        <f aca="false">IF(CM$15=1,INDEX(Vol_O,12,CM$14)/12*(1+P_dVol),0)</f>
        <v>0</v>
      </c>
      <c r="CN32" s="34" t="n">
        <f aca="false">IF(CN$15=1,INDEX(Vol_O,12,CN$14)/12*(1+P_dVol),0)</f>
        <v>0</v>
      </c>
      <c r="CO32" s="34" t="n">
        <f aca="false">IF(CO$15=1,INDEX(Vol_O,12,CO$14)/12*(1+P_dVol),0)</f>
        <v>0</v>
      </c>
      <c r="CP32" s="34" t="n">
        <f aca="false">IF(CP$15=1,INDEX(Vol_O,12,CP$14)/12*(1+P_dVol),0)</f>
        <v>0</v>
      </c>
      <c r="CQ32" s="34" t="n">
        <f aca="false">IF(CQ$15=1,INDEX(Vol_O,12,CQ$14)/12*(1+P_dVol),0)</f>
        <v>0</v>
      </c>
      <c r="CR32" s="34" t="n">
        <f aca="false">IF(CR$15=1,INDEX(Vol_O,12,CR$14)/12*(1+P_dVol),0)</f>
        <v>0</v>
      </c>
      <c r="CS32" s="34" t="n">
        <f aca="false">IF(CS$15=1,INDEX(Vol_O,12,CS$14)/12*(1+P_dVol),0)</f>
        <v>0</v>
      </c>
      <c r="CT32" s="34" t="n">
        <f aca="false">IF(CT$15=1,INDEX(Vol_O,12,CT$14)/12*(1+P_dVol),0)</f>
        <v>0</v>
      </c>
      <c r="CU32" s="34" t="n">
        <f aca="false">IF(CU$15=1,INDEX(Vol_O,12,CU$14)/12*(1+P_dVol),0)</f>
        <v>0</v>
      </c>
      <c r="CV32" s="34" t="n">
        <f aca="false">IF(CV$15=1,INDEX(Vol_O,12,CV$14)/12*(1+P_dVol),0)</f>
        <v>0</v>
      </c>
      <c r="CW32" s="34" t="n">
        <f aca="false">IF(CW$15=1,INDEX(Vol_O,12,CW$14)/12*(1+P_dVol),0)</f>
        <v>0</v>
      </c>
      <c r="CX32" s="34" t="n">
        <f aca="false">IF(CX$15=1,INDEX(Vol_O,12,CX$14)/12*(1+P_dVol),0)</f>
        <v>0</v>
      </c>
      <c r="CY32" s="34" t="n">
        <f aca="false">IF(CY$15=1,INDEX(Vol_O,12,CY$14)/12*(1+P_dVol),0)</f>
        <v>0</v>
      </c>
      <c r="CZ32" s="34" t="n">
        <f aca="false">IF(CZ$15=1,INDEX(Vol_O,12,CZ$14)/12*(1+P_dVol),0)</f>
        <v>0</v>
      </c>
      <c r="DA32" s="34" t="n">
        <f aca="false">IF(DA$15=1,INDEX(Vol_O,12,DA$14)/12*(1+P_dVol),0)</f>
        <v>0</v>
      </c>
      <c r="DB32" s="34" t="n">
        <f aca="false">IF(DB$15=1,INDEX(Vol_O,12,DB$14)/12*(1+P_dVol),0)</f>
        <v>0</v>
      </c>
      <c r="DC32" s="34" t="n">
        <f aca="false">IF(DC$15=1,INDEX(Vol_O,12,DC$14)/12*(1+P_dVol),0)</f>
        <v>0</v>
      </c>
      <c r="DD32" s="34" t="n">
        <f aca="false">IF(DD$15=1,INDEX(Vol_O,12,DD$14)/12*(1+P_dVol),0)</f>
        <v>0</v>
      </c>
      <c r="DE32" s="34" t="n">
        <f aca="false">IF(DE$15=1,INDEX(Vol_O,12,DE$14)/12*(1+P_dVol),0)</f>
        <v>0</v>
      </c>
      <c r="DF32" s="34" t="n">
        <f aca="false">IF(DF$15=1,INDEX(Vol_O,12,DF$14)/12*(1+P_dVol),0)</f>
        <v>0</v>
      </c>
      <c r="DG32" s="34" t="n">
        <f aca="false">IF(DG$15=1,INDEX(Vol_O,12,DG$14)/12*(1+P_dVol),0)</f>
        <v>0</v>
      </c>
      <c r="DH32" s="34" t="n">
        <f aca="false">IF(DH$15=1,INDEX(Vol_O,12,DH$14)/12*(1+P_dVol),0)</f>
        <v>0</v>
      </c>
      <c r="DI32" s="34" t="n">
        <f aca="false">IF(DI$15=1,INDEX(Vol_O,12,DI$14)/12*(1+P_dVol),0)</f>
        <v>0</v>
      </c>
      <c r="DJ32" s="34" t="n">
        <f aca="false">IF(DJ$15=1,INDEX(Vol_O,12,DJ$14)/12*(1+P_dVol),0)</f>
        <v>0</v>
      </c>
      <c r="DK32" s="34" t="n">
        <f aca="false">IF(DK$15=1,INDEX(Vol_O,12,DK$14)/12*(1+P_dVol),0)</f>
        <v>0</v>
      </c>
      <c r="DL32" s="34" t="n">
        <f aca="false">IF(DL$15=1,INDEX(Vol_O,12,DL$14)/12*(1+P_dVol),0)</f>
        <v>0</v>
      </c>
      <c r="DM32" s="34" t="n">
        <f aca="false">IF(DM$15=1,INDEX(Vol_O,12,DM$14)/12*(1+P_dVol),0)</f>
        <v>0</v>
      </c>
      <c r="DN32" s="34" t="n">
        <f aca="false">IF(DN$15=1,INDEX(Vol_O,12,DN$14)/12*(1+P_dVol),0)</f>
        <v>0</v>
      </c>
      <c r="DO32" s="34" t="n">
        <f aca="false">IF(DO$15=1,INDEX(Vol_O,12,DO$14)/12*(1+P_dVol),0)</f>
        <v>0</v>
      </c>
      <c r="DP32" s="34" t="n">
        <f aca="false">IF(DP$15=1,INDEX(Vol_O,12,DP$14)/12*(1+P_dVol),0)</f>
        <v>0</v>
      </c>
      <c r="DQ32" s="34" t="n">
        <f aca="false">IF(DQ$15=1,INDEX(Vol_O,12,DQ$14)/12*(1+P_dVol),0)</f>
        <v>0</v>
      </c>
      <c r="DR32" s="34" t="n">
        <f aca="false">IF(DR$15=1,INDEX(Vol_O,12,DR$14)/12*(1+P_dVol),0)</f>
        <v>0</v>
      </c>
      <c r="DS32" s="34" t="n">
        <f aca="false">IF(DS$15=1,INDEX(Vol_O,12,DS$14)/12*(1+P_dVol),0)</f>
        <v>0</v>
      </c>
      <c r="DT32" s="34" t="n">
        <f aca="false">IF(DT$15=1,INDEX(Vol_O,12,DT$14)/12*(1+P_dVol),0)</f>
        <v>0</v>
      </c>
      <c r="DU32" s="34" t="n">
        <f aca="false">IF(DU$15=1,INDEX(Vol_O,12,DU$14)/12*(1+P_dVol),0)</f>
        <v>0</v>
      </c>
      <c r="DV32" s="34" t="n">
        <f aca="false">IF(DV$15=1,INDEX(Vol_O,12,DV$14)/12*(1+P_dVol),0)</f>
        <v>0</v>
      </c>
      <c r="DW32" s="34" t="n">
        <f aca="false">IF(DW$15=1,INDEX(Vol_O,12,DW$14)/12*(1+P_dVol),0)</f>
        <v>0</v>
      </c>
      <c r="DX32" s="34" t="n">
        <f aca="false">IF(DX$15=1,INDEX(Vol_O,12,DX$14)/12*(1+P_dVol),0)</f>
        <v>0</v>
      </c>
      <c r="DY32" s="34" t="n">
        <f aca="false">IF(DY$15=1,INDEX(Vol_O,12,DY$14)/12*(1+P_dVol),0)</f>
        <v>0</v>
      </c>
      <c r="DZ32" s="34" t="n">
        <f aca="false">IF(DZ$15=1,INDEX(Vol_O,12,DZ$14)/12*(1+P_dVol),0)</f>
        <v>0</v>
      </c>
      <c r="EA32" s="34" t="n">
        <f aca="false">IF(EA$15=1,INDEX(Vol_O,12,EA$14)/12*(1+P_dVol),0)</f>
        <v>0</v>
      </c>
      <c r="EB32" s="34" t="n">
        <f aca="false">IF(EB$15=1,INDEX(Vol_O,12,EB$14)/12*(1+P_dVol),0)</f>
        <v>0</v>
      </c>
      <c r="EC32" s="34" t="n">
        <f aca="false">IF(EC$15=1,INDEX(Vol_O,12,EC$14)/12*(1+P_dVol),0)</f>
        <v>0</v>
      </c>
      <c r="ED32" s="34" t="n">
        <f aca="false">IF(ED$15=1,INDEX(Vol_O,12,ED$14)/12*(1+P_dVol),0)</f>
        <v>0</v>
      </c>
      <c r="EE32" s="34" t="n">
        <f aca="false">IF(EE$15=1,INDEX(Vol_O,12,EE$14)/12*(1+P_dVol),0)</f>
        <v>0</v>
      </c>
      <c r="EF32" s="34" t="n">
        <f aca="false">IF(EF$15=1,INDEX(Vol_O,12,EF$14)/12*(1+P_dVol),0)</f>
        <v>0</v>
      </c>
      <c r="EG32" s="34" t="n">
        <f aca="false">IF(EG$15=1,INDEX(Vol_O,12,EG$14)/12*(1+P_dVol),0)</f>
        <v>0</v>
      </c>
      <c r="EH32" s="34" t="n">
        <f aca="false">IF(EH$15=1,INDEX(Vol_O,12,EH$14)/12*(1+P_dVol),0)</f>
        <v>0</v>
      </c>
      <c r="EI32" s="34" t="n">
        <f aca="false">IF(EI$15=1,INDEX(Vol_O,12,EI$14)/12*(1+P_dVol),0)</f>
        <v>0</v>
      </c>
      <c r="EJ32" s="34" t="n">
        <f aca="false">IF(EJ$15=1,INDEX(Vol_O,12,EJ$14)/12*(1+P_dVol),0)</f>
        <v>0</v>
      </c>
      <c r="EK32" s="34" t="n">
        <f aca="false">IF(EK$15=1,INDEX(Vol_O,12,EK$14)/12*(1+P_dVol),0)</f>
        <v>0</v>
      </c>
      <c r="EL32" s="34" t="n">
        <f aca="false">IF(EL$15=1,INDEX(Vol_O,12,EL$14)/12*(1+P_dVol),0)</f>
        <v>0</v>
      </c>
      <c r="EM32" s="34" t="n">
        <f aca="false">IF(EM$15=1,INDEX(Vol_O,12,EM$14)/12*(1+P_dVol),0)</f>
        <v>0</v>
      </c>
      <c r="EN32" s="34" t="n">
        <f aca="false">IF(EN$15=1,INDEX(Vol_O,12,EN$14)/12*(1+P_dVol),0)</f>
        <v>0</v>
      </c>
      <c r="EO32" s="34" t="n">
        <f aca="false">IF(EO$15=1,INDEX(Vol_O,12,EO$14)/12*(1+P_dVol),0)</f>
        <v>0</v>
      </c>
      <c r="EP32" s="34" t="n">
        <f aca="false">IF(EP$15=1,INDEX(Vol_O,12,EP$14)/12*(1+P_dVol),0)</f>
        <v>0</v>
      </c>
      <c r="EQ32" s="34" t="n">
        <f aca="false">IF(EQ$15=1,INDEX(Vol_O,12,EQ$14)/12*(1+P_dVol),0)</f>
        <v>0</v>
      </c>
      <c r="ER32" s="34" t="n">
        <f aca="false">IF(ER$15=1,INDEX(Vol_O,12,ER$14)/12*(1+P_dVol),0)</f>
        <v>0</v>
      </c>
      <c r="ES32" s="34" t="n">
        <f aca="false">IF(ES$15=1,INDEX(Vol_O,12,ES$14)/12*(1+P_dVol),0)</f>
        <v>0</v>
      </c>
    </row>
    <row r="33" customFormat="false" ht="15" hidden="false" customHeight="false" outlineLevel="0" collapsed="false">
      <c r="A33" s="2" t="s">
        <v>570</v>
      </c>
      <c r="B33" s="39" t="str">
        <f aca="false">IF(INDEX(Prod_Nombre,1)="","Producto 1",INDEX(Prod_Nombre,1))&amp;" — ventas USD"</f>
        <v>Gabinetes metálicos 153 kg — ventas USD</v>
      </c>
      <c r="C33" s="6" t="s">
        <v>250</v>
      </c>
      <c r="E33" s="40" t="n">
        <f aca="false">SUM(F33:ES33)</f>
        <v>54428264.108153</v>
      </c>
      <c r="F33" s="34" t="n">
        <f aca="false">F$21*INDEX(Precio_O,1)*INDEX(IdxPrecio_O,1,MIN(10,F$17))*(1+P_dPrecio)</f>
        <v>270000</v>
      </c>
      <c r="G33" s="34" t="n">
        <f aca="false">G$21*INDEX(Precio_O,1)*INDEX(IdxPrecio_O,1,MIN(10,G$17))*(1+P_dPrecio)</f>
        <v>270000</v>
      </c>
      <c r="H33" s="34" t="n">
        <f aca="false">H$21*INDEX(Precio_O,1)*INDEX(IdxPrecio_O,1,MIN(10,H$17))*(1+P_dPrecio)</f>
        <v>270000</v>
      </c>
      <c r="I33" s="34" t="n">
        <f aca="false">I$21*INDEX(Precio_O,1)*INDEX(IdxPrecio_O,1,MIN(10,I$17))*(1+P_dPrecio)</f>
        <v>270000</v>
      </c>
      <c r="J33" s="34" t="n">
        <f aca="false">J$21*INDEX(Precio_O,1)*INDEX(IdxPrecio_O,1,MIN(10,J$17))*(1+P_dPrecio)</f>
        <v>270000</v>
      </c>
      <c r="K33" s="34" t="n">
        <f aca="false">K$21*INDEX(Precio_O,1)*INDEX(IdxPrecio_O,1,MIN(10,K$17))*(1+P_dPrecio)</f>
        <v>270000</v>
      </c>
      <c r="L33" s="34" t="n">
        <f aca="false">L$21*INDEX(Precio_O,1)*INDEX(IdxPrecio_O,1,MIN(10,L$17))*(1+P_dPrecio)</f>
        <v>270000</v>
      </c>
      <c r="M33" s="34" t="n">
        <f aca="false">M$21*INDEX(Precio_O,1)*INDEX(IdxPrecio_O,1,MIN(10,M$17))*(1+P_dPrecio)</f>
        <v>270000</v>
      </c>
      <c r="N33" s="34" t="n">
        <f aca="false">N$21*INDEX(Precio_O,1)*INDEX(IdxPrecio_O,1,MIN(10,N$17))*(1+P_dPrecio)</f>
        <v>270000</v>
      </c>
      <c r="O33" s="34" t="n">
        <f aca="false">O$21*INDEX(Precio_O,1)*INDEX(IdxPrecio_O,1,MIN(10,O$17))*(1+P_dPrecio)</f>
        <v>270000</v>
      </c>
      <c r="P33" s="34" t="n">
        <f aca="false">P$21*INDEX(Precio_O,1)*INDEX(IdxPrecio_O,1,MIN(10,P$17))*(1+P_dPrecio)</f>
        <v>270000</v>
      </c>
      <c r="Q33" s="34" t="n">
        <f aca="false">Q$21*INDEX(Precio_O,1)*INDEX(IdxPrecio_O,1,MIN(10,Q$17))*(1+P_dPrecio)</f>
        <v>270000</v>
      </c>
      <c r="R33" s="34" t="n">
        <f aca="false">R$21*INDEX(Precio_O,1)*INDEX(IdxPrecio_O,1,MIN(10,R$17))*(1+P_dPrecio)</f>
        <v>340875</v>
      </c>
      <c r="S33" s="34" t="n">
        <f aca="false">S$21*INDEX(Precio_O,1)*INDEX(IdxPrecio_O,1,MIN(10,S$17))*(1+P_dPrecio)</f>
        <v>340875</v>
      </c>
      <c r="T33" s="34" t="n">
        <f aca="false">T$21*INDEX(Precio_O,1)*INDEX(IdxPrecio_O,1,MIN(10,T$17))*(1+P_dPrecio)</f>
        <v>340875</v>
      </c>
      <c r="U33" s="34" t="n">
        <f aca="false">U$21*INDEX(Precio_O,1)*INDEX(IdxPrecio_O,1,MIN(10,U$17))*(1+P_dPrecio)</f>
        <v>340875</v>
      </c>
      <c r="V33" s="34" t="n">
        <f aca="false">V$21*INDEX(Precio_O,1)*INDEX(IdxPrecio_O,1,MIN(10,V$17))*(1+P_dPrecio)</f>
        <v>340875</v>
      </c>
      <c r="W33" s="34" t="n">
        <f aca="false">W$21*INDEX(Precio_O,1)*INDEX(IdxPrecio_O,1,MIN(10,W$17))*(1+P_dPrecio)</f>
        <v>340875</v>
      </c>
      <c r="X33" s="34" t="n">
        <f aca="false">X$21*INDEX(Precio_O,1)*INDEX(IdxPrecio_O,1,MIN(10,X$17))*(1+P_dPrecio)</f>
        <v>340875</v>
      </c>
      <c r="Y33" s="34" t="n">
        <f aca="false">Y$21*INDEX(Precio_O,1)*INDEX(IdxPrecio_O,1,MIN(10,Y$17))*(1+P_dPrecio)</f>
        <v>340875</v>
      </c>
      <c r="Z33" s="34" t="n">
        <f aca="false">Z$21*INDEX(Precio_O,1)*INDEX(IdxPrecio_O,1,MIN(10,Z$17))*(1+P_dPrecio)</f>
        <v>340875</v>
      </c>
      <c r="AA33" s="34" t="n">
        <f aca="false">AA$21*INDEX(Precio_O,1)*INDEX(IdxPrecio_O,1,MIN(10,AA$17))*(1+P_dPrecio)</f>
        <v>340875</v>
      </c>
      <c r="AB33" s="34" t="n">
        <f aca="false">AB$21*INDEX(Precio_O,1)*INDEX(IdxPrecio_O,1,MIN(10,AB$17))*(1+P_dPrecio)</f>
        <v>340875</v>
      </c>
      <c r="AC33" s="34" t="n">
        <f aca="false">AC$21*INDEX(Precio_O,1)*INDEX(IdxPrecio_O,1,MIN(10,AC$17))*(1+P_dPrecio)</f>
        <v>340875</v>
      </c>
      <c r="AD33" s="34" t="n">
        <f aca="false">AD$21*INDEX(Precio_O,1)*INDEX(IdxPrecio_O,1,MIN(10,AD$17))*(1+P_dPrecio)</f>
        <v>413140.5</v>
      </c>
      <c r="AE33" s="34" t="n">
        <f aca="false">AE$21*INDEX(Precio_O,1)*INDEX(IdxPrecio_O,1,MIN(10,AE$17))*(1+P_dPrecio)</f>
        <v>413140.5</v>
      </c>
      <c r="AF33" s="34" t="n">
        <f aca="false">AF$21*INDEX(Precio_O,1)*INDEX(IdxPrecio_O,1,MIN(10,AF$17))*(1+P_dPrecio)</f>
        <v>413140.5</v>
      </c>
      <c r="AG33" s="34" t="n">
        <f aca="false">AG$21*INDEX(Precio_O,1)*INDEX(IdxPrecio_O,1,MIN(10,AG$17))*(1+P_dPrecio)</f>
        <v>413140.5</v>
      </c>
      <c r="AH33" s="34" t="n">
        <f aca="false">AH$21*INDEX(Precio_O,1)*INDEX(IdxPrecio_O,1,MIN(10,AH$17))*(1+P_dPrecio)</f>
        <v>413140.5</v>
      </c>
      <c r="AI33" s="34" t="n">
        <f aca="false">AI$21*INDEX(Precio_O,1)*INDEX(IdxPrecio_O,1,MIN(10,AI$17))*(1+P_dPrecio)</f>
        <v>413140.5</v>
      </c>
      <c r="AJ33" s="34" t="n">
        <f aca="false">AJ$21*INDEX(Precio_O,1)*INDEX(IdxPrecio_O,1,MIN(10,AJ$17))*(1+P_dPrecio)</f>
        <v>413140.5</v>
      </c>
      <c r="AK33" s="34" t="n">
        <f aca="false">AK$21*INDEX(Precio_O,1)*INDEX(IdxPrecio_O,1,MIN(10,AK$17))*(1+P_dPrecio)</f>
        <v>413140.5</v>
      </c>
      <c r="AL33" s="34" t="n">
        <f aca="false">AL$21*INDEX(Precio_O,1)*INDEX(IdxPrecio_O,1,MIN(10,AL$17))*(1+P_dPrecio)</f>
        <v>413140.5</v>
      </c>
      <c r="AM33" s="34" t="n">
        <f aca="false">AM$21*INDEX(Precio_O,1)*INDEX(IdxPrecio_O,1,MIN(10,AM$17))*(1+P_dPrecio)</f>
        <v>413140.5</v>
      </c>
      <c r="AN33" s="34" t="n">
        <f aca="false">AN$21*INDEX(Precio_O,1)*INDEX(IdxPrecio_O,1,MIN(10,AN$17))*(1+P_dPrecio)</f>
        <v>413140.5</v>
      </c>
      <c r="AO33" s="34" t="n">
        <f aca="false">AO$21*INDEX(Precio_O,1)*INDEX(IdxPrecio_O,1,MIN(10,AO$17))*(1+P_dPrecio)</f>
        <v>413140.5</v>
      </c>
      <c r="AP33" s="34" t="n">
        <f aca="false">AP$21*INDEX(Precio_O,1)*INDEX(IdxPrecio_O,1,MIN(10,AP$17))*(1+P_dPrecio)</f>
        <v>486817.2225</v>
      </c>
      <c r="AQ33" s="34" t="n">
        <f aca="false">AQ$21*INDEX(Precio_O,1)*INDEX(IdxPrecio_O,1,MIN(10,AQ$17))*(1+P_dPrecio)</f>
        <v>486817.2225</v>
      </c>
      <c r="AR33" s="34" t="n">
        <f aca="false">AR$21*INDEX(Precio_O,1)*INDEX(IdxPrecio_O,1,MIN(10,AR$17))*(1+P_dPrecio)</f>
        <v>486817.2225</v>
      </c>
      <c r="AS33" s="34" t="n">
        <f aca="false">AS$21*INDEX(Precio_O,1)*INDEX(IdxPrecio_O,1,MIN(10,AS$17))*(1+P_dPrecio)</f>
        <v>486817.2225</v>
      </c>
      <c r="AT33" s="34" t="n">
        <f aca="false">AT$21*INDEX(Precio_O,1)*INDEX(IdxPrecio_O,1,MIN(10,AT$17))*(1+P_dPrecio)</f>
        <v>486817.2225</v>
      </c>
      <c r="AU33" s="34" t="n">
        <f aca="false">AU$21*INDEX(Precio_O,1)*INDEX(IdxPrecio_O,1,MIN(10,AU$17))*(1+P_dPrecio)</f>
        <v>486817.2225</v>
      </c>
      <c r="AV33" s="34" t="n">
        <f aca="false">AV$21*INDEX(Precio_O,1)*INDEX(IdxPrecio_O,1,MIN(10,AV$17))*(1+P_dPrecio)</f>
        <v>486817.2225</v>
      </c>
      <c r="AW33" s="34" t="n">
        <f aca="false">AW$21*INDEX(Precio_O,1)*INDEX(IdxPrecio_O,1,MIN(10,AW$17))*(1+P_dPrecio)</f>
        <v>486817.2225</v>
      </c>
      <c r="AX33" s="34" t="n">
        <f aca="false">AX$21*INDEX(Precio_O,1)*INDEX(IdxPrecio_O,1,MIN(10,AX$17))*(1+P_dPrecio)</f>
        <v>486817.2225</v>
      </c>
      <c r="AY33" s="34" t="n">
        <f aca="false">AY$21*INDEX(Precio_O,1)*INDEX(IdxPrecio_O,1,MIN(10,AY$17))*(1+P_dPrecio)</f>
        <v>486817.2225</v>
      </c>
      <c r="AZ33" s="34" t="n">
        <f aca="false">AZ$21*INDEX(Precio_O,1)*INDEX(IdxPrecio_O,1,MIN(10,AZ$17))*(1+P_dPrecio)</f>
        <v>486817.2225</v>
      </c>
      <c r="BA33" s="34" t="n">
        <f aca="false">BA$21*INDEX(Precio_O,1)*INDEX(IdxPrecio_O,1,MIN(10,BA$17))*(1+P_dPrecio)</f>
        <v>486817.2225</v>
      </c>
      <c r="BB33" s="34" t="n">
        <f aca="false">BB$21*INDEX(Precio_O,1)*INDEX(IdxPrecio_O,1,MIN(10,BB$17))*(1+P_dPrecio)</f>
        <v>491685.394725</v>
      </c>
      <c r="BC33" s="34" t="n">
        <f aca="false">BC$21*INDEX(Precio_O,1)*INDEX(IdxPrecio_O,1,MIN(10,BC$17))*(1+P_dPrecio)</f>
        <v>491685.394725</v>
      </c>
      <c r="BD33" s="34" t="n">
        <f aca="false">BD$21*INDEX(Precio_O,1)*INDEX(IdxPrecio_O,1,MIN(10,BD$17))*(1+P_dPrecio)</f>
        <v>491685.394725</v>
      </c>
      <c r="BE33" s="34" t="n">
        <f aca="false">BE$21*INDEX(Precio_O,1)*INDEX(IdxPrecio_O,1,MIN(10,BE$17))*(1+P_dPrecio)</f>
        <v>491685.394725</v>
      </c>
      <c r="BF33" s="34" t="n">
        <f aca="false">BF$21*INDEX(Precio_O,1)*INDEX(IdxPrecio_O,1,MIN(10,BF$17))*(1+P_dPrecio)</f>
        <v>491685.394725</v>
      </c>
      <c r="BG33" s="34" t="n">
        <f aca="false">BG$21*INDEX(Precio_O,1)*INDEX(IdxPrecio_O,1,MIN(10,BG$17))*(1+P_dPrecio)</f>
        <v>491685.394725</v>
      </c>
      <c r="BH33" s="34" t="n">
        <f aca="false">BH$21*INDEX(Precio_O,1)*INDEX(IdxPrecio_O,1,MIN(10,BH$17))*(1+P_dPrecio)</f>
        <v>491685.394725</v>
      </c>
      <c r="BI33" s="34" t="n">
        <f aca="false">BI$21*INDEX(Precio_O,1)*INDEX(IdxPrecio_O,1,MIN(10,BI$17))*(1+P_dPrecio)</f>
        <v>491685.394725</v>
      </c>
      <c r="BJ33" s="34" t="n">
        <f aca="false">BJ$21*INDEX(Precio_O,1)*INDEX(IdxPrecio_O,1,MIN(10,BJ$17))*(1+P_dPrecio)</f>
        <v>491685.394725</v>
      </c>
      <c r="BK33" s="34" t="n">
        <f aca="false">BK$21*INDEX(Precio_O,1)*INDEX(IdxPrecio_O,1,MIN(10,BK$17))*(1+P_dPrecio)</f>
        <v>491685.394725</v>
      </c>
      <c r="BL33" s="34" t="n">
        <f aca="false">BL$21*INDEX(Precio_O,1)*INDEX(IdxPrecio_O,1,MIN(10,BL$17))*(1+P_dPrecio)</f>
        <v>491685.394725</v>
      </c>
      <c r="BM33" s="34" t="n">
        <f aca="false">BM$21*INDEX(Precio_O,1)*INDEX(IdxPrecio_O,1,MIN(10,BM$17))*(1+P_dPrecio)</f>
        <v>491685.394725</v>
      </c>
      <c r="BN33" s="34" t="n">
        <f aca="false">BN$21*INDEX(Precio_O,1)*INDEX(IdxPrecio_O,1,MIN(10,BN$17))*(1+P_dPrecio)</f>
        <v>496602.24867225</v>
      </c>
      <c r="BO33" s="34" t="n">
        <f aca="false">BO$21*INDEX(Precio_O,1)*INDEX(IdxPrecio_O,1,MIN(10,BO$17))*(1+P_dPrecio)</f>
        <v>496602.24867225</v>
      </c>
      <c r="BP33" s="34" t="n">
        <f aca="false">BP$21*INDEX(Precio_O,1)*INDEX(IdxPrecio_O,1,MIN(10,BP$17))*(1+P_dPrecio)</f>
        <v>496602.24867225</v>
      </c>
      <c r="BQ33" s="34" t="n">
        <f aca="false">BQ$21*INDEX(Precio_O,1)*INDEX(IdxPrecio_O,1,MIN(10,BQ$17))*(1+P_dPrecio)</f>
        <v>496602.24867225</v>
      </c>
      <c r="BR33" s="34" t="n">
        <f aca="false">BR$21*INDEX(Precio_O,1)*INDEX(IdxPrecio_O,1,MIN(10,BR$17))*(1+P_dPrecio)</f>
        <v>496602.24867225</v>
      </c>
      <c r="BS33" s="34" t="n">
        <f aca="false">BS$21*INDEX(Precio_O,1)*INDEX(IdxPrecio_O,1,MIN(10,BS$17))*(1+P_dPrecio)</f>
        <v>496602.24867225</v>
      </c>
      <c r="BT33" s="34" t="n">
        <f aca="false">BT$21*INDEX(Precio_O,1)*INDEX(IdxPrecio_O,1,MIN(10,BT$17))*(1+P_dPrecio)</f>
        <v>496602.24867225</v>
      </c>
      <c r="BU33" s="34" t="n">
        <f aca="false">BU$21*INDEX(Precio_O,1)*INDEX(IdxPrecio_O,1,MIN(10,BU$17))*(1+P_dPrecio)</f>
        <v>496602.24867225</v>
      </c>
      <c r="BV33" s="34" t="n">
        <f aca="false">BV$21*INDEX(Precio_O,1)*INDEX(IdxPrecio_O,1,MIN(10,BV$17))*(1+P_dPrecio)</f>
        <v>496602.24867225</v>
      </c>
      <c r="BW33" s="34" t="n">
        <f aca="false">BW$21*INDEX(Precio_O,1)*INDEX(IdxPrecio_O,1,MIN(10,BW$17))*(1+P_dPrecio)</f>
        <v>496602.24867225</v>
      </c>
      <c r="BX33" s="34" t="n">
        <f aca="false">BX$21*INDEX(Precio_O,1)*INDEX(IdxPrecio_O,1,MIN(10,BX$17))*(1+P_dPrecio)</f>
        <v>496602.24867225</v>
      </c>
      <c r="BY33" s="34" t="n">
        <f aca="false">BY$21*INDEX(Precio_O,1)*INDEX(IdxPrecio_O,1,MIN(10,BY$17))*(1+P_dPrecio)</f>
        <v>496602.24867225</v>
      </c>
      <c r="BZ33" s="34" t="n">
        <f aca="false">BZ$21*INDEX(Precio_O,1)*INDEX(IdxPrecio_O,1,MIN(10,BZ$17))*(1+P_dPrecio)</f>
        <v>501568.271158972</v>
      </c>
      <c r="CA33" s="34" t="n">
        <f aca="false">CA$21*INDEX(Precio_O,1)*INDEX(IdxPrecio_O,1,MIN(10,CA$17))*(1+P_dPrecio)</f>
        <v>501568.271158972</v>
      </c>
      <c r="CB33" s="34" t="n">
        <f aca="false">CB$21*INDEX(Precio_O,1)*INDEX(IdxPrecio_O,1,MIN(10,CB$17))*(1+P_dPrecio)</f>
        <v>501568.271158972</v>
      </c>
      <c r="CC33" s="34" t="n">
        <f aca="false">CC$21*INDEX(Precio_O,1)*INDEX(IdxPrecio_O,1,MIN(10,CC$17))*(1+P_dPrecio)</f>
        <v>501568.271158972</v>
      </c>
      <c r="CD33" s="34" t="n">
        <f aca="false">CD$21*INDEX(Precio_O,1)*INDEX(IdxPrecio_O,1,MIN(10,CD$17))*(1+P_dPrecio)</f>
        <v>501568.271158972</v>
      </c>
      <c r="CE33" s="34" t="n">
        <f aca="false">CE$21*INDEX(Precio_O,1)*INDEX(IdxPrecio_O,1,MIN(10,CE$17))*(1+P_dPrecio)</f>
        <v>501568.271158972</v>
      </c>
      <c r="CF33" s="34" t="n">
        <f aca="false">CF$21*INDEX(Precio_O,1)*INDEX(IdxPrecio_O,1,MIN(10,CF$17))*(1+P_dPrecio)</f>
        <v>501568.271158972</v>
      </c>
      <c r="CG33" s="34" t="n">
        <f aca="false">CG$21*INDEX(Precio_O,1)*INDEX(IdxPrecio_O,1,MIN(10,CG$17))*(1+P_dPrecio)</f>
        <v>501568.271158972</v>
      </c>
      <c r="CH33" s="34" t="n">
        <f aca="false">CH$21*INDEX(Precio_O,1)*INDEX(IdxPrecio_O,1,MIN(10,CH$17))*(1+P_dPrecio)</f>
        <v>501568.271158972</v>
      </c>
      <c r="CI33" s="34" t="n">
        <f aca="false">CI$21*INDEX(Precio_O,1)*INDEX(IdxPrecio_O,1,MIN(10,CI$17))*(1+P_dPrecio)</f>
        <v>501568.271158972</v>
      </c>
      <c r="CJ33" s="34" t="n">
        <f aca="false">CJ$21*INDEX(Precio_O,1)*INDEX(IdxPrecio_O,1,MIN(10,CJ$17))*(1+P_dPrecio)</f>
        <v>501568.271158972</v>
      </c>
      <c r="CK33" s="34" t="n">
        <f aca="false">CK$21*INDEX(Precio_O,1)*INDEX(IdxPrecio_O,1,MIN(10,CK$17))*(1+P_dPrecio)</f>
        <v>501568.271158972</v>
      </c>
      <c r="CL33" s="34" t="n">
        <f aca="false">CL$21*INDEX(Precio_O,1)*INDEX(IdxPrecio_O,1,MIN(10,CL$17))*(1+P_dPrecio)</f>
        <v>506583.953870562</v>
      </c>
      <c r="CM33" s="34" t="n">
        <f aca="false">CM$21*INDEX(Precio_O,1)*INDEX(IdxPrecio_O,1,MIN(10,CM$17))*(1+P_dPrecio)</f>
        <v>506583.953870562</v>
      </c>
      <c r="CN33" s="34" t="n">
        <f aca="false">CN$21*INDEX(Precio_O,1)*INDEX(IdxPrecio_O,1,MIN(10,CN$17))*(1+P_dPrecio)</f>
        <v>506583.953870562</v>
      </c>
      <c r="CO33" s="34" t="n">
        <f aca="false">CO$21*INDEX(Precio_O,1)*INDEX(IdxPrecio_O,1,MIN(10,CO$17))*(1+P_dPrecio)</f>
        <v>506583.953870562</v>
      </c>
      <c r="CP33" s="34" t="n">
        <f aca="false">CP$21*INDEX(Precio_O,1)*INDEX(IdxPrecio_O,1,MIN(10,CP$17))*(1+P_dPrecio)</f>
        <v>506583.953870562</v>
      </c>
      <c r="CQ33" s="34" t="n">
        <f aca="false">CQ$21*INDEX(Precio_O,1)*INDEX(IdxPrecio_O,1,MIN(10,CQ$17))*(1+P_dPrecio)</f>
        <v>506583.953870562</v>
      </c>
      <c r="CR33" s="34" t="n">
        <f aca="false">CR$21*INDEX(Precio_O,1)*INDEX(IdxPrecio_O,1,MIN(10,CR$17))*(1+P_dPrecio)</f>
        <v>506583.953870562</v>
      </c>
      <c r="CS33" s="34" t="n">
        <f aca="false">CS$21*INDEX(Precio_O,1)*INDEX(IdxPrecio_O,1,MIN(10,CS$17))*(1+P_dPrecio)</f>
        <v>506583.953870562</v>
      </c>
      <c r="CT33" s="34" t="n">
        <f aca="false">CT$21*INDEX(Precio_O,1)*INDEX(IdxPrecio_O,1,MIN(10,CT$17))*(1+P_dPrecio)</f>
        <v>506583.953870562</v>
      </c>
      <c r="CU33" s="34" t="n">
        <f aca="false">CU$21*INDEX(Precio_O,1)*INDEX(IdxPrecio_O,1,MIN(10,CU$17))*(1+P_dPrecio)</f>
        <v>506583.953870562</v>
      </c>
      <c r="CV33" s="34" t="n">
        <f aca="false">CV$21*INDEX(Precio_O,1)*INDEX(IdxPrecio_O,1,MIN(10,CV$17))*(1+P_dPrecio)</f>
        <v>506583.953870562</v>
      </c>
      <c r="CW33" s="34" t="n">
        <f aca="false">CW$21*INDEX(Precio_O,1)*INDEX(IdxPrecio_O,1,MIN(10,CW$17))*(1+P_dPrecio)</f>
        <v>506583.953870562</v>
      </c>
      <c r="CX33" s="34" t="n">
        <f aca="false">CX$21*INDEX(Precio_O,1)*INDEX(IdxPrecio_O,1,MIN(10,CX$17))*(1+P_dPrecio)</f>
        <v>511649.793409268</v>
      </c>
      <c r="CY33" s="34" t="n">
        <f aca="false">CY$21*INDEX(Precio_O,1)*INDEX(IdxPrecio_O,1,MIN(10,CY$17))*(1+P_dPrecio)</f>
        <v>511649.793409268</v>
      </c>
      <c r="CZ33" s="34" t="n">
        <f aca="false">CZ$21*INDEX(Precio_O,1)*INDEX(IdxPrecio_O,1,MIN(10,CZ$17))*(1+P_dPrecio)</f>
        <v>511649.793409268</v>
      </c>
      <c r="DA33" s="34" t="n">
        <f aca="false">DA$21*INDEX(Precio_O,1)*INDEX(IdxPrecio_O,1,MIN(10,DA$17))*(1+P_dPrecio)</f>
        <v>511649.793409268</v>
      </c>
      <c r="DB33" s="34" t="n">
        <f aca="false">DB$21*INDEX(Precio_O,1)*INDEX(IdxPrecio_O,1,MIN(10,DB$17))*(1+P_dPrecio)</f>
        <v>511649.793409268</v>
      </c>
      <c r="DC33" s="34" t="n">
        <f aca="false">DC$21*INDEX(Precio_O,1)*INDEX(IdxPrecio_O,1,MIN(10,DC$17))*(1+P_dPrecio)</f>
        <v>511649.793409268</v>
      </c>
      <c r="DD33" s="34" t="n">
        <f aca="false">DD$21*INDEX(Precio_O,1)*INDEX(IdxPrecio_O,1,MIN(10,DD$17))*(1+P_dPrecio)</f>
        <v>511649.793409268</v>
      </c>
      <c r="DE33" s="34" t="n">
        <f aca="false">DE$21*INDEX(Precio_O,1)*INDEX(IdxPrecio_O,1,MIN(10,DE$17))*(1+P_dPrecio)</f>
        <v>511649.793409268</v>
      </c>
      <c r="DF33" s="34" t="n">
        <f aca="false">DF$21*INDEX(Precio_O,1)*INDEX(IdxPrecio_O,1,MIN(10,DF$17))*(1+P_dPrecio)</f>
        <v>511649.793409268</v>
      </c>
      <c r="DG33" s="34" t="n">
        <f aca="false">DG$21*INDEX(Precio_O,1)*INDEX(IdxPrecio_O,1,MIN(10,DG$17))*(1+P_dPrecio)</f>
        <v>511649.793409268</v>
      </c>
      <c r="DH33" s="34" t="n">
        <f aca="false">DH$21*INDEX(Precio_O,1)*INDEX(IdxPrecio_O,1,MIN(10,DH$17))*(1+P_dPrecio)</f>
        <v>511649.793409268</v>
      </c>
      <c r="DI33" s="34" t="n">
        <f aca="false">DI$21*INDEX(Precio_O,1)*INDEX(IdxPrecio_O,1,MIN(10,DI$17))*(1+P_dPrecio)</f>
        <v>511649.793409268</v>
      </c>
      <c r="DJ33" s="34" t="n">
        <f aca="false">DJ$21*INDEX(Precio_O,1)*INDEX(IdxPrecio_O,1,MIN(10,DJ$17))*(1+P_dPrecio)</f>
        <v>516766.291343361</v>
      </c>
      <c r="DK33" s="34" t="n">
        <f aca="false">DK$21*INDEX(Precio_O,1)*INDEX(IdxPrecio_O,1,MIN(10,DK$17))*(1+P_dPrecio)</f>
        <v>516766.291343361</v>
      </c>
      <c r="DL33" s="34" t="n">
        <f aca="false">DL$21*INDEX(Precio_O,1)*INDEX(IdxPrecio_O,1,MIN(10,DL$17))*(1+P_dPrecio)</f>
        <v>516766.291343361</v>
      </c>
      <c r="DM33" s="34" t="n">
        <f aca="false">DM$21*INDEX(Precio_O,1)*INDEX(IdxPrecio_O,1,MIN(10,DM$17))*(1+P_dPrecio)</f>
        <v>516766.291343361</v>
      </c>
      <c r="DN33" s="34" t="n">
        <f aca="false">DN$21*INDEX(Precio_O,1)*INDEX(IdxPrecio_O,1,MIN(10,DN$17))*(1+P_dPrecio)</f>
        <v>516766.291343361</v>
      </c>
      <c r="DO33" s="34" t="n">
        <f aca="false">DO$21*INDEX(Precio_O,1)*INDEX(IdxPrecio_O,1,MIN(10,DO$17))*(1+P_dPrecio)</f>
        <v>516766.291343361</v>
      </c>
      <c r="DP33" s="34" t="n">
        <f aca="false">DP$21*INDEX(Precio_O,1)*INDEX(IdxPrecio_O,1,MIN(10,DP$17))*(1+P_dPrecio)</f>
        <v>516766.291343361</v>
      </c>
      <c r="DQ33" s="34" t="n">
        <f aca="false">DQ$21*INDEX(Precio_O,1)*INDEX(IdxPrecio_O,1,MIN(10,DQ$17))*(1+P_dPrecio)</f>
        <v>516766.291343361</v>
      </c>
      <c r="DR33" s="34" t="n">
        <f aca="false">DR$21*INDEX(Precio_O,1)*INDEX(IdxPrecio_O,1,MIN(10,DR$17))*(1+P_dPrecio)</f>
        <v>516766.291343361</v>
      </c>
      <c r="DS33" s="34" t="n">
        <f aca="false">DS$21*INDEX(Precio_O,1)*INDEX(IdxPrecio_O,1,MIN(10,DS$17))*(1+P_dPrecio)</f>
        <v>516766.291343361</v>
      </c>
      <c r="DT33" s="34" t="n">
        <f aca="false">DT$21*INDEX(Precio_O,1)*INDEX(IdxPrecio_O,1,MIN(10,DT$17))*(1+P_dPrecio)</f>
        <v>516766.291343361</v>
      </c>
      <c r="DU33" s="34" t="n">
        <f aca="false">DU$21*INDEX(Precio_O,1)*INDEX(IdxPrecio_O,1,MIN(10,DU$17))*(1+P_dPrecio)</f>
        <v>516766.291343361</v>
      </c>
      <c r="DV33" s="34" t="n">
        <f aca="false">DV$21*INDEX(Precio_O,1)*INDEX(IdxPrecio_O,1,MIN(10,DV$17))*(1+P_dPrecio)</f>
        <v>0</v>
      </c>
      <c r="DW33" s="34" t="n">
        <f aca="false">DW$21*INDEX(Precio_O,1)*INDEX(IdxPrecio_O,1,MIN(10,DW$17))*(1+P_dPrecio)</f>
        <v>0</v>
      </c>
      <c r="DX33" s="34" t="n">
        <f aca="false">DX$21*INDEX(Precio_O,1)*INDEX(IdxPrecio_O,1,MIN(10,DX$17))*(1+P_dPrecio)</f>
        <v>0</v>
      </c>
      <c r="DY33" s="34" t="n">
        <f aca="false">DY$21*INDEX(Precio_O,1)*INDEX(IdxPrecio_O,1,MIN(10,DY$17))*(1+P_dPrecio)</f>
        <v>0</v>
      </c>
      <c r="DZ33" s="34" t="n">
        <f aca="false">DZ$21*INDEX(Precio_O,1)*INDEX(IdxPrecio_O,1,MIN(10,DZ$17))*(1+P_dPrecio)</f>
        <v>0</v>
      </c>
      <c r="EA33" s="34" t="n">
        <f aca="false">EA$21*INDEX(Precio_O,1)*INDEX(IdxPrecio_O,1,MIN(10,EA$17))*(1+P_dPrecio)</f>
        <v>0</v>
      </c>
      <c r="EB33" s="34" t="n">
        <f aca="false">EB$21*INDEX(Precio_O,1)*INDEX(IdxPrecio_O,1,MIN(10,EB$17))*(1+P_dPrecio)</f>
        <v>0</v>
      </c>
      <c r="EC33" s="34" t="n">
        <f aca="false">EC$21*INDEX(Precio_O,1)*INDEX(IdxPrecio_O,1,MIN(10,EC$17))*(1+P_dPrecio)</f>
        <v>0</v>
      </c>
      <c r="ED33" s="34" t="n">
        <f aca="false">ED$21*INDEX(Precio_O,1)*INDEX(IdxPrecio_O,1,MIN(10,ED$17))*(1+P_dPrecio)</f>
        <v>0</v>
      </c>
      <c r="EE33" s="34" t="n">
        <f aca="false">EE$21*INDEX(Precio_O,1)*INDEX(IdxPrecio_O,1,MIN(10,EE$17))*(1+P_dPrecio)</f>
        <v>0</v>
      </c>
      <c r="EF33" s="34" t="n">
        <f aca="false">EF$21*INDEX(Precio_O,1)*INDEX(IdxPrecio_O,1,MIN(10,EF$17))*(1+P_dPrecio)</f>
        <v>0</v>
      </c>
      <c r="EG33" s="34" t="n">
        <f aca="false">EG$21*INDEX(Precio_O,1)*INDEX(IdxPrecio_O,1,MIN(10,EG$17))*(1+P_dPrecio)</f>
        <v>0</v>
      </c>
      <c r="EH33" s="34" t="n">
        <f aca="false">EH$21*INDEX(Precio_O,1)*INDEX(IdxPrecio_O,1,MIN(10,EH$17))*(1+P_dPrecio)</f>
        <v>0</v>
      </c>
      <c r="EI33" s="34" t="n">
        <f aca="false">EI$21*INDEX(Precio_O,1)*INDEX(IdxPrecio_O,1,MIN(10,EI$17))*(1+P_dPrecio)</f>
        <v>0</v>
      </c>
      <c r="EJ33" s="34" t="n">
        <f aca="false">EJ$21*INDEX(Precio_O,1)*INDEX(IdxPrecio_O,1,MIN(10,EJ$17))*(1+P_dPrecio)</f>
        <v>0</v>
      </c>
      <c r="EK33" s="34" t="n">
        <f aca="false">EK$21*INDEX(Precio_O,1)*INDEX(IdxPrecio_O,1,MIN(10,EK$17))*(1+P_dPrecio)</f>
        <v>0</v>
      </c>
      <c r="EL33" s="34" t="n">
        <f aca="false">EL$21*INDEX(Precio_O,1)*INDEX(IdxPrecio_O,1,MIN(10,EL$17))*(1+P_dPrecio)</f>
        <v>0</v>
      </c>
      <c r="EM33" s="34" t="n">
        <f aca="false">EM$21*INDEX(Precio_O,1)*INDEX(IdxPrecio_O,1,MIN(10,EM$17))*(1+P_dPrecio)</f>
        <v>0</v>
      </c>
      <c r="EN33" s="34" t="n">
        <f aca="false">EN$21*INDEX(Precio_O,1)*INDEX(IdxPrecio_O,1,MIN(10,EN$17))*(1+P_dPrecio)</f>
        <v>0</v>
      </c>
      <c r="EO33" s="34" t="n">
        <f aca="false">EO$21*INDEX(Precio_O,1)*INDEX(IdxPrecio_O,1,MIN(10,EO$17))*(1+P_dPrecio)</f>
        <v>0</v>
      </c>
      <c r="EP33" s="34" t="n">
        <f aca="false">EP$21*INDEX(Precio_O,1)*INDEX(IdxPrecio_O,1,MIN(10,EP$17))*(1+P_dPrecio)</f>
        <v>0</v>
      </c>
      <c r="EQ33" s="34" t="n">
        <f aca="false">EQ$21*INDEX(Precio_O,1)*INDEX(IdxPrecio_O,1,MIN(10,EQ$17))*(1+P_dPrecio)</f>
        <v>0</v>
      </c>
      <c r="ER33" s="34" t="n">
        <f aca="false">ER$21*INDEX(Precio_O,1)*INDEX(IdxPrecio_O,1,MIN(10,ER$17))*(1+P_dPrecio)</f>
        <v>0</v>
      </c>
      <c r="ES33" s="34" t="n">
        <f aca="false">ES$21*INDEX(Precio_O,1)*INDEX(IdxPrecio_O,1,MIN(10,ES$17))*(1+P_dPrecio)</f>
        <v>0</v>
      </c>
    </row>
    <row r="34" customFormat="false" ht="15" hidden="false" customHeight="false" outlineLevel="0" collapsed="false">
      <c r="A34" s="2" t="s">
        <v>571</v>
      </c>
      <c r="B34" s="39" t="str">
        <f aca="false">IF(INDEX(Prod_Nombre,2)="","Producto 2",INDEX(Prod_Nombre,2))&amp;" — ventas USD"</f>
        <v>Cajas metálicas 13 kg — ventas USD</v>
      </c>
      <c r="C34" s="6" t="s">
        <v>250</v>
      </c>
      <c r="E34" s="40" t="n">
        <f aca="false">SUM(F34:ES34)</f>
        <v>26794183.6134924</v>
      </c>
      <c r="F34" s="34" t="n">
        <f aca="false">F$22*INDEX(Precio_O,2)*INDEX(IdxPrecio_O,1,MIN(10,F$17))*(1+P_dPrecio)</f>
        <v>134166.666666667</v>
      </c>
      <c r="G34" s="34" t="n">
        <f aca="false">G$22*INDEX(Precio_O,2)*INDEX(IdxPrecio_O,1,MIN(10,G$17))*(1+P_dPrecio)</f>
        <v>134166.666666667</v>
      </c>
      <c r="H34" s="34" t="n">
        <f aca="false">H$22*INDEX(Precio_O,2)*INDEX(IdxPrecio_O,1,MIN(10,H$17))*(1+P_dPrecio)</f>
        <v>134166.666666667</v>
      </c>
      <c r="I34" s="34" t="n">
        <f aca="false">I$22*INDEX(Precio_O,2)*INDEX(IdxPrecio_O,1,MIN(10,I$17))*(1+P_dPrecio)</f>
        <v>134166.666666667</v>
      </c>
      <c r="J34" s="34" t="n">
        <f aca="false">J$22*INDEX(Precio_O,2)*INDEX(IdxPrecio_O,1,MIN(10,J$17))*(1+P_dPrecio)</f>
        <v>134166.666666667</v>
      </c>
      <c r="K34" s="34" t="n">
        <f aca="false">K$22*INDEX(Precio_O,2)*INDEX(IdxPrecio_O,1,MIN(10,K$17))*(1+P_dPrecio)</f>
        <v>134166.666666667</v>
      </c>
      <c r="L34" s="34" t="n">
        <f aca="false">L$22*INDEX(Precio_O,2)*INDEX(IdxPrecio_O,1,MIN(10,L$17))*(1+P_dPrecio)</f>
        <v>134166.666666667</v>
      </c>
      <c r="M34" s="34" t="n">
        <f aca="false">M$22*INDEX(Precio_O,2)*INDEX(IdxPrecio_O,1,MIN(10,M$17))*(1+P_dPrecio)</f>
        <v>134166.666666667</v>
      </c>
      <c r="N34" s="34" t="n">
        <f aca="false">N$22*INDEX(Precio_O,2)*INDEX(IdxPrecio_O,1,MIN(10,N$17))*(1+P_dPrecio)</f>
        <v>134166.666666667</v>
      </c>
      <c r="O34" s="34" t="n">
        <f aca="false">O$22*INDEX(Precio_O,2)*INDEX(IdxPrecio_O,1,MIN(10,O$17))*(1+P_dPrecio)</f>
        <v>134166.666666667</v>
      </c>
      <c r="P34" s="34" t="n">
        <f aca="false">P$22*INDEX(Precio_O,2)*INDEX(IdxPrecio_O,1,MIN(10,P$17))*(1+P_dPrecio)</f>
        <v>134166.666666667</v>
      </c>
      <c r="Q34" s="34" t="n">
        <f aca="false">Q$22*INDEX(Precio_O,2)*INDEX(IdxPrecio_O,1,MIN(10,Q$17))*(1+P_dPrecio)</f>
        <v>134166.666666667</v>
      </c>
      <c r="R34" s="34" t="n">
        <f aca="false">R$22*INDEX(Precio_O,2)*INDEX(IdxPrecio_O,1,MIN(10,R$17))*(1+P_dPrecio)</f>
        <v>174225</v>
      </c>
      <c r="S34" s="34" t="n">
        <f aca="false">S$22*INDEX(Precio_O,2)*INDEX(IdxPrecio_O,1,MIN(10,S$17))*(1+P_dPrecio)</f>
        <v>174225</v>
      </c>
      <c r="T34" s="34" t="n">
        <f aca="false">T$22*INDEX(Precio_O,2)*INDEX(IdxPrecio_O,1,MIN(10,T$17))*(1+P_dPrecio)</f>
        <v>174225</v>
      </c>
      <c r="U34" s="34" t="n">
        <f aca="false">U$22*INDEX(Precio_O,2)*INDEX(IdxPrecio_O,1,MIN(10,U$17))*(1+P_dPrecio)</f>
        <v>174225</v>
      </c>
      <c r="V34" s="34" t="n">
        <f aca="false">V$22*INDEX(Precio_O,2)*INDEX(IdxPrecio_O,1,MIN(10,V$17))*(1+P_dPrecio)</f>
        <v>174225</v>
      </c>
      <c r="W34" s="34" t="n">
        <f aca="false">W$22*INDEX(Precio_O,2)*INDEX(IdxPrecio_O,1,MIN(10,W$17))*(1+P_dPrecio)</f>
        <v>174225</v>
      </c>
      <c r="X34" s="34" t="n">
        <f aca="false">X$22*INDEX(Precio_O,2)*INDEX(IdxPrecio_O,1,MIN(10,X$17))*(1+P_dPrecio)</f>
        <v>174225</v>
      </c>
      <c r="Y34" s="34" t="n">
        <f aca="false">Y$22*INDEX(Precio_O,2)*INDEX(IdxPrecio_O,1,MIN(10,Y$17))*(1+P_dPrecio)</f>
        <v>174225</v>
      </c>
      <c r="Z34" s="34" t="n">
        <f aca="false">Z$22*INDEX(Precio_O,2)*INDEX(IdxPrecio_O,1,MIN(10,Z$17))*(1+P_dPrecio)</f>
        <v>174225</v>
      </c>
      <c r="AA34" s="34" t="n">
        <f aca="false">AA$22*INDEX(Precio_O,2)*INDEX(IdxPrecio_O,1,MIN(10,AA$17))*(1+P_dPrecio)</f>
        <v>174225</v>
      </c>
      <c r="AB34" s="34" t="n">
        <f aca="false">AB$22*INDEX(Precio_O,2)*INDEX(IdxPrecio_O,1,MIN(10,AB$17))*(1+P_dPrecio)</f>
        <v>174225</v>
      </c>
      <c r="AC34" s="34" t="n">
        <f aca="false">AC$22*INDEX(Precio_O,2)*INDEX(IdxPrecio_O,1,MIN(10,AC$17))*(1+P_dPrecio)</f>
        <v>174225</v>
      </c>
      <c r="AD34" s="34" t="n">
        <f aca="false">AD$22*INDEX(Precio_O,2)*INDEX(IdxPrecio_O,1,MIN(10,AD$17))*(1+P_dPrecio)</f>
        <v>215071.083333333</v>
      </c>
      <c r="AE34" s="34" t="n">
        <f aca="false">AE$22*INDEX(Precio_O,2)*INDEX(IdxPrecio_O,1,MIN(10,AE$17))*(1+P_dPrecio)</f>
        <v>215071.083333333</v>
      </c>
      <c r="AF34" s="34" t="n">
        <f aca="false">AF$22*INDEX(Precio_O,2)*INDEX(IdxPrecio_O,1,MIN(10,AF$17))*(1+P_dPrecio)</f>
        <v>215071.083333333</v>
      </c>
      <c r="AG34" s="34" t="n">
        <f aca="false">AG$22*INDEX(Precio_O,2)*INDEX(IdxPrecio_O,1,MIN(10,AG$17))*(1+P_dPrecio)</f>
        <v>215071.083333333</v>
      </c>
      <c r="AH34" s="34" t="n">
        <f aca="false">AH$22*INDEX(Precio_O,2)*INDEX(IdxPrecio_O,1,MIN(10,AH$17))*(1+P_dPrecio)</f>
        <v>215071.083333333</v>
      </c>
      <c r="AI34" s="34" t="n">
        <f aca="false">AI$22*INDEX(Precio_O,2)*INDEX(IdxPrecio_O,1,MIN(10,AI$17))*(1+P_dPrecio)</f>
        <v>215071.083333333</v>
      </c>
      <c r="AJ34" s="34" t="n">
        <f aca="false">AJ$22*INDEX(Precio_O,2)*INDEX(IdxPrecio_O,1,MIN(10,AJ$17))*(1+P_dPrecio)</f>
        <v>215071.083333333</v>
      </c>
      <c r="AK34" s="34" t="n">
        <f aca="false">AK$22*INDEX(Precio_O,2)*INDEX(IdxPrecio_O,1,MIN(10,AK$17))*(1+P_dPrecio)</f>
        <v>215071.083333333</v>
      </c>
      <c r="AL34" s="34" t="n">
        <f aca="false">AL$22*INDEX(Precio_O,2)*INDEX(IdxPrecio_O,1,MIN(10,AL$17))*(1+P_dPrecio)</f>
        <v>215071.083333333</v>
      </c>
      <c r="AM34" s="34" t="n">
        <f aca="false">AM$22*INDEX(Precio_O,2)*INDEX(IdxPrecio_O,1,MIN(10,AM$17))*(1+P_dPrecio)</f>
        <v>215071.083333333</v>
      </c>
      <c r="AN34" s="34" t="n">
        <f aca="false">AN$22*INDEX(Precio_O,2)*INDEX(IdxPrecio_O,1,MIN(10,AN$17))*(1+P_dPrecio)</f>
        <v>215071.083333333</v>
      </c>
      <c r="AO34" s="34" t="n">
        <f aca="false">AO$22*INDEX(Precio_O,2)*INDEX(IdxPrecio_O,1,MIN(10,AO$17))*(1+P_dPrecio)</f>
        <v>215071.083333333</v>
      </c>
      <c r="AP34" s="34" t="n">
        <f aca="false">AP$22*INDEX(Precio_O,2)*INDEX(IdxPrecio_O,1,MIN(10,AP$17))*(1+P_dPrecio)</f>
        <v>236969.23</v>
      </c>
      <c r="AQ34" s="34" t="n">
        <f aca="false">AQ$22*INDEX(Precio_O,2)*INDEX(IdxPrecio_O,1,MIN(10,AQ$17))*(1+P_dPrecio)</f>
        <v>236969.23</v>
      </c>
      <c r="AR34" s="34" t="n">
        <f aca="false">AR$22*INDEX(Precio_O,2)*INDEX(IdxPrecio_O,1,MIN(10,AR$17))*(1+P_dPrecio)</f>
        <v>236969.23</v>
      </c>
      <c r="AS34" s="34" t="n">
        <f aca="false">AS$22*INDEX(Precio_O,2)*INDEX(IdxPrecio_O,1,MIN(10,AS$17))*(1+P_dPrecio)</f>
        <v>236969.23</v>
      </c>
      <c r="AT34" s="34" t="n">
        <f aca="false">AT$22*INDEX(Precio_O,2)*INDEX(IdxPrecio_O,1,MIN(10,AT$17))*(1+P_dPrecio)</f>
        <v>236969.23</v>
      </c>
      <c r="AU34" s="34" t="n">
        <f aca="false">AU$22*INDEX(Precio_O,2)*INDEX(IdxPrecio_O,1,MIN(10,AU$17))*(1+P_dPrecio)</f>
        <v>236969.23</v>
      </c>
      <c r="AV34" s="34" t="n">
        <f aca="false">AV$22*INDEX(Precio_O,2)*INDEX(IdxPrecio_O,1,MIN(10,AV$17))*(1+P_dPrecio)</f>
        <v>236969.23</v>
      </c>
      <c r="AW34" s="34" t="n">
        <f aca="false">AW$22*INDEX(Precio_O,2)*INDEX(IdxPrecio_O,1,MIN(10,AW$17))*(1+P_dPrecio)</f>
        <v>236969.23</v>
      </c>
      <c r="AX34" s="34" t="n">
        <f aca="false">AX$22*INDEX(Precio_O,2)*INDEX(IdxPrecio_O,1,MIN(10,AX$17))*(1+P_dPrecio)</f>
        <v>236969.23</v>
      </c>
      <c r="AY34" s="34" t="n">
        <f aca="false">AY$22*INDEX(Precio_O,2)*INDEX(IdxPrecio_O,1,MIN(10,AY$17))*(1+P_dPrecio)</f>
        <v>236969.23</v>
      </c>
      <c r="AZ34" s="34" t="n">
        <f aca="false">AZ$22*INDEX(Precio_O,2)*INDEX(IdxPrecio_O,1,MIN(10,AZ$17))*(1+P_dPrecio)</f>
        <v>236969.23</v>
      </c>
      <c r="BA34" s="34" t="n">
        <f aca="false">BA$22*INDEX(Precio_O,2)*INDEX(IdxPrecio_O,1,MIN(10,BA$17))*(1+P_dPrecio)</f>
        <v>236969.23</v>
      </c>
      <c r="BB34" s="34" t="n">
        <f aca="false">BB$22*INDEX(Precio_O,2)*INDEX(IdxPrecio_O,1,MIN(10,BB$17))*(1+P_dPrecio)</f>
        <v>239338.9223</v>
      </c>
      <c r="BC34" s="34" t="n">
        <f aca="false">BC$22*INDEX(Precio_O,2)*INDEX(IdxPrecio_O,1,MIN(10,BC$17))*(1+P_dPrecio)</f>
        <v>239338.9223</v>
      </c>
      <c r="BD34" s="34" t="n">
        <f aca="false">BD$22*INDEX(Precio_O,2)*INDEX(IdxPrecio_O,1,MIN(10,BD$17))*(1+P_dPrecio)</f>
        <v>239338.9223</v>
      </c>
      <c r="BE34" s="34" t="n">
        <f aca="false">BE$22*INDEX(Precio_O,2)*INDEX(IdxPrecio_O,1,MIN(10,BE$17))*(1+P_dPrecio)</f>
        <v>239338.9223</v>
      </c>
      <c r="BF34" s="34" t="n">
        <f aca="false">BF$22*INDEX(Precio_O,2)*INDEX(IdxPrecio_O,1,MIN(10,BF$17))*(1+P_dPrecio)</f>
        <v>239338.9223</v>
      </c>
      <c r="BG34" s="34" t="n">
        <f aca="false">BG$22*INDEX(Precio_O,2)*INDEX(IdxPrecio_O,1,MIN(10,BG$17))*(1+P_dPrecio)</f>
        <v>239338.9223</v>
      </c>
      <c r="BH34" s="34" t="n">
        <f aca="false">BH$22*INDEX(Precio_O,2)*INDEX(IdxPrecio_O,1,MIN(10,BH$17))*(1+P_dPrecio)</f>
        <v>239338.9223</v>
      </c>
      <c r="BI34" s="34" t="n">
        <f aca="false">BI$22*INDEX(Precio_O,2)*INDEX(IdxPrecio_O,1,MIN(10,BI$17))*(1+P_dPrecio)</f>
        <v>239338.9223</v>
      </c>
      <c r="BJ34" s="34" t="n">
        <f aca="false">BJ$22*INDEX(Precio_O,2)*INDEX(IdxPrecio_O,1,MIN(10,BJ$17))*(1+P_dPrecio)</f>
        <v>239338.9223</v>
      </c>
      <c r="BK34" s="34" t="n">
        <f aca="false">BK$22*INDEX(Precio_O,2)*INDEX(IdxPrecio_O,1,MIN(10,BK$17))*(1+P_dPrecio)</f>
        <v>239338.9223</v>
      </c>
      <c r="BL34" s="34" t="n">
        <f aca="false">BL$22*INDEX(Precio_O,2)*INDEX(IdxPrecio_O,1,MIN(10,BL$17))*(1+P_dPrecio)</f>
        <v>239338.9223</v>
      </c>
      <c r="BM34" s="34" t="n">
        <f aca="false">BM$22*INDEX(Precio_O,2)*INDEX(IdxPrecio_O,1,MIN(10,BM$17))*(1+P_dPrecio)</f>
        <v>239338.9223</v>
      </c>
      <c r="BN34" s="34" t="n">
        <f aca="false">BN$22*INDEX(Precio_O,2)*INDEX(IdxPrecio_O,1,MIN(10,BN$17))*(1+P_dPrecio)</f>
        <v>241732.311523</v>
      </c>
      <c r="BO34" s="34" t="n">
        <f aca="false">BO$22*INDEX(Precio_O,2)*INDEX(IdxPrecio_O,1,MIN(10,BO$17))*(1+P_dPrecio)</f>
        <v>241732.311523</v>
      </c>
      <c r="BP34" s="34" t="n">
        <f aca="false">BP$22*INDEX(Precio_O,2)*INDEX(IdxPrecio_O,1,MIN(10,BP$17))*(1+P_dPrecio)</f>
        <v>241732.311523</v>
      </c>
      <c r="BQ34" s="34" t="n">
        <f aca="false">BQ$22*INDEX(Precio_O,2)*INDEX(IdxPrecio_O,1,MIN(10,BQ$17))*(1+P_dPrecio)</f>
        <v>241732.311523</v>
      </c>
      <c r="BR34" s="34" t="n">
        <f aca="false">BR$22*INDEX(Precio_O,2)*INDEX(IdxPrecio_O,1,MIN(10,BR$17))*(1+P_dPrecio)</f>
        <v>241732.311523</v>
      </c>
      <c r="BS34" s="34" t="n">
        <f aca="false">BS$22*INDEX(Precio_O,2)*INDEX(IdxPrecio_O,1,MIN(10,BS$17))*(1+P_dPrecio)</f>
        <v>241732.311523</v>
      </c>
      <c r="BT34" s="34" t="n">
        <f aca="false">BT$22*INDEX(Precio_O,2)*INDEX(IdxPrecio_O,1,MIN(10,BT$17))*(1+P_dPrecio)</f>
        <v>241732.311523</v>
      </c>
      <c r="BU34" s="34" t="n">
        <f aca="false">BU$22*INDEX(Precio_O,2)*INDEX(IdxPrecio_O,1,MIN(10,BU$17))*(1+P_dPrecio)</f>
        <v>241732.311523</v>
      </c>
      <c r="BV34" s="34" t="n">
        <f aca="false">BV$22*INDEX(Precio_O,2)*INDEX(IdxPrecio_O,1,MIN(10,BV$17))*(1+P_dPrecio)</f>
        <v>241732.311523</v>
      </c>
      <c r="BW34" s="34" t="n">
        <f aca="false">BW$22*INDEX(Precio_O,2)*INDEX(IdxPrecio_O,1,MIN(10,BW$17))*(1+P_dPrecio)</f>
        <v>241732.311523</v>
      </c>
      <c r="BX34" s="34" t="n">
        <f aca="false">BX$22*INDEX(Precio_O,2)*INDEX(IdxPrecio_O,1,MIN(10,BX$17))*(1+P_dPrecio)</f>
        <v>241732.311523</v>
      </c>
      <c r="BY34" s="34" t="n">
        <f aca="false">BY$22*INDEX(Precio_O,2)*INDEX(IdxPrecio_O,1,MIN(10,BY$17))*(1+P_dPrecio)</f>
        <v>241732.311523</v>
      </c>
      <c r="BZ34" s="34" t="n">
        <f aca="false">BZ$22*INDEX(Precio_O,2)*INDEX(IdxPrecio_O,1,MIN(10,BZ$17))*(1+P_dPrecio)</f>
        <v>244149.63463823</v>
      </c>
      <c r="CA34" s="34" t="n">
        <f aca="false">CA$22*INDEX(Precio_O,2)*INDEX(IdxPrecio_O,1,MIN(10,CA$17))*(1+P_dPrecio)</f>
        <v>244149.63463823</v>
      </c>
      <c r="CB34" s="34" t="n">
        <f aca="false">CB$22*INDEX(Precio_O,2)*INDEX(IdxPrecio_O,1,MIN(10,CB$17))*(1+P_dPrecio)</f>
        <v>244149.63463823</v>
      </c>
      <c r="CC34" s="34" t="n">
        <f aca="false">CC$22*INDEX(Precio_O,2)*INDEX(IdxPrecio_O,1,MIN(10,CC$17))*(1+P_dPrecio)</f>
        <v>244149.63463823</v>
      </c>
      <c r="CD34" s="34" t="n">
        <f aca="false">CD$22*INDEX(Precio_O,2)*INDEX(IdxPrecio_O,1,MIN(10,CD$17))*(1+P_dPrecio)</f>
        <v>244149.63463823</v>
      </c>
      <c r="CE34" s="34" t="n">
        <f aca="false">CE$22*INDEX(Precio_O,2)*INDEX(IdxPrecio_O,1,MIN(10,CE$17))*(1+P_dPrecio)</f>
        <v>244149.63463823</v>
      </c>
      <c r="CF34" s="34" t="n">
        <f aca="false">CF$22*INDEX(Precio_O,2)*INDEX(IdxPrecio_O,1,MIN(10,CF$17))*(1+P_dPrecio)</f>
        <v>244149.63463823</v>
      </c>
      <c r="CG34" s="34" t="n">
        <f aca="false">CG$22*INDEX(Precio_O,2)*INDEX(IdxPrecio_O,1,MIN(10,CG$17))*(1+P_dPrecio)</f>
        <v>244149.63463823</v>
      </c>
      <c r="CH34" s="34" t="n">
        <f aca="false">CH$22*INDEX(Precio_O,2)*INDEX(IdxPrecio_O,1,MIN(10,CH$17))*(1+P_dPrecio)</f>
        <v>244149.63463823</v>
      </c>
      <c r="CI34" s="34" t="n">
        <f aca="false">CI$22*INDEX(Precio_O,2)*INDEX(IdxPrecio_O,1,MIN(10,CI$17))*(1+P_dPrecio)</f>
        <v>244149.63463823</v>
      </c>
      <c r="CJ34" s="34" t="n">
        <f aca="false">CJ$22*INDEX(Precio_O,2)*INDEX(IdxPrecio_O,1,MIN(10,CJ$17))*(1+P_dPrecio)</f>
        <v>244149.63463823</v>
      </c>
      <c r="CK34" s="34" t="n">
        <f aca="false">CK$22*INDEX(Precio_O,2)*INDEX(IdxPrecio_O,1,MIN(10,CK$17))*(1+P_dPrecio)</f>
        <v>244149.63463823</v>
      </c>
      <c r="CL34" s="34" t="n">
        <f aca="false">CL$22*INDEX(Precio_O,2)*INDEX(IdxPrecio_O,1,MIN(10,CL$17))*(1+P_dPrecio)</f>
        <v>246591.130984612</v>
      </c>
      <c r="CM34" s="34" t="n">
        <f aca="false">CM$22*INDEX(Precio_O,2)*INDEX(IdxPrecio_O,1,MIN(10,CM$17))*(1+P_dPrecio)</f>
        <v>246591.130984612</v>
      </c>
      <c r="CN34" s="34" t="n">
        <f aca="false">CN$22*INDEX(Precio_O,2)*INDEX(IdxPrecio_O,1,MIN(10,CN$17))*(1+P_dPrecio)</f>
        <v>246591.130984612</v>
      </c>
      <c r="CO34" s="34" t="n">
        <f aca="false">CO$22*INDEX(Precio_O,2)*INDEX(IdxPrecio_O,1,MIN(10,CO$17))*(1+P_dPrecio)</f>
        <v>246591.130984612</v>
      </c>
      <c r="CP34" s="34" t="n">
        <f aca="false">CP$22*INDEX(Precio_O,2)*INDEX(IdxPrecio_O,1,MIN(10,CP$17))*(1+P_dPrecio)</f>
        <v>246591.130984612</v>
      </c>
      <c r="CQ34" s="34" t="n">
        <f aca="false">CQ$22*INDEX(Precio_O,2)*INDEX(IdxPrecio_O,1,MIN(10,CQ$17))*(1+P_dPrecio)</f>
        <v>246591.130984612</v>
      </c>
      <c r="CR34" s="34" t="n">
        <f aca="false">CR$22*INDEX(Precio_O,2)*INDEX(IdxPrecio_O,1,MIN(10,CR$17))*(1+P_dPrecio)</f>
        <v>246591.130984612</v>
      </c>
      <c r="CS34" s="34" t="n">
        <f aca="false">CS$22*INDEX(Precio_O,2)*INDEX(IdxPrecio_O,1,MIN(10,CS$17))*(1+P_dPrecio)</f>
        <v>246591.130984612</v>
      </c>
      <c r="CT34" s="34" t="n">
        <f aca="false">CT$22*INDEX(Precio_O,2)*INDEX(IdxPrecio_O,1,MIN(10,CT$17))*(1+P_dPrecio)</f>
        <v>246591.130984612</v>
      </c>
      <c r="CU34" s="34" t="n">
        <f aca="false">CU$22*INDEX(Precio_O,2)*INDEX(IdxPrecio_O,1,MIN(10,CU$17))*(1+P_dPrecio)</f>
        <v>246591.130984612</v>
      </c>
      <c r="CV34" s="34" t="n">
        <f aca="false">CV$22*INDEX(Precio_O,2)*INDEX(IdxPrecio_O,1,MIN(10,CV$17))*(1+P_dPrecio)</f>
        <v>246591.130984612</v>
      </c>
      <c r="CW34" s="34" t="n">
        <f aca="false">CW$22*INDEX(Precio_O,2)*INDEX(IdxPrecio_O,1,MIN(10,CW$17))*(1+P_dPrecio)</f>
        <v>246591.130984612</v>
      </c>
      <c r="CX34" s="34" t="n">
        <f aca="false">CX$22*INDEX(Precio_O,2)*INDEX(IdxPrecio_O,1,MIN(10,CX$17))*(1+P_dPrecio)</f>
        <v>249057.042294458</v>
      </c>
      <c r="CY34" s="34" t="n">
        <f aca="false">CY$22*INDEX(Precio_O,2)*INDEX(IdxPrecio_O,1,MIN(10,CY$17))*(1+P_dPrecio)</f>
        <v>249057.042294458</v>
      </c>
      <c r="CZ34" s="34" t="n">
        <f aca="false">CZ$22*INDEX(Precio_O,2)*INDEX(IdxPrecio_O,1,MIN(10,CZ$17))*(1+P_dPrecio)</f>
        <v>249057.042294458</v>
      </c>
      <c r="DA34" s="34" t="n">
        <f aca="false">DA$22*INDEX(Precio_O,2)*INDEX(IdxPrecio_O,1,MIN(10,DA$17))*(1+P_dPrecio)</f>
        <v>249057.042294458</v>
      </c>
      <c r="DB34" s="34" t="n">
        <f aca="false">DB$22*INDEX(Precio_O,2)*INDEX(IdxPrecio_O,1,MIN(10,DB$17))*(1+P_dPrecio)</f>
        <v>249057.042294458</v>
      </c>
      <c r="DC34" s="34" t="n">
        <f aca="false">DC$22*INDEX(Precio_O,2)*INDEX(IdxPrecio_O,1,MIN(10,DC$17))*(1+P_dPrecio)</f>
        <v>249057.042294458</v>
      </c>
      <c r="DD34" s="34" t="n">
        <f aca="false">DD$22*INDEX(Precio_O,2)*INDEX(IdxPrecio_O,1,MIN(10,DD$17))*(1+P_dPrecio)</f>
        <v>249057.042294458</v>
      </c>
      <c r="DE34" s="34" t="n">
        <f aca="false">DE$22*INDEX(Precio_O,2)*INDEX(IdxPrecio_O,1,MIN(10,DE$17))*(1+P_dPrecio)</f>
        <v>249057.042294458</v>
      </c>
      <c r="DF34" s="34" t="n">
        <f aca="false">DF$22*INDEX(Precio_O,2)*INDEX(IdxPrecio_O,1,MIN(10,DF$17))*(1+P_dPrecio)</f>
        <v>249057.042294458</v>
      </c>
      <c r="DG34" s="34" t="n">
        <f aca="false">DG$22*INDEX(Precio_O,2)*INDEX(IdxPrecio_O,1,MIN(10,DG$17))*(1+P_dPrecio)</f>
        <v>249057.042294458</v>
      </c>
      <c r="DH34" s="34" t="n">
        <f aca="false">DH$22*INDEX(Precio_O,2)*INDEX(IdxPrecio_O,1,MIN(10,DH$17))*(1+P_dPrecio)</f>
        <v>249057.042294458</v>
      </c>
      <c r="DI34" s="34" t="n">
        <f aca="false">DI$22*INDEX(Precio_O,2)*INDEX(IdxPrecio_O,1,MIN(10,DI$17))*(1+P_dPrecio)</f>
        <v>249057.042294458</v>
      </c>
      <c r="DJ34" s="34" t="n">
        <f aca="false">DJ$22*INDEX(Precio_O,2)*INDEX(IdxPrecio_O,1,MIN(10,DJ$17))*(1+P_dPrecio)</f>
        <v>251547.612717403</v>
      </c>
      <c r="DK34" s="34" t="n">
        <f aca="false">DK$22*INDEX(Precio_O,2)*INDEX(IdxPrecio_O,1,MIN(10,DK$17))*(1+P_dPrecio)</f>
        <v>251547.612717403</v>
      </c>
      <c r="DL34" s="34" t="n">
        <f aca="false">DL$22*INDEX(Precio_O,2)*INDEX(IdxPrecio_O,1,MIN(10,DL$17))*(1+P_dPrecio)</f>
        <v>251547.612717403</v>
      </c>
      <c r="DM34" s="34" t="n">
        <f aca="false">DM$22*INDEX(Precio_O,2)*INDEX(IdxPrecio_O,1,MIN(10,DM$17))*(1+P_dPrecio)</f>
        <v>251547.612717403</v>
      </c>
      <c r="DN34" s="34" t="n">
        <f aca="false">DN$22*INDEX(Precio_O,2)*INDEX(IdxPrecio_O,1,MIN(10,DN$17))*(1+P_dPrecio)</f>
        <v>251547.612717403</v>
      </c>
      <c r="DO34" s="34" t="n">
        <f aca="false">DO$22*INDEX(Precio_O,2)*INDEX(IdxPrecio_O,1,MIN(10,DO$17))*(1+P_dPrecio)</f>
        <v>251547.612717403</v>
      </c>
      <c r="DP34" s="34" t="n">
        <f aca="false">DP$22*INDEX(Precio_O,2)*INDEX(IdxPrecio_O,1,MIN(10,DP$17))*(1+P_dPrecio)</f>
        <v>251547.612717403</v>
      </c>
      <c r="DQ34" s="34" t="n">
        <f aca="false">DQ$22*INDEX(Precio_O,2)*INDEX(IdxPrecio_O,1,MIN(10,DQ$17))*(1+P_dPrecio)</f>
        <v>251547.612717403</v>
      </c>
      <c r="DR34" s="34" t="n">
        <f aca="false">DR$22*INDEX(Precio_O,2)*INDEX(IdxPrecio_O,1,MIN(10,DR$17))*(1+P_dPrecio)</f>
        <v>251547.612717403</v>
      </c>
      <c r="DS34" s="34" t="n">
        <f aca="false">DS$22*INDEX(Precio_O,2)*INDEX(IdxPrecio_O,1,MIN(10,DS$17))*(1+P_dPrecio)</f>
        <v>251547.612717403</v>
      </c>
      <c r="DT34" s="34" t="n">
        <f aca="false">DT$22*INDEX(Precio_O,2)*INDEX(IdxPrecio_O,1,MIN(10,DT$17))*(1+P_dPrecio)</f>
        <v>251547.612717403</v>
      </c>
      <c r="DU34" s="34" t="n">
        <f aca="false">DU$22*INDEX(Precio_O,2)*INDEX(IdxPrecio_O,1,MIN(10,DU$17))*(1+P_dPrecio)</f>
        <v>251547.612717403</v>
      </c>
      <c r="DV34" s="34" t="n">
        <f aca="false">DV$22*INDEX(Precio_O,2)*INDEX(IdxPrecio_O,1,MIN(10,DV$17))*(1+P_dPrecio)</f>
        <v>0</v>
      </c>
      <c r="DW34" s="34" t="n">
        <f aca="false">DW$22*INDEX(Precio_O,2)*INDEX(IdxPrecio_O,1,MIN(10,DW$17))*(1+P_dPrecio)</f>
        <v>0</v>
      </c>
      <c r="DX34" s="34" t="n">
        <f aca="false">DX$22*INDEX(Precio_O,2)*INDEX(IdxPrecio_O,1,MIN(10,DX$17))*(1+P_dPrecio)</f>
        <v>0</v>
      </c>
      <c r="DY34" s="34" t="n">
        <f aca="false">DY$22*INDEX(Precio_O,2)*INDEX(IdxPrecio_O,1,MIN(10,DY$17))*(1+P_dPrecio)</f>
        <v>0</v>
      </c>
      <c r="DZ34" s="34" t="n">
        <f aca="false">DZ$22*INDEX(Precio_O,2)*INDEX(IdxPrecio_O,1,MIN(10,DZ$17))*(1+P_dPrecio)</f>
        <v>0</v>
      </c>
      <c r="EA34" s="34" t="n">
        <f aca="false">EA$22*INDEX(Precio_O,2)*INDEX(IdxPrecio_O,1,MIN(10,EA$17))*(1+P_dPrecio)</f>
        <v>0</v>
      </c>
      <c r="EB34" s="34" t="n">
        <f aca="false">EB$22*INDEX(Precio_O,2)*INDEX(IdxPrecio_O,1,MIN(10,EB$17))*(1+P_dPrecio)</f>
        <v>0</v>
      </c>
      <c r="EC34" s="34" t="n">
        <f aca="false">EC$22*INDEX(Precio_O,2)*INDEX(IdxPrecio_O,1,MIN(10,EC$17))*(1+P_dPrecio)</f>
        <v>0</v>
      </c>
      <c r="ED34" s="34" t="n">
        <f aca="false">ED$22*INDEX(Precio_O,2)*INDEX(IdxPrecio_O,1,MIN(10,ED$17))*(1+P_dPrecio)</f>
        <v>0</v>
      </c>
      <c r="EE34" s="34" t="n">
        <f aca="false">EE$22*INDEX(Precio_O,2)*INDEX(IdxPrecio_O,1,MIN(10,EE$17))*(1+P_dPrecio)</f>
        <v>0</v>
      </c>
      <c r="EF34" s="34" t="n">
        <f aca="false">EF$22*INDEX(Precio_O,2)*INDEX(IdxPrecio_O,1,MIN(10,EF$17))*(1+P_dPrecio)</f>
        <v>0</v>
      </c>
      <c r="EG34" s="34" t="n">
        <f aca="false">EG$22*INDEX(Precio_O,2)*INDEX(IdxPrecio_O,1,MIN(10,EG$17))*(1+P_dPrecio)</f>
        <v>0</v>
      </c>
      <c r="EH34" s="34" t="n">
        <f aca="false">EH$22*INDEX(Precio_O,2)*INDEX(IdxPrecio_O,1,MIN(10,EH$17))*(1+P_dPrecio)</f>
        <v>0</v>
      </c>
      <c r="EI34" s="34" t="n">
        <f aca="false">EI$22*INDEX(Precio_O,2)*INDEX(IdxPrecio_O,1,MIN(10,EI$17))*(1+P_dPrecio)</f>
        <v>0</v>
      </c>
      <c r="EJ34" s="34" t="n">
        <f aca="false">EJ$22*INDEX(Precio_O,2)*INDEX(IdxPrecio_O,1,MIN(10,EJ$17))*(1+P_dPrecio)</f>
        <v>0</v>
      </c>
      <c r="EK34" s="34" t="n">
        <f aca="false">EK$22*INDEX(Precio_O,2)*INDEX(IdxPrecio_O,1,MIN(10,EK$17))*(1+P_dPrecio)</f>
        <v>0</v>
      </c>
      <c r="EL34" s="34" t="n">
        <f aca="false">EL$22*INDEX(Precio_O,2)*INDEX(IdxPrecio_O,1,MIN(10,EL$17))*(1+P_dPrecio)</f>
        <v>0</v>
      </c>
      <c r="EM34" s="34" t="n">
        <f aca="false">EM$22*INDEX(Precio_O,2)*INDEX(IdxPrecio_O,1,MIN(10,EM$17))*(1+P_dPrecio)</f>
        <v>0</v>
      </c>
      <c r="EN34" s="34" t="n">
        <f aca="false">EN$22*INDEX(Precio_O,2)*INDEX(IdxPrecio_O,1,MIN(10,EN$17))*(1+P_dPrecio)</f>
        <v>0</v>
      </c>
      <c r="EO34" s="34" t="n">
        <f aca="false">EO$22*INDEX(Precio_O,2)*INDEX(IdxPrecio_O,1,MIN(10,EO$17))*(1+P_dPrecio)</f>
        <v>0</v>
      </c>
      <c r="EP34" s="34" t="n">
        <f aca="false">EP$22*INDEX(Precio_O,2)*INDEX(IdxPrecio_O,1,MIN(10,EP$17))*(1+P_dPrecio)</f>
        <v>0</v>
      </c>
      <c r="EQ34" s="34" t="n">
        <f aca="false">EQ$22*INDEX(Precio_O,2)*INDEX(IdxPrecio_O,1,MIN(10,EQ$17))*(1+P_dPrecio)</f>
        <v>0</v>
      </c>
      <c r="ER34" s="34" t="n">
        <f aca="false">ER$22*INDEX(Precio_O,2)*INDEX(IdxPrecio_O,1,MIN(10,ER$17))*(1+P_dPrecio)</f>
        <v>0</v>
      </c>
      <c r="ES34" s="34" t="n">
        <f aca="false">ES$22*INDEX(Precio_O,2)*INDEX(IdxPrecio_O,1,MIN(10,ES$17))*(1+P_dPrecio)</f>
        <v>0</v>
      </c>
    </row>
    <row r="35" customFormat="false" ht="15" hidden="false" customHeight="false" outlineLevel="0" collapsed="false">
      <c r="A35" s="2" t="s">
        <v>572</v>
      </c>
      <c r="B35" s="39" t="str">
        <f aca="false">IF(INDEX(Prod_Nombre,3)="","Producto 3",INDEX(Prod_Nombre,3))&amp;" — ventas USD"</f>
        <v>Producto 3 — ventas USD</v>
      </c>
      <c r="C35" s="6" t="s">
        <v>250</v>
      </c>
      <c r="E35" s="40" t="n">
        <f aca="false">SUM(F35:ES35)</f>
        <v>0</v>
      </c>
      <c r="F35" s="34" t="n">
        <f aca="false">F$23*INDEX(Precio_O,3)*INDEX(IdxPrecio_O,1,MIN(10,F$17))*(1+P_dPrecio)</f>
        <v>0</v>
      </c>
      <c r="G35" s="34" t="n">
        <f aca="false">G$23*INDEX(Precio_O,3)*INDEX(IdxPrecio_O,1,MIN(10,G$17))*(1+P_dPrecio)</f>
        <v>0</v>
      </c>
      <c r="H35" s="34" t="n">
        <f aca="false">H$23*INDEX(Precio_O,3)*INDEX(IdxPrecio_O,1,MIN(10,H$17))*(1+P_dPrecio)</f>
        <v>0</v>
      </c>
      <c r="I35" s="34" t="n">
        <f aca="false">I$23*INDEX(Precio_O,3)*INDEX(IdxPrecio_O,1,MIN(10,I$17))*(1+P_dPrecio)</f>
        <v>0</v>
      </c>
      <c r="J35" s="34" t="n">
        <f aca="false">J$23*INDEX(Precio_O,3)*INDEX(IdxPrecio_O,1,MIN(10,J$17))*(1+P_dPrecio)</f>
        <v>0</v>
      </c>
      <c r="K35" s="34" t="n">
        <f aca="false">K$23*INDEX(Precio_O,3)*INDEX(IdxPrecio_O,1,MIN(10,K$17))*(1+P_dPrecio)</f>
        <v>0</v>
      </c>
      <c r="L35" s="34" t="n">
        <f aca="false">L$23*INDEX(Precio_O,3)*INDEX(IdxPrecio_O,1,MIN(10,L$17))*(1+P_dPrecio)</f>
        <v>0</v>
      </c>
      <c r="M35" s="34" t="n">
        <f aca="false">M$23*INDEX(Precio_O,3)*INDEX(IdxPrecio_O,1,MIN(10,M$17))*(1+P_dPrecio)</f>
        <v>0</v>
      </c>
      <c r="N35" s="34" t="n">
        <f aca="false">N$23*INDEX(Precio_O,3)*INDEX(IdxPrecio_O,1,MIN(10,N$17))*(1+P_dPrecio)</f>
        <v>0</v>
      </c>
      <c r="O35" s="34" t="n">
        <f aca="false">O$23*INDEX(Precio_O,3)*INDEX(IdxPrecio_O,1,MIN(10,O$17))*(1+P_dPrecio)</f>
        <v>0</v>
      </c>
      <c r="P35" s="34" t="n">
        <f aca="false">P$23*INDEX(Precio_O,3)*INDEX(IdxPrecio_O,1,MIN(10,P$17))*(1+P_dPrecio)</f>
        <v>0</v>
      </c>
      <c r="Q35" s="34" t="n">
        <f aca="false">Q$23*INDEX(Precio_O,3)*INDEX(IdxPrecio_O,1,MIN(10,Q$17))*(1+P_dPrecio)</f>
        <v>0</v>
      </c>
      <c r="R35" s="34" t="n">
        <f aca="false">R$23*INDEX(Precio_O,3)*INDEX(IdxPrecio_O,1,MIN(10,R$17))*(1+P_dPrecio)</f>
        <v>0</v>
      </c>
      <c r="S35" s="34" t="n">
        <f aca="false">S$23*INDEX(Precio_O,3)*INDEX(IdxPrecio_O,1,MIN(10,S$17))*(1+P_dPrecio)</f>
        <v>0</v>
      </c>
      <c r="T35" s="34" t="n">
        <f aca="false">T$23*INDEX(Precio_O,3)*INDEX(IdxPrecio_O,1,MIN(10,T$17))*(1+P_dPrecio)</f>
        <v>0</v>
      </c>
      <c r="U35" s="34" t="n">
        <f aca="false">U$23*INDEX(Precio_O,3)*INDEX(IdxPrecio_O,1,MIN(10,U$17))*(1+P_dPrecio)</f>
        <v>0</v>
      </c>
      <c r="V35" s="34" t="n">
        <f aca="false">V$23*INDEX(Precio_O,3)*INDEX(IdxPrecio_O,1,MIN(10,V$17))*(1+P_dPrecio)</f>
        <v>0</v>
      </c>
      <c r="W35" s="34" t="n">
        <f aca="false">W$23*INDEX(Precio_O,3)*INDEX(IdxPrecio_O,1,MIN(10,W$17))*(1+P_dPrecio)</f>
        <v>0</v>
      </c>
      <c r="X35" s="34" t="n">
        <f aca="false">X$23*INDEX(Precio_O,3)*INDEX(IdxPrecio_O,1,MIN(10,X$17))*(1+P_dPrecio)</f>
        <v>0</v>
      </c>
      <c r="Y35" s="34" t="n">
        <f aca="false">Y$23*INDEX(Precio_O,3)*INDEX(IdxPrecio_O,1,MIN(10,Y$17))*(1+P_dPrecio)</f>
        <v>0</v>
      </c>
      <c r="Z35" s="34" t="n">
        <f aca="false">Z$23*INDEX(Precio_O,3)*INDEX(IdxPrecio_O,1,MIN(10,Z$17))*(1+P_dPrecio)</f>
        <v>0</v>
      </c>
      <c r="AA35" s="34" t="n">
        <f aca="false">AA$23*INDEX(Precio_O,3)*INDEX(IdxPrecio_O,1,MIN(10,AA$17))*(1+P_dPrecio)</f>
        <v>0</v>
      </c>
      <c r="AB35" s="34" t="n">
        <f aca="false">AB$23*INDEX(Precio_O,3)*INDEX(IdxPrecio_O,1,MIN(10,AB$17))*(1+P_dPrecio)</f>
        <v>0</v>
      </c>
      <c r="AC35" s="34" t="n">
        <f aca="false">AC$23*INDEX(Precio_O,3)*INDEX(IdxPrecio_O,1,MIN(10,AC$17))*(1+P_dPrecio)</f>
        <v>0</v>
      </c>
      <c r="AD35" s="34" t="n">
        <f aca="false">AD$23*INDEX(Precio_O,3)*INDEX(IdxPrecio_O,1,MIN(10,AD$17))*(1+P_dPrecio)</f>
        <v>0</v>
      </c>
      <c r="AE35" s="34" t="n">
        <f aca="false">AE$23*INDEX(Precio_O,3)*INDEX(IdxPrecio_O,1,MIN(10,AE$17))*(1+P_dPrecio)</f>
        <v>0</v>
      </c>
      <c r="AF35" s="34" t="n">
        <f aca="false">AF$23*INDEX(Precio_O,3)*INDEX(IdxPrecio_O,1,MIN(10,AF$17))*(1+P_dPrecio)</f>
        <v>0</v>
      </c>
      <c r="AG35" s="34" t="n">
        <f aca="false">AG$23*INDEX(Precio_O,3)*INDEX(IdxPrecio_O,1,MIN(10,AG$17))*(1+P_dPrecio)</f>
        <v>0</v>
      </c>
      <c r="AH35" s="34" t="n">
        <f aca="false">AH$23*INDEX(Precio_O,3)*INDEX(IdxPrecio_O,1,MIN(10,AH$17))*(1+P_dPrecio)</f>
        <v>0</v>
      </c>
      <c r="AI35" s="34" t="n">
        <f aca="false">AI$23*INDEX(Precio_O,3)*INDEX(IdxPrecio_O,1,MIN(10,AI$17))*(1+P_dPrecio)</f>
        <v>0</v>
      </c>
      <c r="AJ35" s="34" t="n">
        <f aca="false">AJ$23*INDEX(Precio_O,3)*INDEX(IdxPrecio_O,1,MIN(10,AJ$17))*(1+P_dPrecio)</f>
        <v>0</v>
      </c>
      <c r="AK35" s="34" t="n">
        <f aca="false">AK$23*INDEX(Precio_O,3)*INDEX(IdxPrecio_O,1,MIN(10,AK$17))*(1+P_dPrecio)</f>
        <v>0</v>
      </c>
      <c r="AL35" s="34" t="n">
        <f aca="false">AL$23*INDEX(Precio_O,3)*INDEX(IdxPrecio_O,1,MIN(10,AL$17))*(1+P_dPrecio)</f>
        <v>0</v>
      </c>
      <c r="AM35" s="34" t="n">
        <f aca="false">AM$23*INDEX(Precio_O,3)*INDEX(IdxPrecio_O,1,MIN(10,AM$17))*(1+P_dPrecio)</f>
        <v>0</v>
      </c>
      <c r="AN35" s="34" t="n">
        <f aca="false">AN$23*INDEX(Precio_O,3)*INDEX(IdxPrecio_O,1,MIN(10,AN$17))*(1+P_dPrecio)</f>
        <v>0</v>
      </c>
      <c r="AO35" s="34" t="n">
        <f aca="false">AO$23*INDEX(Precio_O,3)*INDEX(IdxPrecio_O,1,MIN(10,AO$17))*(1+P_dPrecio)</f>
        <v>0</v>
      </c>
      <c r="AP35" s="34" t="n">
        <f aca="false">AP$23*INDEX(Precio_O,3)*INDEX(IdxPrecio_O,1,MIN(10,AP$17))*(1+P_dPrecio)</f>
        <v>0</v>
      </c>
      <c r="AQ35" s="34" t="n">
        <f aca="false">AQ$23*INDEX(Precio_O,3)*INDEX(IdxPrecio_O,1,MIN(10,AQ$17))*(1+P_dPrecio)</f>
        <v>0</v>
      </c>
      <c r="AR35" s="34" t="n">
        <f aca="false">AR$23*INDEX(Precio_O,3)*INDEX(IdxPrecio_O,1,MIN(10,AR$17))*(1+P_dPrecio)</f>
        <v>0</v>
      </c>
      <c r="AS35" s="34" t="n">
        <f aca="false">AS$23*INDEX(Precio_O,3)*INDEX(IdxPrecio_O,1,MIN(10,AS$17))*(1+P_dPrecio)</f>
        <v>0</v>
      </c>
      <c r="AT35" s="34" t="n">
        <f aca="false">AT$23*INDEX(Precio_O,3)*INDEX(IdxPrecio_O,1,MIN(10,AT$17))*(1+P_dPrecio)</f>
        <v>0</v>
      </c>
      <c r="AU35" s="34" t="n">
        <f aca="false">AU$23*INDEX(Precio_O,3)*INDEX(IdxPrecio_O,1,MIN(10,AU$17))*(1+P_dPrecio)</f>
        <v>0</v>
      </c>
      <c r="AV35" s="34" t="n">
        <f aca="false">AV$23*INDEX(Precio_O,3)*INDEX(IdxPrecio_O,1,MIN(10,AV$17))*(1+P_dPrecio)</f>
        <v>0</v>
      </c>
      <c r="AW35" s="34" t="n">
        <f aca="false">AW$23*INDEX(Precio_O,3)*INDEX(IdxPrecio_O,1,MIN(10,AW$17))*(1+P_dPrecio)</f>
        <v>0</v>
      </c>
      <c r="AX35" s="34" t="n">
        <f aca="false">AX$23*INDEX(Precio_O,3)*INDEX(IdxPrecio_O,1,MIN(10,AX$17))*(1+P_dPrecio)</f>
        <v>0</v>
      </c>
      <c r="AY35" s="34" t="n">
        <f aca="false">AY$23*INDEX(Precio_O,3)*INDEX(IdxPrecio_O,1,MIN(10,AY$17))*(1+P_dPrecio)</f>
        <v>0</v>
      </c>
      <c r="AZ35" s="34" t="n">
        <f aca="false">AZ$23*INDEX(Precio_O,3)*INDEX(IdxPrecio_O,1,MIN(10,AZ$17))*(1+P_dPrecio)</f>
        <v>0</v>
      </c>
      <c r="BA35" s="34" t="n">
        <f aca="false">BA$23*INDEX(Precio_O,3)*INDEX(IdxPrecio_O,1,MIN(10,BA$17))*(1+P_dPrecio)</f>
        <v>0</v>
      </c>
      <c r="BB35" s="34" t="n">
        <f aca="false">BB$23*INDEX(Precio_O,3)*INDEX(IdxPrecio_O,1,MIN(10,BB$17))*(1+P_dPrecio)</f>
        <v>0</v>
      </c>
      <c r="BC35" s="34" t="n">
        <f aca="false">BC$23*INDEX(Precio_O,3)*INDEX(IdxPrecio_O,1,MIN(10,BC$17))*(1+P_dPrecio)</f>
        <v>0</v>
      </c>
      <c r="BD35" s="34" t="n">
        <f aca="false">BD$23*INDEX(Precio_O,3)*INDEX(IdxPrecio_O,1,MIN(10,BD$17))*(1+P_dPrecio)</f>
        <v>0</v>
      </c>
      <c r="BE35" s="34" t="n">
        <f aca="false">BE$23*INDEX(Precio_O,3)*INDEX(IdxPrecio_O,1,MIN(10,BE$17))*(1+P_dPrecio)</f>
        <v>0</v>
      </c>
      <c r="BF35" s="34" t="n">
        <f aca="false">BF$23*INDEX(Precio_O,3)*INDEX(IdxPrecio_O,1,MIN(10,BF$17))*(1+P_dPrecio)</f>
        <v>0</v>
      </c>
      <c r="BG35" s="34" t="n">
        <f aca="false">BG$23*INDEX(Precio_O,3)*INDEX(IdxPrecio_O,1,MIN(10,BG$17))*(1+P_dPrecio)</f>
        <v>0</v>
      </c>
      <c r="BH35" s="34" t="n">
        <f aca="false">BH$23*INDEX(Precio_O,3)*INDEX(IdxPrecio_O,1,MIN(10,BH$17))*(1+P_dPrecio)</f>
        <v>0</v>
      </c>
      <c r="BI35" s="34" t="n">
        <f aca="false">BI$23*INDEX(Precio_O,3)*INDEX(IdxPrecio_O,1,MIN(10,BI$17))*(1+P_dPrecio)</f>
        <v>0</v>
      </c>
      <c r="BJ35" s="34" t="n">
        <f aca="false">BJ$23*INDEX(Precio_O,3)*INDEX(IdxPrecio_O,1,MIN(10,BJ$17))*(1+P_dPrecio)</f>
        <v>0</v>
      </c>
      <c r="BK35" s="34" t="n">
        <f aca="false">BK$23*INDEX(Precio_O,3)*INDEX(IdxPrecio_O,1,MIN(10,BK$17))*(1+P_dPrecio)</f>
        <v>0</v>
      </c>
      <c r="BL35" s="34" t="n">
        <f aca="false">BL$23*INDEX(Precio_O,3)*INDEX(IdxPrecio_O,1,MIN(10,BL$17))*(1+P_dPrecio)</f>
        <v>0</v>
      </c>
      <c r="BM35" s="34" t="n">
        <f aca="false">BM$23*INDEX(Precio_O,3)*INDEX(IdxPrecio_O,1,MIN(10,BM$17))*(1+P_dPrecio)</f>
        <v>0</v>
      </c>
      <c r="BN35" s="34" t="n">
        <f aca="false">BN$23*INDEX(Precio_O,3)*INDEX(IdxPrecio_O,1,MIN(10,BN$17))*(1+P_dPrecio)</f>
        <v>0</v>
      </c>
      <c r="BO35" s="34" t="n">
        <f aca="false">BO$23*INDEX(Precio_O,3)*INDEX(IdxPrecio_O,1,MIN(10,BO$17))*(1+P_dPrecio)</f>
        <v>0</v>
      </c>
      <c r="BP35" s="34" t="n">
        <f aca="false">BP$23*INDEX(Precio_O,3)*INDEX(IdxPrecio_O,1,MIN(10,BP$17))*(1+P_dPrecio)</f>
        <v>0</v>
      </c>
      <c r="BQ35" s="34" t="n">
        <f aca="false">BQ$23*INDEX(Precio_O,3)*INDEX(IdxPrecio_O,1,MIN(10,BQ$17))*(1+P_dPrecio)</f>
        <v>0</v>
      </c>
      <c r="BR35" s="34" t="n">
        <f aca="false">BR$23*INDEX(Precio_O,3)*INDEX(IdxPrecio_O,1,MIN(10,BR$17))*(1+P_dPrecio)</f>
        <v>0</v>
      </c>
      <c r="BS35" s="34" t="n">
        <f aca="false">BS$23*INDEX(Precio_O,3)*INDEX(IdxPrecio_O,1,MIN(10,BS$17))*(1+P_dPrecio)</f>
        <v>0</v>
      </c>
      <c r="BT35" s="34" t="n">
        <f aca="false">BT$23*INDEX(Precio_O,3)*INDEX(IdxPrecio_O,1,MIN(10,BT$17))*(1+P_dPrecio)</f>
        <v>0</v>
      </c>
      <c r="BU35" s="34" t="n">
        <f aca="false">BU$23*INDEX(Precio_O,3)*INDEX(IdxPrecio_O,1,MIN(10,BU$17))*(1+P_dPrecio)</f>
        <v>0</v>
      </c>
      <c r="BV35" s="34" t="n">
        <f aca="false">BV$23*INDEX(Precio_O,3)*INDEX(IdxPrecio_O,1,MIN(10,BV$17))*(1+P_dPrecio)</f>
        <v>0</v>
      </c>
      <c r="BW35" s="34" t="n">
        <f aca="false">BW$23*INDEX(Precio_O,3)*INDEX(IdxPrecio_O,1,MIN(10,BW$17))*(1+P_dPrecio)</f>
        <v>0</v>
      </c>
      <c r="BX35" s="34" t="n">
        <f aca="false">BX$23*INDEX(Precio_O,3)*INDEX(IdxPrecio_O,1,MIN(10,BX$17))*(1+P_dPrecio)</f>
        <v>0</v>
      </c>
      <c r="BY35" s="34" t="n">
        <f aca="false">BY$23*INDEX(Precio_O,3)*INDEX(IdxPrecio_O,1,MIN(10,BY$17))*(1+P_dPrecio)</f>
        <v>0</v>
      </c>
      <c r="BZ35" s="34" t="n">
        <f aca="false">BZ$23*INDEX(Precio_O,3)*INDEX(IdxPrecio_O,1,MIN(10,BZ$17))*(1+P_dPrecio)</f>
        <v>0</v>
      </c>
      <c r="CA35" s="34" t="n">
        <f aca="false">CA$23*INDEX(Precio_O,3)*INDEX(IdxPrecio_O,1,MIN(10,CA$17))*(1+P_dPrecio)</f>
        <v>0</v>
      </c>
      <c r="CB35" s="34" t="n">
        <f aca="false">CB$23*INDEX(Precio_O,3)*INDEX(IdxPrecio_O,1,MIN(10,CB$17))*(1+P_dPrecio)</f>
        <v>0</v>
      </c>
      <c r="CC35" s="34" t="n">
        <f aca="false">CC$23*INDEX(Precio_O,3)*INDEX(IdxPrecio_O,1,MIN(10,CC$17))*(1+P_dPrecio)</f>
        <v>0</v>
      </c>
      <c r="CD35" s="34" t="n">
        <f aca="false">CD$23*INDEX(Precio_O,3)*INDEX(IdxPrecio_O,1,MIN(10,CD$17))*(1+P_dPrecio)</f>
        <v>0</v>
      </c>
      <c r="CE35" s="34" t="n">
        <f aca="false">CE$23*INDEX(Precio_O,3)*INDEX(IdxPrecio_O,1,MIN(10,CE$17))*(1+P_dPrecio)</f>
        <v>0</v>
      </c>
      <c r="CF35" s="34" t="n">
        <f aca="false">CF$23*INDEX(Precio_O,3)*INDEX(IdxPrecio_O,1,MIN(10,CF$17))*(1+P_dPrecio)</f>
        <v>0</v>
      </c>
      <c r="CG35" s="34" t="n">
        <f aca="false">CG$23*INDEX(Precio_O,3)*INDEX(IdxPrecio_O,1,MIN(10,CG$17))*(1+P_dPrecio)</f>
        <v>0</v>
      </c>
      <c r="CH35" s="34" t="n">
        <f aca="false">CH$23*INDEX(Precio_O,3)*INDEX(IdxPrecio_O,1,MIN(10,CH$17))*(1+P_dPrecio)</f>
        <v>0</v>
      </c>
      <c r="CI35" s="34" t="n">
        <f aca="false">CI$23*INDEX(Precio_O,3)*INDEX(IdxPrecio_O,1,MIN(10,CI$17))*(1+P_dPrecio)</f>
        <v>0</v>
      </c>
      <c r="CJ35" s="34" t="n">
        <f aca="false">CJ$23*INDEX(Precio_O,3)*INDEX(IdxPrecio_O,1,MIN(10,CJ$17))*(1+P_dPrecio)</f>
        <v>0</v>
      </c>
      <c r="CK35" s="34" t="n">
        <f aca="false">CK$23*INDEX(Precio_O,3)*INDEX(IdxPrecio_O,1,MIN(10,CK$17))*(1+P_dPrecio)</f>
        <v>0</v>
      </c>
      <c r="CL35" s="34" t="n">
        <f aca="false">CL$23*INDEX(Precio_O,3)*INDEX(IdxPrecio_O,1,MIN(10,CL$17))*(1+P_dPrecio)</f>
        <v>0</v>
      </c>
      <c r="CM35" s="34" t="n">
        <f aca="false">CM$23*INDEX(Precio_O,3)*INDEX(IdxPrecio_O,1,MIN(10,CM$17))*(1+P_dPrecio)</f>
        <v>0</v>
      </c>
      <c r="CN35" s="34" t="n">
        <f aca="false">CN$23*INDEX(Precio_O,3)*INDEX(IdxPrecio_O,1,MIN(10,CN$17))*(1+P_dPrecio)</f>
        <v>0</v>
      </c>
      <c r="CO35" s="34" t="n">
        <f aca="false">CO$23*INDEX(Precio_O,3)*INDEX(IdxPrecio_O,1,MIN(10,CO$17))*(1+P_dPrecio)</f>
        <v>0</v>
      </c>
      <c r="CP35" s="34" t="n">
        <f aca="false">CP$23*INDEX(Precio_O,3)*INDEX(IdxPrecio_O,1,MIN(10,CP$17))*(1+P_dPrecio)</f>
        <v>0</v>
      </c>
      <c r="CQ35" s="34" t="n">
        <f aca="false">CQ$23*INDEX(Precio_O,3)*INDEX(IdxPrecio_O,1,MIN(10,CQ$17))*(1+P_dPrecio)</f>
        <v>0</v>
      </c>
      <c r="CR35" s="34" t="n">
        <f aca="false">CR$23*INDEX(Precio_O,3)*INDEX(IdxPrecio_O,1,MIN(10,CR$17))*(1+P_dPrecio)</f>
        <v>0</v>
      </c>
      <c r="CS35" s="34" t="n">
        <f aca="false">CS$23*INDEX(Precio_O,3)*INDEX(IdxPrecio_O,1,MIN(10,CS$17))*(1+P_dPrecio)</f>
        <v>0</v>
      </c>
      <c r="CT35" s="34" t="n">
        <f aca="false">CT$23*INDEX(Precio_O,3)*INDEX(IdxPrecio_O,1,MIN(10,CT$17))*(1+P_dPrecio)</f>
        <v>0</v>
      </c>
      <c r="CU35" s="34" t="n">
        <f aca="false">CU$23*INDEX(Precio_O,3)*INDEX(IdxPrecio_O,1,MIN(10,CU$17))*(1+P_dPrecio)</f>
        <v>0</v>
      </c>
      <c r="CV35" s="34" t="n">
        <f aca="false">CV$23*INDEX(Precio_O,3)*INDEX(IdxPrecio_O,1,MIN(10,CV$17))*(1+P_dPrecio)</f>
        <v>0</v>
      </c>
      <c r="CW35" s="34" t="n">
        <f aca="false">CW$23*INDEX(Precio_O,3)*INDEX(IdxPrecio_O,1,MIN(10,CW$17))*(1+P_dPrecio)</f>
        <v>0</v>
      </c>
      <c r="CX35" s="34" t="n">
        <f aca="false">CX$23*INDEX(Precio_O,3)*INDEX(IdxPrecio_O,1,MIN(10,CX$17))*(1+P_dPrecio)</f>
        <v>0</v>
      </c>
      <c r="CY35" s="34" t="n">
        <f aca="false">CY$23*INDEX(Precio_O,3)*INDEX(IdxPrecio_O,1,MIN(10,CY$17))*(1+P_dPrecio)</f>
        <v>0</v>
      </c>
      <c r="CZ35" s="34" t="n">
        <f aca="false">CZ$23*INDEX(Precio_O,3)*INDEX(IdxPrecio_O,1,MIN(10,CZ$17))*(1+P_dPrecio)</f>
        <v>0</v>
      </c>
      <c r="DA35" s="34" t="n">
        <f aca="false">DA$23*INDEX(Precio_O,3)*INDEX(IdxPrecio_O,1,MIN(10,DA$17))*(1+P_dPrecio)</f>
        <v>0</v>
      </c>
      <c r="DB35" s="34" t="n">
        <f aca="false">DB$23*INDEX(Precio_O,3)*INDEX(IdxPrecio_O,1,MIN(10,DB$17))*(1+P_dPrecio)</f>
        <v>0</v>
      </c>
      <c r="DC35" s="34" t="n">
        <f aca="false">DC$23*INDEX(Precio_O,3)*INDEX(IdxPrecio_O,1,MIN(10,DC$17))*(1+P_dPrecio)</f>
        <v>0</v>
      </c>
      <c r="DD35" s="34" t="n">
        <f aca="false">DD$23*INDEX(Precio_O,3)*INDEX(IdxPrecio_O,1,MIN(10,DD$17))*(1+P_dPrecio)</f>
        <v>0</v>
      </c>
      <c r="DE35" s="34" t="n">
        <f aca="false">DE$23*INDEX(Precio_O,3)*INDEX(IdxPrecio_O,1,MIN(10,DE$17))*(1+P_dPrecio)</f>
        <v>0</v>
      </c>
      <c r="DF35" s="34" t="n">
        <f aca="false">DF$23*INDEX(Precio_O,3)*INDEX(IdxPrecio_O,1,MIN(10,DF$17))*(1+P_dPrecio)</f>
        <v>0</v>
      </c>
      <c r="DG35" s="34" t="n">
        <f aca="false">DG$23*INDEX(Precio_O,3)*INDEX(IdxPrecio_O,1,MIN(10,DG$17))*(1+P_dPrecio)</f>
        <v>0</v>
      </c>
      <c r="DH35" s="34" t="n">
        <f aca="false">DH$23*INDEX(Precio_O,3)*INDEX(IdxPrecio_O,1,MIN(10,DH$17))*(1+P_dPrecio)</f>
        <v>0</v>
      </c>
      <c r="DI35" s="34" t="n">
        <f aca="false">DI$23*INDEX(Precio_O,3)*INDEX(IdxPrecio_O,1,MIN(10,DI$17))*(1+P_dPrecio)</f>
        <v>0</v>
      </c>
      <c r="DJ35" s="34" t="n">
        <f aca="false">DJ$23*INDEX(Precio_O,3)*INDEX(IdxPrecio_O,1,MIN(10,DJ$17))*(1+P_dPrecio)</f>
        <v>0</v>
      </c>
      <c r="DK35" s="34" t="n">
        <f aca="false">DK$23*INDEX(Precio_O,3)*INDEX(IdxPrecio_O,1,MIN(10,DK$17))*(1+P_dPrecio)</f>
        <v>0</v>
      </c>
      <c r="DL35" s="34" t="n">
        <f aca="false">DL$23*INDEX(Precio_O,3)*INDEX(IdxPrecio_O,1,MIN(10,DL$17))*(1+P_dPrecio)</f>
        <v>0</v>
      </c>
      <c r="DM35" s="34" t="n">
        <f aca="false">DM$23*INDEX(Precio_O,3)*INDEX(IdxPrecio_O,1,MIN(10,DM$17))*(1+P_dPrecio)</f>
        <v>0</v>
      </c>
      <c r="DN35" s="34" t="n">
        <f aca="false">DN$23*INDEX(Precio_O,3)*INDEX(IdxPrecio_O,1,MIN(10,DN$17))*(1+P_dPrecio)</f>
        <v>0</v>
      </c>
      <c r="DO35" s="34" t="n">
        <f aca="false">DO$23*INDEX(Precio_O,3)*INDEX(IdxPrecio_O,1,MIN(10,DO$17))*(1+P_dPrecio)</f>
        <v>0</v>
      </c>
      <c r="DP35" s="34" t="n">
        <f aca="false">DP$23*INDEX(Precio_O,3)*INDEX(IdxPrecio_O,1,MIN(10,DP$17))*(1+P_dPrecio)</f>
        <v>0</v>
      </c>
      <c r="DQ35" s="34" t="n">
        <f aca="false">DQ$23*INDEX(Precio_O,3)*INDEX(IdxPrecio_O,1,MIN(10,DQ$17))*(1+P_dPrecio)</f>
        <v>0</v>
      </c>
      <c r="DR35" s="34" t="n">
        <f aca="false">DR$23*INDEX(Precio_O,3)*INDEX(IdxPrecio_O,1,MIN(10,DR$17))*(1+P_dPrecio)</f>
        <v>0</v>
      </c>
      <c r="DS35" s="34" t="n">
        <f aca="false">DS$23*INDEX(Precio_O,3)*INDEX(IdxPrecio_O,1,MIN(10,DS$17))*(1+P_dPrecio)</f>
        <v>0</v>
      </c>
      <c r="DT35" s="34" t="n">
        <f aca="false">DT$23*INDEX(Precio_O,3)*INDEX(IdxPrecio_O,1,MIN(10,DT$17))*(1+P_dPrecio)</f>
        <v>0</v>
      </c>
      <c r="DU35" s="34" t="n">
        <f aca="false">DU$23*INDEX(Precio_O,3)*INDEX(IdxPrecio_O,1,MIN(10,DU$17))*(1+P_dPrecio)</f>
        <v>0</v>
      </c>
      <c r="DV35" s="34" t="n">
        <f aca="false">DV$23*INDEX(Precio_O,3)*INDEX(IdxPrecio_O,1,MIN(10,DV$17))*(1+P_dPrecio)</f>
        <v>0</v>
      </c>
      <c r="DW35" s="34" t="n">
        <f aca="false">DW$23*INDEX(Precio_O,3)*INDEX(IdxPrecio_O,1,MIN(10,DW$17))*(1+P_dPrecio)</f>
        <v>0</v>
      </c>
      <c r="DX35" s="34" t="n">
        <f aca="false">DX$23*INDEX(Precio_O,3)*INDEX(IdxPrecio_O,1,MIN(10,DX$17))*(1+P_dPrecio)</f>
        <v>0</v>
      </c>
      <c r="DY35" s="34" t="n">
        <f aca="false">DY$23*INDEX(Precio_O,3)*INDEX(IdxPrecio_O,1,MIN(10,DY$17))*(1+P_dPrecio)</f>
        <v>0</v>
      </c>
      <c r="DZ35" s="34" t="n">
        <f aca="false">DZ$23*INDEX(Precio_O,3)*INDEX(IdxPrecio_O,1,MIN(10,DZ$17))*(1+P_dPrecio)</f>
        <v>0</v>
      </c>
      <c r="EA35" s="34" t="n">
        <f aca="false">EA$23*INDEX(Precio_O,3)*INDEX(IdxPrecio_O,1,MIN(10,EA$17))*(1+P_dPrecio)</f>
        <v>0</v>
      </c>
      <c r="EB35" s="34" t="n">
        <f aca="false">EB$23*INDEX(Precio_O,3)*INDEX(IdxPrecio_O,1,MIN(10,EB$17))*(1+P_dPrecio)</f>
        <v>0</v>
      </c>
      <c r="EC35" s="34" t="n">
        <f aca="false">EC$23*INDEX(Precio_O,3)*INDEX(IdxPrecio_O,1,MIN(10,EC$17))*(1+P_dPrecio)</f>
        <v>0</v>
      </c>
      <c r="ED35" s="34" t="n">
        <f aca="false">ED$23*INDEX(Precio_O,3)*INDEX(IdxPrecio_O,1,MIN(10,ED$17))*(1+P_dPrecio)</f>
        <v>0</v>
      </c>
      <c r="EE35" s="34" t="n">
        <f aca="false">EE$23*INDEX(Precio_O,3)*INDEX(IdxPrecio_O,1,MIN(10,EE$17))*(1+P_dPrecio)</f>
        <v>0</v>
      </c>
      <c r="EF35" s="34" t="n">
        <f aca="false">EF$23*INDEX(Precio_O,3)*INDEX(IdxPrecio_O,1,MIN(10,EF$17))*(1+P_dPrecio)</f>
        <v>0</v>
      </c>
      <c r="EG35" s="34" t="n">
        <f aca="false">EG$23*INDEX(Precio_O,3)*INDEX(IdxPrecio_O,1,MIN(10,EG$17))*(1+P_dPrecio)</f>
        <v>0</v>
      </c>
      <c r="EH35" s="34" t="n">
        <f aca="false">EH$23*INDEX(Precio_O,3)*INDEX(IdxPrecio_O,1,MIN(10,EH$17))*(1+P_dPrecio)</f>
        <v>0</v>
      </c>
      <c r="EI35" s="34" t="n">
        <f aca="false">EI$23*INDEX(Precio_O,3)*INDEX(IdxPrecio_O,1,MIN(10,EI$17))*(1+P_dPrecio)</f>
        <v>0</v>
      </c>
      <c r="EJ35" s="34" t="n">
        <f aca="false">EJ$23*INDEX(Precio_O,3)*INDEX(IdxPrecio_O,1,MIN(10,EJ$17))*(1+P_dPrecio)</f>
        <v>0</v>
      </c>
      <c r="EK35" s="34" t="n">
        <f aca="false">EK$23*INDEX(Precio_O,3)*INDEX(IdxPrecio_O,1,MIN(10,EK$17))*(1+P_dPrecio)</f>
        <v>0</v>
      </c>
      <c r="EL35" s="34" t="n">
        <f aca="false">EL$23*INDEX(Precio_O,3)*INDEX(IdxPrecio_O,1,MIN(10,EL$17))*(1+P_dPrecio)</f>
        <v>0</v>
      </c>
      <c r="EM35" s="34" t="n">
        <f aca="false">EM$23*INDEX(Precio_O,3)*INDEX(IdxPrecio_O,1,MIN(10,EM$17))*(1+P_dPrecio)</f>
        <v>0</v>
      </c>
      <c r="EN35" s="34" t="n">
        <f aca="false">EN$23*INDEX(Precio_O,3)*INDEX(IdxPrecio_O,1,MIN(10,EN$17))*(1+P_dPrecio)</f>
        <v>0</v>
      </c>
      <c r="EO35" s="34" t="n">
        <f aca="false">EO$23*INDEX(Precio_O,3)*INDEX(IdxPrecio_O,1,MIN(10,EO$17))*(1+P_dPrecio)</f>
        <v>0</v>
      </c>
      <c r="EP35" s="34" t="n">
        <f aca="false">EP$23*INDEX(Precio_O,3)*INDEX(IdxPrecio_O,1,MIN(10,EP$17))*(1+P_dPrecio)</f>
        <v>0</v>
      </c>
      <c r="EQ35" s="34" t="n">
        <f aca="false">EQ$23*INDEX(Precio_O,3)*INDEX(IdxPrecio_O,1,MIN(10,EQ$17))*(1+P_dPrecio)</f>
        <v>0</v>
      </c>
      <c r="ER35" s="34" t="n">
        <f aca="false">ER$23*INDEX(Precio_O,3)*INDEX(IdxPrecio_O,1,MIN(10,ER$17))*(1+P_dPrecio)</f>
        <v>0</v>
      </c>
      <c r="ES35" s="34" t="n">
        <f aca="false">ES$23*INDEX(Precio_O,3)*INDEX(IdxPrecio_O,1,MIN(10,ES$17))*(1+P_dPrecio)</f>
        <v>0</v>
      </c>
    </row>
    <row r="36" customFormat="false" ht="15" hidden="false" customHeight="false" outlineLevel="0" collapsed="false">
      <c r="A36" s="2" t="s">
        <v>573</v>
      </c>
      <c r="B36" s="39" t="str">
        <f aca="false">IF(INDEX(Prod_Nombre,4)="","Producto 4",INDEX(Prod_Nombre,4))&amp;" — ventas USD"</f>
        <v>Producto 4 — ventas USD</v>
      </c>
      <c r="C36" s="6" t="s">
        <v>250</v>
      </c>
      <c r="E36" s="40" t="n">
        <f aca="false">SUM(F36:ES36)</f>
        <v>0</v>
      </c>
      <c r="F36" s="34" t="n">
        <f aca="false">F$24*INDEX(Precio_O,4)*INDEX(IdxPrecio_O,1,MIN(10,F$17))*(1+P_dPrecio)</f>
        <v>0</v>
      </c>
      <c r="G36" s="34" t="n">
        <f aca="false">G$24*INDEX(Precio_O,4)*INDEX(IdxPrecio_O,1,MIN(10,G$17))*(1+P_dPrecio)</f>
        <v>0</v>
      </c>
      <c r="H36" s="34" t="n">
        <f aca="false">H$24*INDEX(Precio_O,4)*INDEX(IdxPrecio_O,1,MIN(10,H$17))*(1+P_dPrecio)</f>
        <v>0</v>
      </c>
      <c r="I36" s="34" t="n">
        <f aca="false">I$24*INDEX(Precio_O,4)*INDEX(IdxPrecio_O,1,MIN(10,I$17))*(1+P_dPrecio)</f>
        <v>0</v>
      </c>
      <c r="J36" s="34" t="n">
        <f aca="false">J$24*INDEX(Precio_O,4)*INDEX(IdxPrecio_O,1,MIN(10,J$17))*(1+P_dPrecio)</f>
        <v>0</v>
      </c>
      <c r="K36" s="34" t="n">
        <f aca="false">K$24*INDEX(Precio_O,4)*INDEX(IdxPrecio_O,1,MIN(10,K$17))*(1+P_dPrecio)</f>
        <v>0</v>
      </c>
      <c r="L36" s="34" t="n">
        <f aca="false">L$24*INDEX(Precio_O,4)*INDEX(IdxPrecio_O,1,MIN(10,L$17))*(1+P_dPrecio)</f>
        <v>0</v>
      </c>
      <c r="M36" s="34" t="n">
        <f aca="false">M$24*INDEX(Precio_O,4)*INDEX(IdxPrecio_O,1,MIN(10,M$17))*(1+P_dPrecio)</f>
        <v>0</v>
      </c>
      <c r="N36" s="34" t="n">
        <f aca="false">N$24*INDEX(Precio_O,4)*INDEX(IdxPrecio_O,1,MIN(10,N$17))*(1+P_dPrecio)</f>
        <v>0</v>
      </c>
      <c r="O36" s="34" t="n">
        <f aca="false">O$24*INDEX(Precio_O,4)*INDEX(IdxPrecio_O,1,MIN(10,O$17))*(1+P_dPrecio)</f>
        <v>0</v>
      </c>
      <c r="P36" s="34" t="n">
        <f aca="false">P$24*INDEX(Precio_O,4)*INDEX(IdxPrecio_O,1,MIN(10,P$17))*(1+P_dPrecio)</f>
        <v>0</v>
      </c>
      <c r="Q36" s="34" t="n">
        <f aca="false">Q$24*INDEX(Precio_O,4)*INDEX(IdxPrecio_O,1,MIN(10,Q$17))*(1+P_dPrecio)</f>
        <v>0</v>
      </c>
      <c r="R36" s="34" t="n">
        <f aca="false">R$24*INDEX(Precio_O,4)*INDEX(IdxPrecio_O,1,MIN(10,R$17))*(1+P_dPrecio)</f>
        <v>0</v>
      </c>
      <c r="S36" s="34" t="n">
        <f aca="false">S$24*INDEX(Precio_O,4)*INDEX(IdxPrecio_O,1,MIN(10,S$17))*(1+P_dPrecio)</f>
        <v>0</v>
      </c>
      <c r="T36" s="34" t="n">
        <f aca="false">T$24*INDEX(Precio_O,4)*INDEX(IdxPrecio_O,1,MIN(10,T$17))*(1+P_dPrecio)</f>
        <v>0</v>
      </c>
      <c r="U36" s="34" t="n">
        <f aca="false">U$24*INDEX(Precio_O,4)*INDEX(IdxPrecio_O,1,MIN(10,U$17))*(1+P_dPrecio)</f>
        <v>0</v>
      </c>
      <c r="V36" s="34" t="n">
        <f aca="false">V$24*INDEX(Precio_O,4)*INDEX(IdxPrecio_O,1,MIN(10,V$17))*(1+P_dPrecio)</f>
        <v>0</v>
      </c>
      <c r="W36" s="34" t="n">
        <f aca="false">W$24*INDEX(Precio_O,4)*INDEX(IdxPrecio_O,1,MIN(10,W$17))*(1+P_dPrecio)</f>
        <v>0</v>
      </c>
      <c r="X36" s="34" t="n">
        <f aca="false">X$24*INDEX(Precio_O,4)*INDEX(IdxPrecio_O,1,MIN(10,X$17))*(1+P_dPrecio)</f>
        <v>0</v>
      </c>
      <c r="Y36" s="34" t="n">
        <f aca="false">Y$24*INDEX(Precio_O,4)*INDEX(IdxPrecio_O,1,MIN(10,Y$17))*(1+P_dPrecio)</f>
        <v>0</v>
      </c>
      <c r="Z36" s="34" t="n">
        <f aca="false">Z$24*INDEX(Precio_O,4)*INDEX(IdxPrecio_O,1,MIN(10,Z$17))*(1+P_dPrecio)</f>
        <v>0</v>
      </c>
      <c r="AA36" s="34" t="n">
        <f aca="false">AA$24*INDEX(Precio_O,4)*INDEX(IdxPrecio_O,1,MIN(10,AA$17))*(1+P_dPrecio)</f>
        <v>0</v>
      </c>
      <c r="AB36" s="34" t="n">
        <f aca="false">AB$24*INDEX(Precio_O,4)*INDEX(IdxPrecio_O,1,MIN(10,AB$17))*(1+P_dPrecio)</f>
        <v>0</v>
      </c>
      <c r="AC36" s="34" t="n">
        <f aca="false">AC$24*INDEX(Precio_O,4)*INDEX(IdxPrecio_O,1,MIN(10,AC$17))*(1+P_dPrecio)</f>
        <v>0</v>
      </c>
      <c r="AD36" s="34" t="n">
        <f aca="false">AD$24*INDEX(Precio_O,4)*INDEX(IdxPrecio_O,1,MIN(10,AD$17))*(1+P_dPrecio)</f>
        <v>0</v>
      </c>
      <c r="AE36" s="34" t="n">
        <f aca="false">AE$24*INDEX(Precio_O,4)*INDEX(IdxPrecio_O,1,MIN(10,AE$17))*(1+P_dPrecio)</f>
        <v>0</v>
      </c>
      <c r="AF36" s="34" t="n">
        <f aca="false">AF$24*INDEX(Precio_O,4)*INDEX(IdxPrecio_O,1,MIN(10,AF$17))*(1+P_dPrecio)</f>
        <v>0</v>
      </c>
      <c r="AG36" s="34" t="n">
        <f aca="false">AG$24*INDEX(Precio_O,4)*INDEX(IdxPrecio_O,1,MIN(10,AG$17))*(1+P_dPrecio)</f>
        <v>0</v>
      </c>
      <c r="AH36" s="34" t="n">
        <f aca="false">AH$24*INDEX(Precio_O,4)*INDEX(IdxPrecio_O,1,MIN(10,AH$17))*(1+P_dPrecio)</f>
        <v>0</v>
      </c>
      <c r="AI36" s="34" t="n">
        <f aca="false">AI$24*INDEX(Precio_O,4)*INDEX(IdxPrecio_O,1,MIN(10,AI$17))*(1+P_dPrecio)</f>
        <v>0</v>
      </c>
      <c r="AJ36" s="34" t="n">
        <f aca="false">AJ$24*INDEX(Precio_O,4)*INDEX(IdxPrecio_O,1,MIN(10,AJ$17))*(1+P_dPrecio)</f>
        <v>0</v>
      </c>
      <c r="AK36" s="34" t="n">
        <f aca="false">AK$24*INDEX(Precio_O,4)*INDEX(IdxPrecio_O,1,MIN(10,AK$17))*(1+P_dPrecio)</f>
        <v>0</v>
      </c>
      <c r="AL36" s="34" t="n">
        <f aca="false">AL$24*INDEX(Precio_O,4)*INDEX(IdxPrecio_O,1,MIN(10,AL$17))*(1+P_dPrecio)</f>
        <v>0</v>
      </c>
      <c r="AM36" s="34" t="n">
        <f aca="false">AM$24*INDEX(Precio_O,4)*INDEX(IdxPrecio_O,1,MIN(10,AM$17))*(1+P_dPrecio)</f>
        <v>0</v>
      </c>
      <c r="AN36" s="34" t="n">
        <f aca="false">AN$24*INDEX(Precio_O,4)*INDEX(IdxPrecio_O,1,MIN(10,AN$17))*(1+P_dPrecio)</f>
        <v>0</v>
      </c>
      <c r="AO36" s="34" t="n">
        <f aca="false">AO$24*INDEX(Precio_O,4)*INDEX(IdxPrecio_O,1,MIN(10,AO$17))*(1+P_dPrecio)</f>
        <v>0</v>
      </c>
      <c r="AP36" s="34" t="n">
        <f aca="false">AP$24*INDEX(Precio_O,4)*INDEX(IdxPrecio_O,1,MIN(10,AP$17))*(1+P_dPrecio)</f>
        <v>0</v>
      </c>
      <c r="AQ36" s="34" t="n">
        <f aca="false">AQ$24*INDEX(Precio_O,4)*INDEX(IdxPrecio_O,1,MIN(10,AQ$17))*(1+P_dPrecio)</f>
        <v>0</v>
      </c>
      <c r="AR36" s="34" t="n">
        <f aca="false">AR$24*INDEX(Precio_O,4)*INDEX(IdxPrecio_O,1,MIN(10,AR$17))*(1+P_dPrecio)</f>
        <v>0</v>
      </c>
      <c r="AS36" s="34" t="n">
        <f aca="false">AS$24*INDEX(Precio_O,4)*INDEX(IdxPrecio_O,1,MIN(10,AS$17))*(1+P_dPrecio)</f>
        <v>0</v>
      </c>
      <c r="AT36" s="34" t="n">
        <f aca="false">AT$24*INDEX(Precio_O,4)*INDEX(IdxPrecio_O,1,MIN(10,AT$17))*(1+P_dPrecio)</f>
        <v>0</v>
      </c>
      <c r="AU36" s="34" t="n">
        <f aca="false">AU$24*INDEX(Precio_O,4)*INDEX(IdxPrecio_O,1,MIN(10,AU$17))*(1+P_dPrecio)</f>
        <v>0</v>
      </c>
      <c r="AV36" s="34" t="n">
        <f aca="false">AV$24*INDEX(Precio_O,4)*INDEX(IdxPrecio_O,1,MIN(10,AV$17))*(1+P_dPrecio)</f>
        <v>0</v>
      </c>
      <c r="AW36" s="34" t="n">
        <f aca="false">AW$24*INDEX(Precio_O,4)*INDEX(IdxPrecio_O,1,MIN(10,AW$17))*(1+P_dPrecio)</f>
        <v>0</v>
      </c>
      <c r="AX36" s="34" t="n">
        <f aca="false">AX$24*INDEX(Precio_O,4)*INDEX(IdxPrecio_O,1,MIN(10,AX$17))*(1+P_dPrecio)</f>
        <v>0</v>
      </c>
      <c r="AY36" s="34" t="n">
        <f aca="false">AY$24*INDEX(Precio_O,4)*INDEX(IdxPrecio_O,1,MIN(10,AY$17))*(1+P_dPrecio)</f>
        <v>0</v>
      </c>
      <c r="AZ36" s="34" t="n">
        <f aca="false">AZ$24*INDEX(Precio_O,4)*INDEX(IdxPrecio_O,1,MIN(10,AZ$17))*(1+P_dPrecio)</f>
        <v>0</v>
      </c>
      <c r="BA36" s="34" t="n">
        <f aca="false">BA$24*INDEX(Precio_O,4)*INDEX(IdxPrecio_O,1,MIN(10,BA$17))*(1+P_dPrecio)</f>
        <v>0</v>
      </c>
      <c r="BB36" s="34" t="n">
        <f aca="false">BB$24*INDEX(Precio_O,4)*INDEX(IdxPrecio_O,1,MIN(10,BB$17))*(1+P_dPrecio)</f>
        <v>0</v>
      </c>
      <c r="BC36" s="34" t="n">
        <f aca="false">BC$24*INDEX(Precio_O,4)*INDEX(IdxPrecio_O,1,MIN(10,BC$17))*(1+P_dPrecio)</f>
        <v>0</v>
      </c>
      <c r="BD36" s="34" t="n">
        <f aca="false">BD$24*INDEX(Precio_O,4)*INDEX(IdxPrecio_O,1,MIN(10,BD$17))*(1+P_dPrecio)</f>
        <v>0</v>
      </c>
      <c r="BE36" s="34" t="n">
        <f aca="false">BE$24*INDEX(Precio_O,4)*INDEX(IdxPrecio_O,1,MIN(10,BE$17))*(1+P_dPrecio)</f>
        <v>0</v>
      </c>
      <c r="BF36" s="34" t="n">
        <f aca="false">BF$24*INDEX(Precio_O,4)*INDEX(IdxPrecio_O,1,MIN(10,BF$17))*(1+P_dPrecio)</f>
        <v>0</v>
      </c>
      <c r="BG36" s="34" t="n">
        <f aca="false">BG$24*INDEX(Precio_O,4)*INDEX(IdxPrecio_O,1,MIN(10,BG$17))*(1+P_dPrecio)</f>
        <v>0</v>
      </c>
      <c r="BH36" s="34" t="n">
        <f aca="false">BH$24*INDEX(Precio_O,4)*INDEX(IdxPrecio_O,1,MIN(10,BH$17))*(1+P_dPrecio)</f>
        <v>0</v>
      </c>
      <c r="BI36" s="34" t="n">
        <f aca="false">BI$24*INDEX(Precio_O,4)*INDEX(IdxPrecio_O,1,MIN(10,BI$17))*(1+P_dPrecio)</f>
        <v>0</v>
      </c>
      <c r="BJ36" s="34" t="n">
        <f aca="false">BJ$24*INDEX(Precio_O,4)*INDEX(IdxPrecio_O,1,MIN(10,BJ$17))*(1+P_dPrecio)</f>
        <v>0</v>
      </c>
      <c r="BK36" s="34" t="n">
        <f aca="false">BK$24*INDEX(Precio_O,4)*INDEX(IdxPrecio_O,1,MIN(10,BK$17))*(1+P_dPrecio)</f>
        <v>0</v>
      </c>
      <c r="BL36" s="34" t="n">
        <f aca="false">BL$24*INDEX(Precio_O,4)*INDEX(IdxPrecio_O,1,MIN(10,BL$17))*(1+P_dPrecio)</f>
        <v>0</v>
      </c>
      <c r="BM36" s="34" t="n">
        <f aca="false">BM$24*INDEX(Precio_O,4)*INDEX(IdxPrecio_O,1,MIN(10,BM$17))*(1+P_dPrecio)</f>
        <v>0</v>
      </c>
      <c r="BN36" s="34" t="n">
        <f aca="false">BN$24*INDEX(Precio_O,4)*INDEX(IdxPrecio_O,1,MIN(10,BN$17))*(1+P_dPrecio)</f>
        <v>0</v>
      </c>
      <c r="BO36" s="34" t="n">
        <f aca="false">BO$24*INDEX(Precio_O,4)*INDEX(IdxPrecio_O,1,MIN(10,BO$17))*(1+P_dPrecio)</f>
        <v>0</v>
      </c>
      <c r="BP36" s="34" t="n">
        <f aca="false">BP$24*INDEX(Precio_O,4)*INDEX(IdxPrecio_O,1,MIN(10,BP$17))*(1+P_dPrecio)</f>
        <v>0</v>
      </c>
      <c r="BQ36" s="34" t="n">
        <f aca="false">BQ$24*INDEX(Precio_O,4)*INDEX(IdxPrecio_O,1,MIN(10,BQ$17))*(1+P_dPrecio)</f>
        <v>0</v>
      </c>
      <c r="BR36" s="34" t="n">
        <f aca="false">BR$24*INDEX(Precio_O,4)*INDEX(IdxPrecio_O,1,MIN(10,BR$17))*(1+P_dPrecio)</f>
        <v>0</v>
      </c>
      <c r="BS36" s="34" t="n">
        <f aca="false">BS$24*INDEX(Precio_O,4)*INDEX(IdxPrecio_O,1,MIN(10,BS$17))*(1+P_dPrecio)</f>
        <v>0</v>
      </c>
      <c r="BT36" s="34" t="n">
        <f aca="false">BT$24*INDEX(Precio_O,4)*INDEX(IdxPrecio_O,1,MIN(10,BT$17))*(1+P_dPrecio)</f>
        <v>0</v>
      </c>
      <c r="BU36" s="34" t="n">
        <f aca="false">BU$24*INDEX(Precio_O,4)*INDEX(IdxPrecio_O,1,MIN(10,BU$17))*(1+P_dPrecio)</f>
        <v>0</v>
      </c>
      <c r="BV36" s="34" t="n">
        <f aca="false">BV$24*INDEX(Precio_O,4)*INDEX(IdxPrecio_O,1,MIN(10,BV$17))*(1+P_dPrecio)</f>
        <v>0</v>
      </c>
      <c r="BW36" s="34" t="n">
        <f aca="false">BW$24*INDEX(Precio_O,4)*INDEX(IdxPrecio_O,1,MIN(10,BW$17))*(1+P_dPrecio)</f>
        <v>0</v>
      </c>
      <c r="BX36" s="34" t="n">
        <f aca="false">BX$24*INDEX(Precio_O,4)*INDEX(IdxPrecio_O,1,MIN(10,BX$17))*(1+P_dPrecio)</f>
        <v>0</v>
      </c>
      <c r="BY36" s="34" t="n">
        <f aca="false">BY$24*INDEX(Precio_O,4)*INDEX(IdxPrecio_O,1,MIN(10,BY$17))*(1+P_dPrecio)</f>
        <v>0</v>
      </c>
      <c r="BZ36" s="34" t="n">
        <f aca="false">BZ$24*INDEX(Precio_O,4)*INDEX(IdxPrecio_O,1,MIN(10,BZ$17))*(1+P_dPrecio)</f>
        <v>0</v>
      </c>
      <c r="CA36" s="34" t="n">
        <f aca="false">CA$24*INDEX(Precio_O,4)*INDEX(IdxPrecio_O,1,MIN(10,CA$17))*(1+P_dPrecio)</f>
        <v>0</v>
      </c>
      <c r="CB36" s="34" t="n">
        <f aca="false">CB$24*INDEX(Precio_O,4)*INDEX(IdxPrecio_O,1,MIN(10,CB$17))*(1+P_dPrecio)</f>
        <v>0</v>
      </c>
      <c r="CC36" s="34" t="n">
        <f aca="false">CC$24*INDEX(Precio_O,4)*INDEX(IdxPrecio_O,1,MIN(10,CC$17))*(1+P_dPrecio)</f>
        <v>0</v>
      </c>
      <c r="CD36" s="34" t="n">
        <f aca="false">CD$24*INDEX(Precio_O,4)*INDEX(IdxPrecio_O,1,MIN(10,CD$17))*(1+P_dPrecio)</f>
        <v>0</v>
      </c>
      <c r="CE36" s="34" t="n">
        <f aca="false">CE$24*INDEX(Precio_O,4)*INDEX(IdxPrecio_O,1,MIN(10,CE$17))*(1+P_dPrecio)</f>
        <v>0</v>
      </c>
      <c r="CF36" s="34" t="n">
        <f aca="false">CF$24*INDEX(Precio_O,4)*INDEX(IdxPrecio_O,1,MIN(10,CF$17))*(1+P_dPrecio)</f>
        <v>0</v>
      </c>
      <c r="CG36" s="34" t="n">
        <f aca="false">CG$24*INDEX(Precio_O,4)*INDEX(IdxPrecio_O,1,MIN(10,CG$17))*(1+P_dPrecio)</f>
        <v>0</v>
      </c>
      <c r="CH36" s="34" t="n">
        <f aca="false">CH$24*INDEX(Precio_O,4)*INDEX(IdxPrecio_O,1,MIN(10,CH$17))*(1+P_dPrecio)</f>
        <v>0</v>
      </c>
      <c r="CI36" s="34" t="n">
        <f aca="false">CI$24*INDEX(Precio_O,4)*INDEX(IdxPrecio_O,1,MIN(10,CI$17))*(1+P_dPrecio)</f>
        <v>0</v>
      </c>
      <c r="CJ36" s="34" t="n">
        <f aca="false">CJ$24*INDEX(Precio_O,4)*INDEX(IdxPrecio_O,1,MIN(10,CJ$17))*(1+P_dPrecio)</f>
        <v>0</v>
      </c>
      <c r="CK36" s="34" t="n">
        <f aca="false">CK$24*INDEX(Precio_O,4)*INDEX(IdxPrecio_O,1,MIN(10,CK$17))*(1+P_dPrecio)</f>
        <v>0</v>
      </c>
      <c r="CL36" s="34" t="n">
        <f aca="false">CL$24*INDEX(Precio_O,4)*INDEX(IdxPrecio_O,1,MIN(10,CL$17))*(1+P_dPrecio)</f>
        <v>0</v>
      </c>
      <c r="CM36" s="34" t="n">
        <f aca="false">CM$24*INDEX(Precio_O,4)*INDEX(IdxPrecio_O,1,MIN(10,CM$17))*(1+P_dPrecio)</f>
        <v>0</v>
      </c>
      <c r="CN36" s="34" t="n">
        <f aca="false">CN$24*INDEX(Precio_O,4)*INDEX(IdxPrecio_O,1,MIN(10,CN$17))*(1+P_dPrecio)</f>
        <v>0</v>
      </c>
      <c r="CO36" s="34" t="n">
        <f aca="false">CO$24*INDEX(Precio_O,4)*INDEX(IdxPrecio_O,1,MIN(10,CO$17))*(1+P_dPrecio)</f>
        <v>0</v>
      </c>
      <c r="CP36" s="34" t="n">
        <f aca="false">CP$24*INDEX(Precio_O,4)*INDEX(IdxPrecio_O,1,MIN(10,CP$17))*(1+P_dPrecio)</f>
        <v>0</v>
      </c>
      <c r="CQ36" s="34" t="n">
        <f aca="false">CQ$24*INDEX(Precio_O,4)*INDEX(IdxPrecio_O,1,MIN(10,CQ$17))*(1+P_dPrecio)</f>
        <v>0</v>
      </c>
      <c r="CR36" s="34" t="n">
        <f aca="false">CR$24*INDEX(Precio_O,4)*INDEX(IdxPrecio_O,1,MIN(10,CR$17))*(1+P_dPrecio)</f>
        <v>0</v>
      </c>
      <c r="CS36" s="34" t="n">
        <f aca="false">CS$24*INDEX(Precio_O,4)*INDEX(IdxPrecio_O,1,MIN(10,CS$17))*(1+P_dPrecio)</f>
        <v>0</v>
      </c>
      <c r="CT36" s="34" t="n">
        <f aca="false">CT$24*INDEX(Precio_O,4)*INDEX(IdxPrecio_O,1,MIN(10,CT$17))*(1+P_dPrecio)</f>
        <v>0</v>
      </c>
      <c r="CU36" s="34" t="n">
        <f aca="false">CU$24*INDEX(Precio_O,4)*INDEX(IdxPrecio_O,1,MIN(10,CU$17))*(1+P_dPrecio)</f>
        <v>0</v>
      </c>
      <c r="CV36" s="34" t="n">
        <f aca="false">CV$24*INDEX(Precio_O,4)*INDEX(IdxPrecio_O,1,MIN(10,CV$17))*(1+P_dPrecio)</f>
        <v>0</v>
      </c>
      <c r="CW36" s="34" t="n">
        <f aca="false">CW$24*INDEX(Precio_O,4)*INDEX(IdxPrecio_O,1,MIN(10,CW$17))*(1+P_dPrecio)</f>
        <v>0</v>
      </c>
      <c r="CX36" s="34" t="n">
        <f aca="false">CX$24*INDEX(Precio_O,4)*INDEX(IdxPrecio_O,1,MIN(10,CX$17))*(1+P_dPrecio)</f>
        <v>0</v>
      </c>
      <c r="CY36" s="34" t="n">
        <f aca="false">CY$24*INDEX(Precio_O,4)*INDEX(IdxPrecio_O,1,MIN(10,CY$17))*(1+P_dPrecio)</f>
        <v>0</v>
      </c>
      <c r="CZ36" s="34" t="n">
        <f aca="false">CZ$24*INDEX(Precio_O,4)*INDEX(IdxPrecio_O,1,MIN(10,CZ$17))*(1+P_dPrecio)</f>
        <v>0</v>
      </c>
      <c r="DA36" s="34" t="n">
        <f aca="false">DA$24*INDEX(Precio_O,4)*INDEX(IdxPrecio_O,1,MIN(10,DA$17))*(1+P_dPrecio)</f>
        <v>0</v>
      </c>
      <c r="DB36" s="34" t="n">
        <f aca="false">DB$24*INDEX(Precio_O,4)*INDEX(IdxPrecio_O,1,MIN(10,DB$17))*(1+P_dPrecio)</f>
        <v>0</v>
      </c>
      <c r="DC36" s="34" t="n">
        <f aca="false">DC$24*INDEX(Precio_O,4)*INDEX(IdxPrecio_O,1,MIN(10,DC$17))*(1+P_dPrecio)</f>
        <v>0</v>
      </c>
      <c r="DD36" s="34" t="n">
        <f aca="false">DD$24*INDEX(Precio_O,4)*INDEX(IdxPrecio_O,1,MIN(10,DD$17))*(1+P_dPrecio)</f>
        <v>0</v>
      </c>
      <c r="DE36" s="34" t="n">
        <f aca="false">DE$24*INDEX(Precio_O,4)*INDEX(IdxPrecio_O,1,MIN(10,DE$17))*(1+P_dPrecio)</f>
        <v>0</v>
      </c>
      <c r="DF36" s="34" t="n">
        <f aca="false">DF$24*INDEX(Precio_O,4)*INDEX(IdxPrecio_O,1,MIN(10,DF$17))*(1+P_dPrecio)</f>
        <v>0</v>
      </c>
      <c r="DG36" s="34" t="n">
        <f aca="false">DG$24*INDEX(Precio_O,4)*INDEX(IdxPrecio_O,1,MIN(10,DG$17))*(1+P_dPrecio)</f>
        <v>0</v>
      </c>
      <c r="DH36" s="34" t="n">
        <f aca="false">DH$24*INDEX(Precio_O,4)*INDEX(IdxPrecio_O,1,MIN(10,DH$17))*(1+P_dPrecio)</f>
        <v>0</v>
      </c>
      <c r="DI36" s="34" t="n">
        <f aca="false">DI$24*INDEX(Precio_O,4)*INDEX(IdxPrecio_O,1,MIN(10,DI$17))*(1+P_dPrecio)</f>
        <v>0</v>
      </c>
      <c r="DJ36" s="34" t="n">
        <f aca="false">DJ$24*INDEX(Precio_O,4)*INDEX(IdxPrecio_O,1,MIN(10,DJ$17))*(1+P_dPrecio)</f>
        <v>0</v>
      </c>
      <c r="DK36" s="34" t="n">
        <f aca="false">DK$24*INDEX(Precio_O,4)*INDEX(IdxPrecio_O,1,MIN(10,DK$17))*(1+P_dPrecio)</f>
        <v>0</v>
      </c>
      <c r="DL36" s="34" t="n">
        <f aca="false">DL$24*INDEX(Precio_O,4)*INDEX(IdxPrecio_O,1,MIN(10,DL$17))*(1+P_dPrecio)</f>
        <v>0</v>
      </c>
      <c r="DM36" s="34" t="n">
        <f aca="false">DM$24*INDEX(Precio_O,4)*INDEX(IdxPrecio_O,1,MIN(10,DM$17))*(1+P_dPrecio)</f>
        <v>0</v>
      </c>
      <c r="DN36" s="34" t="n">
        <f aca="false">DN$24*INDEX(Precio_O,4)*INDEX(IdxPrecio_O,1,MIN(10,DN$17))*(1+P_dPrecio)</f>
        <v>0</v>
      </c>
      <c r="DO36" s="34" t="n">
        <f aca="false">DO$24*INDEX(Precio_O,4)*INDEX(IdxPrecio_O,1,MIN(10,DO$17))*(1+P_dPrecio)</f>
        <v>0</v>
      </c>
      <c r="DP36" s="34" t="n">
        <f aca="false">DP$24*INDEX(Precio_O,4)*INDEX(IdxPrecio_O,1,MIN(10,DP$17))*(1+P_dPrecio)</f>
        <v>0</v>
      </c>
      <c r="DQ36" s="34" t="n">
        <f aca="false">DQ$24*INDEX(Precio_O,4)*INDEX(IdxPrecio_O,1,MIN(10,DQ$17))*(1+P_dPrecio)</f>
        <v>0</v>
      </c>
      <c r="DR36" s="34" t="n">
        <f aca="false">DR$24*INDEX(Precio_O,4)*INDEX(IdxPrecio_O,1,MIN(10,DR$17))*(1+P_dPrecio)</f>
        <v>0</v>
      </c>
      <c r="DS36" s="34" t="n">
        <f aca="false">DS$24*INDEX(Precio_O,4)*INDEX(IdxPrecio_O,1,MIN(10,DS$17))*(1+P_dPrecio)</f>
        <v>0</v>
      </c>
      <c r="DT36" s="34" t="n">
        <f aca="false">DT$24*INDEX(Precio_O,4)*INDEX(IdxPrecio_O,1,MIN(10,DT$17))*(1+P_dPrecio)</f>
        <v>0</v>
      </c>
      <c r="DU36" s="34" t="n">
        <f aca="false">DU$24*INDEX(Precio_O,4)*INDEX(IdxPrecio_O,1,MIN(10,DU$17))*(1+P_dPrecio)</f>
        <v>0</v>
      </c>
      <c r="DV36" s="34" t="n">
        <f aca="false">DV$24*INDEX(Precio_O,4)*INDEX(IdxPrecio_O,1,MIN(10,DV$17))*(1+P_dPrecio)</f>
        <v>0</v>
      </c>
      <c r="DW36" s="34" t="n">
        <f aca="false">DW$24*INDEX(Precio_O,4)*INDEX(IdxPrecio_O,1,MIN(10,DW$17))*(1+P_dPrecio)</f>
        <v>0</v>
      </c>
      <c r="DX36" s="34" t="n">
        <f aca="false">DX$24*INDEX(Precio_O,4)*INDEX(IdxPrecio_O,1,MIN(10,DX$17))*(1+P_dPrecio)</f>
        <v>0</v>
      </c>
      <c r="DY36" s="34" t="n">
        <f aca="false">DY$24*INDEX(Precio_O,4)*INDEX(IdxPrecio_O,1,MIN(10,DY$17))*(1+P_dPrecio)</f>
        <v>0</v>
      </c>
      <c r="DZ36" s="34" t="n">
        <f aca="false">DZ$24*INDEX(Precio_O,4)*INDEX(IdxPrecio_O,1,MIN(10,DZ$17))*(1+P_dPrecio)</f>
        <v>0</v>
      </c>
      <c r="EA36" s="34" t="n">
        <f aca="false">EA$24*INDEX(Precio_O,4)*INDEX(IdxPrecio_O,1,MIN(10,EA$17))*(1+P_dPrecio)</f>
        <v>0</v>
      </c>
      <c r="EB36" s="34" t="n">
        <f aca="false">EB$24*INDEX(Precio_O,4)*INDEX(IdxPrecio_O,1,MIN(10,EB$17))*(1+P_dPrecio)</f>
        <v>0</v>
      </c>
      <c r="EC36" s="34" t="n">
        <f aca="false">EC$24*INDEX(Precio_O,4)*INDEX(IdxPrecio_O,1,MIN(10,EC$17))*(1+P_dPrecio)</f>
        <v>0</v>
      </c>
      <c r="ED36" s="34" t="n">
        <f aca="false">ED$24*INDEX(Precio_O,4)*INDEX(IdxPrecio_O,1,MIN(10,ED$17))*(1+P_dPrecio)</f>
        <v>0</v>
      </c>
      <c r="EE36" s="34" t="n">
        <f aca="false">EE$24*INDEX(Precio_O,4)*INDEX(IdxPrecio_O,1,MIN(10,EE$17))*(1+P_dPrecio)</f>
        <v>0</v>
      </c>
      <c r="EF36" s="34" t="n">
        <f aca="false">EF$24*INDEX(Precio_O,4)*INDEX(IdxPrecio_O,1,MIN(10,EF$17))*(1+P_dPrecio)</f>
        <v>0</v>
      </c>
      <c r="EG36" s="34" t="n">
        <f aca="false">EG$24*INDEX(Precio_O,4)*INDEX(IdxPrecio_O,1,MIN(10,EG$17))*(1+P_dPrecio)</f>
        <v>0</v>
      </c>
      <c r="EH36" s="34" t="n">
        <f aca="false">EH$24*INDEX(Precio_O,4)*INDEX(IdxPrecio_O,1,MIN(10,EH$17))*(1+P_dPrecio)</f>
        <v>0</v>
      </c>
      <c r="EI36" s="34" t="n">
        <f aca="false">EI$24*INDEX(Precio_O,4)*INDEX(IdxPrecio_O,1,MIN(10,EI$17))*(1+P_dPrecio)</f>
        <v>0</v>
      </c>
      <c r="EJ36" s="34" t="n">
        <f aca="false">EJ$24*INDEX(Precio_O,4)*INDEX(IdxPrecio_O,1,MIN(10,EJ$17))*(1+P_dPrecio)</f>
        <v>0</v>
      </c>
      <c r="EK36" s="34" t="n">
        <f aca="false">EK$24*INDEX(Precio_O,4)*INDEX(IdxPrecio_O,1,MIN(10,EK$17))*(1+P_dPrecio)</f>
        <v>0</v>
      </c>
      <c r="EL36" s="34" t="n">
        <f aca="false">EL$24*INDEX(Precio_O,4)*INDEX(IdxPrecio_O,1,MIN(10,EL$17))*(1+P_dPrecio)</f>
        <v>0</v>
      </c>
      <c r="EM36" s="34" t="n">
        <f aca="false">EM$24*INDEX(Precio_O,4)*INDEX(IdxPrecio_O,1,MIN(10,EM$17))*(1+P_dPrecio)</f>
        <v>0</v>
      </c>
      <c r="EN36" s="34" t="n">
        <f aca="false">EN$24*INDEX(Precio_O,4)*INDEX(IdxPrecio_O,1,MIN(10,EN$17))*(1+P_dPrecio)</f>
        <v>0</v>
      </c>
      <c r="EO36" s="34" t="n">
        <f aca="false">EO$24*INDEX(Precio_O,4)*INDEX(IdxPrecio_O,1,MIN(10,EO$17))*(1+P_dPrecio)</f>
        <v>0</v>
      </c>
      <c r="EP36" s="34" t="n">
        <f aca="false">EP$24*INDEX(Precio_O,4)*INDEX(IdxPrecio_O,1,MIN(10,EP$17))*(1+P_dPrecio)</f>
        <v>0</v>
      </c>
      <c r="EQ36" s="34" t="n">
        <f aca="false">EQ$24*INDEX(Precio_O,4)*INDEX(IdxPrecio_O,1,MIN(10,EQ$17))*(1+P_dPrecio)</f>
        <v>0</v>
      </c>
      <c r="ER36" s="34" t="n">
        <f aca="false">ER$24*INDEX(Precio_O,4)*INDEX(IdxPrecio_O,1,MIN(10,ER$17))*(1+P_dPrecio)</f>
        <v>0</v>
      </c>
      <c r="ES36" s="34" t="n">
        <f aca="false">ES$24*INDEX(Precio_O,4)*INDEX(IdxPrecio_O,1,MIN(10,ES$17))*(1+P_dPrecio)</f>
        <v>0</v>
      </c>
    </row>
    <row r="37" customFormat="false" ht="15" hidden="false" customHeight="false" outlineLevel="0" collapsed="false">
      <c r="A37" s="2" t="s">
        <v>574</v>
      </c>
      <c r="B37" s="39" t="str">
        <f aca="false">IF(INDEX(Prod_Nombre,5)="","Producto 5",INDEX(Prod_Nombre,5))&amp;" — ventas USD"</f>
        <v>Producto 5 — ventas USD</v>
      </c>
      <c r="C37" s="6" t="s">
        <v>250</v>
      </c>
      <c r="E37" s="40" t="n">
        <f aca="false">SUM(F37:ES37)</f>
        <v>0</v>
      </c>
      <c r="F37" s="34" t="n">
        <f aca="false">F$25*INDEX(Precio_O,5)*INDEX(IdxPrecio_O,1,MIN(10,F$17))*(1+P_dPrecio)</f>
        <v>0</v>
      </c>
      <c r="G37" s="34" t="n">
        <f aca="false">G$25*INDEX(Precio_O,5)*INDEX(IdxPrecio_O,1,MIN(10,G$17))*(1+P_dPrecio)</f>
        <v>0</v>
      </c>
      <c r="H37" s="34" t="n">
        <f aca="false">H$25*INDEX(Precio_O,5)*INDEX(IdxPrecio_O,1,MIN(10,H$17))*(1+P_dPrecio)</f>
        <v>0</v>
      </c>
      <c r="I37" s="34" t="n">
        <f aca="false">I$25*INDEX(Precio_O,5)*INDEX(IdxPrecio_O,1,MIN(10,I$17))*(1+P_dPrecio)</f>
        <v>0</v>
      </c>
      <c r="J37" s="34" t="n">
        <f aca="false">J$25*INDEX(Precio_O,5)*INDEX(IdxPrecio_O,1,MIN(10,J$17))*(1+P_dPrecio)</f>
        <v>0</v>
      </c>
      <c r="K37" s="34" t="n">
        <f aca="false">K$25*INDEX(Precio_O,5)*INDEX(IdxPrecio_O,1,MIN(10,K$17))*(1+P_dPrecio)</f>
        <v>0</v>
      </c>
      <c r="L37" s="34" t="n">
        <f aca="false">L$25*INDEX(Precio_O,5)*INDEX(IdxPrecio_O,1,MIN(10,L$17))*(1+P_dPrecio)</f>
        <v>0</v>
      </c>
      <c r="M37" s="34" t="n">
        <f aca="false">M$25*INDEX(Precio_O,5)*INDEX(IdxPrecio_O,1,MIN(10,M$17))*(1+P_dPrecio)</f>
        <v>0</v>
      </c>
      <c r="N37" s="34" t="n">
        <f aca="false">N$25*INDEX(Precio_O,5)*INDEX(IdxPrecio_O,1,MIN(10,N$17))*(1+P_dPrecio)</f>
        <v>0</v>
      </c>
      <c r="O37" s="34" t="n">
        <f aca="false">O$25*INDEX(Precio_O,5)*INDEX(IdxPrecio_O,1,MIN(10,O$17))*(1+P_dPrecio)</f>
        <v>0</v>
      </c>
      <c r="P37" s="34" t="n">
        <f aca="false">P$25*INDEX(Precio_O,5)*INDEX(IdxPrecio_O,1,MIN(10,P$17))*(1+P_dPrecio)</f>
        <v>0</v>
      </c>
      <c r="Q37" s="34" t="n">
        <f aca="false">Q$25*INDEX(Precio_O,5)*INDEX(IdxPrecio_O,1,MIN(10,Q$17))*(1+P_dPrecio)</f>
        <v>0</v>
      </c>
      <c r="R37" s="34" t="n">
        <f aca="false">R$25*INDEX(Precio_O,5)*INDEX(IdxPrecio_O,1,MIN(10,R$17))*(1+P_dPrecio)</f>
        <v>0</v>
      </c>
      <c r="S37" s="34" t="n">
        <f aca="false">S$25*INDEX(Precio_O,5)*INDEX(IdxPrecio_O,1,MIN(10,S$17))*(1+P_dPrecio)</f>
        <v>0</v>
      </c>
      <c r="T37" s="34" t="n">
        <f aca="false">T$25*INDEX(Precio_O,5)*INDEX(IdxPrecio_O,1,MIN(10,T$17))*(1+P_dPrecio)</f>
        <v>0</v>
      </c>
      <c r="U37" s="34" t="n">
        <f aca="false">U$25*INDEX(Precio_O,5)*INDEX(IdxPrecio_O,1,MIN(10,U$17))*(1+P_dPrecio)</f>
        <v>0</v>
      </c>
      <c r="V37" s="34" t="n">
        <f aca="false">V$25*INDEX(Precio_O,5)*INDEX(IdxPrecio_O,1,MIN(10,V$17))*(1+P_dPrecio)</f>
        <v>0</v>
      </c>
      <c r="W37" s="34" t="n">
        <f aca="false">W$25*INDEX(Precio_O,5)*INDEX(IdxPrecio_O,1,MIN(10,W$17))*(1+P_dPrecio)</f>
        <v>0</v>
      </c>
      <c r="X37" s="34" t="n">
        <f aca="false">X$25*INDEX(Precio_O,5)*INDEX(IdxPrecio_O,1,MIN(10,X$17))*(1+P_dPrecio)</f>
        <v>0</v>
      </c>
      <c r="Y37" s="34" t="n">
        <f aca="false">Y$25*INDEX(Precio_O,5)*INDEX(IdxPrecio_O,1,MIN(10,Y$17))*(1+P_dPrecio)</f>
        <v>0</v>
      </c>
      <c r="Z37" s="34" t="n">
        <f aca="false">Z$25*INDEX(Precio_O,5)*INDEX(IdxPrecio_O,1,MIN(10,Z$17))*(1+P_dPrecio)</f>
        <v>0</v>
      </c>
      <c r="AA37" s="34" t="n">
        <f aca="false">AA$25*INDEX(Precio_O,5)*INDEX(IdxPrecio_O,1,MIN(10,AA$17))*(1+P_dPrecio)</f>
        <v>0</v>
      </c>
      <c r="AB37" s="34" t="n">
        <f aca="false">AB$25*INDEX(Precio_O,5)*INDEX(IdxPrecio_O,1,MIN(10,AB$17))*(1+P_dPrecio)</f>
        <v>0</v>
      </c>
      <c r="AC37" s="34" t="n">
        <f aca="false">AC$25*INDEX(Precio_O,5)*INDEX(IdxPrecio_O,1,MIN(10,AC$17))*(1+P_dPrecio)</f>
        <v>0</v>
      </c>
      <c r="AD37" s="34" t="n">
        <f aca="false">AD$25*INDEX(Precio_O,5)*INDEX(IdxPrecio_O,1,MIN(10,AD$17))*(1+P_dPrecio)</f>
        <v>0</v>
      </c>
      <c r="AE37" s="34" t="n">
        <f aca="false">AE$25*INDEX(Precio_O,5)*INDEX(IdxPrecio_O,1,MIN(10,AE$17))*(1+P_dPrecio)</f>
        <v>0</v>
      </c>
      <c r="AF37" s="34" t="n">
        <f aca="false">AF$25*INDEX(Precio_O,5)*INDEX(IdxPrecio_O,1,MIN(10,AF$17))*(1+P_dPrecio)</f>
        <v>0</v>
      </c>
      <c r="AG37" s="34" t="n">
        <f aca="false">AG$25*INDEX(Precio_O,5)*INDEX(IdxPrecio_O,1,MIN(10,AG$17))*(1+P_dPrecio)</f>
        <v>0</v>
      </c>
      <c r="AH37" s="34" t="n">
        <f aca="false">AH$25*INDEX(Precio_O,5)*INDEX(IdxPrecio_O,1,MIN(10,AH$17))*(1+P_dPrecio)</f>
        <v>0</v>
      </c>
      <c r="AI37" s="34" t="n">
        <f aca="false">AI$25*INDEX(Precio_O,5)*INDEX(IdxPrecio_O,1,MIN(10,AI$17))*(1+P_dPrecio)</f>
        <v>0</v>
      </c>
      <c r="AJ37" s="34" t="n">
        <f aca="false">AJ$25*INDEX(Precio_O,5)*INDEX(IdxPrecio_O,1,MIN(10,AJ$17))*(1+P_dPrecio)</f>
        <v>0</v>
      </c>
      <c r="AK37" s="34" t="n">
        <f aca="false">AK$25*INDEX(Precio_O,5)*INDEX(IdxPrecio_O,1,MIN(10,AK$17))*(1+P_dPrecio)</f>
        <v>0</v>
      </c>
      <c r="AL37" s="34" t="n">
        <f aca="false">AL$25*INDEX(Precio_O,5)*INDEX(IdxPrecio_O,1,MIN(10,AL$17))*(1+P_dPrecio)</f>
        <v>0</v>
      </c>
      <c r="AM37" s="34" t="n">
        <f aca="false">AM$25*INDEX(Precio_O,5)*INDEX(IdxPrecio_O,1,MIN(10,AM$17))*(1+P_dPrecio)</f>
        <v>0</v>
      </c>
      <c r="AN37" s="34" t="n">
        <f aca="false">AN$25*INDEX(Precio_O,5)*INDEX(IdxPrecio_O,1,MIN(10,AN$17))*(1+P_dPrecio)</f>
        <v>0</v>
      </c>
      <c r="AO37" s="34" t="n">
        <f aca="false">AO$25*INDEX(Precio_O,5)*INDEX(IdxPrecio_O,1,MIN(10,AO$17))*(1+P_dPrecio)</f>
        <v>0</v>
      </c>
      <c r="AP37" s="34" t="n">
        <f aca="false">AP$25*INDEX(Precio_O,5)*INDEX(IdxPrecio_O,1,MIN(10,AP$17))*(1+P_dPrecio)</f>
        <v>0</v>
      </c>
      <c r="AQ37" s="34" t="n">
        <f aca="false">AQ$25*INDEX(Precio_O,5)*INDEX(IdxPrecio_O,1,MIN(10,AQ$17))*(1+P_dPrecio)</f>
        <v>0</v>
      </c>
      <c r="AR37" s="34" t="n">
        <f aca="false">AR$25*INDEX(Precio_O,5)*INDEX(IdxPrecio_O,1,MIN(10,AR$17))*(1+P_dPrecio)</f>
        <v>0</v>
      </c>
      <c r="AS37" s="34" t="n">
        <f aca="false">AS$25*INDEX(Precio_O,5)*INDEX(IdxPrecio_O,1,MIN(10,AS$17))*(1+P_dPrecio)</f>
        <v>0</v>
      </c>
      <c r="AT37" s="34" t="n">
        <f aca="false">AT$25*INDEX(Precio_O,5)*INDEX(IdxPrecio_O,1,MIN(10,AT$17))*(1+P_dPrecio)</f>
        <v>0</v>
      </c>
      <c r="AU37" s="34" t="n">
        <f aca="false">AU$25*INDEX(Precio_O,5)*INDEX(IdxPrecio_O,1,MIN(10,AU$17))*(1+P_dPrecio)</f>
        <v>0</v>
      </c>
      <c r="AV37" s="34" t="n">
        <f aca="false">AV$25*INDEX(Precio_O,5)*INDEX(IdxPrecio_O,1,MIN(10,AV$17))*(1+P_dPrecio)</f>
        <v>0</v>
      </c>
      <c r="AW37" s="34" t="n">
        <f aca="false">AW$25*INDEX(Precio_O,5)*INDEX(IdxPrecio_O,1,MIN(10,AW$17))*(1+P_dPrecio)</f>
        <v>0</v>
      </c>
      <c r="AX37" s="34" t="n">
        <f aca="false">AX$25*INDEX(Precio_O,5)*INDEX(IdxPrecio_O,1,MIN(10,AX$17))*(1+P_dPrecio)</f>
        <v>0</v>
      </c>
      <c r="AY37" s="34" t="n">
        <f aca="false">AY$25*INDEX(Precio_O,5)*INDEX(IdxPrecio_O,1,MIN(10,AY$17))*(1+P_dPrecio)</f>
        <v>0</v>
      </c>
      <c r="AZ37" s="34" t="n">
        <f aca="false">AZ$25*INDEX(Precio_O,5)*INDEX(IdxPrecio_O,1,MIN(10,AZ$17))*(1+P_dPrecio)</f>
        <v>0</v>
      </c>
      <c r="BA37" s="34" t="n">
        <f aca="false">BA$25*INDEX(Precio_O,5)*INDEX(IdxPrecio_O,1,MIN(10,BA$17))*(1+P_dPrecio)</f>
        <v>0</v>
      </c>
      <c r="BB37" s="34" t="n">
        <f aca="false">BB$25*INDEX(Precio_O,5)*INDEX(IdxPrecio_O,1,MIN(10,BB$17))*(1+P_dPrecio)</f>
        <v>0</v>
      </c>
      <c r="BC37" s="34" t="n">
        <f aca="false">BC$25*INDEX(Precio_O,5)*INDEX(IdxPrecio_O,1,MIN(10,BC$17))*(1+P_dPrecio)</f>
        <v>0</v>
      </c>
      <c r="BD37" s="34" t="n">
        <f aca="false">BD$25*INDEX(Precio_O,5)*INDEX(IdxPrecio_O,1,MIN(10,BD$17))*(1+P_dPrecio)</f>
        <v>0</v>
      </c>
      <c r="BE37" s="34" t="n">
        <f aca="false">BE$25*INDEX(Precio_O,5)*INDEX(IdxPrecio_O,1,MIN(10,BE$17))*(1+P_dPrecio)</f>
        <v>0</v>
      </c>
      <c r="BF37" s="34" t="n">
        <f aca="false">BF$25*INDEX(Precio_O,5)*INDEX(IdxPrecio_O,1,MIN(10,BF$17))*(1+P_dPrecio)</f>
        <v>0</v>
      </c>
      <c r="BG37" s="34" t="n">
        <f aca="false">BG$25*INDEX(Precio_O,5)*INDEX(IdxPrecio_O,1,MIN(10,BG$17))*(1+P_dPrecio)</f>
        <v>0</v>
      </c>
      <c r="BH37" s="34" t="n">
        <f aca="false">BH$25*INDEX(Precio_O,5)*INDEX(IdxPrecio_O,1,MIN(10,BH$17))*(1+P_dPrecio)</f>
        <v>0</v>
      </c>
      <c r="BI37" s="34" t="n">
        <f aca="false">BI$25*INDEX(Precio_O,5)*INDEX(IdxPrecio_O,1,MIN(10,BI$17))*(1+P_dPrecio)</f>
        <v>0</v>
      </c>
      <c r="BJ37" s="34" t="n">
        <f aca="false">BJ$25*INDEX(Precio_O,5)*INDEX(IdxPrecio_O,1,MIN(10,BJ$17))*(1+P_dPrecio)</f>
        <v>0</v>
      </c>
      <c r="BK37" s="34" t="n">
        <f aca="false">BK$25*INDEX(Precio_O,5)*INDEX(IdxPrecio_O,1,MIN(10,BK$17))*(1+P_dPrecio)</f>
        <v>0</v>
      </c>
      <c r="BL37" s="34" t="n">
        <f aca="false">BL$25*INDEX(Precio_O,5)*INDEX(IdxPrecio_O,1,MIN(10,BL$17))*(1+P_dPrecio)</f>
        <v>0</v>
      </c>
      <c r="BM37" s="34" t="n">
        <f aca="false">BM$25*INDEX(Precio_O,5)*INDEX(IdxPrecio_O,1,MIN(10,BM$17))*(1+P_dPrecio)</f>
        <v>0</v>
      </c>
      <c r="BN37" s="34" t="n">
        <f aca="false">BN$25*INDEX(Precio_O,5)*INDEX(IdxPrecio_O,1,MIN(10,BN$17))*(1+P_dPrecio)</f>
        <v>0</v>
      </c>
      <c r="BO37" s="34" t="n">
        <f aca="false">BO$25*INDEX(Precio_O,5)*INDEX(IdxPrecio_O,1,MIN(10,BO$17))*(1+P_dPrecio)</f>
        <v>0</v>
      </c>
      <c r="BP37" s="34" t="n">
        <f aca="false">BP$25*INDEX(Precio_O,5)*INDEX(IdxPrecio_O,1,MIN(10,BP$17))*(1+P_dPrecio)</f>
        <v>0</v>
      </c>
      <c r="BQ37" s="34" t="n">
        <f aca="false">BQ$25*INDEX(Precio_O,5)*INDEX(IdxPrecio_O,1,MIN(10,BQ$17))*(1+P_dPrecio)</f>
        <v>0</v>
      </c>
      <c r="BR37" s="34" t="n">
        <f aca="false">BR$25*INDEX(Precio_O,5)*INDEX(IdxPrecio_O,1,MIN(10,BR$17))*(1+P_dPrecio)</f>
        <v>0</v>
      </c>
      <c r="BS37" s="34" t="n">
        <f aca="false">BS$25*INDEX(Precio_O,5)*INDEX(IdxPrecio_O,1,MIN(10,BS$17))*(1+P_dPrecio)</f>
        <v>0</v>
      </c>
      <c r="BT37" s="34" t="n">
        <f aca="false">BT$25*INDEX(Precio_O,5)*INDEX(IdxPrecio_O,1,MIN(10,BT$17))*(1+P_dPrecio)</f>
        <v>0</v>
      </c>
      <c r="BU37" s="34" t="n">
        <f aca="false">BU$25*INDEX(Precio_O,5)*INDEX(IdxPrecio_O,1,MIN(10,BU$17))*(1+P_dPrecio)</f>
        <v>0</v>
      </c>
      <c r="BV37" s="34" t="n">
        <f aca="false">BV$25*INDEX(Precio_O,5)*INDEX(IdxPrecio_O,1,MIN(10,BV$17))*(1+P_dPrecio)</f>
        <v>0</v>
      </c>
      <c r="BW37" s="34" t="n">
        <f aca="false">BW$25*INDEX(Precio_O,5)*INDEX(IdxPrecio_O,1,MIN(10,BW$17))*(1+P_dPrecio)</f>
        <v>0</v>
      </c>
      <c r="BX37" s="34" t="n">
        <f aca="false">BX$25*INDEX(Precio_O,5)*INDEX(IdxPrecio_O,1,MIN(10,BX$17))*(1+P_dPrecio)</f>
        <v>0</v>
      </c>
      <c r="BY37" s="34" t="n">
        <f aca="false">BY$25*INDEX(Precio_O,5)*INDEX(IdxPrecio_O,1,MIN(10,BY$17))*(1+P_dPrecio)</f>
        <v>0</v>
      </c>
      <c r="BZ37" s="34" t="n">
        <f aca="false">BZ$25*INDEX(Precio_O,5)*INDEX(IdxPrecio_O,1,MIN(10,BZ$17))*(1+P_dPrecio)</f>
        <v>0</v>
      </c>
      <c r="CA37" s="34" t="n">
        <f aca="false">CA$25*INDEX(Precio_O,5)*INDEX(IdxPrecio_O,1,MIN(10,CA$17))*(1+P_dPrecio)</f>
        <v>0</v>
      </c>
      <c r="CB37" s="34" t="n">
        <f aca="false">CB$25*INDEX(Precio_O,5)*INDEX(IdxPrecio_O,1,MIN(10,CB$17))*(1+P_dPrecio)</f>
        <v>0</v>
      </c>
      <c r="CC37" s="34" t="n">
        <f aca="false">CC$25*INDEX(Precio_O,5)*INDEX(IdxPrecio_O,1,MIN(10,CC$17))*(1+P_dPrecio)</f>
        <v>0</v>
      </c>
      <c r="CD37" s="34" t="n">
        <f aca="false">CD$25*INDEX(Precio_O,5)*INDEX(IdxPrecio_O,1,MIN(10,CD$17))*(1+P_dPrecio)</f>
        <v>0</v>
      </c>
      <c r="CE37" s="34" t="n">
        <f aca="false">CE$25*INDEX(Precio_O,5)*INDEX(IdxPrecio_O,1,MIN(10,CE$17))*(1+P_dPrecio)</f>
        <v>0</v>
      </c>
      <c r="CF37" s="34" t="n">
        <f aca="false">CF$25*INDEX(Precio_O,5)*INDEX(IdxPrecio_O,1,MIN(10,CF$17))*(1+P_dPrecio)</f>
        <v>0</v>
      </c>
      <c r="CG37" s="34" t="n">
        <f aca="false">CG$25*INDEX(Precio_O,5)*INDEX(IdxPrecio_O,1,MIN(10,CG$17))*(1+P_dPrecio)</f>
        <v>0</v>
      </c>
      <c r="CH37" s="34" t="n">
        <f aca="false">CH$25*INDEX(Precio_O,5)*INDEX(IdxPrecio_O,1,MIN(10,CH$17))*(1+P_dPrecio)</f>
        <v>0</v>
      </c>
      <c r="CI37" s="34" t="n">
        <f aca="false">CI$25*INDEX(Precio_O,5)*INDEX(IdxPrecio_O,1,MIN(10,CI$17))*(1+P_dPrecio)</f>
        <v>0</v>
      </c>
      <c r="CJ37" s="34" t="n">
        <f aca="false">CJ$25*INDEX(Precio_O,5)*INDEX(IdxPrecio_O,1,MIN(10,CJ$17))*(1+P_dPrecio)</f>
        <v>0</v>
      </c>
      <c r="CK37" s="34" t="n">
        <f aca="false">CK$25*INDEX(Precio_O,5)*INDEX(IdxPrecio_O,1,MIN(10,CK$17))*(1+P_dPrecio)</f>
        <v>0</v>
      </c>
      <c r="CL37" s="34" t="n">
        <f aca="false">CL$25*INDEX(Precio_O,5)*INDEX(IdxPrecio_O,1,MIN(10,CL$17))*(1+P_dPrecio)</f>
        <v>0</v>
      </c>
      <c r="CM37" s="34" t="n">
        <f aca="false">CM$25*INDEX(Precio_O,5)*INDEX(IdxPrecio_O,1,MIN(10,CM$17))*(1+P_dPrecio)</f>
        <v>0</v>
      </c>
      <c r="CN37" s="34" t="n">
        <f aca="false">CN$25*INDEX(Precio_O,5)*INDEX(IdxPrecio_O,1,MIN(10,CN$17))*(1+P_dPrecio)</f>
        <v>0</v>
      </c>
      <c r="CO37" s="34" t="n">
        <f aca="false">CO$25*INDEX(Precio_O,5)*INDEX(IdxPrecio_O,1,MIN(10,CO$17))*(1+P_dPrecio)</f>
        <v>0</v>
      </c>
      <c r="CP37" s="34" t="n">
        <f aca="false">CP$25*INDEX(Precio_O,5)*INDEX(IdxPrecio_O,1,MIN(10,CP$17))*(1+P_dPrecio)</f>
        <v>0</v>
      </c>
      <c r="CQ37" s="34" t="n">
        <f aca="false">CQ$25*INDEX(Precio_O,5)*INDEX(IdxPrecio_O,1,MIN(10,CQ$17))*(1+P_dPrecio)</f>
        <v>0</v>
      </c>
      <c r="CR37" s="34" t="n">
        <f aca="false">CR$25*INDEX(Precio_O,5)*INDEX(IdxPrecio_O,1,MIN(10,CR$17))*(1+P_dPrecio)</f>
        <v>0</v>
      </c>
      <c r="CS37" s="34" t="n">
        <f aca="false">CS$25*INDEX(Precio_O,5)*INDEX(IdxPrecio_O,1,MIN(10,CS$17))*(1+P_dPrecio)</f>
        <v>0</v>
      </c>
      <c r="CT37" s="34" t="n">
        <f aca="false">CT$25*INDEX(Precio_O,5)*INDEX(IdxPrecio_O,1,MIN(10,CT$17))*(1+P_dPrecio)</f>
        <v>0</v>
      </c>
      <c r="CU37" s="34" t="n">
        <f aca="false">CU$25*INDEX(Precio_O,5)*INDEX(IdxPrecio_O,1,MIN(10,CU$17))*(1+P_dPrecio)</f>
        <v>0</v>
      </c>
      <c r="CV37" s="34" t="n">
        <f aca="false">CV$25*INDEX(Precio_O,5)*INDEX(IdxPrecio_O,1,MIN(10,CV$17))*(1+P_dPrecio)</f>
        <v>0</v>
      </c>
      <c r="CW37" s="34" t="n">
        <f aca="false">CW$25*INDEX(Precio_O,5)*INDEX(IdxPrecio_O,1,MIN(10,CW$17))*(1+P_dPrecio)</f>
        <v>0</v>
      </c>
      <c r="CX37" s="34" t="n">
        <f aca="false">CX$25*INDEX(Precio_O,5)*INDEX(IdxPrecio_O,1,MIN(10,CX$17))*(1+P_dPrecio)</f>
        <v>0</v>
      </c>
      <c r="CY37" s="34" t="n">
        <f aca="false">CY$25*INDEX(Precio_O,5)*INDEX(IdxPrecio_O,1,MIN(10,CY$17))*(1+P_dPrecio)</f>
        <v>0</v>
      </c>
      <c r="CZ37" s="34" t="n">
        <f aca="false">CZ$25*INDEX(Precio_O,5)*INDEX(IdxPrecio_O,1,MIN(10,CZ$17))*(1+P_dPrecio)</f>
        <v>0</v>
      </c>
      <c r="DA37" s="34" t="n">
        <f aca="false">DA$25*INDEX(Precio_O,5)*INDEX(IdxPrecio_O,1,MIN(10,DA$17))*(1+P_dPrecio)</f>
        <v>0</v>
      </c>
      <c r="DB37" s="34" t="n">
        <f aca="false">DB$25*INDEX(Precio_O,5)*INDEX(IdxPrecio_O,1,MIN(10,DB$17))*(1+P_dPrecio)</f>
        <v>0</v>
      </c>
      <c r="DC37" s="34" t="n">
        <f aca="false">DC$25*INDEX(Precio_O,5)*INDEX(IdxPrecio_O,1,MIN(10,DC$17))*(1+P_dPrecio)</f>
        <v>0</v>
      </c>
      <c r="DD37" s="34" t="n">
        <f aca="false">DD$25*INDEX(Precio_O,5)*INDEX(IdxPrecio_O,1,MIN(10,DD$17))*(1+P_dPrecio)</f>
        <v>0</v>
      </c>
      <c r="DE37" s="34" t="n">
        <f aca="false">DE$25*INDEX(Precio_O,5)*INDEX(IdxPrecio_O,1,MIN(10,DE$17))*(1+P_dPrecio)</f>
        <v>0</v>
      </c>
      <c r="DF37" s="34" t="n">
        <f aca="false">DF$25*INDEX(Precio_O,5)*INDEX(IdxPrecio_O,1,MIN(10,DF$17))*(1+P_dPrecio)</f>
        <v>0</v>
      </c>
      <c r="DG37" s="34" t="n">
        <f aca="false">DG$25*INDEX(Precio_O,5)*INDEX(IdxPrecio_O,1,MIN(10,DG$17))*(1+P_dPrecio)</f>
        <v>0</v>
      </c>
      <c r="DH37" s="34" t="n">
        <f aca="false">DH$25*INDEX(Precio_O,5)*INDEX(IdxPrecio_O,1,MIN(10,DH$17))*(1+P_dPrecio)</f>
        <v>0</v>
      </c>
      <c r="DI37" s="34" t="n">
        <f aca="false">DI$25*INDEX(Precio_O,5)*INDEX(IdxPrecio_O,1,MIN(10,DI$17))*(1+P_dPrecio)</f>
        <v>0</v>
      </c>
      <c r="DJ37" s="34" t="n">
        <f aca="false">DJ$25*INDEX(Precio_O,5)*INDEX(IdxPrecio_O,1,MIN(10,DJ$17))*(1+P_dPrecio)</f>
        <v>0</v>
      </c>
      <c r="DK37" s="34" t="n">
        <f aca="false">DK$25*INDEX(Precio_O,5)*INDEX(IdxPrecio_O,1,MIN(10,DK$17))*(1+P_dPrecio)</f>
        <v>0</v>
      </c>
      <c r="DL37" s="34" t="n">
        <f aca="false">DL$25*INDEX(Precio_O,5)*INDEX(IdxPrecio_O,1,MIN(10,DL$17))*(1+P_dPrecio)</f>
        <v>0</v>
      </c>
      <c r="DM37" s="34" t="n">
        <f aca="false">DM$25*INDEX(Precio_O,5)*INDEX(IdxPrecio_O,1,MIN(10,DM$17))*(1+P_dPrecio)</f>
        <v>0</v>
      </c>
      <c r="DN37" s="34" t="n">
        <f aca="false">DN$25*INDEX(Precio_O,5)*INDEX(IdxPrecio_O,1,MIN(10,DN$17))*(1+P_dPrecio)</f>
        <v>0</v>
      </c>
      <c r="DO37" s="34" t="n">
        <f aca="false">DO$25*INDEX(Precio_O,5)*INDEX(IdxPrecio_O,1,MIN(10,DO$17))*(1+P_dPrecio)</f>
        <v>0</v>
      </c>
      <c r="DP37" s="34" t="n">
        <f aca="false">DP$25*INDEX(Precio_O,5)*INDEX(IdxPrecio_O,1,MIN(10,DP$17))*(1+P_dPrecio)</f>
        <v>0</v>
      </c>
      <c r="DQ37" s="34" t="n">
        <f aca="false">DQ$25*INDEX(Precio_O,5)*INDEX(IdxPrecio_O,1,MIN(10,DQ$17))*(1+P_dPrecio)</f>
        <v>0</v>
      </c>
      <c r="DR37" s="34" t="n">
        <f aca="false">DR$25*INDEX(Precio_O,5)*INDEX(IdxPrecio_O,1,MIN(10,DR$17))*(1+P_dPrecio)</f>
        <v>0</v>
      </c>
      <c r="DS37" s="34" t="n">
        <f aca="false">DS$25*INDEX(Precio_O,5)*INDEX(IdxPrecio_O,1,MIN(10,DS$17))*(1+P_dPrecio)</f>
        <v>0</v>
      </c>
      <c r="DT37" s="34" t="n">
        <f aca="false">DT$25*INDEX(Precio_O,5)*INDEX(IdxPrecio_O,1,MIN(10,DT$17))*(1+P_dPrecio)</f>
        <v>0</v>
      </c>
      <c r="DU37" s="34" t="n">
        <f aca="false">DU$25*INDEX(Precio_O,5)*INDEX(IdxPrecio_O,1,MIN(10,DU$17))*(1+P_dPrecio)</f>
        <v>0</v>
      </c>
      <c r="DV37" s="34" t="n">
        <f aca="false">DV$25*INDEX(Precio_O,5)*INDEX(IdxPrecio_O,1,MIN(10,DV$17))*(1+P_dPrecio)</f>
        <v>0</v>
      </c>
      <c r="DW37" s="34" t="n">
        <f aca="false">DW$25*INDEX(Precio_O,5)*INDEX(IdxPrecio_O,1,MIN(10,DW$17))*(1+P_dPrecio)</f>
        <v>0</v>
      </c>
      <c r="DX37" s="34" t="n">
        <f aca="false">DX$25*INDEX(Precio_O,5)*INDEX(IdxPrecio_O,1,MIN(10,DX$17))*(1+P_dPrecio)</f>
        <v>0</v>
      </c>
      <c r="DY37" s="34" t="n">
        <f aca="false">DY$25*INDEX(Precio_O,5)*INDEX(IdxPrecio_O,1,MIN(10,DY$17))*(1+P_dPrecio)</f>
        <v>0</v>
      </c>
      <c r="DZ37" s="34" t="n">
        <f aca="false">DZ$25*INDEX(Precio_O,5)*INDEX(IdxPrecio_O,1,MIN(10,DZ$17))*(1+P_dPrecio)</f>
        <v>0</v>
      </c>
      <c r="EA37" s="34" t="n">
        <f aca="false">EA$25*INDEX(Precio_O,5)*INDEX(IdxPrecio_O,1,MIN(10,EA$17))*(1+P_dPrecio)</f>
        <v>0</v>
      </c>
      <c r="EB37" s="34" t="n">
        <f aca="false">EB$25*INDEX(Precio_O,5)*INDEX(IdxPrecio_O,1,MIN(10,EB$17))*(1+P_dPrecio)</f>
        <v>0</v>
      </c>
      <c r="EC37" s="34" t="n">
        <f aca="false">EC$25*INDEX(Precio_O,5)*INDEX(IdxPrecio_O,1,MIN(10,EC$17))*(1+P_dPrecio)</f>
        <v>0</v>
      </c>
      <c r="ED37" s="34" t="n">
        <f aca="false">ED$25*INDEX(Precio_O,5)*INDEX(IdxPrecio_O,1,MIN(10,ED$17))*(1+P_dPrecio)</f>
        <v>0</v>
      </c>
      <c r="EE37" s="34" t="n">
        <f aca="false">EE$25*INDEX(Precio_O,5)*INDEX(IdxPrecio_O,1,MIN(10,EE$17))*(1+P_dPrecio)</f>
        <v>0</v>
      </c>
      <c r="EF37" s="34" t="n">
        <f aca="false">EF$25*INDEX(Precio_O,5)*INDEX(IdxPrecio_O,1,MIN(10,EF$17))*(1+P_dPrecio)</f>
        <v>0</v>
      </c>
      <c r="EG37" s="34" t="n">
        <f aca="false">EG$25*INDEX(Precio_O,5)*INDEX(IdxPrecio_O,1,MIN(10,EG$17))*(1+P_dPrecio)</f>
        <v>0</v>
      </c>
      <c r="EH37" s="34" t="n">
        <f aca="false">EH$25*INDEX(Precio_O,5)*INDEX(IdxPrecio_O,1,MIN(10,EH$17))*(1+P_dPrecio)</f>
        <v>0</v>
      </c>
      <c r="EI37" s="34" t="n">
        <f aca="false">EI$25*INDEX(Precio_O,5)*INDEX(IdxPrecio_O,1,MIN(10,EI$17))*(1+P_dPrecio)</f>
        <v>0</v>
      </c>
      <c r="EJ37" s="34" t="n">
        <f aca="false">EJ$25*INDEX(Precio_O,5)*INDEX(IdxPrecio_O,1,MIN(10,EJ$17))*(1+P_dPrecio)</f>
        <v>0</v>
      </c>
      <c r="EK37" s="34" t="n">
        <f aca="false">EK$25*INDEX(Precio_O,5)*INDEX(IdxPrecio_O,1,MIN(10,EK$17))*(1+P_dPrecio)</f>
        <v>0</v>
      </c>
      <c r="EL37" s="34" t="n">
        <f aca="false">EL$25*INDEX(Precio_O,5)*INDEX(IdxPrecio_O,1,MIN(10,EL$17))*(1+P_dPrecio)</f>
        <v>0</v>
      </c>
      <c r="EM37" s="34" t="n">
        <f aca="false">EM$25*INDEX(Precio_O,5)*INDEX(IdxPrecio_O,1,MIN(10,EM$17))*(1+P_dPrecio)</f>
        <v>0</v>
      </c>
      <c r="EN37" s="34" t="n">
        <f aca="false">EN$25*INDEX(Precio_O,5)*INDEX(IdxPrecio_O,1,MIN(10,EN$17))*(1+P_dPrecio)</f>
        <v>0</v>
      </c>
      <c r="EO37" s="34" t="n">
        <f aca="false">EO$25*INDEX(Precio_O,5)*INDEX(IdxPrecio_O,1,MIN(10,EO$17))*(1+P_dPrecio)</f>
        <v>0</v>
      </c>
      <c r="EP37" s="34" t="n">
        <f aca="false">EP$25*INDEX(Precio_O,5)*INDEX(IdxPrecio_O,1,MIN(10,EP$17))*(1+P_dPrecio)</f>
        <v>0</v>
      </c>
      <c r="EQ37" s="34" t="n">
        <f aca="false">EQ$25*INDEX(Precio_O,5)*INDEX(IdxPrecio_O,1,MIN(10,EQ$17))*(1+P_dPrecio)</f>
        <v>0</v>
      </c>
      <c r="ER37" s="34" t="n">
        <f aca="false">ER$25*INDEX(Precio_O,5)*INDEX(IdxPrecio_O,1,MIN(10,ER$17))*(1+P_dPrecio)</f>
        <v>0</v>
      </c>
      <c r="ES37" s="34" t="n">
        <f aca="false">ES$25*INDEX(Precio_O,5)*INDEX(IdxPrecio_O,1,MIN(10,ES$17))*(1+P_dPrecio)</f>
        <v>0</v>
      </c>
    </row>
    <row r="38" customFormat="false" ht="15" hidden="false" customHeight="false" outlineLevel="0" collapsed="false">
      <c r="A38" s="2" t="s">
        <v>575</v>
      </c>
      <c r="B38" s="39" t="str">
        <f aca="false">IF(INDEX(Prod_Nombre,6)="","Producto 6",INDEX(Prod_Nombre,6))&amp;" — ventas USD"</f>
        <v>Producto 6 — ventas USD</v>
      </c>
      <c r="C38" s="6" t="s">
        <v>250</v>
      </c>
      <c r="E38" s="40" t="n">
        <f aca="false">SUM(F38:ES38)</f>
        <v>0</v>
      </c>
      <c r="F38" s="34" t="n">
        <f aca="false">F$26*INDEX(Precio_O,6)*INDEX(IdxPrecio_O,1,MIN(10,F$17))*(1+P_dPrecio)</f>
        <v>0</v>
      </c>
      <c r="G38" s="34" t="n">
        <f aca="false">G$26*INDEX(Precio_O,6)*INDEX(IdxPrecio_O,1,MIN(10,G$17))*(1+P_dPrecio)</f>
        <v>0</v>
      </c>
      <c r="H38" s="34" t="n">
        <f aca="false">H$26*INDEX(Precio_O,6)*INDEX(IdxPrecio_O,1,MIN(10,H$17))*(1+P_dPrecio)</f>
        <v>0</v>
      </c>
      <c r="I38" s="34" t="n">
        <f aca="false">I$26*INDEX(Precio_O,6)*INDEX(IdxPrecio_O,1,MIN(10,I$17))*(1+P_dPrecio)</f>
        <v>0</v>
      </c>
      <c r="J38" s="34" t="n">
        <f aca="false">J$26*INDEX(Precio_O,6)*INDEX(IdxPrecio_O,1,MIN(10,J$17))*(1+P_dPrecio)</f>
        <v>0</v>
      </c>
      <c r="K38" s="34" t="n">
        <f aca="false">K$26*INDEX(Precio_O,6)*INDEX(IdxPrecio_O,1,MIN(10,K$17))*(1+P_dPrecio)</f>
        <v>0</v>
      </c>
      <c r="L38" s="34" t="n">
        <f aca="false">L$26*INDEX(Precio_O,6)*INDEX(IdxPrecio_O,1,MIN(10,L$17))*(1+P_dPrecio)</f>
        <v>0</v>
      </c>
      <c r="M38" s="34" t="n">
        <f aca="false">M$26*INDEX(Precio_O,6)*INDEX(IdxPrecio_O,1,MIN(10,M$17))*(1+P_dPrecio)</f>
        <v>0</v>
      </c>
      <c r="N38" s="34" t="n">
        <f aca="false">N$26*INDEX(Precio_O,6)*INDEX(IdxPrecio_O,1,MIN(10,N$17))*(1+P_dPrecio)</f>
        <v>0</v>
      </c>
      <c r="O38" s="34" t="n">
        <f aca="false">O$26*INDEX(Precio_O,6)*INDEX(IdxPrecio_O,1,MIN(10,O$17))*(1+P_dPrecio)</f>
        <v>0</v>
      </c>
      <c r="P38" s="34" t="n">
        <f aca="false">P$26*INDEX(Precio_O,6)*INDEX(IdxPrecio_O,1,MIN(10,P$17))*(1+P_dPrecio)</f>
        <v>0</v>
      </c>
      <c r="Q38" s="34" t="n">
        <f aca="false">Q$26*INDEX(Precio_O,6)*INDEX(IdxPrecio_O,1,MIN(10,Q$17))*(1+P_dPrecio)</f>
        <v>0</v>
      </c>
      <c r="R38" s="34" t="n">
        <f aca="false">R$26*INDEX(Precio_O,6)*INDEX(IdxPrecio_O,1,MIN(10,R$17))*(1+P_dPrecio)</f>
        <v>0</v>
      </c>
      <c r="S38" s="34" t="n">
        <f aca="false">S$26*INDEX(Precio_O,6)*INDEX(IdxPrecio_O,1,MIN(10,S$17))*(1+P_dPrecio)</f>
        <v>0</v>
      </c>
      <c r="T38" s="34" t="n">
        <f aca="false">T$26*INDEX(Precio_O,6)*INDEX(IdxPrecio_O,1,MIN(10,T$17))*(1+P_dPrecio)</f>
        <v>0</v>
      </c>
      <c r="U38" s="34" t="n">
        <f aca="false">U$26*INDEX(Precio_O,6)*INDEX(IdxPrecio_O,1,MIN(10,U$17))*(1+P_dPrecio)</f>
        <v>0</v>
      </c>
      <c r="V38" s="34" t="n">
        <f aca="false">V$26*INDEX(Precio_O,6)*INDEX(IdxPrecio_O,1,MIN(10,V$17))*(1+P_dPrecio)</f>
        <v>0</v>
      </c>
      <c r="W38" s="34" t="n">
        <f aca="false">W$26*INDEX(Precio_O,6)*INDEX(IdxPrecio_O,1,MIN(10,W$17))*(1+P_dPrecio)</f>
        <v>0</v>
      </c>
      <c r="X38" s="34" t="n">
        <f aca="false">X$26*INDEX(Precio_O,6)*INDEX(IdxPrecio_O,1,MIN(10,X$17))*(1+P_dPrecio)</f>
        <v>0</v>
      </c>
      <c r="Y38" s="34" t="n">
        <f aca="false">Y$26*INDEX(Precio_O,6)*INDEX(IdxPrecio_O,1,MIN(10,Y$17))*(1+P_dPrecio)</f>
        <v>0</v>
      </c>
      <c r="Z38" s="34" t="n">
        <f aca="false">Z$26*INDEX(Precio_O,6)*INDEX(IdxPrecio_O,1,MIN(10,Z$17))*(1+P_dPrecio)</f>
        <v>0</v>
      </c>
      <c r="AA38" s="34" t="n">
        <f aca="false">AA$26*INDEX(Precio_O,6)*INDEX(IdxPrecio_O,1,MIN(10,AA$17))*(1+P_dPrecio)</f>
        <v>0</v>
      </c>
      <c r="AB38" s="34" t="n">
        <f aca="false">AB$26*INDEX(Precio_O,6)*INDEX(IdxPrecio_O,1,MIN(10,AB$17))*(1+P_dPrecio)</f>
        <v>0</v>
      </c>
      <c r="AC38" s="34" t="n">
        <f aca="false">AC$26*INDEX(Precio_O,6)*INDEX(IdxPrecio_O,1,MIN(10,AC$17))*(1+P_dPrecio)</f>
        <v>0</v>
      </c>
      <c r="AD38" s="34" t="n">
        <f aca="false">AD$26*INDEX(Precio_O,6)*INDEX(IdxPrecio_O,1,MIN(10,AD$17))*(1+P_dPrecio)</f>
        <v>0</v>
      </c>
      <c r="AE38" s="34" t="n">
        <f aca="false">AE$26*INDEX(Precio_O,6)*INDEX(IdxPrecio_O,1,MIN(10,AE$17))*(1+P_dPrecio)</f>
        <v>0</v>
      </c>
      <c r="AF38" s="34" t="n">
        <f aca="false">AF$26*INDEX(Precio_O,6)*INDEX(IdxPrecio_O,1,MIN(10,AF$17))*(1+P_dPrecio)</f>
        <v>0</v>
      </c>
      <c r="AG38" s="34" t="n">
        <f aca="false">AG$26*INDEX(Precio_O,6)*INDEX(IdxPrecio_O,1,MIN(10,AG$17))*(1+P_dPrecio)</f>
        <v>0</v>
      </c>
      <c r="AH38" s="34" t="n">
        <f aca="false">AH$26*INDEX(Precio_O,6)*INDEX(IdxPrecio_O,1,MIN(10,AH$17))*(1+P_dPrecio)</f>
        <v>0</v>
      </c>
      <c r="AI38" s="34" t="n">
        <f aca="false">AI$26*INDEX(Precio_O,6)*INDEX(IdxPrecio_O,1,MIN(10,AI$17))*(1+P_dPrecio)</f>
        <v>0</v>
      </c>
      <c r="AJ38" s="34" t="n">
        <f aca="false">AJ$26*INDEX(Precio_O,6)*INDEX(IdxPrecio_O,1,MIN(10,AJ$17))*(1+P_dPrecio)</f>
        <v>0</v>
      </c>
      <c r="AK38" s="34" t="n">
        <f aca="false">AK$26*INDEX(Precio_O,6)*INDEX(IdxPrecio_O,1,MIN(10,AK$17))*(1+P_dPrecio)</f>
        <v>0</v>
      </c>
      <c r="AL38" s="34" t="n">
        <f aca="false">AL$26*INDEX(Precio_O,6)*INDEX(IdxPrecio_O,1,MIN(10,AL$17))*(1+P_dPrecio)</f>
        <v>0</v>
      </c>
      <c r="AM38" s="34" t="n">
        <f aca="false">AM$26*INDEX(Precio_O,6)*INDEX(IdxPrecio_O,1,MIN(10,AM$17))*(1+P_dPrecio)</f>
        <v>0</v>
      </c>
      <c r="AN38" s="34" t="n">
        <f aca="false">AN$26*INDEX(Precio_O,6)*INDEX(IdxPrecio_O,1,MIN(10,AN$17))*(1+P_dPrecio)</f>
        <v>0</v>
      </c>
      <c r="AO38" s="34" t="n">
        <f aca="false">AO$26*INDEX(Precio_O,6)*INDEX(IdxPrecio_O,1,MIN(10,AO$17))*(1+P_dPrecio)</f>
        <v>0</v>
      </c>
      <c r="AP38" s="34" t="n">
        <f aca="false">AP$26*INDEX(Precio_O,6)*INDEX(IdxPrecio_O,1,MIN(10,AP$17))*(1+P_dPrecio)</f>
        <v>0</v>
      </c>
      <c r="AQ38" s="34" t="n">
        <f aca="false">AQ$26*INDEX(Precio_O,6)*INDEX(IdxPrecio_O,1,MIN(10,AQ$17))*(1+P_dPrecio)</f>
        <v>0</v>
      </c>
      <c r="AR38" s="34" t="n">
        <f aca="false">AR$26*INDEX(Precio_O,6)*INDEX(IdxPrecio_O,1,MIN(10,AR$17))*(1+P_dPrecio)</f>
        <v>0</v>
      </c>
      <c r="AS38" s="34" t="n">
        <f aca="false">AS$26*INDEX(Precio_O,6)*INDEX(IdxPrecio_O,1,MIN(10,AS$17))*(1+P_dPrecio)</f>
        <v>0</v>
      </c>
      <c r="AT38" s="34" t="n">
        <f aca="false">AT$26*INDEX(Precio_O,6)*INDEX(IdxPrecio_O,1,MIN(10,AT$17))*(1+P_dPrecio)</f>
        <v>0</v>
      </c>
      <c r="AU38" s="34" t="n">
        <f aca="false">AU$26*INDEX(Precio_O,6)*INDEX(IdxPrecio_O,1,MIN(10,AU$17))*(1+P_dPrecio)</f>
        <v>0</v>
      </c>
      <c r="AV38" s="34" t="n">
        <f aca="false">AV$26*INDEX(Precio_O,6)*INDEX(IdxPrecio_O,1,MIN(10,AV$17))*(1+P_dPrecio)</f>
        <v>0</v>
      </c>
      <c r="AW38" s="34" t="n">
        <f aca="false">AW$26*INDEX(Precio_O,6)*INDEX(IdxPrecio_O,1,MIN(10,AW$17))*(1+P_dPrecio)</f>
        <v>0</v>
      </c>
      <c r="AX38" s="34" t="n">
        <f aca="false">AX$26*INDEX(Precio_O,6)*INDEX(IdxPrecio_O,1,MIN(10,AX$17))*(1+P_dPrecio)</f>
        <v>0</v>
      </c>
      <c r="AY38" s="34" t="n">
        <f aca="false">AY$26*INDEX(Precio_O,6)*INDEX(IdxPrecio_O,1,MIN(10,AY$17))*(1+P_dPrecio)</f>
        <v>0</v>
      </c>
      <c r="AZ38" s="34" t="n">
        <f aca="false">AZ$26*INDEX(Precio_O,6)*INDEX(IdxPrecio_O,1,MIN(10,AZ$17))*(1+P_dPrecio)</f>
        <v>0</v>
      </c>
      <c r="BA38" s="34" t="n">
        <f aca="false">BA$26*INDEX(Precio_O,6)*INDEX(IdxPrecio_O,1,MIN(10,BA$17))*(1+P_dPrecio)</f>
        <v>0</v>
      </c>
      <c r="BB38" s="34" t="n">
        <f aca="false">BB$26*INDEX(Precio_O,6)*INDEX(IdxPrecio_O,1,MIN(10,BB$17))*(1+P_dPrecio)</f>
        <v>0</v>
      </c>
      <c r="BC38" s="34" t="n">
        <f aca="false">BC$26*INDEX(Precio_O,6)*INDEX(IdxPrecio_O,1,MIN(10,BC$17))*(1+P_dPrecio)</f>
        <v>0</v>
      </c>
      <c r="BD38" s="34" t="n">
        <f aca="false">BD$26*INDEX(Precio_O,6)*INDEX(IdxPrecio_O,1,MIN(10,BD$17))*(1+P_dPrecio)</f>
        <v>0</v>
      </c>
      <c r="BE38" s="34" t="n">
        <f aca="false">BE$26*INDEX(Precio_O,6)*INDEX(IdxPrecio_O,1,MIN(10,BE$17))*(1+P_dPrecio)</f>
        <v>0</v>
      </c>
      <c r="BF38" s="34" t="n">
        <f aca="false">BF$26*INDEX(Precio_O,6)*INDEX(IdxPrecio_O,1,MIN(10,BF$17))*(1+P_dPrecio)</f>
        <v>0</v>
      </c>
      <c r="BG38" s="34" t="n">
        <f aca="false">BG$26*INDEX(Precio_O,6)*INDEX(IdxPrecio_O,1,MIN(10,BG$17))*(1+P_dPrecio)</f>
        <v>0</v>
      </c>
      <c r="BH38" s="34" t="n">
        <f aca="false">BH$26*INDEX(Precio_O,6)*INDEX(IdxPrecio_O,1,MIN(10,BH$17))*(1+P_dPrecio)</f>
        <v>0</v>
      </c>
      <c r="BI38" s="34" t="n">
        <f aca="false">BI$26*INDEX(Precio_O,6)*INDEX(IdxPrecio_O,1,MIN(10,BI$17))*(1+P_dPrecio)</f>
        <v>0</v>
      </c>
      <c r="BJ38" s="34" t="n">
        <f aca="false">BJ$26*INDEX(Precio_O,6)*INDEX(IdxPrecio_O,1,MIN(10,BJ$17))*(1+P_dPrecio)</f>
        <v>0</v>
      </c>
      <c r="BK38" s="34" t="n">
        <f aca="false">BK$26*INDEX(Precio_O,6)*INDEX(IdxPrecio_O,1,MIN(10,BK$17))*(1+P_dPrecio)</f>
        <v>0</v>
      </c>
      <c r="BL38" s="34" t="n">
        <f aca="false">BL$26*INDEX(Precio_O,6)*INDEX(IdxPrecio_O,1,MIN(10,BL$17))*(1+P_dPrecio)</f>
        <v>0</v>
      </c>
      <c r="BM38" s="34" t="n">
        <f aca="false">BM$26*INDEX(Precio_O,6)*INDEX(IdxPrecio_O,1,MIN(10,BM$17))*(1+P_dPrecio)</f>
        <v>0</v>
      </c>
      <c r="BN38" s="34" t="n">
        <f aca="false">BN$26*INDEX(Precio_O,6)*INDEX(IdxPrecio_O,1,MIN(10,BN$17))*(1+P_dPrecio)</f>
        <v>0</v>
      </c>
      <c r="BO38" s="34" t="n">
        <f aca="false">BO$26*INDEX(Precio_O,6)*INDEX(IdxPrecio_O,1,MIN(10,BO$17))*(1+P_dPrecio)</f>
        <v>0</v>
      </c>
      <c r="BP38" s="34" t="n">
        <f aca="false">BP$26*INDEX(Precio_O,6)*INDEX(IdxPrecio_O,1,MIN(10,BP$17))*(1+P_dPrecio)</f>
        <v>0</v>
      </c>
      <c r="BQ38" s="34" t="n">
        <f aca="false">BQ$26*INDEX(Precio_O,6)*INDEX(IdxPrecio_O,1,MIN(10,BQ$17))*(1+P_dPrecio)</f>
        <v>0</v>
      </c>
      <c r="BR38" s="34" t="n">
        <f aca="false">BR$26*INDEX(Precio_O,6)*INDEX(IdxPrecio_O,1,MIN(10,BR$17))*(1+P_dPrecio)</f>
        <v>0</v>
      </c>
      <c r="BS38" s="34" t="n">
        <f aca="false">BS$26*INDEX(Precio_O,6)*INDEX(IdxPrecio_O,1,MIN(10,BS$17))*(1+P_dPrecio)</f>
        <v>0</v>
      </c>
      <c r="BT38" s="34" t="n">
        <f aca="false">BT$26*INDEX(Precio_O,6)*INDEX(IdxPrecio_O,1,MIN(10,BT$17))*(1+P_dPrecio)</f>
        <v>0</v>
      </c>
      <c r="BU38" s="34" t="n">
        <f aca="false">BU$26*INDEX(Precio_O,6)*INDEX(IdxPrecio_O,1,MIN(10,BU$17))*(1+P_dPrecio)</f>
        <v>0</v>
      </c>
      <c r="BV38" s="34" t="n">
        <f aca="false">BV$26*INDEX(Precio_O,6)*INDEX(IdxPrecio_O,1,MIN(10,BV$17))*(1+P_dPrecio)</f>
        <v>0</v>
      </c>
      <c r="BW38" s="34" t="n">
        <f aca="false">BW$26*INDEX(Precio_O,6)*INDEX(IdxPrecio_O,1,MIN(10,BW$17))*(1+P_dPrecio)</f>
        <v>0</v>
      </c>
      <c r="BX38" s="34" t="n">
        <f aca="false">BX$26*INDEX(Precio_O,6)*INDEX(IdxPrecio_O,1,MIN(10,BX$17))*(1+P_dPrecio)</f>
        <v>0</v>
      </c>
      <c r="BY38" s="34" t="n">
        <f aca="false">BY$26*INDEX(Precio_O,6)*INDEX(IdxPrecio_O,1,MIN(10,BY$17))*(1+P_dPrecio)</f>
        <v>0</v>
      </c>
      <c r="BZ38" s="34" t="n">
        <f aca="false">BZ$26*INDEX(Precio_O,6)*INDEX(IdxPrecio_O,1,MIN(10,BZ$17))*(1+P_dPrecio)</f>
        <v>0</v>
      </c>
      <c r="CA38" s="34" t="n">
        <f aca="false">CA$26*INDEX(Precio_O,6)*INDEX(IdxPrecio_O,1,MIN(10,CA$17))*(1+P_dPrecio)</f>
        <v>0</v>
      </c>
      <c r="CB38" s="34" t="n">
        <f aca="false">CB$26*INDEX(Precio_O,6)*INDEX(IdxPrecio_O,1,MIN(10,CB$17))*(1+P_dPrecio)</f>
        <v>0</v>
      </c>
      <c r="CC38" s="34" t="n">
        <f aca="false">CC$26*INDEX(Precio_O,6)*INDEX(IdxPrecio_O,1,MIN(10,CC$17))*(1+P_dPrecio)</f>
        <v>0</v>
      </c>
      <c r="CD38" s="34" t="n">
        <f aca="false">CD$26*INDEX(Precio_O,6)*INDEX(IdxPrecio_O,1,MIN(10,CD$17))*(1+P_dPrecio)</f>
        <v>0</v>
      </c>
      <c r="CE38" s="34" t="n">
        <f aca="false">CE$26*INDEX(Precio_O,6)*INDEX(IdxPrecio_O,1,MIN(10,CE$17))*(1+P_dPrecio)</f>
        <v>0</v>
      </c>
      <c r="CF38" s="34" t="n">
        <f aca="false">CF$26*INDEX(Precio_O,6)*INDEX(IdxPrecio_O,1,MIN(10,CF$17))*(1+P_dPrecio)</f>
        <v>0</v>
      </c>
      <c r="CG38" s="34" t="n">
        <f aca="false">CG$26*INDEX(Precio_O,6)*INDEX(IdxPrecio_O,1,MIN(10,CG$17))*(1+P_dPrecio)</f>
        <v>0</v>
      </c>
      <c r="CH38" s="34" t="n">
        <f aca="false">CH$26*INDEX(Precio_O,6)*INDEX(IdxPrecio_O,1,MIN(10,CH$17))*(1+P_dPrecio)</f>
        <v>0</v>
      </c>
      <c r="CI38" s="34" t="n">
        <f aca="false">CI$26*INDEX(Precio_O,6)*INDEX(IdxPrecio_O,1,MIN(10,CI$17))*(1+P_dPrecio)</f>
        <v>0</v>
      </c>
      <c r="CJ38" s="34" t="n">
        <f aca="false">CJ$26*INDEX(Precio_O,6)*INDEX(IdxPrecio_O,1,MIN(10,CJ$17))*(1+P_dPrecio)</f>
        <v>0</v>
      </c>
      <c r="CK38" s="34" t="n">
        <f aca="false">CK$26*INDEX(Precio_O,6)*INDEX(IdxPrecio_O,1,MIN(10,CK$17))*(1+P_dPrecio)</f>
        <v>0</v>
      </c>
      <c r="CL38" s="34" t="n">
        <f aca="false">CL$26*INDEX(Precio_O,6)*INDEX(IdxPrecio_O,1,MIN(10,CL$17))*(1+P_dPrecio)</f>
        <v>0</v>
      </c>
      <c r="CM38" s="34" t="n">
        <f aca="false">CM$26*INDEX(Precio_O,6)*INDEX(IdxPrecio_O,1,MIN(10,CM$17))*(1+P_dPrecio)</f>
        <v>0</v>
      </c>
      <c r="CN38" s="34" t="n">
        <f aca="false">CN$26*INDEX(Precio_O,6)*INDEX(IdxPrecio_O,1,MIN(10,CN$17))*(1+P_dPrecio)</f>
        <v>0</v>
      </c>
      <c r="CO38" s="34" t="n">
        <f aca="false">CO$26*INDEX(Precio_O,6)*INDEX(IdxPrecio_O,1,MIN(10,CO$17))*(1+P_dPrecio)</f>
        <v>0</v>
      </c>
      <c r="CP38" s="34" t="n">
        <f aca="false">CP$26*INDEX(Precio_O,6)*INDEX(IdxPrecio_O,1,MIN(10,CP$17))*(1+P_dPrecio)</f>
        <v>0</v>
      </c>
      <c r="CQ38" s="34" t="n">
        <f aca="false">CQ$26*INDEX(Precio_O,6)*INDEX(IdxPrecio_O,1,MIN(10,CQ$17))*(1+P_dPrecio)</f>
        <v>0</v>
      </c>
      <c r="CR38" s="34" t="n">
        <f aca="false">CR$26*INDEX(Precio_O,6)*INDEX(IdxPrecio_O,1,MIN(10,CR$17))*(1+P_dPrecio)</f>
        <v>0</v>
      </c>
      <c r="CS38" s="34" t="n">
        <f aca="false">CS$26*INDEX(Precio_O,6)*INDEX(IdxPrecio_O,1,MIN(10,CS$17))*(1+P_dPrecio)</f>
        <v>0</v>
      </c>
      <c r="CT38" s="34" t="n">
        <f aca="false">CT$26*INDEX(Precio_O,6)*INDEX(IdxPrecio_O,1,MIN(10,CT$17))*(1+P_dPrecio)</f>
        <v>0</v>
      </c>
      <c r="CU38" s="34" t="n">
        <f aca="false">CU$26*INDEX(Precio_O,6)*INDEX(IdxPrecio_O,1,MIN(10,CU$17))*(1+P_dPrecio)</f>
        <v>0</v>
      </c>
      <c r="CV38" s="34" t="n">
        <f aca="false">CV$26*INDEX(Precio_O,6)*INDEX(IdxPrecio_O,1,MIN(10,CV$17))*(1+P_dPrecio)</f>
        <v>0</v>
      </c>
      <c r="CW38" s="34" t="n">
        <f aca="false">CW$26*INDEX(Precio_O,6)*INDEX(IdxPrecio_O,1,MIN(10,CW$17))*(1+P_dPrecio)</f>
        <v>0</v>
      </c>
      <c r="CX38" s="34" t="n">
        <f aca="false">CX$26*INDEX(Precio_O,6)*INDEX(IdxPrecio_O,1,MIN(10,CX$17))*(1+P_dPrecio)</f>
        <v>0</v>
      </c>
      <c r="CY38" s="34" t="n">
        <f aca="false">CY$26*INDEX(Precio_O,6)*INDEX(IdxPrecio_O,1,MIN(10,CY$17))*(1+P_dPrecio)</f>
        <v>0</v>
      </c>
      <c r="CZ38" s="34" t="n">
        <f aca="false">CZ$26*INDEX(Precio_O,6)*INDEX(IdxPrecio_O,1,MIN(10,CZ$17))*(1+P_dPrecio)</f>
        <v>0</v>
      </c>
      <c r="DA38" s="34" t="n">
        <f aca="false">DA$26*INDEX(Precio_O,6)*INDEX(IdxPrecio_O,1,MIN(10,DA$17))*(1+P_dPrecio)</f>
        <v>0</v>
      </c>
      <c r="DB38" s="34" t="n">
        <f aca="false">DB$26*INDEX(Precio_O,6)*INDEX(IdxPrecio_O,1,MIN(10,DB$17))*(1+P_dPrecio)</f>
        <v>0</v>
      </c>
      <c r="DC38" s="34" t="n">
        <f aca="false">DC$26*INDEX(Precio_O,6)*INDEX(IdxPrecio_O,1,MIN(10,DC$17))*(1+P_dPrecio)</f>
        <v>0</v>
      </c>
      <c r="DD38" s="34" t="n">
        <f aca="false">DD$26*INDEX(Precio_O,6)*INDEX(IdxPrecio_O,1,MIN(10,DD$17))*(1+P_dPrecio)</f>
        <v>0</v>
      </c>
      <c r="DE38" s="34" t="n">
        <f aca="false">DE$26*INDEX(Precio_O,6)*INDEX(IdxPrecio_O,1,MIN(10,DE$17))*(1+P_dPrecio)</f>
        <v>0</v>
      </c>
      <c r="DF38" s="34" t="n">
        <f aca="false">DF$26*INDEX(Precio_O,6)*INDEX(IdxPrecio_O,1,MIN(10,DF$17))*(1+P_dPrecio)</f>
        <v>0</v>
      </c>
      <c r="DG38" s="34" t="n">
        <f aca="false">DG$26*INDEX(Precio_O,6)*INDEX(IdxPrecio_O,1,MIN(10,DG$17))*(1+P_dPrecio)</f>
        <v>0</v>
      </c>
      <c r="DH38" s="34" t="n">
        <f aca="false">DH$26*INDEX(Precio_O,6)*INDEX(IdxPrecio_O,1,MIN(10,DH$17))*(1+P_dPrecio)</f>
        <v>0</v>
      </c>
      <c r="DI38" s="34" t="n">
        <f aca="false">DI$26*INDEX(Precio_O,6)*INDEX(IdxPrecio_O,1,MIN(10,DI$17))*(1+P_dPrecio)</f>
        <v>0</v>
      </c>
      <c r="DJ38" s="34" t="n">
        <f aca="false">DJ$26*INDEX(Precio_O,6)*INDEX(IdxPrecio_O,1,MIN(10,DJ$17))*(1+P_dPrecio)</f>
        <v>0</v>
      </c>
      <c r="DK38" s="34" t="n">
        <f aca="false">DK$26*INDEX(Precio_O,6)*INDEX(IdxPrecio_O,1,MIN(10,DK$17))*(1+P_dPrecio)</f>
        <v>0</v>
      </c>
      <c r="DL38" s="34" t="n">
        <f aca="false">DL$26*INDEX(Precio_O,6)*INDEX(IdxPrecio_O,1,MIN(10,DL$17))*(1+P_dPrecio)</f>
        <v>0</v>
      </c>
      <c r="DM38" s="34" t="n">
        <f aca="false">DM$26*INDEX(Precio_O,6)*INDEX(IdxPrecio_O,1,MIN(10,DM$17))*(1+P_dPrecio)</f>
        <v>0</v>
      </c>
      <c r="DN38" s="34" t="n">
        <f aca="false">DN$26*INDEX(Precio_O,6)*INDEX(IdxPrecio_O,1,MIN(10,DN$17))*(1+P_dPrecio)</f>
        <v>0</v>
      </c>
      <c r="DO38" s="34" t="n">
        <f aca="false">DO$26*INDEX(Precio_O,6)*INDEX(IdxPrecio_O,1,MIN(10,DO$17))*(1+P_dPrecio)</f>
        <v>0</v>
      </c>
      <c r="DP38" s="34" t="n">
        <f aca="false">DP$26*INDEX(Precio_O,6)*INDEX(IdxPrecio_O,1,MIN(10,DP$17))*(1+P_dPrecio)</f>
        <v>0</v>
      </c>
      <c r="DQ38" s="34" t="n">
        <f aca="false">DQ$26*INDEX(Precio_O,6)*INDEX(IdxPrecio_O,1,MIN(10,DQ$17))*(1+P_dPrecio)</f>
        <v>0</v>
      </c>
      <c r="DR38" s="34" t="n">
        <f aca="false">DR$26*INDEX(Precio_O,6)*INDEX(IdxPrecio_O,1,MIN(10,DR$17))*(1+P_dPrecio)</f>
        <v>0</v>
      </c>
      <c r="DS38" s="34" t="n">
        <f aca="false">DS$26*INDEX(Precio_O,6)*INDEX(IdxPrecio_O,1,MIN(10,DS$17))*(1+P_dPrecio)</f>
        <v>0</v>
      </c>
      <c r="DT38" s="34" t="n">
        <f aca="false">DT$26*INDEX(Precio_O,6)*INDEX(IdxPrecio_O,1,MIN(10,DT$17))*(1+P_dPrecio)</f>
        <v>0</v>
      </c>
      <c r="DU38" s="34" t="n">
        <f aca="false">DU$26*INDEX(Precio_O,6)*INDEX(IdxPrecio_O,1,MIN(10,DU$17))*(1+P_dPrecio)</f>
        <v>0</v>
      </c>
      <c r="DV38" s="34" t="n">
        <f aca="false">DV$26*INDEX(Precio_O,6)*INDEX(IdxPrecio_O,1,MIN(10,DV$17))*(1+P_dPrecio)</f>
        <v>0</v>
      </c>
      <c r="DW38" s="34" t="n">
        <f aca="false">DW$26*INDEX(Precio_O,6)*INDEX(IdxPrecio_O,1,MIN(10,DW$17))*(1+P_dPrecio)</f>
        <v>0</v>
      </c>
      <c r="DX38" s="34" t="n">
        <f aca="false">DX$26*INDEX(Precio_O,6)*INDEX(IdxPrecio_O,1,MIN(10,DX$17))*(1+P_dPrecio)</f>
        <v>0</v>
      </c>
      <c r="DY38" s="34" t="n">
        <f aca="false">DY$26*INDEX(Precio_O,6)*INDEX(IdxPrecio_O,1,MIN(10,DY$17))*(1+P_dPrecio)</f>
        <v>0</v>
      </c>
      <c r="DZ38" s="34" t="n">
        <f aca="false">DZ$26*INDEX(Precio_O,6)*INDEX(IdxPrecio_O,1,MIN(10,DZ$17))*(1+P_dPrecio)</f>
        <v>0</v>
      </c>
      <c r="EA38" s="34" t="n">
        <f aca="false">EA$26*INDEX(Precio_O,6)*INDEX(IdxPrecio_O,1,MIN(10,EA$17))*(1+P_dPrecio)</f>
        <v>0</v>
      </c>
      <c r="EB38" s="34" t="n">
        <f aca="false">EB$26*INDEX(Precio_O,6)*INDEX(IdxPrecio_O,1,MIN(10,EB$17))*(1+P_dPrecio)</f>
        <v>0</v>
      </c>
      <c r="EC38" s="34" t="n">
        <f aca="false">EC$26*INDEX(Precio_O,6)*INDEX(IdxPrecio_O,1,MIN(10,EC$17))*(1+P_dPrecio)</f>
        <v>0</v>
      </c>
      <c r="ED38" s="34" t="n">
        <f aca="false">ED$26*INDEX(Precio_O,6)*INDEX(IdxPrecio_O,1,MIN(10,ED$17))*(1+P_dPrecio)</f>
        <v>0</v>
      </c>
      <c r="EE38" s="34" t="n">
        <f aca="false">EE$26*INDEX(Precio_O,6)*INDEX(IdxPrecio_O,1,MIN(10,EE$17))*(1+P_dPrecio)</f>
        <v>0</v>
      </c>
      <c r="EF38" s="34" t="n">
        <f aca="false">EF$26*INDEX(Precio_O,6)*INDEX(IdxPrecio_O,1,MIN(10,EF$17))*(1+P_dPrecio)</f>
        <v>0</v>
      </c>
      <c r="EG38" s="34" t="n">
        <f aca="false">EG$26*INDEX(Precio_O,6)*INDEX(IdxPrecio_O,1,MIN(10,EG$17))*(1+P_dPrecio)</f>
        <v>0</v>
      </c>
      <c r="EH38" s="34" t="n">
        <f aca="false">EH$26*INDEX(Precio_O,6)*INDEX(IdxPrecio_O,1,MIN(10,EH$17))*(1+P_dPrecio)</f>
        <v>0</v>
      </c>
      <c r="EI38" s="34" t="n">
        <f aca="false">EI$26*INDEX(Precio_O,6)*INDEX(IdxPrecio_O,1,MIN(10,EI$17))*(1+P_dPrecio)</f>
        <v>0</v>
      </c>
      <c r="EJ38" s="34" t="n">
        <f aca="false">EJ$26*INDEX(Precio_O,6)*INDEX(IdxPrecio_O,1,MIN(10,EJ$17))*(1+P_dPrecio)</f>
        <v>0</v>
      </c>
      <c r="EK38" s="34" t="n">
        <f aca="false">EK$26*INDEX(Precio_O,6)*INDEX(IdxPrecio_O,1,MIN(10,EK$17))*(1+P_dPrecio)</f>
        <v>0</v>
      </c>
      <c r="EL38" s="34" t="n">
        <f aca="false">EL$26*INDEX(Precio_O,6)*INDEX(IdxPrecio_O,1,MIN(10,EL$17))*(1+P_dPrecio)</f>
        <v>0</v>
      </c>
      <c r="EM38" s="34" t="n">
        <f aca="false">EM$26*INDEX(Precio_O,6)*INDEX(IdxPrecio_O,1,MIN(10,EM$17))*(1+P_dPrecio)</f>
        <v>0</v>
      </c>
      <c r="EN38" s="34" t="n">
        <f aca="false">EN$26*INDEX(Precio_O,6)*INDEX(IdxPrecio_O,1,MIN(10,EN$17))*(1+P_dPrecio)</f>
        <v>0</v>
      </c>
      <c r="EO38" s="34" t="n">
        <f aca="false">EO$26*INDEX(Precio_O,6)*INDEX(IdxPrecio_O,1,MIN(10,EO$17))*(1+P_dPrecio)</f>
        <v>0</v>
      </c>
      <c r="EP38" s="34" t="n">
        <f aca="false">EP$26*INDEX(Precio_O,6)*INDEX(IdxPrecio_O,1,MIN(10,EP$17))*(1+P_dPrecio)</f>
        <v>0</v>
      </c>
      <c r="EQ38" s="34" t="n">
        <f aca="false">EQ$26*INDEX(Precio_O,6)*INDEX(IdxPrecio_O,1,MIN(10,EQ$17))*(1+P_dPrecio)</f>
        <v>0</v>
      </c>
      <c r="ER38" s="34" t="n">
        <f aca="false">ER$26*INDEX(Precio_O,6)*INDEX(IdxPrecio_O,1,MIN(10,ER$17))*(1+P_dPrecio)</f>
        <v>0</v>
      </c>
      <c r="ES38" s="34" t="n">
        <f aca="false">ES$26*INDEX(Precio_O,6)*INDEX(IdxPrecio_O,1,MIN(10,ES$17))*(1+P_dPrecio)</f>
        <v>0</v>
      </c>
    </row>
    <row r="39" customFormat="false" ht="15" hidden="false" customHeight="false" outlineLevel="0" collapsed="false">
      <c r="A39" s="2" t="s">
        <v>576</v>
      </c>
      <c r="B39" s="39" t="str">
        <f aca="false">IF(INDEX(Prod_Nombre,7)="","Producto 7",INDEX(Prod_Nombre,7))&amp;" — ventas USD"</f>
        <v>Producto 7 — ventas USD</v>
      </c>
      <c r="C39" s="6" t="s">
        <v>250</v>
      </c>
      <c r="E39" s="40" t="n">
        <f aca="false">SUM(F39:ES39)</f>
        <v>0</v>
      </c>
      <c r="F39" s="34" t="n">
        <f aca="false">F$27*INDEX(Precio_O,7)*INDEX(IdxPrecio_O,1,MIN(10,F$17))*(1+P_dPrecio)</f>
        <v>0</v>
      </c>
      <c r="G39" s="34" t="n">
        <f aca="false">G$27*INDEX(Precio_O,7)*INDEX(IdxPrecio_O,1,MIN(10,G$17))*(1+P_dPrecio)</f>
        <v>0</v>
      </c>
      <c r="H39" s="34" t="n">
        <f aca="false">H$27*INDEX(Precio_O,7)*INDEX(IdxPrecio_O,1,MIN(10,H$17))*(1+P_dPrecio)</f>
        <v>0</v>
      </c>
      <c r="I39" s="34" t="n">
        <f aca="false">I$27*INDEX(Precio_O,7)*INDEX(IdxPrecio_O,1,MIN(10,I$17))*(1+P_dPrecio)</f>
        <v>0</v>
      </c>
      <c r="J39" s="34" t="n">
        <f aca="false">J$27*INDEX(Precio_O,7)*INDEX(IdxPrecio_O,1,MIN(10,J$17))*(1+P_dPrecio)</f>
        <v>0</v>
      </c>
      <c r="K39" s="34" t="n">
        <f aca="false">K$27*INDEX(Precio_O,7)*INDEX(IdxPrecio_O,1,MIN(10,K$17))*(1+P_dPrecio)</f>
        <v>0</v>
      </c>
      <c r="L39" s="34" t="n">
        <f aca="false">L$27*INDEX(Precio_O,7)*INDEX(IdxPrecio_O,1,MIN(10,L$17))*(1+P_dPrecio)</f>
        <v>0</v>
      </c>
      <c r="M39" s="34" t="n">
        <f aca="false">M$27*INDEX(Precio_O,7)*INDEX(IdxPrecio_O,1,MIN(10,M$17))*(1+P_dPrecio)</f>
        <v>0</v>
      </c>
      <c r="N39" s="34" t="n">
        <f aca="false">N$27*INDEX(Precio_O,7)*INDEX(IdxPrecio_O,1,MIN(10,N$17))*(1+P_dPrecio)</f>
        <v>0</v>
      </c>
      <c r="O39" s="34" t="n">
        <f aca="false">O$27*INDEX(Precio_O,7)*INDEX(IdxPrecio_O,1,MIN(10,O$17))*(1+P_dPrecio)</f>
        <v>0</v>
      </c>
      <c r="P39" s="34" t="n">
        <f aca="false">P$27*INDEX(Precio_O,7)*INDEX(IdxPrecio_O,1,MIN(10,P$17))*(1+P_dPrecio)</f>
        <v>0</v>
      </c>
      <c r="Q39" s="34" t="n">
        <f aca="false">Q$27*INDEX(Precio_O,7)*INDEX(IdxPrecio_O,1,MIN(10,Q$17))*(1+P_dPrecio)</f>
        <v>0</v>
      </c>
      <c r="R39" s="34" t="n">
        <f aca="false">R$27*INDEX(Precio_O,7)*INDEX(IdxPrecio_O,1,MIN(10,R$17))*(1+P_dPrecio)</f>
        <v>0</v>
      </c>
      <c r="S39" s="34" t="n">
        <f aca="false">S$27*INDEX(Precio_O,7)*INDEX(IdxPrecio_O,1,MIN(10,S$17))*(1+P_dPrecio)</f>
        <v>0</v>
      </c>
      <c r="T39" s="34" t="n">
        <f aca="false">T$27*INDEX(Precio_O,7)*INDEX(IdxPrecio_O,1,MIN(10,T$17))*(1+P_dPrecio)</f>
        <v>0</v>
      </c>
      <c r="U39" s="34" t="n">
        <f aca="false">U$27*INDEX(Precio_O,7)*INDEX(IdxPrecio_O,1,MIN(10,U$17))*(1+P_dPrecio)</f>
        <v>0</v>
      </c>
      <c r="V39" s="34" t="n">
        <f aca="false">V$27*INDEX(Precio_O,7)*INDEX(IdxPrecio_O,1,MIN(10,V$17))*(1+P_dPrecio)</f>
        <v>0</v>
      </c>
      <c r="W39" s="34" t="n">
        <f aca="false">W$27*INDEX(Precio_O,7)*INDEX(IdxPrecio_O,1,MIN(10,W$17))*(1+P_dPrecio)</f>
        <v>0</v>
      </c>
      <c r="X39" s="34" t="n">
        <f aca="false">X$27*INDEX(Precio_O,7)*INDEX(IdxPrecio_O,1,MIN(10,X$17))*(1+P_dPrecio)</f>
        <v>0</v>
      </c>
      <c r="Y39" s="34" t="n">
        <f aca="false">Y$27*INDEX(Precio_O,7)*INDEX(IdxPrecio_O,1,MIN(10,Y$17))*(1+P_dPrecio)</f>
        <v>0</v>
      </c>
      <c r="Z39" s="34" t="n">
        <f aca="false">Z$27*INDEX(Precio_O,7)*INDEX(IdxPrecio_O,1,MIN(10,Z$17))*(1+P_dPrecio)</f>
        <v>0</v>
      </c>
      <c r="AA39" s="34" t="n">
        <f aca="false">AA$27*INDEX(Precio_O,7)*INDEX(IdxPrecio_O,1,MIN(10,AA$17))*(1+P_dPrecio)</f>
        <v>0</v>
      </c>
      <c r="AB39" s="34" t="n">
        <f aca="false">AB$27*INDEX(Precio_O,7)*INDEX(IdxPrecio_O,1,MIN(10,AB$17))*(1+P_dPrecio)</f>
        <v>0</v>
      </c>
      <c r="AC39" s="34" t="n">
        <f aca="false">AC$27*INDEX(Precio_O,7)*INDEX(IdxPrecio_O,1,MIN(10,AC$17))*(1+P_dPrecio)</f>
        <v>0</v>
      </c>
      <c r="AD39" s="34" t="n">
        <f aca="false">AD$27*INDEX(Precio_O,7)*INDEX(IdxPrecio_O,1,MIN(10,AD$17))*(1+P_dPrecio)</f>
        <v>0</v>
      </c>
      <c r="AE39" s="34" t="n">
        <f aca="false">AE$27*INDEX(Precio_O,7)*INDEX(IdxPrecio_O,1,MIN(10,AE$17))*(1+P_dPrecio)</f>
        <v>0</v>
      </c>
      <c r="AF39" s="34" t="n">
        <f aca="false">AF$27*INDEX(Precio_O,7)*INDEX(IdxPrecio_O,1,MIN(10,AF$17))*(1+P_dPrecio)</f>
        <v>0</v>
      </c>
      <c r="AG39" s="34" t="n">
        <f aca="false">AG$27*INDEX(Precio_O,7)*INDEX(IdxPrecio_O,1,MIN(10,AG$17))*(1+P_dPrecio)</f>
        <v>0</v>
      </c>
      <c r="AH39" s="34" t="n">
        <f aca="false">AH$27*INDEX(Precio_O,7)*INDEX(IdxPrecio_O,1,MIN(10,AH$17))*(1+P_dPrecio)</f>
        <v>0</v>
      </c>
      <c r="AI39" s="34" t="n">
        <f aca="false">AI$27*INDEX(Precio_O,7)*INDEX(IdxPrecio_O,1,MIN(10,AI$17))*(1+P_dPrecio)</f>
        <v>0</v>
      </c>
      <c r="AJ39" s="34" t="n">
        <f aca="false">AJ$27*INDEX(Precio_O,7)*INDEX(IdxPrecio_O,1,MIN(10,AJ$17))*(1+P_dPrecio)</f>
        <v>0</v>
      </c>
      <c r="AK39" s="34" t="n">
        <f aca="false">AK$27*INDEX(Precio_O,7)*INDEX(IdxPrecio_O,1,MIN(10,AK$17))*(1+P_dPrecio)</f>
        <v>0</v>
      </c>
      <c r="AL39" s="34" t="n">
        <f aca="false">AL$27*INDEX(Precio_O,7)*INDEX(IdxPrecio_O,1,MIN(10,AL$17))*(1+P_dPrecio)</f>
        <v>0</v>
      </c>
      <c r="AM39" s="34" t="n">
        <f aca="false">AM$27*INDEX(Precio_O,7)*INDEX(IdxPrecio_O,1,MIN(10,AM$17))*(1+P_dPrecio)</f>
        <v>0</v>
      </c>
      <c r="AN39" s="34" t="n">
        <f aca="false">AN$27*INDEX(Precio_O,7)*INDEX(IdxPrecio_O,1,MIN(10,AN$17))*(1+P_dPrecio)</f>
        <v>0</v>
      </c>
      <c r="AO39" s="34" t="n">
        <f aca="false">AO$27*INDEX(Precio_O,7)*INDEX(IdxPrecio_O,1,MIN(10,AO$17))*(1+P_dPrecio)</f>
        <v>0</v>
      </c>
      <c r="AP39" s="34" t="n">
        <f aca="false">AP$27*INDEX(Precio_O,7)*INDEX(IdxPrecio_O,1,MIN(10,AP$17))*(1+P_dPrecio)</f>
        <v>0</v>
      </c>
      <c r="AQ39" s="34" t="n">
        <f aca="false">AQ$27*INDEX(Precio_O,7)*INDEX(IdxPrecio_O,1,MIN(10,AQ$17))*(1+P_dPrecio)</f>
        <v>0</v>
      </c>
      <c r="AR39" s="34" t="n">
        <f aca="false">AR$27*INDEX(Precio_O,7)*INDEX(IdxPrecio_O,1,MIN(10,AR$17))*(1+P_dPrecio)</f>
        <v>0</v>
      </c>
      <c r="AS39" s="34" t="n">
        <f aca="false">AS$27*INDEX(Precio_O,7)*INDEX(IdxPrecio_O,1,MIN(10,AS$17))*(1+P_dPrecio)</f>
        <v>0</v>
      </c>
      <c r="AT39" s="34" t="n">
        <f aca="false">AT$27*INDEX(Precio_O,7)*INDEX(IdxPrecio_O,1,MIN(10,AT$17))*(1+P_dPrecio)</f>
        <v>0</v>
      </c>
      <c r="AU39" s="34" t="n">
        <f aca="false">AU$27*INDEX(Precio_O,7)*INDEX(IdxPrecio_O,1,MIN(10,AU$17))*(1+P_dPrecio)</f>
        <v>0</v>
      </c>
      <c r="AV39" s="34" t="n">
        <f aca="false">AV$27*INDEX(Precio_O,7)*INDEX(IdxPrecio_O,1,MIN(10,AV$17))*(1+P_dPrecio)</f>
        <v>0</v>
      </c>
      <c r="AW39" s="34" t="n">
        <f aca="false">AW$27*INDEX(Precio_O,7)*INDEX(IdxPrecio_O,1,MIN(10,AW$17))*(1+P_dPrecio)</f>
        <v>0</v>
      </c>
      <c r="AX39" s="34" t="n">
        <f aca="false">AX$27*INDEX(Precio_O,7)*INDEX(IdxPrecio_O,1,MIN(10,AX$17))*(1+P_dPrecio)</f>
        <v>0</v>
      </c>
      <c r="AY39" s="34" t="n">
        <f aca="false">AY$27*INDEX(Precio_O,7)*INDEX(IdxPrecio_O,1,MIN(10,AY$17))*(1+P_dPrecio)</f>
        <v>0</v>
      </c>
      <c r="AZ39" s="34" t="n">
        <f aca="false">AZ$27*INDEX(Precio_O,7)*INDEX(IdxPrecio_O,1,MIN(10,AZ$17))*(1+P_dPrecio)</f>
        <v>0</v>
      </c>
      <c r="BA39" s="34" t="n">
        <f aca="false">BA$27*INDEX(Precio_O,7)*INDEX(IdxPrecio_O,1,MIN(10,BA$17))*(1+P_dPrecio)</f>
        <v>0</v>
      </c>
      <c r="BB39" s="34" t="n">
        <f aca="false">BB$27*INDEX(Precio_O,7)*INDEX(IdxPrecio_O,1,MIN(10,BB$17))*(1+P_dPrecio)</f>
        <v>0</v>
      </c>
      <c r="BC39" s="34" t="n">
        <f aca="false">BC$27*INDEX(Precio_O,7)*INDEX(IdxPrecio_O,1,MIN(10,BC$17))*(1+P_dPrecio)</f>
        <v>0</v>
      </c>
      <c r="BD39" s="34" t="n">
        <f aca="false">BD$27*INDEX(Precio_O,7)*INDEX(IdxPrecio_O,1,MIN(10,BD$17))*(1+P_dPrecio)</f>
        <v>0</v>
      </c>
      <c r="BE39" s="34" t="n">
        <f aca="false">BE$27*INDEX(Precio_O,7)*INDEX(IdxPrecio_O,1,MIN(10,BE$17))*(1+P_dPrecio)</f>
        <v>0</v>
      </c>
      <c r="BF39" s="34" t="n">
        <f aca="false">BF$27*INDEX(Precio_O,7)*INDEX(IdxPrecio_O,1,MIN(10,BF$17))*(1+P_dPrecio)</f>
        <v>0</v>
      </c>
      <c r="BG39" s="34" t="n">
        <f aca="false">BG$27*INDEX(Precio_O,7)*INDEX(IdxPrecio_O,1,MIN(10,BG$17))*(1+P_dPrecio)</f>
        <v>0</v>
      </c>
      <c r="BH39" s="34" t="n">
        <f aca="false">BH$27*INDEX(Precio_O,7)*INDEX(IdxPrecio_O,1,MIN(10,BH$17))*(1+P_dPrecio)</f>
        <v>0</v>
      </c>
      <c r="BI39" s="34" t="n">
        <f aca="false">BI$27*INDEX(Precio_O,7)*INDEX(IdxPrecio_O,1,MIN(10,BI$17))*(1+P_dPrecio)</f>
        <v>0</v>
      </c>
      <c r="BJ39" s="34" t="n">
        <f aca="false">BJ$27*INDEX(Precio_O,7)*INDEX(IdxPrecio_O,1,MIN(10,BJ$17))*(1+P_dPrecio)</f>
        <v>0</v>
      </c>
      <c r="BK39" s="34" t="n">
        <f aca="false">BK$27*INDEX(Precio_O,7)*INDEX(IdxPrecio_O,1,MIN(10,BK$17))*(1+P_dPrecio)</f>
        <v>0</v>
      </c>
      <c r="BL39" s="34" t="n">
        <f aca="false">BL$27*INDEX(Precio_O,7)*INDEX(IdxPrecio_O,1,MIN(10,BL$17))*(1+P_dPrecio)</f>
        <v>0</v>
      </c>
      <c r="BM39" s="34" t="n">
        <f aca="false">BM$27*INDEX(Precio_O,7)*INDEX(IdxPrecio_O,1,MIN(10,BM$17))*(1+P_dPrecio)</f>
        <v>0</v>
      </c>
      <c r="BN39" s="34" t="n">
        <f aca="false">BN$27*INDEX(Precio_O,7)*INDEX(IdxPrecio_O,1,MIN(10,BN$17))*(1+P_dPrecio)</f>
        <v>0</v>
      </c>
      <c r="BO39" s="34" t="n">
        <f aca="false">BO$27*INDEX(Precio_O,7)*INDEX(IdxPrecio_O,1,MIN(10,BO$17))*(1+P_dPrecio)</f>
        <v>0</v>
      </c>
      <c r="BP39" s="34" t="n">
        <f aca="false">BP$27*INDEX(Precio_O,7)*INDEX(IdxPrecio_O,1,MIN(10,BP$17))*(1+P_dPrecio)</f>
        <v>0</v>
      </c>
      <c r="BQ39" s="34" t="n">
        <f aca="false">BQ$27*INDEX(Precio_O,7)*INDEX(IdxPrecio_O,1,MIN(10,BQ$17))*(1+P_dPrecio)</f>
        <v>0</v>
      </c>
      <c r="BR39" s="34" t="n">
        <f aca="false">BR$27*INDEX(Precio_O,7)*INDEX(IdxPrecio_O,1,MIN(10,BR$17))*(1+P_dPrecio)</f>
        <v>0</v>
      </c>
      <c r="BS39" s="34" t="n">
        <f aca="false">BS$27*INDEX(Precio_O,7)*INDEX(IdxPrecio_O,1,MIN(10,BS$17))*(1+P_dPrecio)</f>
        <v>0</v>
      </c>
      <c r="BT39" s="34" t="n">
        <f aca="false">BT$27*INDEX(Precio_O,7)*INDEX(IdxPrecio_O,1,MIN(10,BT$17))*(1+P_dPrecio)</f>
        <v>0</v>
      </c>
      <c r="BU39" s="34" t="n">
        <f aca="false">BU$27*INDEX(Precio_O,7)*INDEX(IdxPrecio_O,1,MIN(10,BU$17))*(1+P_dPrecio)</f>
        <v>0</v>
      </c>
      <c r="BV39" s="34" t="n">
        <f aca="false">BV$27*INDEX(Precio_O,7)*INDEX(IdxPrecio_O,1,MIN(10,BV$17))*(1+P_dPrecio)</f>
        <v>0</v>
      </c>
      <c r="BW39" s="34" t="n">
        <f aca="false">BW$27*INDEX(Precio_O,7)*INDEX(IdxPrecio_O,1,MIN(10,BW$17))*(1+P_dPrecio)</f>
        <v>0</v>
      </c>
      <c r="BX39" s="34" t="n">
        <f aca="false">BX$27*INDEX(Precio_O,7)*INDEX(IdxPrecio_O,1,MIN(10,BX$17))*(1+P_dPrecio)</f>
        <v>0</v>
      </c>
      <c r="BY39" s="34" t="n">
        <f aca="false">BY$27*INDEX(Precio_O,7)*INDEX(IdxPrecio_O,1,MIN(10,BY$17))*(1+P_dPrecio)</f>
        <v>0</v>
      </c>
      <c r="BZ39" s="34" t="n">
        <f aca="false">BZ$27*INDEX(Precio_O,7)*INDEX(IdxPrecio_O,1,MIN(10,BZ$17))*(1+P_dPrecio)</f>
        <v>0</v>
      </c>
      <c r="CA39" s="34" t="n">
        <f aca="false">CA$27*INDEX(Precio_O,7)*INDEX(IdxPrecio_O,1,MIN(10,CA$17))*(1+P_dPrecio)</f>
        <v>0</v>
      </c>
      <c r="CB39" s="34" t="n">
        <f aca="false">CB$27*INDEX(Precio_O,7)*INDEX(IdxPrecio_O,1,MIN(10,CB$17))*(1+P_dPrecio)</f>
        <v>0</v>
      </c>
      <c r="CC39" s="34" t="n">
        <f aca="false">CC$27*INDEX(Precio_O,7)*INDEX(IdxPrecio_O,1,MIN(10,CC$17))*(1+P_dPrecio)</f>
        <v>0</v>
      </c>
      <c r="CD39" s="34" t="n">
        <f aca="false">CD$27*INDEX(Precio_O,7)*INDEX(IdxPrecio_O,1,MIN(10,CD$17))*(1+P_dPrecio)</f>
        <v>0</v>
      </c>
      <c r="CE39" s="34" t="n">
        <f aca="false">CE$27*INDEX(Precio_O,7)*INDEX(IdxPrecio_O,1,MIN(10,CE$17))*(1+P_dPrecio)</f>
        <v>0</v>
      </c>
      <c r="CF39" s="34" t="n">
        <f aca="false">CF$27*INDEX(Precio_O,7)*INDEX(IdxPrecio_O,1,MIN(10,CF$17))*(1+P_dPrecio)</f>
        <v>0</v>
      </c>
      <c r="CG39" s="34" t="n">
        <f aca="false">CG$27*INDEX(Precio_O,7)*INDEX(IdxPrecio_O,1,MIN(10,CG$17))*(1+P_dPrecio)</f>
        <v>0</v>
      </c>
      <c r="CH39" s="34" t="n">
        <f aca="false">CH$27*INDEX(Precio_O,7)*INDEX(IdxPrecio_O,1,MIN(10,CH$17))*(1+P_dPrecio)</f>
        <v>0</v>
      </c>
      <c r="CI39" s="34" t="n">
        <f aca="false">CI$27*INDEX(Precio_O,7)*INDEX(IdxPrecio_O,1,MIN(10,CI$17))*(1+P_dPrecio)</f>
        <v>0</v>
      </c>
      <c r="CJ39" s="34" t="n">
        <f aca="false">CJ$27*INDEX(Precio_O,7)*INDEX(IdxPrecio_O,1,MIN(10,CJ$17))*(1+P_dPrecio)</f>
        <v>0</v>
      </c>
      <c r="CK39" s="34" t="n">
        <f aca="false">CK$27*INDEX(Precio_O,7)*INDEX(IdxPrecio_O,1,MIN(10,CK$17))*(1+P_dPrecio)</f>
        <v>0</v>
      </c>
      <c r="CL39" s="34" t="n">
        <f aca="false">CL$27*INDEX(Precio_O,7)*INDEX(IdxPrecio_O,1,MIN(10,CL$17))*(1+P_dPrecio)</f>
        <v>0</v>
      </c>
      <c r="CM39" s="34" t="n">
        <f aca="false">CM$27*INDEX(Precio_O,7)*INDEX(IdxPrecio_O,1,MIN(10,CM$17))*(1+P_dPrecio)</f>
        <v>0</v>
      </c>
      <c r="CN39" s="34" t="n">
        <f aca="false">CN$27*INDEX(Precio_O,7)*INDEX(IdxPrecio_O,1,MIN(10,CN$17))*(1+P_dPrecio)</f>
        <v>0</v>
      </c>
      <c r="CO39" s="34" t="n">
        <f aca="false">CO$27*INDEX(Precio_O,7)*INDEX(IdxPrecio_O,1,MIN(10,CO$17))*(1+P_dPrecio)</f>
        <v>0</v>
      </c>
      <c r="CP39" s="34" t="n">
        <f aca="false">CP$27*INDEX(Precio_O,7)*INDEX(IdxPrecio_O,1,MIN(10,CP$17))*(1+P_dPrecio)</f>
        <v>0</v>
      </c>
      <c r="CQ39" s="34" t="n">
        <f aca="false">CQ$27*INDEX(Precio_O,7)*INDEX(IdxPrecio_O,1,MIN(10,CQ$17))*(1+P_dPrecio)</f>
        <v>0</v>
      </c>
      <c r="CR39" s="34" t="n">
        <f aca="false">CR$27*INDEX(Precio_O,7)*INDEX(IdxPrecio_O,1,MIN(10,CR$17))*(1+P_dPrecio)</f>
        <v>0</v>
      </c>
      <c r="CS39" s="34" t="n">
        <f aca="false">CS$27*INDEX(Precio_O,7)*INDEX(IdxPrecio_O,1,MIN(10,CS$17))*(1+P_dPrecio)</f>
        <v>0</v>
      </c>
      <c r="CT39" s="34" t="n">
        <f aca="false">CT$27*INDEX(Precio_O,7)*INDEX(IdxPrecio_O,1,MIN(10,CT$17))*(1+P_dPrecio)</f>
        <v>0</v>
      </c>
      <c r="CU39" s="34" t="n">
        <f aca="false">CU$27*INDEX(Precio_O,7)*INDEX(IdxPrecio_O,1,MIN(10,CU$17))*(1+P_dPrecio)</f>
        <v>0</v>
      </c>
      <c r="CV39" s="34" t="n">
        <f aca="false">CV$27*INDEX(Precio_O,7)*INDEX(IdxPrecio_O,1,MIN(10,CV$17))*(1+P_dPrecio)</f>
        <v>0</v>
      </c>
      <c r="CW39" s="34" t="n">
        <f aca="false">CW$27*INDEX(Precio_O,7)*INDEX(IdxPrecio_O,1,MIN(10,CW$17))*(1+P_dPrecio)</f>
        <v>0</v>
      </c>
      <c r="CX39" s="34" t="n">
        <f aca="false">CX$27*INDEX(Precio_O,7)*INDEX(IdxPrecio_O,1,MIN(10,CX$17))*(1+P_dPrecio)</f>
        <v>0</v>
      </c>
      <c r="CY39" s="34" t="n">
        <f aca="false">CY$27*INDEX(Precio_O,7)*INDEX(IdxPrecio_O,1,MIN(10,CY$17))*(1+P_dPrecio)</f>
        <v>0</v>
      </c>
      <c r="CZ39" s="34" t="n">
        <f aca="false">CZ$27*INDEX(Precio_O,7)*INDEX(IdxPrecio_O,1,MIN(10,CZ$17))*(1+P_dPrecio)</f>
        <v>0</v>
      </c>
      <c r="DA39" s="34" t="n">
        <f aca="false">DA$27*INDEX(Precio_O,7)*INDEX(IdxPrecio_O,1,MIN(10,DA$17))*(1+P_dPrecio)</f>
        <v>0</v>
      </c>
      <c r="DB39" s="34" t="n">
        <f aca="false">DB$27*INDEX(Precio_O,7)*INDEX(IdxPrecio_O,1,MIN(10,DB$17))*(1+P_dPrecio)</f>
        <v>0</v>
      </c>
      <c r="DC39" s="34" t="n">
        <f aca="false">DC$27*INDEX(Precio_O,7)*INDEX(IdxPrecio_O,1,MIN(10,DC$17))*(1+P_dPrecio)</f>
        <v>0</v>
      </c>
      <c r="DD39" s="34" t="n">
        <f aca="false">DD$27*INDEX(Precio_O,7)*INDEX(IdxPrecio_O,1,MIN(10,DD$17))*(1+P_dPrecio)</f>
        <v>0</v>
      </c>
      <c r="DE39" s="34" t="n">
        <f aca="false">DE$27*INDEX(Precio_O,7)*INDEX(IdxPrecio_O,1,MIN(10,DE$17))*(1+P_dPrecio)</f>
        <v>0</v>
      </c>
      <c r="DF39" s="34" t="n">
        <f aca="false">DF$27*INDEX(Precio_O,7)*INDEX(IdxPrecio_O,1,MIN(10,DF$17))*(1+P_dPrecio)</f>
        <v>0</v>
      </c>
      <c r="DG39" s="34" t="n">
        <f aca="false">DG$27*INDEX(Precio_O,7)*INDEX(IdxPrecio_O,1,MIN(10,DG$17))*(1+P_dPrecio)</f>
        <v>0</v>
      </c>
      <c r="DH39" s="34" t="n">
        <f aca="false">DH$27*INDEX(Precio_O,7)*INDEX(IdxPrecio_O,1,MIN(10,DH$17))*(1+P_dPrecio)</f>
        <v>0</v>
      </c>
      <c r="DI39" s="34" t="n">
        <f aca="false">DI$27*INDEX(Precio_O,7)*INDEX(IdxPrecio_O,1,MIN(10,DI$17))*(1+P_dPrecio)</f>
        <v>0</v>
      </c>
      <c r="DJ39" s="34" t="n">
        <f aca="false">DJ$27*INDEX(Precio_O,7)*INDEX(IdxPrecio_O,1,MIN(10,DJ$17))*(1+P_dPrecio)</f>
        <v>0</v>
      </c>
      <c r="DK39" s="34" t="n">
        <f aca="false">DK$27*INDEX(Precio_O,7)*INDEX(IdxPrecio_O,1,MIN(10,DK$17))*(1+P_dPrecio)</f>
        <v>0</v>
      </c>
      <c r="DL39" s="34" t="n">
        <f aca="false">DL$27*INDEX(Precio_O,7)*INDEX(IdxPrecio_O,1,MIN(10,DL$17))*(1+P_dPrecio)</f>
        <v>0</v>
      </c>
      <c r="DM39" s="34" t="n">
        <f aca="false">DM$27*INDEX(Precio_O,7)*INDEX(IdxPrecio_O,1,MIN(10,DM$17))*(1+P_dPrecio)</f>
        <v>0</v>
      </c>
      <c r="DN39" s="34" t="n">
        <f aca="false">DN$27*INDEX(Precio_O,7)*INDEX(IdxPrecio_O,1,MIN(10,DN$17))*(1+P_dPrecio)</f>
        <v>0</v>
      </c>
      <c r="DO39" s="34" t="n">
        <f aca="false">DO$27*INDEX(Precio_O,7)*INDEX(IdxPrecio_O,1,MIN(10,DO$17))*(1+P_dPrecio)</f>
        <v>0</v>
      </c>
      <c r="DP39" s="34" t="n">
        <f aca="false">DP$27*INDEX(Precio_O,7)*INDEX(IdxPrecio_O,1,MIN(10,DP$17))*(1+P_dPrecio)</f>
        <v>0</v>
      </c>
      <c r="DQ39" s="34" t="n">
        <f aca="false">DQ$27*INDEX(Precio_O,7)*INDEX(IdxPrecio_O,1,MIN(10,DQ$17))*(1+P_dPrecio)</f>
        <v>0</v>
      </c>
      <c r="DR39" s="34" t="n">
        <f aca="false">DR$27*INDEX(Precio_O,7)*INDEX(IdxPrecio_O,1,MIN(10,DR$17))*(1+P_dPrecio)</f>
        <v>0</v>
      </c>
      <c r="DS39" s="34" t="n">
        <f aca="false">DS$27*INDEX(Precio_O,7)*INDEX(IdxPrecio_O,1,MIN(10,DS$17))*(1+P_dPrecio)</f>
        <v>0</v>
      </c>
      <c r="DT39" s="34" t="n">
        <f aca="false">DT$27*INDEX(Precio_O,7)*INDEX(IdxPrecio_O,1,MIN(10,DT$17))*(1+P_dPrecio)</f>
        <v>0</v>
      </c>
      <c r="DU39" s="34" t="n">
        <f aca="false">DU$27*INDEX(Precio_O,7)*INDEX(IdxPrecio_O,1,MIN(10,DU$17))*(1+P_dPrecio)</f>
        <v>0</v>
      </c>
      <c r="DV39" s="34" t="n">
        <f aca="false">DV$27*INDEX(Precio_O,7)*INDEX(IdxPrecio_O,1,MIN(10,DV$17))*(1+P_dPrecio)</f>
        <v>0</v>
      </c>
      <c r="DW39" s="34" t="n">
        <f aca="false">DW$27*INDEX(Precio_O,7)*INDEX(IdxPrecio_O,1,MIN(10,DW$17))*(1+P_dPrecio)</f>
        <v>0</v>
      </c>
      <c r="DX39" s="34" t="n">
        <f aca="false">DX$27*INDEX(Precio_O,7)*INDEX(IdxPrecio_O,1,MIN(10,DX$17))*(1+P_dPrecio)</f>
        <v>0</v>
      </c>
      <c r="DY39" s="34" t="n">
        <f aca="false">DY$27*INDEX(Precio_O,7)*INDEX(IdxPrecio_O,1,MIN(10,DY$17))*(1+P_dPrecio)</f>
        <v>0</v>
      </c>
      <c r="DZ39" s="34" t="n">
        <f aca="false">DZ$27*INDEX(Precio_O,7)*INDEX(IdxPrecio_O,1,MIN(10,DZ$17))*(1+P_dPrecio)</f>
        <v>0</v>
      </c>
      <c r="EA39" s="34" t="n">
        <f aca="false">EA$27*INDEX(Precio_O,7)*INDEX(IdxPrecio_O,1,MIN(10,EA$17))*(1+P_dPrecio)</f>
        <v>0</v>
      </c>
      <c r="EB39" s="34" t="n">
        <f aca="false">EB$27*INDEX(Precio_O,7)*INDEX(IdxPrecio_O,1,MIN(10,EB$17))*(1+P_dPrecio)</f>
        <v>0</v>
      </c>
      <c r="EC39" s="34" t="n">
        <f aca="false">EC$27*INDEX(Precio_O,7)*INDEX(IdxPrecio_O,1,MIN(10,EC$17))*(1+P_dPrecio)</f>
        <v>0</v>
      </c>
      <c r="ED39" s="34" t="n">
        <f aca="false">ED$27*INDEX(Precio_O,7)*INDEX(IdxPrecio_O,1,MIN(10,ED$17))*(1+P_dPrecio)</f>
        <v>0</v>
      </c>
      <c r="EE39" s="34" t="n">
        <f aca="false">EE$27*INDEX(Precio_O,7)*INDEX(IdxPrecio_O,1,MIN(10,EE$17))*(1+P_dPrecio)</f>
        <v>0</v>
      </c>
      <c r="EF39" s="34" t="n">
        <f aca="false">EF$27*INDEX(Precio_O,7)*INDEX(IdxPrecio_O,1,MIN(10,EF$17))*(1+P_dPrecio)</f>
        <v>0</v>
      </c>
      <c r="EG39" s="34" t="n">
        <f aca="false">EG$27*INDEX(Precio_O,7)*INDEX(IdxPrecio_O,1,MIN(10,EG$17))*(1+P_dPrecio)</f>
        <v>0</v>
      </c>
      <c r="EH39" s="34" t="n">
        <f aca="false">EH$27*INDEX(Precio_O,7)*INDEX(IdxPrecio_O,1,MIN(10,EH$17))*(1+P_dPrecio)</f>
        <v>0</v>
      </c>
      <c r="EI39" s="34" t="n">
        <f aca="false">EI$27*INDEX(Precio_O,7)*INDEX(IdxPrecio_O,1,MIN(10,EI$17))*(1+P_dPrecio)</f>
        <v>0</v>
      </c>
      <c r="EJ39" s="34" t="n">
        <f aca="false">EJ$27*INDEX(Precio_O,7)*INDEX(IdxPrecio_O,1,MIN(10,EJ$17))*(1+P_dPrecio)</f>
        <v>0</v>
      </c>
      <c r="EK39" s="34" t="n">
        <f aca="false">EK$27*INDEX(Precio_O,7)*INDEX(IdxPrecio_O,1,MIN(10,EK$17))*(1+P_dPrecio)</f>
        <v>0</v>
      </c>
      <c r="EL39" s="34" t="n">
        <f aca="false">EL$27*INDEX(Precio_O,7)*INDEX(IdxPrecio_O,1,MIN(10,EL$17))*(1+P_dPrecio)</f>
        <v>0</v>
      </c>
      <c r="EM39" s="34" t="n">
        <f aca="false">EM$27*INDEX(Precio_O,7)*INDEX(IdxPrecio_O,1,MIN(10,EM$17))*(1+P_dPrecio)</f>
        <v>0</v>
      </c>
      <c r="EN39" s="34" t="n">
        <f aca="false">EN$27*INDEX(Precio_O,7)*INDEX(IdxPrecio_O,1,MIN(10,EN$17))*(1+P_dPrecio)</f>
        <v>0</v>
      </c>
      <c r="EO39" s="34" t="n">
        <f aca="false">EO$27*INDEX(Precio_O,7)*INDEX(IdxPrecio_O,1,MIN(10,EO$17))*(1+P_dPrecio)</f>
        <v>0</v>
      </c>
      <c r="EP39" s="34" t="n">
        <f aca="false">EP$27*INDEX(Precio_O,7)*INDEX(IdxPrecio_O,1,MIN(10,EP$17))*(1+P_dPrecio)</f>
        <v>0</v>
      </c>
      <c r="EQ39" s="34" t="n">
        <f aca="false">EQ$27*INDEX(Precio_O,7)*INDEX(IdxPrecio_O,1,MIN(10,EQ$17))*(1+P_dPrecio)</f>
        <v>0</v>
      </c>
      <c r="ER39" s="34" t="n">
        <f aca="false">ER$27*INDEX(Precio_O,7)*INDEX(IdxPrecio_O,1,MIN(10,ER$17))*(1+P_dPrecio)</f>
        <v>0</v>
      </c>
      <c r="ES39" s="34" t="n">
        <f aca="false">ES$27*INDEX(Precio_O,7)*INDEX(IdxPrecio_O,1,MIN(10,ES$17))*(1+P_dPrecio)</f>
        <v>0</v>
      </c>
    </row>
    <row r="40" customFormat="false" ht="15" hidden="false" customHeight="false" outlineLevel="0" collapsed="false">
      <c r="A40" s="2" t="s">
        <v>577</v>
      </c>
      <c r="B40" s="39" t="str">
        <f aca="false">IF(INDEX(Prod_Nombre,8)="","Producto 8",INDEX(Prod_Nombre,8))&amp;" — ventas USD"</f>
        <v>Producto 8 — ventas USD</v>
      </c>
      <c r="C40" s="6" t="s">
        <v>250</v>
      </c>
      <c r="E40" s="40" t="n">
        <f aca="false">SUM(F40:ES40)</f>
        <v>0</v>
      </c>
      <c r="F40" s="34" t="n">
        <f aca="false">F$28*INDEX(Precio_O,8)*INDEX(IdxPrecio_O,1,MIN(10,F$17))*(1+P_dPrecio)</f>
        <v>0</v>
      </c>
      <c r="G40" s="34" t="n">
        <f aca="false">G$28*INDEX(Precio_O,8)*INDEX(IdxPrecio_O,1,MIN(10,G$17))*(1+P_dPrecio)</f>
        <v>0</v>
      </c>
      <c r="H40" s="34" t="n">
        <f aca="false">H$28*INDEX(Precio_O,8)*INDEX(IdxPrecio_O,1,MIN(10,H$17))*(1+P_dPrecio)</f>
        <v>0</v>
      </c>
      <c r="I40" s="34" t="n">
        <f aca="false">I$28*INDEX(Precio_O,8)*INDEX(IdxPrecio_O,1,MIN(10,I$17))*(1+P_dPrecio)</f>
        <v>0</v>
      </c>
      <c r="J40" s="34" t="n">
        <f aca="false">J$28*INDEX(Precio_O,8)*INDEX(IdxPrecio_O,1,MIN(10,J$17))*(1+P_dPrecio)</f>
        <v>0</v>
      </c>
      <c r="K40" s="34" t="n">
        <f aca="false">K$28*INDEX(Precio_O,8)*INDEX(IdxPrecio_O,1,MIN(10,K$17))*(1+P_dPrecio)</f>
        <v>0</v>
      </c>
      <c r="L40" s="34" t="n">
        <f aca="false">L$28*INDEX(Precio_O,8)*INDEX(IdxPrecio_O,1,MIN(10,L$17))*(1+P_dPrecio)</f>
        <v>0</v>
      </c>
      <c r="M40" s="34" t="n">
        <f aca="false">M$28*INDEX(Precio_O,8)*INDEX(IdxPrecio_O,1,MIN(10,M$17))*(1+P_dPrecio)</f>
        <v>0</v>
      </c>
      <c r="N40" s="34" t="n">
        <f aca="false">N$28*INDEX(Precio_O,8)*INDEX(IdxPrecio_O,1,MIN(10,N$17))*(1+P_dPrecio)</f>
        <v>0</v>
      </c>
      <c r="O40" s="34" t="n">
        <f aca="false">O$28*INDEX(Precio_O,8)*INDEX(IdxPrecio_O,1,MIN(10,O$17))*(1+P_dPrecio)</f>
        <v>0</v>
      </c>
      <c r="P40" s="34" t="n">
        <f aca="false">P$28*INDEX(Precio_O,8)*INDEX(IdxPrecio_O,1,MIN(10,P$17))*(1+P_dPrecio)</f>
        <v>0</v>
      </c>
      <c r="Q40" s="34" t="n">
        <f aca="false">Q$28*INDEX(Precio_O,8)*INDEX(IdxPrecio_O,1,MIN(10,Q$17))*(1+P_dPrecio)</f>
        <v>0</v>
      </c>
      <c r="R40" s="34" t="n">
        <f aca="false">R$28*INDEX(Precio_O,8)*INDEX(IdxPrecio_O,1,MIN(10,R$17))*(1+P_dPrecio)</f>
        <v>0</v>
      </c>
      <c r="S40" s="34" t="n">
        <f aca="false">S$28*INDEX(Precio_O,8)*INDEX(IdxPrecio_O,1,MIN(10,S$17))*(1+P_dPrecio)</f>
        <v>0</v>
      </c>
      <c r="T40" s="34" t="n">
        <f aca="false">T$28*INDEX(Precio_O,8)*INDEX(IdxPrecio_O,1,MIN(10,T$17))*(1+P_dPrecio)</f>
        <v>0</v>
      </c>
      <c r="U40" s="34" t="n">
        <f aca="false">U$28*INDEX(Precio_O,8)*INDEX(IdxPrecio_O,1,MIN(10,U$17))*(1+P_dPrecio)</f>
        <v>0</v>
      </c>
      <c r="V40" s="34" t="n">
        <f aca="false">V$28*INDEX(Precio_O,8)*INDEX(IdxPrecio_O,1,MIN(10,V$17))*(1+P_dPrecio)</f>
        <v>0</v>
      </c>
      <c r="W40" s="34" t="n">
        <f aca="false">W$28*INDEX(Precio_O,8)*INDEX(IdxPrecio_O,1,MIN(10,W$17))*(1+P_dPrecio)</f>
        <v>0</v>
      </c>
      <c r="X40" s="34" t="n">
        <f aca="false">X$28*INDEX(Precio_O,8)*INDEX(IdxPrecio_O,1,MIN(10,X$17))*(1+P_dPrecio)</f>
        <v>0</v>
      </c>
      <c r="Y40" s="34" t="n">
        <f aca="false">Y$28*INDEX(Precio_O,8)*INDEX(IdxPrecio_O,1,MIN(10,Y$17))*(1+P_dPrecio)</f>
        <v>0</v>
      </c>
      <c r="Z40" s="34" t="n">
        <f aca="false">Z$28*INDEX(Precio_O,8)*INDEX(IdxPrecio_O,1,MIN(10,Z$17))*(1+P_dPrecio)</f>
        <v>0</v>
      </c>
      <c r="AA40" s="34" t="n">
        <f aca="false">AA$28*INDEX(Precio_O,8)*INDEX(IdxPrecio_O,1,MIN(10,AA$17))*(1+P_dPrecio)</f>
        <v>0</v>
      </c>
      <c r="AB40" s="34" t="n">
        <f aca="false">AB$28*INDEX(Precio_O,8)*INDEX(IdxPrecio_O,1,MIN(10,AB$17))*(1+P_dPrecio)</f>
        <v>0</v>
      </c>
      <c r="AC40" s="34" t="n">
        <f aca="false">AC$28*INDEX(Precio_O,8)*INDEX(IdxPrecio_O,1,MIN(10,AC$17))*(1+P_dPrecio)</f>
        <v>0</v>
      </c>
      <c r="AD40" s="34" t="n">
        <f aca="false">AD$28*INDEX(Precio_O,8)*INDEX(IdxPrecio_O,1,MIN(10,AD$17))*(1+P_dPrecio)</f>
        <v>0</v>
      </c>
      <c r="AE40" s="34" t="n">
        <f aca="false">AE$28*INDEX(Precio_O,8)*INDEX(IdxPrecio_O,1,MIN(10,AE$17))*(1+P_dPrecio)</f>
        <v>0</v>
      </c>
      <c r="AF40" s="34" t="n">
        <f aca="false">AF$28*INDEX(Precio_O,8)*INDEX(IdxPrecio_O,1,MIN(10,AF$17))*(1+P_dPrecio)</f>
        <v>0</v>
      </c>
      <c r="AG40" s="34" t="n">
        <f aca="false">AG$28*INDEX(Precio_O,8)*INDEX(IdxPrecio_O,1,MIN(10,AG$17))*(1+P_dPrecio)</f>
        <v>0</v>
      </c>
      <c r="AH40" s="34" t="n">
        <f aca="false">AH$28*INDEX(Precio_O,8)*INDEX(IdxPrecio_O,1,MIN(10,AH$17))*(1+P_dPrecio)</f>
        <v>0</v>
      </c>
      <c r="AI40" s="34" t="n">
        <f aca="false">AI$28*INDEX(Precio_O,8)*INDEX(IdxPrecio_O,1,MIN(10,AI$17))*(1+P_dPrecio)</f>
        <v>0</v>
      </c>
      <c r="AJ40" s="34" t="n">
        <f aca="false">AJ$28*INDEX(Precio_O,8)*INDEX(IdxPrecio_O,1,MIN(10,AJ$17))*(1+P_dPrecio)</f>
        <v>0</v>
      </c>
      <c r="AK40" s="34" t="n">
        <f aca="false">AK$28*INDEX(Precio_O,8)*INDEX(IdxPrecio_O,1,MIN(10,AK$17))*(1+P_dPrecio)</f>
        <v>0</v>
      </c>
      <c r="AL40" s="34" t="n">
        <f aca="false">AL$28*INDEX(Precio_O,8)*INDEX(IdxPrecio_O,1,MIN(10,AL$17))*(1+P_dPrecio)</f>
        <v>0</v>
      </c>
      <c r="AM40" s="34" t="n">
        <f aca="false">AM$28*INDEX(Precio_O,8)*INDEX(IdxPrecio_O,1,MIN(10,AM$17))*(1+P_dPrecio)</f>
        <v>0</v>
      </c>
      <c r="AN40" s="34" t="n">
        <f aca="false">AN$28*INDEX(Precio_O,8)*INDEX(IdxPrecio_O,1,MIN(10,AN$17))*(1+P_dPrecio)</f>
        <v>0</v>
      </c>
      <c r="AO40" s="34" t="n">
        <f aca="false">AO$28*INDEX(Precio_O,8)*INDEX(IdxPrecio_O,1,MIN(10,AO$17))*(1+P_dPrecio)</f>
        <v>0</v>
      </c>
      <c r="AP40" s="34" t="n">
        <f aca="false">AP$28*INDEX(Precio_O,8)*INDEX(IdxPrecio_O,1,MIN(10,AP$17))*(1+P_dPrecio)</f>
        <v>0</v>
      </c>
      <c r="AQ40" s="34" t="n">
        <f aca="false">AQ$28*INDEX(Precio_O,8)*INDEX(IdxPrecio_O,1,MIN(10,AQ$17))*(1+P_dPrecio)</f>
        <v>0</v>
      </c>
      <c r="AR40" s="34" t="n">
        <f aca="false">AR$28*INDEX(Precio_O,8)*INDEX(IdxPrecio_O,1,MIN(10,AR$17))*(1+P_dPrecio)</f>
        <v>0</v>
      </c>
      <c r="AS40" s="34" t="n">
        <f aca="false">AS$28*INDEX(Precio_O,8)*INDEX(IdxPrecio_O,1,MIN(10,AS$17))*(1+P_dPrecio)</f>
        <v>0</v>
      </c>
      <c r="AT40" s="34" t="n">
        <f aca="false">AT$28*INDEX(Precio_O,8)*INDEX(IdxPrecio_O,1,MIN(10,AT$17))*(1+P_dPrecio)</f>
        <v>0</v>
      </c>
      <c r="AU40" s="34" t="n">
        <f aca="false">AU$28*INDEX(Precio_O,8)*INDEX(IdxPrecio_O,1,MIN(10,AU$17))*(1+P_dPrecio)</f>
        <v>0</v>
      </c>
      <c r="AV40" s="34" t="n">
        <f aca="false">AV$28*INDEX(Precio_O,8)*INDEX(IdxPrecio_O,1,MIN(10,AV$17))*(1+P_dPrecio)</f>
        <v>0</v>
      </c>
      <c r="AW40" s="34" t="n">
        <f aca="false">AW$28*INDEX(Precio_O,8)*INDEX(IdxPrecio_O,1,MIN(10,AW$17))*(1+P_dPrecio)</f>
        <v>0</v>
      </c>
      <c r="AX40" s="34" t="n">
        <f aca="false">AX$28*INDEX(Precio_O,8)*INDEX(IdxPrecio_O,1,MIN(10,AX$17))*(1+P_dPrecio)</f>
        <v>0</v>
      </c>
      <c r="AY40" s="34" t="n">
        <f aca="false">AY$28*INDEX(Precio_O,8)*INDEX(IdxPrecio_O,1,MIN(10,AY$17))*(1+P_dPrecio)</f>
        <v>0</v>
      </c>
      <c r="AZ40" s="34" t="n">
        <f aca="false">AZ$28*INDEX(Precio_O,8)*INDEX(IdxPrecio_O,1,MIN(10,AZ$17))*(1+P_dPrecio)</f>
        <v>0</v>
      </c>
      <c r="BA40" s="34" t="n">
        <f aca="false">BA$28*INDEX(Precio_O,8)*INDEX(IdxPrecio_O,1,MIN(10,BA$17))*(1+P_dPrecio)</f>
        <v>0</v>
      </c>
      <c r="BB40" s="34" t="n">
        <f aca="false">BB$28*INDEX(Precio_O,8)*INDEX(IdxPrecio_O,1,MIN(10,BB$17))*(1+P_dPrecio)</f>
        <v>0</v>
      </c>
      <c r="BC40" s="34" t="n">
        <f aca="false">BC$28*INDEX(Precio_O,8)*INDEX(IdxPrecio_O,1,MIN(10,BC$17))*(1+P_dPrecio)</f>
        <v>0</v>
      </c>
      <c r="BD40" s="34" t="n">
        <f aca="false">BD$28*INDEX(Precio_O,8)*INDEX(IdxPrecio_O,1,MIN(10,BD$17))*(1+P_dPrecio)</f>
        <v>0</v>
      </c>
      <c r="BE40" s="34" t="n">
        <f aca="false">BE$28*INDEX(Precio_O,8)*INDEX(IdxPrecio_O,1,MIN(10,BE$17))*(1+P_dPrecio)</f>
        <v>0</v>
      </c>
      <c r="BF40" s="34" t="n">
        <f aca="false">BF$28*INDEX(Precio_O,8)*INDEX(IdxPrecio_O,1,MIN(10,BF$17))*(1+P_dPrecio)</f>
        <v>0</v>
      </c>
      <c r="BG40" s="34" t="n">
        <f aca="false">BG$28*INDEX(Precio_O,8)*INDEX(IdxPrecio_O,1,MIN(10,BG$17))*(1+P_dPrecio)</f>
        <v>0</v>
      </c>
      <c r="BH40" s="34" t="n">
        <f aca="false">BH$28*INDEX(Precio_O,8)*INDEX(IdxPrecio_O,1,MIN(10,BH$17))*(1+P_dPrecio)</f>
        <v>0</v>
      </c>
      <c r="BI40" s="34" t="n">
        <f aca="false">BI$28*INDEX(Precio_O,8)*INDEX(IdxPrecio_O,1,MIN(10,BI$17))*(1+P_dPrecio)</f>
        <v>0</v>
      </c>
      <c r="BJ40" s="34" t="n">
        <f aca="false">BJ$28*INDEX(Precio_O,8)*INDEX(IdxPrecio_O,1,MIN(10,BJ$17))*(1+P_dPrecio)</f>
        <v>0</v>
      </c>
      <c r="BK40" s="34" t="n">
        <f aca="false">BK$28*INDEX(Precio_O,8)*INDEX(IdxPrecio_O,1,MIN(10,BK$17))*(1+P_dPrecio)</f>
        <v>0</v>
      </c>
      <c r="BL40" s="34" t="n">
        <f aca="false">BL$28*INDEX(Precio_O,8)*INDEX(IdxPrecio_O,1,MIN(10,BL$17))*(1+P_dPrecio)</f>
        <v>0</v>
      </c>
      <c r="BM40" s="34" t="n">
        <f aca="false">BM$28*INDEX(Precio_O,8)*INDEX(IdxPrecio_O,1,MIN(10,BM$17))*(1+P_dPrecio)</f>
        <v>0</v>
      </c>
      <c r="BN40" s="34" t="n">
        <f aca="false">BN$28*INDEX(Precio_O,8)*INDEX(IdxPrecio_O,1,MIN(10,BN$17))*(1+P_dPrecio)</f>
        <v>0</v>
      </c>
      <c r="BO40" s="34" t="n">
        <f aca="false">BO$28*INDEX(Precio_O,8)*INDEX(IdxPrecio_O,1,MIN(10,BO$17))*(1+P_dPrecio)</f>
        <v>0</v>
      </c>
      <c r="BP40" s="34" t="n">
        <f aca="false">BP$28*INDEX(Precio_O,8)*INDEX(IdxPrecio_O,1,MIN(10,BP$17))*(1+P_dPrecio)</f>
        <v>0</v>
      </c>
      <c r="BQ40" s="34" t="n">
        <f aca="false">BQ$28*INDEX(Precio_O,8)*INDEX(IdxPrecio_O,1,MIN(10,BQ$17))*(1+P_dPrecio)</f>
        <v>0</v>
      </c>
      <c r="BR40" s="34" t="n">
        <f aca="false">BR$28*INDEX(Precio_O,8)*INDEX(IdxPrecio_O,1,MIN(10,BR$17))*(1+P_dPrecio)</f>
        <v>0</v>
      </c>
      <c r="BS40" s="34" t="n">
        <f aca="false">BS$28*INDEX(Precio_O,8)*INDEX(IdxPrecio_O,1,MIN(10,BS$17))*(1+P_dPrecio)</f>
        <v>0</v>
      </c>
      <c r="BT40" s="34" t="n">
        <f aca="false">BT$28*INDEX(Precio_O,8)*INDEX(IdxPrecio_O,1,MIN(10,BT$17))*(1+P_dPrecio)</f>
        <v>0</v>
      </c>
      <c r="BU40" s="34" t="n">
        <f aca="false">BU$28*INDEX(Precio_O,8)*INDEX(IdxPrecio_O,1,MIN(10,BU$17))*(1+P_dPrecio)</f>
        <v>0</v>
      </c>
      <c r="BV40" s="34" t="n">
        <f aca="false">BV$28*INDEX(Precio_O,8)*INDEX(IdxPrecio_O,1,MIN(10,BV$17))*(1+P_dPrecio)</f>
        <v>0</v>
      </c>
      <c r="BW40" s="34" t="n">
        <f aca="false">BW$28*INDEX(Precio_O,8)*INDEX(IdxPrecio_O,1,MIN(10,BW$17))*(1+P_dPrecio)</f>
        <v>0</v>
      </c>
      <c r="BX40" s="34" t="n">
        <f aca="false">BX$28*INDEX(Precio_O,8)*INDEX(IdxPrecio_O,1,MIN(10,BX$17))*(1+P_dPrecio)</f>
        <v>0</v>
      </c>
      <c r="BY40" s="34" t="n">
        <f aca="false">BY$28*INDEX(Precio_O,8)*INDEX(IdxPrecio_O,1,MIN(10,BY$17))*(1+P_dPrecio)</f>
        <v>0</v>
      </c>
      <c r="BZ40" s="34" t="n">
        <f aca="false">BZ$28*INDEX(Precio_O,8)*INDEX(IdxPrecio_O,1,MIN(10,BZ$17))*(1+P_dPrecio)</f>
        <v>0</v>
      </c>
      <c r="CA40" s="34" t="n">
        <f aca="false">CA$28*INDEX(Precio_O,8)*INDEX(IdxPrecio_O,1,MIN(10,CA$17))*(1+P_dPrecio)</f>
        <v>0</v>
      </c>
      <c r="CB40" s="34" t="n">
        <f aca="false">CB$28*INDEX(Precio_O,8)*INDEX(IdxPrecio_O,1,MIN(10,CB$17))*(1+P_dPrecio)</f>
        <v>0</v>
      </c>
      <c r="CC40" s="34" t="n">
        <f aca="false">CC$28*INDEX(Precio_O,8)*INDEX(IdxPrecio_O,1,MIN(10,CC$17))*(1+P_dPrecio)</f>
        <v>0</v>
      </c>
      <c r="CD40" s="34" t="n">
        <f aca="false">CD$28*INDEX(Precio_O,8)*INDEX(IdxPrecio_O,1,MIN(10,CD$17))*(1+P_dPrecio)</f>
        <v>0</v>
      </c>
      <c r="CE40" s="34" t="n">
        <f aca="false">CE$28*INDEX(Precio_O,8)*INDEX(IdxPrecio_O,1,MIN(10,CE$17))*(1+P_dPrecio)</f>
        <v>0</v>
      </c>
      <c r="CF40" s="34" t="n">
        <f aca="false">CF$28*INDEX(Precio_O,8)*INDEX(IdxPrecio_O,1,MIN(10,CF$17))*(1+P_dPrecio)</f>
        <v>0</v>
      </c>
      <c r="CG40" s="34" t="n">
        <f aca="false">CG$28*INDEX(Precio_O,8)*INDEX(IdxPrecio_O,1,MIN(10,CG$17))*(1+P_dPrecio)</f>
        <v>0</v>
      </c>
      <c r="CH40" s="34" t="n">
        <f aca="false">CH$28*INDEX(Precio_O,8)*INDEX(IdxPrecio_O,1,MIN(10,CH$17))*(1+P_dPrecio)</f>
        <v>0</v>
      </c>
      <c r="CI40" s="34" t="n">
        <f aca="false">CI$28*INDEX(Precio_O,8)*INDEX(IdxPrecio_O,1,MIN(10,CI$17))*(1+P_dPrecio)</f>
        <v>0</v>
      </c>
      <c r="CJ40" s="34" t="n">
        <f aca="false">CJ$28*INDEX(Precio_O,8)*INDEX(IdxPrecio_O,1,MIN(10,CJ$17))*(1+P_dPrecio)</f>
        <v>0</v>
      </c>
      <c r="CK40" s="34" t="n">
        <f aca="false">CK$28*INDEX(Precio_O,8)*INDEX(IdxPrecio_O,1,MIN(10,CK$17))*(1+P_dPrecio)</f>
        <v>0</v>
      </c>
      <c r="CL40" s="34" t="n">
        <f aca="false">CL$28*INDEX(Precio_O,8)*INDEX(IdxPrecio_O,1,MIN(10,CL$17))*(1+P_dPrecio)</f>
        <v>0</v>
      </c>
      <c r="CM40" s="34" t="n">
        <f aca="false">CM$28*INDEX(Precio_O,8)*INDEX(IdxPrecio_O,1,MIN(10,CM$17))*(1+P_dPrecio)</f>
        <v>0</v>
      </c>
      <c r="CN40" s="34" t="n">
        <f aca="false">CN$28*INDEX(Precio_O,8)*INDEX(IdxPrecio_O,1,MIN(10,CN$17))*(1+P_dPrecio)</f>
        <v>0</v>
      </c>
      <c r="CO40" s="34" t="n">
        <f aca="false">CO$28*INDEX(Precio_O,8)*INDEX(IdxPrecio_O,1,MIN(10,CO$17))*(1+P_dPrecio)</f>
        <v>0</v>
      </c>
      <c r="CP40" s="34" t="n">
        <f aca="false">CP$28*INDEX(Precio_O,8)*INDEX(IdxPrecio_O,1,MIN(10,CP$17))*(1+P_dPrecio)</f>
        <v>0</v>
      </c>
      <c r="CQ40" s="34" t="n">
        <f aca="false">CQ$28*INDEX(Precio_O,8)*INDEX(IdxPrecio_O,1,MIN(10,CQ$17))*(1+P_dPrecio)</f>
        <v>0</v>
      </c>
      <c r="CR40" s="34" t="n">
        <f aca="false">CR$28*INDEX(Precio_O,8)*INDEX(IdxPrecio_O,1,MIN(10,CR$17))*(1+P_dPrecio)</f>
        <v>0</v>
      </c>
      <c r="CS40" s="34" t="n">
        <f aca="false">CS$28*INDEX(Precio_O,8)*INDEX(IdxPrecio_O,1,MIN(10,CS$17))*(1+P_dPrecio)</f>
        <v>0</v>
      </c>
      <c r="CT40" s="34" t="n">
        <f aca="false">CT$28*INDEX(Precio_O,8)*INDEX(IdxPrecio_O,1,MIN(10,CT$17))*(1+P_dPrecio)</f>
        <v>0</v>
      </c>
      <c r="CU40" s="34" t="n">
        <f aca="false">CU$28*INDEX(Precio_O,8)*INDEX(IdxPrecio_O,1,MIN(10,CU$17))*(1+P_dPrecio)</f>
        <v>0</v>
      </c>
      <c r="CV40" s="34" t="n">
        <f aca="false">CV$28*INDEX(Precio_O,8)*INDEX(IdxPrecio_O,1,MIN(10,CV$17))*(1+P_dPrecio)</f>
        <v>0</v>
      </c>
      <c r="CW40" s="34" t="n">
        <f aca="false">CW$28*INDEX(Precio_O,8)*INDEX(IdxPrecio_O,1,MIN(10,CW$17))*(1+P_dPrecio)</f>
        <v>0</v>
      </c>
      <c r="CX40" s="34" t="n">
        <f aca="false">CX$28*INDEX(Precio_O,8)*INDEX(IdxPrecio_O,1,MIN(10,CX$17))*(1+P_dPrecio)</f>
        <v>0</v>
      </c>
      <c r="CY40" s="34" t="n">
        <f aca="false">CY$28*INDEX(Precio_O,8)*INDEX(IdxPrecio_O,1,MIN(10,CY$17))*(1+P_dPrecio)</f>
        <v>0</v>
      </c>
      <c r="CZ40" s="34" t="n">
        <f aca="false">CZ$28*INDEX(Precio_O,8)*INDEX(IdxPrecio_O,1,MIN(10,CZ$17))*(1+P_dPrecio)</f>
        <v>0</v>
      </c>
      <c r="DA40" s="34" t="n">
        <f aca="false">DA$28*INDEX(Precio_O,8)*INDEX(IdxPrecio_O,1,MIN(10,DA$17))*(1+P_dPrecio)</f>
        <v>0</v>
      </c>
      <c r="DB40" s="34" t="n">
        <f aca="false">DB$28*INDEX(Precio_O,8)*INDEX(IdxPrecio_O,1,MIN(10,DB$17))*(1+P_dPrecio)</f>
        <v>0</v>
      </c>
      <c r="DC40" s="34" t="n">
        <f aca="false">DC$28*INDEX(Precio_O,8)*INDEX(IdxPrecio_O,1,MIN(10,DC$17))*(1+P_dPrecio)</f>
        <v>0</v>
      </c>
      <c r="DD40" s="34" t="n">
        <f aca="false">DD$28*INDEX(Precio_O,8)*INDEX(IdxPrecio_O,1,MIN(10,DD$17))*(1+P_dPrecio)</f>
        <v>0</v>
      </c>
      <c r="DE40" s="34" t="n">
        <f aca="false">DE$28*INDEX(Precio_O,8)*INDEX(IdxPrecio_O,1,MIN(10,DE$17))*(1+P_dPrecio)</f>
        <v>0</v>
      </c>
      <c r="DF40" s="34" t="n">
        <f aca="false">DF$28*INDEX(Precio_O,8)*INDEX(IdxPrecio_O,1,MIN(10,DF$17))*(1+P_dPrecio)</f>
        <v>0</v>
      </c>
      <c r="DG40" s="34" t="n">
        <f aca="false">DG$28*INDEX(Precio_O,8)*INDEX(IdxPrecio_O,1,MIN(10,DG$17))*(1+P_dPrecio)</f>
        <v>0</v>
      </c>
      <c r="DH40" s="34" t="n">
        <f aca="false">DH$28*INDEX(Precio_O,8)*INDEX(IdxPrecio_O,1,MIN(10,DH$17))*(1+P_dPrecio)</f>
        <v>0</v>
      </c>
      <c r="DI40" s="34" t="n">
        <f aca="false">DI$28*INDEX(Precio_O,8)*INDEX(IdxPrecio_O,1,MIN(10,DI$17))*(1+P_dPrecio)</f>
        <v>0</v>
      </c>
      <c r="DJ40" s="34" t="n">
        <f aca="false">DJ$28*INDEX(Precio_O,8)*INDEX(IdxPrecio_O,1,MIN(10,DJ$17))*(1+P_dPrecio)</f>
        <v>0</v>
      </c>
      <c r="DK40" s="34" t="n">
        <f aca="false">DK$28*INDEX(Precio_O,8)*INDEX(IdxPrecio_O,1,MIN(10,DK$17))*(1+P_dPrecio)</f>
        <v>0</v>
      </c>
      <c r="DL40" s="34" t="n">
        <f aca="false">DL$28*INDEX(Precio_O,8)*INDEX(IdxPrecio_O,1,MIN(10,DL$17))*(1+P_dPrecio)</f>
        <v>0</v>
      </c>
      <c r="DM40" s="34" t="n">
        <f aca="false">DM$28*INDEX(Precio_O,8)*INDEX(IdxPrecio_O,1,MIN(10,DM$17))*(1+P_dPrecio)</f>
        <v>0</v>
      </c>
      <c r="DN40" s="34" t="n">
        <f aca="false">DN$28*INDEX(Precio_O,8)*INDEX(IdxPrecio_O,1,MIN(10,DN$17))*(1+P_dPrecio)</f>
        <v>0</v>
      </c>
      <c r="DO40" s="34" t="n">
        <f aca="false">DO$28*INDEX(Precio_O,8)*INDEX(IdxPrecio_O,1,MIN(10,DO$17))*(1+P_dPrecio)</f>
        <v>0</v>
      </c>
      <c r="DP40" s="34" t="n">
        <f aca="false">DP$28*INDEX(Precio_O,8)*INDEX(IdxPrecio_O,1,MIN(10,DP$17))*(1+P_dPrecio)</f>
        <v>0</v>
      </c>
      <c r="DQ40" s="34" t="n">
        <f aca="false">DQ$28*INDEX(Precio_O,8)*INDEX(IdxPrecio_O,1,MIN(10,DQ$17))*(1+P_dPrecio)</f>
        <v>0</v>
      </c>
      <c r="DR40" s="34" t="n">
        <f aca="false">DR$28*INDEX(Precio_O,8)*INDEX(IdxPrecio_O,1,MIN(10,DR$17))*(1+P_dPrecio)</f>
        <v>0</v>
      </c>
      <c r="DS40" s="34" t="n">
        <f aca="false">DS$28*INDEX(Precio_O,8)*INDEX(IdxPrecio_O,1,MIN(10,DS$17))*(1+P_dPrecio)</f>
        <v>0</v>
      </c>
      <c r="DT40" s="34" t="n">
        <f aca="false">DT$28*INDEX(Precio_O,8)*INDEX(IdxPrecio_O,1,MIN(10,DT$17))*(1+P_dPrecio)</f>
        <v>0</v>
      </c>
      <c r="DU40" s="34" t="n">
        <f aca="false">DU$28*INDEX(Precio_O,8)*INDEX(IdxPrecio_O,1,MIN(10,DU$17))*(1+P_dPrecio)</f>
        <v>0</v>
      </c>
      <c r="DV40" s="34" t="n">
        <f aca="false">DV$28*INDEX(Precio_O,8)*INDEX(IdxPrecio_O,1,MIN(10,DV$17))*(1+P_dPrecio)</f>
        <v>0</v>
      </c>
      <c r="DW40" s="34" t="n">
        <f aca="false">DW$28*INDEX(Precio_O,8)*INDEX(IdxPrecio_O,1,MIN(10,DW$17))*(1+P_dPrecio)</f>
        <v>0</v>
      </c>
      <c r="DX40" s="34" t="n">
        <f aca="false">DX$28*INDEX(Precio_O,8)*INDEX(IdxPrecio_O,1,MIN(10,DX$17))*(1+P_dPrecio)</f>
        <v>0</v>
      </c>
      <c r="DY40" s="34" t="n">
        <f aca="false">DY$28*INDEX(Precio_O,8)*INDEX(IdxPrecio_O,1,MIN(10,DY$17))*(1+P_dPrecio)</f>
        <v>0</v>
      </c>
      <c r="DZ40" s="34" t="n">
        <f aca="false">DZ$28*INDEX(Precio_O,8)*INDEX(IdxPrecio_O,1,MIN(10,DZ$17))*(1+P_dPrecio)</f>
        <v>0</v>
      </c>
      <c r="EA40" s="34" t="n">
        <f aca="false">EA$28*INDEX(Precio_O,8)*INDEX(IdxPrecio_O,1,MIN(10,EA$17))*(1+P_dPrecio)</f>
        <v>0</v>
      </c>
      <c r="EB40" s="34" t="n">
        <f aca="false">EB$28*INDEX(Precio_O,8)*INDEX(IdxPrecio_O,1,MIN(10,EB$17))*(1+P_dPrecio)</f>
        <v>0</v>
      </c>
      <c r="EC40" s="34" t="n">
        <f aca="false">EC$28*INDEX(Precio_O,8)*INDEX(IdxPrecio_O,1,MIN(10,EC$17))*(1+P_dPrecio)</f>
        <v>0</v>
      </c>
      <c r="ED40" s="34" t="n">
        <f aca="false">ED$28*INDEX(Precio_O,8)*INDEX(IdxPrecio_O,1,MIN(10,ED$17))*(1+P_dPrecio)</f>
        <v>0</v>
      </c>
      <c r="EE40" s="34" t="n">
        <f aca="false">EE$28*INDEX(Precio_O,8)*INDEX(IdxPrecio_O,1,MIN(10,EE$17))*(1+P_dPrecio)</f>
        <v>0</v>
      </c>
      <c r="EF40" s="34" t="n">
        <f aca="false">EF$28*INDEX(Precio_O,8)*INDEX(IdxPrecio_O,1,MIN(10,EF$17))*(1+P_dPrecio)</f>
        <v>0</v>
      </c>
      <c r="EG40" s="34" t="n">
        <f aca="false">EG$28*INDEX(Precio_O,8)*INDEX(IdxPrecio_O,1,MIN(10,EG$17))*(1+P_dPrecio)</f>
        <v>0</v>
      </c>
      <c r="EH40" s="34" t="n">
        <f aca="false">EH$28*INDEX(Precio_O,8)*INDEX(IdxPrecio_O,1,MIN(10,EH$17))*(1+P_dPrecio)</f>
        <v>0</v>
      </c>
      <c r="EI40" s="34" t="n">
        <f aca="false">EI$28*INDEX(Precio_O,8)*INDEX(IdxPrecio_O,1,MIN(10,EI$17))*(1+P_dPrecio)</f>
        <v>0</v>
      </c>
      <c r="EJ40" s="34" t="n">
        <f aca="false">EJ$28*INDEX(Precio_O,8)*INDEX(IdxPrecio_O,1,MIN(10,EJ$17))*(1+P_dPrecio)</f>
        <v>0</v>
      </c>
      <c r="EK40" s="34" t="n">
        <f aca="false">EK$28*INDEX(Precio_O,8)*INDEX(IdxPrecio_O,1,MIN(10,EK$17))*(1+P_dPrecio)</f>
        <v>0</v>
      </c>
      <c r="EL40" s="34" t="n">
        <f aca="false">EL$28*INDEX(Precio_O,8)*INDEX(IdxPrecio_O,1,MIN(10,EL$17))*(1+P_dPrecio)</f>
        <v>0</v>
      </c>
      <c r="EM40" s="34" t="n">
        <f aca="false">EM$28*INDEX(Precio_O,8)*INDEX(IdxPrecio_O,1,MIN(10,EM$17))*(1+P_dPrecio)</f>
        <v>0</v>
      </c>
      <c r="EN40" s="34" t="n">
        <f aca="false">EN$28*INDEX(Precio_O,8)*INDEX(IdxPrecio_O,1,MIN(10,EN$17))*(1+P_dPrecio)</f>
        <v>0</v>
      </c>
      <c r="EO40" s="34" t="n">
        <f aca="false">EO$28*INDEX(Precio_O,8)*INDEX(IdxPrecio_O,1,MIN(10,EO$17))*(1+P_dPrecio)</f>
        <v>0</v>
      </c>
      <c r="EP40" s="34" t="n">
        <f aca="false">EP$28*INDEX(Precio_O,8)*INDEX(IdxPrecio_O,1,MIN(10,EP$17))*(1+P_dPrecio)</f>
        <v>0</v>
      </c>
      <c r="EQ40" s="34" t="n">
        <f aca="false">EQ$28*INDEX(Precio_O,8)*INDEX(IdxPrecio_O,1,MIN(10,EQ$17))*(1+P_dPrecio)</f>
        <v>0</v>
      </c>
      <c r="ER40" s="34" t="n">
        <f aca="false">ER$28*INDEX(Precio_O,8)*INDEX(IdxPrecio_O,1,MIN(10,ER$17))*(1+P_dPrecio)</f>
        <v>0</v>
      </c>
      <c r="ES40" s="34" t="n">
        <f aca="false">ES$28*INDEX(Precio_O,8)*INDEX(IdxPrecio_O,1,MIN(10,ES$17))*(1+P_dPrecio)</f>
        <v>0</v>
      </c>
    </row>
    <row r="41" customFormat="false" ht="15" hidden="false" customHeight="false" outlineLevel="0" collapsed="false">
      <c r="A41" s="2" t="s">
        <v>578</v>
      </c>
      <c r="B41" s="39" t="str">
        <f aca="false">IF(INDEX(Prod_Nombre,9)="","Producto 9",INDEX(Prod_Nombre,9))&amp;" — ventas USD"</f>
        <v>Producto 9 — ventas USD</v>
      </c>
      <c r="C41" s="6" t="s">
        <v>250</v>
      </c>
      <c r="E41" s="40" t="n">
        <f aca="false">SUM(F41:ES41)</f>
        <v>0</v>
      </c>
      <c r="F41" s="34" t="n">
        <f aca="false">F$29*INDEX(Precio_O,9)*INDEX(IdxPrecio_O,1,MIN(10,F$17))*(1+P_dPrecio)</f>
        <v>0</v>
      </c>
      <c r="G41" s="34" t="n">
        <f aca="false">G$29*INDEX(Precio_O,9)*INDEX(IdxPrecio_O,1,MIN(10,G$17))*(1+P_dPrecio)</f>
        <v>0</v>
      </c>
      <c r="H41" s="34" t="n">
        <f aca="false">H$29*INDEX(Precio_O,9)*INDEX(IdxPrecio_O,1,MIN(10,H$17))*(1+P_dPrecio)</f>
        <v>0</v>
      </c>
      <c r="I41" s="34" t="n">
        <f aca="false">I$29*INDEX(Precio_O,9)*INDEX(IdxPrecio_O,1,MIN(10,I$17))*(1+P_dPrecio)</f>
        <v>0</v>
      </c>
      <c r="J41" s="34" t="n">
        <f aca="false">J$29*INDEX(Precio_O,9)*INDEX(IdxPrecio_O,1,MIN(10,J$17))*(1+P_dPrecio)</f>
        <v>0</v>
      </c>
      <c r="K41" s="34" t="n">
        <f aca="false">K$29*INDEX(Precio_O,9)*INDEX(IdxPrecio_O,1,MIN(10,K$17))*(1+P_dPrecio)</f>
        <v>0</v>
      </c>
      <c r="L41" s="34" t="n">
        <f aca="false">L$29*INDEX(Precio_O,9)*INDEX(IdxPrecio_O,1,MIN(10,L$17))*(1+P_dPrecio)</f>
        <v>0</v>
      </c>
      <c r="M41" s="34" t="n">
        <f aca="false">M$29*INDEX(Precio_O,9)*INDEX(IdxPrecio_O,1,MIN(10,M$17))*(1+P_dPrecio)</f>
        <v>0</v>
      </c>
      <c r="N41" s="34" t="n">
        <f aca="false">N$29*INDEX(Precio_O,9)*INDEX(IdxPrecio_O,1,MIN(10,N$17))*(1+P_dPrecio)</f>
        <v>0</v>
      </c>
      <c r="O41" s="34" t="n">
        <f aca="false">O$29*INDEX(Precio_O,9)*INDEX(IdxPrecio_O,1,MIN(10,O$17))*(1+P_dPrecio)</f>
        <v>0</v>
      </c>
      <c r="P41" s="34" t="n">
        <f aca="false">P$29*INDEX(Precio_O,9)*INDEX(IdxPrecio_O,1,MIN(10,P$17))*(1+P_dPrecio)</f>
        <v>0</v>
      </c>
      <c r="Q41" s="34" t="n">
        <f aca="false">Q$29*INDEX(Precio_O,9)*INDEX(IdxPrecio_O,1,MIN(10,Q$17))*(1+P_dPrecio)</f>
        <v>0</v>
      </c>
      <c r="R41" s="34" t="n">
        <f aca="false">R$29*INDEX(Precio_O,9)*INDEX(IdxPrecio_O,1,MIN(10,R$17))*(1+P_dPrecio)</f>
        <v>0</v>
      </c>
      <c r="S41" s="34" t="n">
        <f aca="false">S$29*INDEX(Precio_O,9)*INDEX(IdxPrecio_O,1,MIN(10,S$17))*(1+P_dPrecio)</f>
        <v>0</v>
      </c>
      <c r="T41" s="34" t="n">
        <f aca="false">T$29*INDEX(Precio_O,9)*INDEX(IdxPrecio_O,1,MIN(10,T$17))*(1+P_dPrecio)</f>
        <v>0</v>
      </c>
      <c r="U41" s="34" t="n">
        <f aca="false">U$29*INDEX(Precio_O,9)*INDEX(IdxPrecio_O,1,MIN(10,U$17))*(1+P_dPrecio)</f>
        <v>0</v>
      </c>
      <c r="V41" s="34" t="n">
        <f aca="false">V$29*INDEX(Precio_O,9)*INDEX(IdxPrecio_O,1,MIN(10,V$17))*(1+P_dPrecio)</f>
        <v>0</v>
      </c>
      <c r="W41" s="34" t="n">
        <f aca="false">W$29*INDEX(Precio_O,9)*INDEX(IdxPrecio_O,1,MIN(10,W$17))*(1+P_dPrecio)</f>
        <v>0</v>
      </c>
      <c r="X41" s="34" t="n">
        <f aca="false">X$29*INDEX(Precio_O,9)*INDEX(IdxPrecio_O,1,MIN(10,X$17))*(1+P_dPrecio)</f>
        <v>0</v>
      </c>
      <c r="Y41" s="34" t="n">
        <f aca="false">Y$29*INDEX(Precio_O,9)*INDEX(IdxPrecio_O,1,MIN(10,Y$17))*(1+P_dPrecio)</f>
        <v>0</v>
      </c>
      <c r="Z41" s="34" t="n">
        <f aca="false">Z$29*INDEX(Precio_O,9)*INDEX(IdxPrecio_O,1,MIN(10,Z$17))*(1+P_dPrecio)</f>
        <v>0</v>
      </c>
      <c r="AA41" s="34" t="n">
        <f aca="false">AA$29*INDEX(Precio_O,9)*INDEX(IdxPrecio_O,1,MIN(10,AA$17))*(1+P_dPrecio)</f>
        <v>0</v>
      </c>
      <c r="AB41" s="34" t="n">
        <f aca="false">AB$29*INDEX(Precio_O,9)*INDEX(IdxPrecio_O,1,MIN(10,AB$17))*(1+P_dPrecio)</f>
        <v>0</v>
      </c>
      <c r="AC41" s="34" t="n">
        <f aca="false">AC$29*INDEX(Precio_O,9)*INDEX(IdxPrecio_O,1,MIN(10,AC$17))*(1+P_dPrecio)</f>
        <v>0</v>
      </c>
      <c r="AD41" s="34" t="n">
        <f aca="false">AD$29*INDEX(Precio_O,9)*INDEX(IdxPrecio_O,1,MIN(10,AD$17))*(1+P_dPrecio)</f>
        <v>0</v>
      </c>
      <c r="AE41" s="34" t="n">
        <f aca="false">AE$29*INDEX(Precio_O,9)*INDEX(IdxPrecio_O,1,MIN(10,AE$17))*(1+P_dPrecio)</f>
        <v>0</v>
      </c>
      <c r="AF41" s="34" t="n">
        <f aca="false">AF$29*INDEX(Precio_O,9)*INDEX(IdxPrecio_O,1,MIN(10,AF$17))*(1+P_dPrecio)</f>
        <v>0</v>
      </c>
      <c r="AG41" s="34" t="n">
        <f aca="false">AG$29*INDEX(Precio_O,9)*INDEX(IdxPrecio_O,1,MIN(10,AG$17))*(1+P_dPrecio)</f>
        <v>0</v>
      </c>
      <c r="AH41" s="34" t="n">
        <f aca="false">AH$29*INDEX(Precio_O,9)*INDEX(IdxPrecio_O,1,MIN(10,AH$17))*(1+P_dPrecio)</f>
        <v>0</v>
      </c>
      <c r="AI41" s="34" t="n">
        <f aca="false">AI$29*INDEX(Precio_O,9)*INDEX(IdxPrecio_O,1,MIN(10,AI$17))*(1+P_dPrecio)</f>
        <v>0</v>
      </c>
      <c r="AJ41" s="34" t="n">
        <f aca="false">AJ$29*INDEX(Precio_O,9)*INDEX(IdxPrecio_O,1,MIN(10,AJ$17))*(1+P_dPrecio)</f>
        <v>0</v>
      </c>
      <c r="AK41" s="34" t="n">
        <f aca="false">AK$29*INDEX(Precio_O,9)*INDEX(IdxPrecio_O,1,MIN(10,AK$17))*(1+P_dPrecio)</f>
        <v>0</v>
      </c>
      <c r="AL41" s="34" t="n">
        <f aca="false">AL$29*INDEX(Precio_O,9)*INDEX(IdxPrecio_O,1,MIN(10,AL$17))*(1+P_dPrecio)</f>
        <v>0</v>
      </c>
      <c r="AM41" s="34" t="n">
        <f aca="false">AM$29*INDEX(Precio_O,9)*INDEX(IdxPrecio_O,1,MIN(10,AM$17))*(1+P_dPrecio)</f>
        <v>0</v>
      </c>
      <c r="AN41" s="34" t="n">
        <f aca="false">AN$29*INDEX(Precio_O,9)*INDEX(IdxPrecio_O,1,MIN(10,AN$17))*(1+P_dPrecio)</f>
        <v>0</v>
      </c>
      <c r="AO41" s="34" t="n">
        <f aca="false">AO$29*INDEX(Precio_O,9)*INDEX(IdxPrecio_O,1,MIN(10,AO$17))*(1+P_dPrecio)</f>
        <v>0</v>
      </c>
      <c r="AP41" s="34" t="n">
        <f aca="false">AP$29*INDEX(Precio_O,9)*INDEX(IdxPrecio_O,1,MIN(10,AP$17))*(1+P_dPrecio)</f>
        <v>0</v>
      </c>
      <c r="AQ41" s="34" t="n">
        <f aca="false">AQ$29*INDEX(Precio_O,9)*INDEX(IdxPrecio_O,1,MIN(10,AQ$17))*(1+P_dPrecio)</f>
        <v>0</v>
      </c>
      <c r="AR41" s="34" t="n">
        <f aca="false">AR$29*INDEX(Precio_O,9)*INDEX(IdxPrecio_O,1,MIN(10,AR$17))*(1+P_dPrecio)</f>
        <v>0</v>
      </c>
      <c r="AS41" s="34" t="n">
        <f aca="false">AS$29*INDEX(Precio_O,9)*INDEX(IdxPrecio_O,1,MIN(10,AS$17))*(1+P_dPrecio)</f>
        <v>0</v>
      </c>
      <c r="AT41" s="34" t="n">
        <f aca="false">AT$29*INDEX(Precio_O,9)*INDEX(IdxPrecio_O,1,MIN(10,AT$17))*(1+P_dPrecio)</f>
        <v>0</v>
      </c>
      <c r="AU41" s="34" t="n">
        <f aca="false">AU$29*INDEX(Precio_O,9)*INDEX(IdxPrecio_O,1,MIN(10,AU$17))*(1+P_dPrecio)</f>
        <v>0</v>
      </c>
      <c r="AV41" s="34" t="n">
        <f aca="false">AV$29*INDEX(Precio_O,9)*INDEX(IdxPrecio_O,1,MIN(10,AV$17))*(1+P_dPrecio)</f>
        <v>0</v>
      </c>
      <c r="AW41" s="34" t="n">
        <f aca="false">AW$29*INDEX(Precio_O,9)*INDEX(IdxPrecio_O,1,MIN(10,AW$17))*(1+P_dPrecio)</f>
        <v>0</v>
      </c>
      <c r="AX41" s="34" t="n">
        <f aca="false">AX$29*INDEX(Precio_O,9)*INDEX(IdxPrecio_O,1,MIN(10,AX$17))*(1+P_dPrecio)</f>
        <v>0</v>
      </c>
      <c r="AY41" s="34" t="n">
        <f aca="false">AY$29*INDEX(Precio_O,9)*INDEX(IdxPrecio_O,1,MIN(10,AY$17))*(1+P_dPrecio)</f>
        <v>0</v>
      </c>
      <c r="AZ41" s="34" t="n">
        <f aca="false">AZ$29*INDEX(Precio_O,9)*INDEX(IdxPrecio_O,1,MIN(10,AZ$17))*(1+P_dPrecio)</f>
        <v>0</v>
      </c>
      <c r="BA41" s="34" t="n">
        <f aca="false">BA$29*INDEX(Precio_O,9)*INDEX(IdxPrecio_O,1,MIN(10,BA$17))*(1+P_dPrecio)</f>
        <v>0</v>
      </c>
      <c r="BB41" s="34" t="n">
        <f aca="false">BB$29*INDEX(Precio_O,9)*INDEX(IdxPrecio_O,1,MIN(10,BB$17))*(1+P_dPrecio)</f>
        <v>0</v>
      </c>
      <c r="BC41" s="34" t="n">
        <f aca="false">BC$29*INDEX(Precio_O,9)*INDEX(IdxPrecio_O,1,MIN(10,BC$17))*(1+P_dPrecio)</f>
        <v>0</v>
      </c>
      <c r="BD41" s="34" t="n">
        <f aca="false">BD$29*INDEX(Precio_O,9)*INDEX(IdxPrecio_O,1,MIN(10,BD$17))*(1+P_dPrecio)</f>
        <v>0</v>
      </c>
      <c r="BE41" s="34" t="n">
        <f aca="false">BE$29*INDEX(Precio_O,9)*INDEX(IdxPrecio_O,1,MIN(10,BE$17))*(1+P_dPrecio)</f>
        <v>0</v>
      </c>
      <c r="BF41" s="34" t="n">
        <f aca="false">BF$29*INDEX(Precio_O,9)*INDEX(IdxPrecio_O,1,MIN(10,BF$17))*(1+P_dPrecio)</f>
        <v>0</v>
      </c>
      <c r="BG41" s="34" t="n">
        <f aca="false">BG$29*INDEX(Precio_O,9)*INDEX(IdxPrecio_O,1,MIN(10,BG$17))*(1+P_dPrecio)</f>
        <v>0</v>
      </c>
      <c r="BH41" s="34" t="n">
        <f aca="false">BH$29*INDEX(Precio_O,9)*INDEX(IdxPrecio_O,1,MIN(10,BH$17))*(1+P_dPrecio)</f>
        <v>0</v>
      </c>
      <c r="BI41" s="34" t="n">
        <f aca="false">BI$29*INDEX(Precio_O,9)*INDEX(IdxPrecio_O,1,MIN(10,BI$17))*(1+P_dPrecio)</f>
        <v>0</v>
      </c>
      <c r="BJ41" s="34" t="n">
        <f aca="false">BJ$29*INDEX(Precio_O,9)*INDEX(IdxPrecio_O,1,MIN(10,BJ$17))*(1+P_dPrecio)</f>
        <v>0</v>
      </c>
      <c r="BK41" s="34" t="n">
        <f aca="false">BK$29*INDEX(Precio_O,9)*INDEX(IdxPrecio_O,1,MIN(10,BK$17))*(1+P_dPrecio)</f>
        <v>0</v>
      </c>
      <c r="BL41" s="34" t="n">
        <f aca="false">BL$29*INDEX(Precio_O,9)*INDEX(IdxPrecio_O,1,MIN(10,BL$17))*(1+P_dPrecio)</f>
        <v>0</v>
      </c>
      <c r="BM41" s="34" t="n">
        <f aca="false">BM$29*INDEX(Precio_O,9)*INDEX(IdxPrecio_O,1,MIN(10,BM$17))*(1+P_dPrecio)</f>
        <v>0</v>
      </c>
      <c r="BN41" s="34" t="n">
        <f aca="false">BN$29*INDEX(Precio_O,9)*INDEX(IdxPrecio_O,1,MIN(10,BN$17))*(1+P_dPrecio)</f>
        <v>0</v>
      </c>
      <c r="BO41" s="34" t="n">
        <f aca="false">BO$29*INDEX(Precio_O,9)*INDEX(IdxPrecio_O,1,MIN(10,BO$17))*(1+P_dPrecio)</f>
        <v>0</v>
      </c>
      <c r="BP41" s="34" t="n">
        <f aca="false">BP$29*INDEX(Precio_O,9)*INDEX(IdxPrecio_O,1,MIN(10,BP$17))*(1+P_dPrecio)</f>
        <v>0</v>
      </c>
      <c r="BQ41" s="34" t="n">
        <f aca="false">BQ$29*INDEX(Precio_O,9)*INDEX(IdxPrecio_O,1,MIN(10,BQ$17))*(1+P_dPrecio)</f>
        <v>0</v>
      </c>
      <c r="BR41" s="34" t="n">
        <f aca="false">BR$29*INDEX(Precio_O,9)*INDEX(IdxPrecio_O,1,MIN(10,BR$17))*(1+P_dPrecio)</f>
        <v>0</v>
      </c>
      <c r="BS41" s="34" t="n">
        <f aca="false">BS$29*INDEX(Precio_O,9)*INDEX(IdxPrecio_O,1,MIN(10,BS$17))*(1+P_dPrecio)</f>
        <v>0</v>
      </c>
      <c r="BT41" s="34" t="n">
        <f aca="false">BT$29*INDEX(Precio_O,9)*INDEX(IdxPrecio_O,1,MIN(10,BT$17))*(1+P_dPrecio)</f>
        <v>0</v>
      </c>
      <c r="BU41" s="34" t="n">
        <f aca="false">BU$29*INDEX(Precio_O,9)*INDEX(IdxPrecio_O,1,MIN(10,BU$17))*(1+P_dPrecio)</f>
        <v>0</v>
      </c>
      <c r="BV41" s="34" t="n">
        <f aca="false">BV$29*INDEX(Precio_O,9)*INDEX(IdxPrecio_O,1,MIN(10,BV$17))*(1+P_dPrecio)</f>
        <v>0</v>
      </c>
      <c r="BW41" s="34" t="n">
        <f aca="false">BW$29*INDEX(Precio_O,9)*INDEX(IdxPrecio_O,1,MIN(10,BW$17))*(1+P_dPrecio)</f>
        <v>0</v>
      </c>
      <c r="BX41" s="34" t="n">
        <f aca="false">BX$29*INDEX(Precio_O,9)*INDEX(IdxPrecio_O,1,MIN(10,BX$17))*(1+P_dPrecio)</f>
        <v>0</v>
      </c>
      <c r="BY41" s="34" t="n">
        <f aca="false">BY$29*INDEX(Precio_O,9)*INDEX(IdxPrecio_O,1,MIN(10,BY$17))*(1+P_dPrecio)</f>
        <v>0</v>
      </c>
      <c r="BZ41" s="34" t="n">
        <f aca="false">BZ$29*INDEX(Precio_O,9)*INDEX(IdxPrecio_O,1,MIN(10,BZ$17))*(1+P_dPrecio)</f>
        <v>0</v>
      </c>
      <c r="CA41" s="34" t="n">
        <f aca="false">CA$29*INDEX(Precio_O,9)*INDEX(IdxPrecio_O,1,MIN(10,CA$17))*(1+P_dPrecio)</f>
        <v>0</v>
      </c>
      <c r="CB41" s="34" t="n">
        <f aca="false">CB$29*INDEX(Precio_O,9)*INDEX(IdxPrecio_O,1,MIN(10,CB$17))*(1+P_dPrecio)</f>
        <v>0</v>
      </c>
      <c r="CC41" s="34" t="n">
        <f aca="false">CC$29*INDEX(Precio_O,9)*INDEX(IdxPrecio_O,1,MIN(10,CC$17))*(1+P_dPrecio)</f>
        <v>0</v>
      </c>
      <c r="CD41" s="34" t="n">
        <f aca="false">CD$29*INDEX(Precio_O,9)*INDEX(IdxPrecio_O,1,MIN(10,CD$17))*(1+P_dPrecio)</f>
        <v>0</v>
      </c>
      <c r="CE41" s="34" t="n">
        <f aca="false">CE$29*INDEX(Precio_O,9)*INDEX(IdxPrecio_O,1,MIN(10,CE$17))*(1+P_dPrecio)</f>
        <v>0</v>
      </c>
      <c r="CF41" s="34" t="n">
        <f aca="false">CF$29*INDEX(Precio_O,9)*INDEX(IdxPrecio_O,1,MIN(10,CF$17))*(1+P_dPrecio)</f>
        <v>0</v>
      </c>
      <c r="CG41" s="34" t="n">
        <f aca="false">CG$29*INDEX(Precio_O,9)*INDEX(IdxPrecio_O,1,MIN(10,CG$17))*(1+P_dPrecio)</f>
        <v>0</v>
      </c>
      <c r="CH41" s="34" t="n">
        <f aca="false">CH$29*INDEX(Precio_O,9)*INDEX(IdxPrecio_O,1,MIN(10,CH$17))*(1+P_dPrecio)</f>
        <v>0</v>
      </c>
      <c r="CI41" s="34" t="n">
        <f aca="false">CI$29*INDEX(Precio_O,9)*INDEX(IdxPrecio_O,1,MIN(10,CI$17))*(1+P_dPrecio)</f>
        <v>0</v>
      </c>
      <c r="CJ41" s="34" t="n">
        <f aca="false">CJ$29*INDEX(Precio_O,9)*INDEX(IdxPrecio_O,1,MIN(10,CJ$17))*(1+P_dPrecio)</f>
        <v>0</v>
      </c>
      <c r="CK41" s="34" t="n">
        <f aca="false">CK$29*INDEX(Precio_O,9)*INDEX(IdxPrecio_O,1,MIN(10,CK$17))*(1+P_dPrecio)</f>
        <v>0</v>
      </c>
      <c r="CL41" s="34" t="n">
        <f aca="false">CL$29*INDEX(Precio_O,9)*INDEX(IdxPrecio_O,1,MIN(10,CL$17))*(1+P_dPrecio)</f>
        <v>0</v>
      </c>
      <c r="CM41" s="34" t="n">
        <f aca="false">CM$29*INDEX(Precio_O,9)*INDEX(IdxPrecio_O,1,MIN(10,CM$17))*(1+P_dPrecio)</f>
        <v>0</v>
      </c>
      <c r="CN41" s="34" t="n">
        <f aca="false">CN$29*INDEX(Precio_O,9)*INDEX(IdxPrecio_O,1,MIN(10,CN$17))*(1+P_dPrecio)</f>
        <v>0</v>
      </c>
      <c r="CO41" s="34" t="n">
        <f aca="false">CO$29*INDEX(Precio_O,9)*INDEX(IdxPrecio_O,1,MIN(10,CO$17))*(1+P_dPrecio)</f>
        <v>0</v>
      </c>
      <c r="CP41" s="34" t="n">
        <f aca="false">CP$29*INDEX(Precio_O,9)*INDEX(IdxPrecio_O,1,MIN(10,CP$17))*(1+P_dPrecio)</f>
        <v>0</v>
      </c>
      <c r="CQ41" s="34" t="n">
        <f aca="false">CQ$29*INDEX(Precio_O,9)*INDEX(IdxPrecio_O,1,MIN(10,CQ$17))*(1+P_dPrecio)</f>
        <v>0</v>
      </c>
      <c r="CR41" s="34" t="n">
        <f aca="false">CR$29*INDEX(Precio_O,9)*INDEX(IdxPrecio_O,1,MIN(10,CR$17))*(1+P_dPrecio)</f>
        <v>0</v>
      </c>
      <c r="CS41" s="34" t="n">
        <f aca="false">CS$29*INDEX(Precio_O,9)*INDEX(IdxPrecio_O,1,MIN(10,CS$17))*(1+P_dPrecio)</f>
        <v>0</v>
      </c>
      <c r="CT41" s="34" t="n">
        <f aca="false">CT$29*INDEX(Precio_O,9)*INDEX(IdxPrecio_O,1,MIN(10,CT$17))*(1+P_dPrecio)</f>
        <v>0</v>
      </c>
      <c r="CU41" s="34" t="n">
        <f aca="false">CU$29*INDEX(Precio_O,9)*INDEX(IdxPrecio_O,1,MIN(10,CU$17))*(1+P_dPrecio)</f>
        <v>0</v>
      </c>
      <c r="CV41" s="34" t="n">
        <f aca="false">CV$29*INDEX(Precio_O,9)*INDEX(IdxPrecio_O,1,MIN(10,CV$17))*(1+P_dPrecio)</f>
        <v>0</v>
      </c>
      <c r="CW41" s="34" t="n">
        <f aca="false">CW$29*INDEX(Precio_O,9)*INDEX(IdxPrecio_O,1,MIN(10,CW$17))*(1+P_dPrecio)</f>
        <v>0</v>
      </c>
      <c r="CX41" s="34" t="n">
        <f aca="false">CX$29*INDEX(Precio_O,9)*INDEX(IdxPrecio_O,1,MIN(10,CX$17))*(1+P_dPrecio)</f>
        <v>0</v>
      </c>
      <c r="CY41" s="34" t="n">
        <f aca="false">CY$29*INDEX(Precio_O,9)*INDEX(IdxPrecio_O,1,MIN(10,CY$17))*(1+P_dPrecio)</f>
        <v>0</v>
      </c>
      <c r="CZ41" s="34" t="n">
        <f aca="false">CZ$29*INDEX(Precio_O,9)*INDEX(IdxPrecio_O,1,MIN(10,CZ$17))*(1+P_dPrecio)</f>
        <v>0</v>
      </c>
      <c r="DA41" s="34" t="n">
        <f aca="false">DA$29*INDEX(Precio_O,9)*INDEX(IdxPrecio_O,1,MIN(10,DA$17))*(1+P_dPrecio)</f>
        <v>0</v>
      </c>
      <c r="DB41" s="34" t="n">
        <f aca="false">DB$29*INDEX(Precio_O,9)*INDEX(IdxPrecio_O,1,MIN(10,DB$17))*(1+P_dPrecio)</f>
        <v>0</v>
      </c>
      <c r="DC41" s="34" t="n">
        <f aca="false">DC$29*INDEX(Precio_O,9)*INDEX(IdxPrecio_O,1,MIN(10,DC$17))*(1+P_dPrecio)</f>
        <v>0</v>
      </c>
      <c r="DD41" s="34" t="n">
        <f aca="false">DD$29*INDEX(Precio_O,9)*INDEX(IdxPrecio_O,1,MIN(10,DD$17))*(1+P_dPrecio)</f>
        <v>0</v>
      </c>
      <c r="DE41" s="34" t="n">
        <f aca="false">DE$29*INDEX(Precio_O,9)*INDEX(IdxPrecio_O,1,MIN(10,DE$17))*(1+P_dPrecio)</f>
        <v>0</v>
      </c>
      <c r="DF41" s="34" t="n">
        <f aca="false">DF$29*INDEX(Precio_O,9)*INDEX(IdxPrecio_O,1,MIN(10,DF$17))*(1+P_dPrecio)</f>
        <v>0</v>
      </c>
      <c r="DG41" s="34" t="n">
        <f aca="false">DG$29*INDEX(Precio_O,9)*INDEX(IdxPrecio_O,1,MIN(10,DG$17))*(1+P_dPrecio)</f>
        <v>0</v>
      </c>
      <c r="DH41" s="34" t="n">
        <f aca="false">DH$29*INDEX(Precio_O,9)*INDEX(IdxPrecio_O,1,MIN(10,DH$17))*(1+P_dPrecio)</f>
        <v>0</v>
      </c>
      <c r="DI41" s="34" t="n">
        <f aca="false">DI$29*INDEX(Precio_O,9)*INDEX(IdxPrecio_O,1,MIN(10,DI$17))*(1+P_dPrecio)</f>
        <v>0</v>
      </c>
      <c r="DJ41" s="34" t="n">
        <f aca="false">DJ$29*INDEX(Precio_O,9)*INDEX(IdxPrecio_O,1,MIN(10,DJ$17))*(1+P_dPrecio)</f>
        <v>0</v>
      </c>
      <c r="DK41" s="34" t="n">
        <f aca="false">DK$29*INDEX(Precio_O,9)*INDEX(IdxPrecio_O,1,MIN(10,DK$17))*(1+P_dPrecio)</f>
        <v>0</v>
      </c>
      <c r="DL41" s="34" t="n">
        <f aca="false">DL$29*INDEX(Precio_O,9)*INDEX(IdxPrecio_O,1,MIN(10,DL$17))*(1+P_dPrecio)</f>
        <v>0</v>
      </c>
      <c r="DM41" s="34" t="n">
        <f aca="false">DM$29*INDEX(Precio_O,9)*INDEX(IdxPrecio_O,1,MIN(10,DM$17))*(1+P_dPrecio)</f>
        <v>0</v>
      </c>
      <c r="DN41" s="34" t="n">
        <f aca="false">DN$29*INDEX(Precio_O,9)*INDEX(IdxPrecio_O,1,MIN(10,DN$17))*(1+P_dPrecio)</f>
        <v>0</v>
      </c>
      <c r="DO41" s="34" t="n">
        <f aca="false">DO$29*INDEX(Precio_O,9)*INDEX(IdxPrecio_O,1,MIN(10,DO$17))*(1+P_dPrecio)</f>
        <v>0</v>
      </c>
      <c r="DP41" s="34" t="n">
        <f aca="false">DP$29*INDEX(Precio_O,9)*INDEX(IdxPrecio_O,1,MIN(10,DP$17))*(1+P_dPrecio)</f>
        <v>0</v>
      </c>
      <c r="DQ41" s="34" t="n">
        <f aca="false">DQ$29*INDEX(Precio_O,9)*INDEX(IdxPrecio_O,1,MIN(10,DQ$17))*(1+P_dPrecio)</f>
        <v>0</v>
      </c>
      <c r="DR41" s="34" t="n">
        <f aca="false">DR$29*INDEX(Precio_O,9)*INDEX(IdxPrecio_O,1,MIN(10,DR$17))*(1+P_dPrecio)</f>
        <v>0</v>
      </c>
      <c r="DS41" s="34" t="n">
        <f aca="false">DS$29*INDEX(Precio_O,9)*INDEX(IdxPrecio_O,1,MIN(10,DS$17))*(1+P_dPrecio)</f>
        <v>0</v>
      </c>
      <c r="DT41" s="34" t="n">
        <f aca="false">DT$29*INDEX(Precio_O,9)*INDEX(IdxPrecio_O,1,MIN(10,DT$17))*(1+P_dPrecio)</f>
        <v>0</v>
      </c>
      <c r="DU41" s="34" t="n">
        <f aca="false">DU$29*INDEX(Precio_O,9)*INDEX(IdxPrecio_O,1,MIN(10,DU$17))*(1+P_dPrecio)</f>
        <v>0</v>
      </c>
      <c r="DV41" s="34" t="n">
        <f aca="false">DV$29*INDEX(Precio_O,9)*INDEX(IdxPrecio_O,1,MIN(10,DV$17))*(1+P_dPrecio)</f>
        <v>0</v>
      </c>
      <c r="DW41" s="34" t="n">
        <f aca="false">DW$29*INDEX(Precio_O,9)*INDEX(IdxPrecio_O,1,MIN(10,DW$17))*(1+P_dPrecio)</f>
        <v>0</v>
      </c>
      <c r="DX41" s="34" t="n">
        <f aca="false">DX$29*INDEX(Precio_O,9)*INDEX(IdxPrecio_O,1,MIN(10,DX$17))*(1+P_dPrecio)</f>
        <v>0</v>
      </c>
      <c r="DY41" s="34" t="n">
        <f aca="false">DY$29*INDEX(Precio_O,9)*INDEX(IdxPrecio_O,1,MIN(10,DY$17))*(1+P_dPrecio)</f>
        <v>0</v>
      </c>
      <c r="DZ41" s="34" t="n">
        <f aca="false">DZ$29*INDEX(Precio_O,9)*INDEX(IdxPrecio_O,1,MIN(10,DZ$17))*(1+P_dPrecio)</f>
        <v>0</v>
      </c>
      <c r="EA41" s="34" t="n">
        <f aca="false">EA$29*INDEX(Precio_O,9)*INDEX(IdxPrecio_O,1,MIN(10,EA$17))*(1+P_dPrecio)</f>
        <v>0</v>
      </c>
      <c r="EB41" s="34" t="n">
        <f aca="false">EB$29*INDEX(Precio_O,9)*INDEX(IdxPrecio_O,1,MIN(10,EB$17))*(1+P_dPrecio)</f>
        <v>0</v>
      </c>
      <c r="EC41" s="34" t="n">
        <f aca="false">EC$29*INDEX(Precio_O,9)*INDEX(IdxPrecio_O,1,MIN(10,EC$17))*(1+P_dPrecio)</f>
        <v>0</v>
      </c>
      <c r="ED41" s="34" t="n">
        <f aca="false">ED$29*INDEX(Precio_O,9)*INDEX(IdxPrecio_O,1,MIN(10,ED$17))*(1+P_dPrecio)</f>
        <v>0</v>
      </c>
      <c r="EE41" s="34" t="n">
        <f aca="false">EE$29*INDEX(Precio_O,9)*INDEX(IdxPrecio_O,1,MIN(10,EE$17))*(1+P_dPrecio)</f>
        <v>0</v>
      </c>
      <c r="EF41" s="34" t="n">
        <f aca="false">EF$29*INDEX(Precio_O,9)*INDEX(IdxPrecio_O,1,MIN(10,EF$17))*(1+P_dPrecio)</f>
        <v>0</v>
      </c>
      <c r="EG41" s="34" t="n">
        <f aca="false">EG$29*INDEX(Precio_O,9)*INDEX(IdxPrecio_O,1,MIN(10,EG$17))*(1+P_dPrecio)</f>
        <v>0</v>
      </c>
      <c r="EH41" s="34" t="n">
        <f aca="false">EH$29*INDEX(Precio_O,9)*INDEX(IdxPrecio_O,1,MIN(10,EH$17))*(1+P_dPrecio)</f>
        <v>0</v>
      </c>
      <c r="EI41" s="34" t="n">
        <f aca="false">EI$29*INDEX(Precio_O,9)*INDEX(IdxPrecio_O,1,MIN(10,EI$17))*(1+P_dPrecio)</f>
        <v>0</v>
      </c>
      <c r="EJ41" s="34" t="n">
        <f aca="false">EJ$29*INDEX(Precio_O,9)*INDEX(IdxPrecio_O,1,MIN(10,EJ$17))*(1+P_dPrecio)</f>
        <v>0</v>
      </c>
      <c r="EK41" s="34" t="n">
        <f aca="false">EK$29*INDEX(Precio_O,9)*INDEX(IdxPrecio_O,1,MIN(10,EK$17))*(1+P_dPrecio)</f>
        <v>0</v>
      </c>
      <c r="EL41" s="34" t="n">
        <f aca="false">EL$29*INDEX(Precio_O,9)*INDEX(IdxPrecio_O,1,MIN(10,EL$17))*(1+P_dPrecio)</f>
        <v>0</v>
      </c>
      <c r="EM41" s="34" t="n">
        <f aca="false">EM$29*INDEX(Precio_O,9)*INDEX(IdxPrecio_O,1,MIN(10,EM$17))*(1+P_dPrecio)</f>
        <v>0</v>
      </c>
      <c r="EN41" s="34" t="n">
        <f aca="false">EN$29*INDEX(Precio_O,9)*INDEX(IdxPrecio_O,1,MIN(10,EN$17))*(1+P_dPrecio)</f>
        <v>0</v>
      </c>
      <c r="EO41" s="34" t="n">
        <f aca="false">EO$29*INDEX(Precio_O,9)*INDEX(IdxPrecio_O,1,MIN(10,EO$17))*(1+P_dPrecio)</f>
        <v>0</v>
      </c>
      <c r="EP41" s="34" t="n">
        <f aca="false">EP$29*INDEX(Precio_O,9)*INDEX(IdxPrecio_O,1,MIN(10,EP$17))*(1+P_dPrecio)</f>
        <v>0</v>
      </c>
      <c r="EQ41" s="34" t="n">
        <f aca="false">EQ$29*INDEX(Precio_O,9)*INDEX(IdxPrecio_O,1,MIN(10,EQ$17))*(1+P_dPrecio)</f>
        <v>0</v>
      </c>
      <c r="ER41" s="34" t="n">
        <f aca="false">ER$29*INDEX(Precio_O,9)*INDEX(IdxPrecio_O,1,MIN(10,ER$17))*(1+P_dPrecio)</f>
        <v>0</v>
      </c>
      <c r="ES41" s="34" t="n">
        <f aca="false">ES$29*INDEX(Precio_O,9)*INDEX(IdxPrecio_O,1,MIN(10,ES$17))*(1+P_dPrecio)</f>
        <v>0</v>
      </c>
    </row>
    <row r="42" customFormat="false" ht="15" hidden="false" customHeight="false" outlineLevel="0" collapsed="false">
      <c r="A42" s="2" t="s">
        <v>579</v>
      </c>
      <c r="B42" s="39" t="str">
        <f aca="false">IF(INDEX(Prod_Nombre,10)="","Producto 10",INDEX(Prod_Nombre,10))&amp;" — ventas USD"</f>
        <v>Producto 10 — ventas USD</v>
      </c>
      <c r="C42" s="6" t="s">
        <v>250</v>
      </c>
      <c r="E42" s="40" t="n">
        <f aca="false">SUM(F42:ES42)</f>
        <v>0</v>
      </c>
      <c r="F42" s="34" t="n">
        <f aca="false">F$30*INDEX(Precio_O,10)*INDEX(IdxPrecio_O,1,MIN(10,F$17))*(1+P_dPrecio)</f>
        <v>0</v>
      </c>
      <c r="G42" s="34" t="n">
        <f aca="false">G$30*INDEX(Precio_O,10)*INDEX(IdxPrecio_O,1,MIN(10,G$17))*(1+P_dPrecio)</f>
        <v>0</v>
      </c>
      <c r="H42" s="34" t="n">
        <f aca="false">H$30*INDEX(Precio_O,10)*INDEX(IdxPrecio_O,1,MIN(10,H$17))*(1+P_dPrecio)</f>
        <v>0</v>
      </c>
      <c r="I42" s="34" t="n">
        <f aca="false">I$30*INDEX(Precio_O,10)*INDEX(IdxPrecio_O,1,MIN(10,I$17))*(1+P_dPrecio)</f>
        <v>0</v>
      </c>
      <c r="J42" s="34" t="n">
        <f aca="false">J$30*INDEX(Precio_O,10)*INDEX(IdxPrecio_O,1,MIN(10,J$17))*(1+P_dPrecio)</f>
        <v>0</v>
      </c>
      <c r="K42" s="34" t="n">
        <f aca="false">K$30*INDEX(Precio_O,10)*INDEX(IdxPrecio_O,1,MIN(10,K$17))*(1+P_dPrecio)</f>
        <v>0</v>
      </c>
      <c r="L42" s="34" t="n">
        <f aca="false">L$30*INDEX(Precio_O,10)*INDEX(IdxPrecio_O,1,MIN(10,L$17))*(1+P_dPrecio)</f>
        <v>0</v>
      </c>
      <c r="M42" s="34" t="n">
        <f aca="false">M$30*INDEX(Precio_O,10)*INDEX(IdxPrecio_O,1,MIN(10,M$17))*(1+P_dPrecio)</f>
        <v>0</v>
      </c>
      <c r="N42" s="34" t="n">
        <f aca="false">N$30*INDEX(Precio_O,10)*INDEX(IdxPrecio_O,1,MIN(10,N$17))*(1+P_dPrecio)</f>
        <v>0</v>
      </c>
      <c r="O42" s="34" t="n">
        <f aca="false">O$30*INDEX(Precio_O,10)*INDEX(IdxPrecio_O,1,MIN(10,O$17))*(1+P_dPrecio)</f>
        <v>0</v>
      </c>
      <c r="P42" s="34" t="n">
        <f aca="false">P$30*INDEX(Precio_O,10)*INDEX(IdxPrecio_O,1,MIN(10,P$17))*(1+P_dPrecio)</f>
        <v>0</v>
      </c>
      <c r="Q42" s="34" t="n">
        <f aca="false">Q$30*INDEX(Precio_O,10)*INDEX(IdxPrecio_O,1,MIN(10,Q$17))*(1+P_dPrecio)</f>
        <v>0</v>
      </c>
      <c r="R42" s="34" t="n">
        <f aca="false">R$30*INDEX(Precio_O,10)*INDEX(IdxPrecio_O,1,MIN(10,R$17))*(1+P_dPrecio)</f>
        <v>0</v>
      </c>
      <c r="S42" s="34" t="n">
        <f aca="false">S$30*INDEX(Precio_O,10)*INDEX(IdxPrecio_O,1,MIN(10,S$17))*(1+P_dPrecio)</f>
        <v>0</v>
      </c>
      <c r="T42" s="34" t="n">
        <f aca="false">T$30*INDEX(Precio_O,10)*INDEX(IdxPrecio_O,1,MIN(10,T$17))*(1+P_dPrecio)</f>
        <v>0</v>
      </c>
      <c r="U42" s="34" t="n">
        <f aca="false">U$30*INDEX(Precio_O,10)*INDEX(IdxPrecio_O,1,MIN(10,U$17))*(1+P_dPrecio)</f>
        <v>0</v>
      </c>
      <c r="V42" s="34" t="n">
        <f aca="false">V$30*INDEX(Precio_O,10)*INDEX(IdxPrecio_O,1,MIN(10,V$17))*(1+P_dPrecio)</f>
        <v>0</v>
      </c>
      <c r="W42" s="34" t="n">
        <f aca="false">W$30*INDEX(Precio_O,10)*INDEX(IdxPrecio_O,1,MIN(10,W$17))*(1+P_dPrecio)</f>
        <v>0</v>
      </c>
      <c r="X42" s="34" t="n">
        <f aca="false">X$30*INDEX(Precio_O,10)*INDEX(IdxPrecio_O,1,MIN(10,X$17))*(1+P_dPrecio)</f>
        <v>0</v>
      </c>
      <c r="Y42" s="34" t="n">
        <f aca="false">Y$30*INDEX(Precio_O,10)*INDEX(IdxPrecio_O,1,MIN(10,Y$17))*(1+P_dPrecio)</f>
        <v>0</v>
      </c>
      <c r="Z42" s="34" t="n">
        <f aca="false">Z$30*INDEX(Precio_O,10)*INDEX(IdxPrecio_O,1,MIN(10,Z$17))*(1+P_dPrecio)</f>
        <v>0</v>
      </c>
      <c r="AA42" s="34" t="n">
        <f aca="false">AA$30*INDEX(Precio_O,10)*INDEX(IdxPrecio_O,1,MIN(10,AA$17))*(1+P_dPrecio)</f>
        <v>0</v>
      </c>
      <c r="AB42" s="34" t="n">
        <f aca="false">AB$30*INDEX(Precio_O,10)*INDEX(IdxPrecio_O,1,MIN(10,AB$17))*(1+P_dPrecio)</f>
        <v>0</v>
      </c>
      <c r="AC42" s="34" t="n">
        <f aca="false">AC$30*INDEX(Precio_O,10)*INDEX(IdxPrecio_O,1,MIN(10,AC$17))*(1+P_dPrecio)</f>
        <v>0</v>
      </c>
      <c r="AD42" s="34" t="n">
        <f aca="false">AD$30*INDEX(Precio_O,10)*INDEX(IdxPrecio_O,1,MIN(10,AD$17))*(1+P_dPrecio)</f>
        <v>0</v>
      </c>
      <c r="AE42" s="34" t="n">
        <f aca="false">AE$30*INDEX(Precio_O,10)*INDEX(IdxPrecio_O,1,MIN(10,AE$17))*(1+P_dPrecio)</f>
        <v>0</v>
      </c>
      <c r="AF42" s="34" t="n">
        <f aca="false">AF$30*INDEX(Precio_O,10)*INDEX(IdxPrecio_O,1,MIN(10,AF$17))*(1+P_dPrecio)</f>
        <v>0</v>
      </c>
      <c r="AG42" s="34" t="n">
        <f aca="false">AG$30*INDEX(Precio_O,10)*INDEX(IdxPrecio_O,1,MIN(10,AG$17))*(1+P_dPrecio)</f>
        <v>0</v>
      </c>
      <c r="AH42" s="34" t="n">
        <f aca="false">AH$30*INDEX(Precio_O,10)*INDEX(IdxPrecio_O,1,MIN(10,AH$17))*(1+P_dPrecio)</f>
        <v>0</v>
      </c>
      <c r="AI42" s="34" t="n">
        <f aca="false">AI$30*INDEX(Precio_O,10)*INDEX(IdxPrecio_O,1,MIN(10,AI$17))*(1+P_dPrecio)</f>
        <v>0</v>
      </c>
      <c r="AJ42" s="34" t="n">
        <f aca="false">AJ$30*INDEX(Precio_O,10)*INDEX(IdxPrecio_O,1,MIN(10,AJ$17))*(1+P_dPrecio)</f>
        <v>0</v>
      </c>
      <c r="AK42" s="34" t="n">
        <f aca="false">AK$30*INDEX(Precio_O,10)*INDEX(IdxPrecio_O,1,MIN(10,AK$17))*(1+P_dPrecio)</f>
        <v>0</v>
      </c>
      <c r="AL42" s="34" t="n">
        <f aca="false">AL$30*INDEX(Precio_O,10)*INDEX(IdxPrecio_O,1,MIN(10,AL$17))*(1+P_dPrecio)</f>
        <v>0</v>
      </c>
      <c r="AM42" s="34" t="n">
        <f aca="false">AM$30*INDEX(Precio_O,10)*INDEX(IdxPrecio_O,1,MIN(10,AM$17))*(1+P_dPrecio)</f>
        <v>0</v>
      </c>
      <c r="AN42" s="34" t="n">
        <f aca="false">AN$30*INDEX(Precio_O,10)*INDEX(IdxPrecio_O,1,MIN(10,AN$17))*(1+P_dPrecio)</f>
        <v>0</v>
      </c>
      <c r="AO42" s="34" t="n">
        <f aca="false">AO$30*INDEX(Precio_O,10)*INDEX(IdxPrecio_O,1,MIN(10,AO$17))*(1+P_dPrecio)</f>
        <v>0</v>
      </c>
      <c r="AP42" s="34" t="n">
        <f aca="false">AP$30*INDEX(Precio_O,10)*INDEX(IdxPrecio_O,1,MIN(10,AP$17))*(1+P_dPrecio)</f>
        <v>0</v>
      </c>
      <c r="AQ42" s="34" t="n">
        <f aca="false">AQ$30*INDEX(Precio_O,10)*INDEX(IdxPrecio_O,1,MIN(10,AQ$17))*(1+P_dPrecio)</f>
        <v>0</v>
      </c>
      <c r="AR42" s="34" t="n">
        <f aca="false">AR$30*INDEX(Precio_O,10)*INDEX(IdxPrecio_O,1,MIN(10,AR$17))*(1+P_dPrecio)</f>
        <v>0</v>
      </c>
      <c r="AS42" s="34" t="n">
        <f aca="false">AS$30*INDEX(Precio_O,10)*INDEX(IdxPrecio_O,1,MIN(10,AS$17))*(1+P_dPrecio)</f>
        <v>0</v>
      </c>
      <c r="AT42" s="34" t="n">
        <f aca="false">AT$30*INDEX(Precio_O,10)*INDEX(IdxPrecio_O,1,MIN(10,AT$17))*(1+P_dPrecio)</f>
        <v>0</v>
      </c>
      <c r="AU42" s="34" t="n">
        <f aca="false">AU$30*INDEX(Precio_O,10)*INDEX(IdxPrecio_O,1,MIN(10,AU$17))*(1+P_dPrecio)</f>
        <v>0</v>
      </c>
      <c r="AV42" s="34" t="n">
        <f aca="false">AV$30*INDEX(Precio_O,10)*INDEX(IdxPrecio_O,1,MIN(10,AV$17))*(1+P_dPrecio)</f>
        <v>0</v>
      </c>
      <c r="AW42" s="34" t="n">
        <f aca="false">AW$30*INDEX(Precio_O,10)*INDEX(IdxPrecio_O,1,MIN(10,AW$17))*(1+P_dPrecio)</f>
        <v>0</v>
      </c>
      <c r="AX42" s="34" t="n">
        <f aca="false">AX$30*INDEX(Precio_O,10)*INDEX(IdxPrecio_O,1,MIN(10,AX$17))*(1+P_dPrecio)</f>
        <v>0</v>
      </c>
      <c r="AY42" s="34" t="n">
        <f aca="false">AY$30*INDEX(Precio_O,10)*INDEX(IdxPrecio_O,1,MIN(10,AY$17))*(1+P_dPrecio)</f>
        <v>0</v>
      </c>
      <c r="AZ42" s="34" t="n">
        <f aca="false">AZ$30*INDEX(Precio_O,10)*INDEX(IdxPrecio_O,1,MIN(10,AZ$17))*(1+P_dPrecio)</f>
        <v>0</v>
      </c>
      <c r="BA42" s="34" t="n">
        <f aca="false">BA$30*INDEX(Precio_O,10)*INDEX(IdxPrecio_O,1,MIN(10,BA$17))*(1+P_dPrecio)</f>
        <v>0</v>
      </c>
      <c r="BB42" s="34" t="n">
        <f aca="false">BB$30*INDEX(Precio_O,10)*INDEX(IdxPrecio_O,1,MIN(10,BB$17))*(1+P_dPrecio)</f>
        <v>0</v>
      </c>
      <c r="BC42" s="34" t="n">
        <f aca="false">BC$30*INDEX(Precio_O,10)*INDEX(IdxPrecio_O,1,MIN(10,BC$17))*(1+P_dPrecio)</f>
        <v>0</v>
      </c>
      <c r="BD42" s="34" t="n">
        <f aca="false">BD$30*INDEX(Precio_O,10)*INDEX(IdxPrecio_O,1,MIN(10,BD$17))*(1+P_dPrecio)</f>
        <v>0</v>
      </c>
      <c r="BE42" s="34" t="n">
        <f aca="false">BE$30*INDEX(Precio_O,10)*INDEX(IdxPrecio_O,1,MIN(10,BE$17))*(1+P_dPrecio)</f>
        <v>0</v>
      </c>
      <c r="BF42" s="34" t="n">
        <f aca="false">BF$30*INDEX(Precio_O,10)*INDEX(IdxPrecio_O,1,MIN(10,BF$17))*(1+P_dPrecio)</f>
        <v>0</v>
      </c>
      <c r="BG42" s="34" t="n">
        <f aca="false">BG$30*INDEX(Precio_O,10)*INDEX(IdxPrecio_O,1,MIN(10,BG$17))*(1+P_dPrecio)</f>
        <v>0</v>
      </c>
      <c r="BH42" s="34" t="n">
        <f aca="false">BH$30*INDEX(Precio_O,10)*INDEX(IdxPrecio_O,1,MIN(10,BH$17))*(1+P_dPrecio)</f>
        <v>0</v>
      </c>
      <c r="BI42" s="34" t="n">
        <f aca="false">BI$30*INDEX(Precio_O,10)*INDEX(IdxPrecio_O,1,MIN(10,BI$17))*(1+P_dPrecio)</f>
        <v>0</v>
      </c>
      <c r="BJ42" s="34" t="n">
        <f aca="false">BJ$30*INDEX(Precio_O,10)*INDEX(IdxPrecio_O,1,MIN(10,BJ$17))*(1+P_dPrecio)</f>
        <v>0</v>
      </c>
      <c r="BK42" s="34" t="n">
        <f aca="false">BK$30*INDEX(Precio_O,10)*INDEX(IdxPrecio_O,1,MIN(10,BK$17))*(1+P_dPrecio)</f>
        <v>0</v>
      </c>
      <c r="BL42" s="34" t="n">
        <f aca="false">BL$30*INDEX(Precio_O,10)*INDEX(IdxPrecio_O,1,MIN(10,BL$17))*(1+P_dPrecio)</f>
        <v>0</v>
      </c>
      <c r="BM42" s="34" t="n">
        <f aca="false">BM$30*INDEX(Precio_O,10)*INDEX(IdxPrecio_O,1,MIN(10,BM$17))*(1+P_dPrecio)</f>
        <v>0</v>
      </c>
      <c r="BN42" s="34" t="n">
        <f aca="false">BN$30*INDEX(Precio_O,10)*INDEX(IdxPrecio_O,1,MIN(10,BN$17))*(1+P_dPrecio)</f>
        <v>0</v>
      </c>
      <c r="BO42" s="34" t="n">
        <f aca="false">BO$30*INDEX(Precio_O,10)*INDEX(IdxPrecio_O,1,MIN(10,BO$17))*(1+P_dPrecio)</f>
        <v>0</v>
      </c>
      <c r="BP42" s="34" t="n">
        <f aca="false">BP$30*INDEX(Precio_O,10)*INDEX(IdxPrecio_O,1,MIN(10,BP$17))*(1+P_dPrecio)</f>
        <v>0</v>
      </c>
      <c r="BQ42" s="34" t="n">
        <f aca="false">BQ$30*INDEX(Precio_O,10)*INDEX(IdxPrecio_O,1,MIN(10,BQ$17))*(1+P_dPrecio)</f>
        <v>0</v>
      </c>
      <c r="BR42" s="34" t="n">
        <f aca="false">BR$30*INDEX(Precio_O,10)*INDEX(IdxPrecio_O,1,MIN(10,BR$17))*(1+P_dPrecio)</f>
        <v>0</v>
      </c>
      <c r="BS42" s="34" t="n">
        <f aca="false">BS$30*INDEX(Precio_O,10)*INDEX(IdxPrecio_O,1,MIN(10,BS$17))*(1+P_dPrecio)</f>
        <v>0</v>
      </c>
      <c r="BT42" s="34" t="n">
        <f aca="false">BT$30*INDEX(Precio_O,10)*INDEX(IdxPrecio_O,1,MIN(10,BT$17))*(1+P_dPrecio)</f>
        <v>0</v>
      </c>
      <c r="BU42" s="34" t="n">
        <f aca="false">BU$30*INDEX(Precio_O,10)*INDEX(IdxPrecio_O,1,MIN(10,BU$17))*(1+P_dPrecio)</f>
        <v>0</v>
      </c>
      <c r="BV42" s="34" t="n">
        <f aca="false">BV$30*INDEX(Precio_O,10)*INDEX(IdxPrecio_O,1,MIN(10,BV$17))*(1+P_dPrecio)</f>
        <v>0</v>
      </c>
      <c r="BW42" s="34" t="n">
        <f aca="false">BW$30*INDEX(Precio_O,10)*INDEX(IdxPrecio_O,1,MIN(10,BW$17))*(1+P_dPrecio)</f>
        <v>0</v>
      </c>
      <c r="BX42" s="34" t="n">
        <f aca="false">BX$30*INDEX(Precio_O,10)*INDEX(IdxPrecio_O,1,MIN(10,BX$17))*(1+P_dPrecio)</f>
        <v>0</v>
      </c>
      <c r="BY42" s="34" t="n">
        <f aca="false">BY$30*INDEX(Precio_O,10)*INDEX(IdxPrecio_O,1,MIN(10,BY$17))*(1+P_dPrecio)</f>
        <v>0</v>
      </c>
      <c r="BZ42" s="34" t="n">
        <f aca="false">BZ$30*INDEX(Precio_O,10)*INDEX(IdxPrecio_O,1,MIN(10,BZ$17))*(1+P_dPrecio)</f>
        <v>0</v>
      </c>
      <c r="CA42" s="34" t="n">
        <f aca="false">CA$30*INDEX(Precio_O,10)*INDEX(IdxPrecio_O,1,MIN(10,CA$17))*(1+P_dPrecio)</f>
        <v>0</v>
      </c>
      <c r="CB42" s="34" t="n">
        <f aca="false">CB$30*INDEX(Precio_O,10)*INDEX(IdxPrecio_O,1,MIN(10,CB$17))*(1+P_dPrecio)</f>
        <v>0</v>
      </c>
      <c r="CC42" s="34" t="n">
        <f aca="false">CC$30*INDEX(Precio_O,10)*INDEX(IdxPrecio_O,1,MIN(10,CC$17))*(1+P_dPrecio)</f>
        <v>0</v>
      </c>
      <c r="CD42" s="34" t="n">
        <f aca="false">CD$30*INDEX(Precio_O,10)*INDEX(IdxPrecio_O,1,MIN(10,CD$17))*(1+P_dPrecio)</f>
        <v>0</v>
      </c>
      <c r="CE42" s="34" t="n">
        <f aca="false">CE$30*INDEX(Precio_O,10)*INDEX(IdxPrecio_O,1,MIN(10,CE$17))*(1+P_dPrecio)</f>
        <v>0</v>
      </c>
      <c r="CF42" s="34" t="n">
        <f aca="false">CF$30*INDEX(Precio_O,10)*INDEX(IdxPrecio_O,1,MIN(10,CF$17))*(1+P_dPrecio)</f>
        <v>0</v>
      </c>
      <c r="CG42" s="34" t="n">
        <f aca="false">CG$30*INDEX(Precio_O,10)*INDEX(IdxPrecio_O,1,MIN(10,CG$17))*(1+P_dPrecio)</f>
        <v>0</v>
      </c>
      <c r="CH42" s="34" t="n">
        <f aca="false">CH$30*INDEX(Precio_O,10)*INDEX(IdxPrecio_O,1,MIN(10,CH$17))*(1+P_dPrecio)</f>
        <v>0</v>
      </c>
      <c r="CI42" s="34" t="n">
        <f aca="false">CI$30*INDEX(Precio_O,10)*INDEX(IdxPrecio_O,1,MIN(10,CI$17))*(1+P_dPrecio)</f>
        <v>0</v>
      </c>
      <c r="CJ42" s="34" t="n">
        <f aca="false">CJ$30*INDEX(Precio_O,10)*INDEX(IdxPrecio_O,1,MIN(10,CJ$17))*(1+P_dPrecio)</f>
        <v>0</v>
      </c>
      <c r="CK42" s="34" t="n">
        <f aca="false">CK$30*INDEX(Precio_O,10)*INDEX(IdxPrecio_O,1,MIN(10,CK$17))*(1+P_dPrecio)</f>
        <v>0</v>
      </c>
      <c r="CL42" s="34" t="n">
        <f aca="false">CL$30*INDEX(Precio_O,10)*INDEX(IdxPrecio_O,1,MIN(10,CL$17))*(1+P_dPrecio)</f>
        <v>0</v>
      </c>
      <c r="CM42" s="34" t="n">
        <f aca="false">CM$30*INDEX(Precio_O,10)*INDEX(IdxPrecio_O,1,MIN(10,CM$17))*(1+P_dPrecio)</f>
        <v>0</v>
      </c>
      <c r="CN42" s="34" t="n">
        <f aca="false">CN$30*INDEX(Precio_O,10)*INDEX(IdxPrecio_O,1,MIN(10,CN$17))*(1+P_dPrecio)</f>
        <v>0</v>
      </c>
      <c r="CO42" s="34" t="n">
        <f aca="false">CO$30*INDEX(Precio_O,10)*INDEX(IdxPrecio_O,1,MIN(10,CO$17))*(1+P_dPrecio)</f>
        <v>0</v>
      </c>
      <c r="CP42" s="34" t="n">
        <f aca="false">CP$30*INDEX(Precio_O,10)*INDEX(IdxPrecio_O,1,MIN(10,CP$17))*(1+P_dPrecio)</f>
        <v>0</v>
      </c>
      <c r="CQ42" s="34" t="n">
        <f aca="false">CQ$30*INDEX(Precio_O,10)*INDEX(IdxPrecio_O,1,MIN(10,CQ$17))*(1+P_dPrecio)</f>
        <v>0</v>
      </c>
      <c r="CR42" s="34" t="n">
        <f aca="false">CR$30*INDEX(Precio_O,10)*INDEX(IdxPrecio_O,1,MIN(10,CR$17))*(1+P_dPrecio)</f>
        <v>0</v>
      </c>
      <c r="CS42" s="34" t="n">
        <f aca="false">CS$30*INDEX(Precio_O,10)*INDEX(IdxPrecio_O,1,MIN(10,CS$17))*(1+P_dPrecio)</f>
        <v>0</v>
      </c>
      <c r="CT42" s="34" t="n">
        <f aca="false">CT$30*INDEX(Precio_O,10)*INDEX(IdxPrecio_O,1,MIN(10,CT$17))*(1+P_dPrecio)</f>
        <v>0</v>
      </c>
      <c r="CU42" s="34" t="n">
        <f aca="false">CU$30*INDEX(Precio_O,10)*INDEX(IdxPrecio_O,1,MIN(10,CU$17))*(1+P_dPrecio)</f>
        <v>0</v>
      </c>
      <c r="CV42" s="34" t="n">
        <f aca="false">CV$30*INDEX(Precio_O,10)*INDEX(IdxPrecio_O,1,MIN(10,CV$17))*(1+P_dPrecio)</f>
        <v>0</v>
      </c>
      <c r="CW42" s="34" t="n">
        <f aca="false">CW$30*INDEX(Precio_O,10)*INDEX(IdxPrecio_O,1,MIN(10,CW$17))*(1+P_dPrecio)</f>
        <v>0</v>
      </c>
      <c r="CX42" s="34" t="n">
        <f aca="false">CX$30*INDEX(Precio_O,10)*INDEX(IdxPrecio_O,1,MIN(10,CX$17))*(1+P_dPrecio)</f>
        <v>0</v>
      </c>
      <c r="CY42" s="34" t="n">
        <f aca="false">CY$30*INDEX(Precio_O,10)*INDEX(IdxPrecio_O,1,MIN(10,CY$17))*(1+P_dPrecio)</f>
        <v>0</v>
      </c>
      <c r="CZ42" s="34" t="n">
        <f aca="false">CZ$30*INDEX(Precio_O,10)*INDEX(IdxPrecio_O,1,MIN(10,CZ$17))*(1+P_dPrecio)</f>
        <v>0</v>
      </c>
      <c r="DA42" s="34" t="n">
        <f aca="false">DA$30*INDEX(Precio_O,10)*INDEX(IdxPrecio_O,1,MIN(10,DA$17))*(1+P_dPrecio)</f>
        <v>0</v>
      </c>
      <c r="DB42" s="34" t="n">
        <f aca="false">DB$30*INDEX(Precio_O,10)*INDEX(IdxPrecio_O,1,MIN(10,DB$17))*(1+P_dPrecio)</f>
        <v>0</v>
      </c>
      <c r="DC42" s="34" t="n">
        <f aca="false">DC$30*INDEX(Precio_O,10)*INDEX(IdxPrecio_O,1,MIN(10,DC$17))*(1+P_dPrecio)</f>
        <v>0</v>
      </c>
      <c r="DD42" s="34" t="n">
        <f aca="false">DD$30*INDEX(Precio_O,10)*INDEX(IdxPrecio_O,1,MIN(10,DD$17))*(1+P_dPrecio)</f>
        <v>0</v>
      </c>
      <c r="DE42" s="34" t="n">
        <f aca="false">DE$30*INDEX(Precio_O,10)*INDEX(IdxPrecio_O,1,MIN(10,DE$17))*(1+P_dPrecio)</f>
        <v>0</v>
      </c>
      <c r="DF42" s="34" t="n">
        <f aca="false">DF$30*INDEX(Precio_O,10)*INDEX(IdxPrecio_O,1,MIN(10,DF$17))*(1+P_dPrecio)</f>
        <v>0</v>
      </c>
      <c r="DG42" s="34" t="n">
        <f aca="false">DG$30*INDEX(Precio_O,10)*INDEX(IdxPrecio_O,1,MIN(10,DG$17))*(1+P_dPrecio)</f>
        <v>0</v>
      </c>
      <c r="DH42" s="34" t="n">
        <f aca="false">DH$30*INDEX(Precio_O,10)*INDEX(IdxPrecio_O,1,MIN(10,DH$17))*(1+P_dPrecio)</f>
        <v>0</v>
      </c>
      <c r="DI42" s="34" t="n">
        <f aca="false">DI$30*INDEX(Precio_O,10)*INDEX(IdxPrecio_O,1,MIN(10,DI$17))*(1+P_dPrecio)</f>
        <v>0</v>
      </c>
      <c r="DJ42" s="34" t="n">
        <f aca="false">DJ$30*INDEX(Precio_O,10)*INDEX(IdxPrecio_O,1,MIN(10,DJ$17))*(1+P_dPrecio)</f>
        <v>0</v>
      </c>
      <c r="DK42" s="34" t="n">
        <f aca="false">DK$30*INDEX(Precio_O,10)*INDEX(IdxPrecio_O,1,MIN(10,DK$17))*(1+P_dPrecio)</f>
        <v>0</v>
      </c>
      <c r="DL42" s="34" t="n">
        <f aca="false">DL$30*INDEX(Precio_O,10)*INDEX(IdxPrecio_O,1,MIN(10,DL$17))*(1+P_dPrecio)</f>
        <v>0</v>
      </c>
      <c r="DM42" s="34" t="n">
        <f aca="false">DM$30*INDEX(Precio_O,10)*INDEX(IdxPrecio_O,1,MIN(10,DM$17))*(1+P_dPrecio)</f>
        <v>0</v>
      </c>
      <c r="DN42" s="34" t="n">
        <f aca="false">DN$30*INDEX(Precio_O,10)*INDEX(IdxPrecio_O,1,MIN(10,DN$17))*(1+P_dPrecio)</f>
        <v>0</v>
      </c>
      <c r="DO42" s="34" t="n">
        <f aca="false">DO$30*INDEX(Precio_O,10)*INDEX(IdxPrecio_O,1,MIN(10,DO$17))*(1+P_dPrecio)</f>
        <v>0</v>
      </c>
      <c r="DP42" s="34" t="n">
        <f aca="false">DP$30*INDEX(Precio_O,10)*INDEX(IdxPrecio_O,1,MIN(10,DP$17))*(1+P_dPrecio)</f>
        <v>0</v>
      </c>
      <c r="DQ42" s="34" t="n">
        <f aca="false">DQ$30*INDEX(Precio_O,10)*INDEX(IdxPrecio_O,1,MIN(10,DQ$17))*(1+P_dPrecio)</f>
        <v>0</v>
      </c>
      <c r="DR42" s="34" t="n">
        <f aca="false">DR$30*INDEX(Precio_O,10)*INDEX(IdxPrecio_O,1,MIN(10,DR$17))*(1+P_dPrecio)</f>
        <v>0</v>
      </c>
      <c r="DS42" s="34" t="n">
        <f aca="false">DS$30*INDEX(Precio_O,10)*INDEX(IdxPrecio_O,1,MIN(10,DS$17))*(1+P_dPrecio)</f>
        <v>0</v>
      </c>
      <c r="DT42" s="34" t="n">
        <f aca="false">DT$30*INDEX(Precio_O,10)*INDEX(IdxPrecio_O,1,MIN(10,DT$17))*(1+P_dPrecio)</f>
        <v>0</v>
      </c>
      <c r="DU42" s="34" t="n">
        <f aca="false">DU$30*INDEX(Precio_O,10)*INDEX(IdxPrecio_O,1,MIN(10,DU$17))*(1+P_dPrecio)</f>
        <v>0</v>
      </c>
      <c r="DV42" s="34" t="n">
        <f aca="false">DV$30*INDEX(Precio_O,10)*INDEX(IdxPrecio_O,1,MIN(10,DV$17))*(1+P_dPrecio)</f>
        <v>0</v>
      </c>
      <c r="DW42" s="34" t="n">
        <f aca="false">DW$30*INDEX(Precio_O,10)*INDEX(IdxPrecio_O,1,MIN(10,DW$17))*(1+P_dPrecio)</f>
        <v>0</v>
      </c>
      <c r="DX42" s="34" t="n">
        <f aca="false">DX$30*INDEX(Precio_O,10)*INDEX(IdxPrecio_O,1,MIN(10,DX$17))*(1+P_dPrecio)</f>
        <v>0</v>
      </c>
      <c r="DY42" s="34" t="n">
        <f aca="false">DY$30*INDEX(Precio_O,10)*INDEX(IdxPrecio_O,1,MIN(10,DY$17))*(1+P_dPrecio)</f>
        <v>0</v>
      </c>
      <c r="DZ42" s="34" t="n">
        <f aca="false">DZ$30*INDEX(Precio_O,10)*INDEX(IdxPrecio_O,1,MIN(10,DZ$17))*(1+P_dPrecio)</f>
        <v>0</v>
      </c>
      <c r="EA42" s="34" t="n">
        <f aca="false">EA$30*INDEX(Precio_O,10)*INDEX(IdxPrecio_O,1,MIN(10,EA$17))*(1+P_dPrecio)</f>
        <v>0</v>
      </c>
      <c r="EB42" s="34" t="n">
        <f aca="false">EB$30*INDEX(Precio_O,10)*INDEX(IdxPrecio_O,1,MIN(10,EB$17))*(1+P_dPrecio)</f>
        <v>0</v>
      </c>
      <c r="EC42" s="34" t="n">
        <f aca="false">EC$30*INDEX(Precio_O,10)*INDEX(IdxPrecio_O,1,MIN(10,EC$17))*(1+P_dPrecio)</f>
        <v>0</v>
      </c>
      <c r="ED42" s="34" t="n">
        <f aca="false">ED$30*INDEX(Precio_O,10)*INDEX(IdxPrecio_O,1,MIN(10,ED$17))*(1+P_dPrecio)</f>
        <v>0</v>
      </c>
      <c r="EE42" s="34" t="n">
        <f aca="false">EE$30*INDEX(Precio_O,10)*INDEX(IdxPrecio_O,1,MIN(10,EE$17))*(1+P_dPrecio)</f>
        <v>0</v>
      </c>
      <c r="EF42" s="34" t="n">
        <f aca="false">EF$30*INDEX(Precio_O,10)*INDEX(IdxPrecio_O,1,MIN(10,EF$17))*(1+P_dPrecio)</f>
        <v>0</v>
      </c>
      <c r="EG42" s="34" t="n">
        <f aca="false">EG$30*INDEX(Precio_O,10)*INDEX(IdxPrecio_O,1,MIN(10,EG$17))*(1+P_dPrecio)</f>
        <v>0</v>
      </c>
      <c r="EH42" s="34" t="n">
        <f aca="false">EH$30*INDEX(Precio_O,10)*INDEX(IdxPrecio_O,1,MIN(10,EH$17))*(1+P_dPrecio)</f>
        <v>0</v>
      </c>
      <c r="EI42" s="34" t="n">
        <f aca="false">EI$30*INDEX(Precio_O,10)*INDEX(IdxPrecio_O,1,MIN(10,EI$17))*(1+P_dPrecio)</f>
        <v>0</v>
      </c>
      <c r="EJ42" s="34" t="n">
        <f aca="false">EJ$30*INDEX(Precio_O,10)*INDEX(IdxPrecio_O,1,MIN(10,EJ$17))*(1+P_dPrecio)</f>
        <v>0</v>
      </c>
      <c r="EK42" s="34" t="n">
        <f aca="false">EK$30*INDEX(Precio_O,10)*INDEX(IdxPrecio_O,1,MIN(10,EK$17))*(1+P_dPrecio)</f>
        <v>0</v>
      </c>
      <c r="EL42" s="34" t="n">
        <f aca="false">EL$30*INDEX(Precio_O,10)*INDEX(IdxPrecio_O,1,MIN(10,EL$17))*(1+P_dPrecio)</f>
        <v>0</v>
      </c>
      <c r="EM42" s="34" t="n">
        <f aca="false">EM$30*INDEX(Precio_O,10)*INDEX(IdxPrecio_O,1,MIN(10,EM$17))*(1+P_dPrecio)</f>
        <v>0</v>
      </c>
      <c r="EN42" s="34" t="n">
        <f aca="false">EN$30*INDEX(Precio_O,10)*INDEX(IdxPrecio_O,1,MIN(10,EN$17))*(1+P_dPrecio)</f>
        <v>0</v>
      </c>
      <c r="EO42" s="34" t="n">
        <f aca="false">EO$30*INDEX(Precio_O,10)*INDEX(IdxPrecio_O,1,MIN(10,EO$17))*(1+P_dPrecio)</f>
        <v>0</v>
      </c>
      <c r="EP42" s="34" t="n">
        <f aca="false">EP$30*INDEX(Precio_O,10)*INDEX(IdxPrecio_O,1,MIN(10,EP$17))*(1+P_dPrecio)</f>
        <v>0</v>
      </c>
      <c r="EQ42" s="34" t="n">
        <f aca="false">EQ$30*INDEX(Precio_O,10)*INDEX(IdxPrecio_O,1,MIN(10,EQ$17))*(1+P_dPrecio)</f>
        <v>0</v>
      </c>
      <c r="ER42" s="34" t="n">
        <f aca="false">ER$30*INDEX(Precio_O,10)*INDEX(IdxPrecio_O,1,MIN(10,ER$17))*(1+P_dPrecio)</f>
        <v>0</v>
      </c>
      <c r="ES42" s="34" t="n">
        <f aca="false">ES$30*INDEX(Precio_O,10)*INDEX(IdxPrecio_O,1,MIN(10,ES$17))*(1+P_dPrecio)</f>
        <v>0</v>
      </c>
    </row>
    <row r="43" customFormat="false" ht="15" hidden="false" customHeight="false" outlineLevel="0" collapsed="false">
      <c r="A43" s="2" t="s">
        <v>580</v>
      </c>
      <c r="B43" s="39" t="str">
        <f aca="false">IF(INDEX(Prod_Nombre,11)="","Producto 11",INDEX(Prod_Nombre,11))&amp;" — ventas USD"</f>
        <v>Producto 11 — ventas USD</v>
      </c>
      <c r="C43" s="6" t="s">
        <v>250</v>
      </c>
      <c r="E43" s="40" t="n">
        <f aca="false">SUM(F43:ES43)</f>
        <v>0</v>
      </c>
      <c r="F43" s="34" t="n">
        <f aca="false">F$31*INDEX(Precio_O,11)*INDEX(IdxPrecio_O,1,MIN(10,F$17))*(1+P_dPrecio)</f>
        <v>0</v>
      </c>
      <c r="G43" s="34" t="n">
        <f aca="false">G$31*INDEX(Precio_O,11)*INDEX(IdxPrecio_O,1,MIN(10,G$17))*(1+P_dPrecio)</f>
        <v>0</v>
      </c>
      <c r="H43" s="34" t="n">
        <f aca="false">H$31*INDEX(Precio_O,11)*INDEX(IdxPrecio_O,1,MIN(10,H$17))*(1+P_dPrecio)</f>
        <v>0</v>
      </c>
      <c r="I43" s="34" t="n">
        <f aca="false">I$31*INDEX(Precio_O,11)*INDEX(IdxPrecio_O,1,MIN(10,I$17))*(1+P_dPrecio)</f>
        <v>0</v>
      </c>
      <c r="J43" s="34" t="n">
        <f aca="false">J$31*INDEX(Precio_O,11)*INDEX(IdxPrecio_O,1,MIN(10,J$17))*(1+P_dPrecio)</f>
        <v>0</v>
      </c>
      <c r="K43" s="34" t="n">
        <f aca="false">K$31*INDEX(Precio_O,11)*INDEX(IdxPrecio_O,1,MIN(10,K$17))*(1+P_dPrecio)</f>
        <v>0</v>
      </c>
      <c r="L43" s="34" t="n">
        <f aca="false">L$31*INDEX(Precio_O,11)*INDEX(IdxPrecio_O,1,MIN(10,L$17))*(1+P_dPrecio)</f>
        <v>0</v>
      </c>
      <c r="M43" s="34" t="n">
        <f aca="false">M$31*INDEX(Precio_O,11)*INDEX(IdxPrecio_O,1,MIN(10,M$17))*(1+P_dPrecio)</f>
        <v>0</v>
      </c>
      <c r="N43" s="34" t="n">
        <f aca="false">N$31*INDEX(Precio_O,11)*INDEX(IdxPrecio_O,1,MIN(10,N$17))*(1+P_dPrecio)</f>
        <v>0</v>
      </c>
      <c r="O43" s="34" t="n">
        <f aca="false">O$31*INDEX(Precio_O,11)*INDEX(IdxPrecio_O,1,MIN(10,O$17))*(1+P_dPrecio)</f>
        <v>0</v>
      </c>
      <c r="P43" s="34" t="n">
        <f aca="false">P$31*INDEX(Precio_O,11)*INDEX(IdxPrecio_O,1,MIN(10,P$17))*(1+P_dPrecio)</f>
        <v>0</v>
      </c>
      <c r="Q43" s="34" t="n">
        <f aca="false">Q$31*INDEX(Precio_O,11)*INDEX(IdxPrecio_O,1,MIN(10,Q$17))*(1+P_dPrecio)</f>
        <v>0</v>
      </c>
      <c r="R43" s="34" t="n">
        <f aca="false">R$31*INDEX(Precio_O,11)*INDEX(IdxPrecio_O,1,MIN(10,R$17))*(1+P_dPrecio)</f>
        <v>0</v>
      </c>
      <c r="S43" s="34" t="n">
        <f aca="false">S$31*INDEX(Precio_O,11)*INDEX(IdxPrecio_O,1,MIN(10,S$17))*(1+P_dPrecio)</f>
        <v>0</v>
      </c>
      <c r="T43" s="34" t="n">
        <f aca="false">T$31*INDEX(Precio_O,11)*INDEX(IdxPrecio_O,1,MIN(10,T$17))*(1+P_dPrecio)</f>
        <v>0</v>
      </c>
      <c r="U43" s="34" t="n">
        <f aca="false">U$31*INDEX(Precio_O,11)*INDEX(IdxPrecio_O,1,MIN(10,U$17))*(1+P_dPrecio)</f>
        <v>0</v>
      </c>
      <c r="V43" s="34" t="n">
        <f aca="false">V$31*INDEX(Precio_O,11)*INDEX(IdxPrecio_O,1,MIN(10,V$17))*(1+P_dPrecio)</f>
        <v>0</v>
      </c>
      <c r="W43" s="34" t="n">
        <f aca="false">W$31*INDEX(Precio_O,11)*INDEX(IdxPrecio_O,1,MIN(10,W$17))*(1+P_dPrecio)</f>
        <v>0</v>
      </c>
      <c r="X43" s="34" t="n">
        <f aca="false">X$31*INDEX(Precio_O,11)*INDEX(IdxPrecio_O,1,MIN(10,X$17))*(1+P_dPrecio)</f>
        <v>0</v>
      </c>
      <c r="Y43" s="34" t="n">
        <f aca="false">Y$31*INDEX(Precio_O,11)*INDEX(IdxPrecio_O,1,MIN(10,Y$17))*(1+P_dPrecio)</f>
        <v>0</v>
      </c>
      <c r="Z43" s="34" t="n">
        <f aca="false">Z$31*INDEX(Precio_O,11)*INDEX(IdxPrecio_O,1,MIN(10,Z$17))*(1+P_dPrecio)</f>
        <v>0</v>
      </c>
      <c r="AA43" s="34" t="n">
        <f aca="false">AA$31*INDEX(Precio_O,11)*INDEX(IdxPrecio_O,1,MIN(10,AA$17))*(1+P_dPrecio)</f>
        <v>0</v>
      </c>
      <c r="AB43" s="34" t="n">
        <f aca="false">AB$31*INDEX(Precio_O,11)*INDEX(IdxPrecio_O,1,MIN(10,AB$17))*(1+P_dPrecio)</f>
        <v>0</v>
      </c>
      <c r="AC43" s="34" t="n">
        <f aca="false">AC$31*INDEX(Precio_O,11)*INDEX(IdxPrecio_O,1,MIN(10,AC$17))*(1+P_dPrecio)</f>
        <v>0</v>
      </c>
      <c r="AD43" s="34" t="n">
        <f aca="false">AD$31*INDEX(Precio_O,11)*INDEX(IdxPrecio_O,1,MIN(10,AD$17))*(1+P_dPrecio)</f>
        <v>0</v>
      </c>
      <c r="AE43" s="34" t="n">
        <f aca="false">AE$31*INDEX(Precio_O,11)*INDEX(IdxPrecio_O,1,MIN(10,AE$17))*(1+P_dPrecio)</f>
        <v>0</v>
      </c>
      <c r="AF43" s="34" t="n">
        <f aca="false">AF$31*INDEX(Precio_O,11)*INDEX(IdxPrecio_O,1,MIN(10,AF$17))*(1+P_dPrecio)</f>
        <v>0</v>
      </c>
      <c r="AG43" s="34" t="n">
        <f aca="false">AG$31*INDEX(Precio_O,11)*INDEX(IdxPrecio_O,1,MIN(10,AG$17))*(1+P_dPrecio)</f>
        <v>0</v>
      </c>
      <c r="AH43" s="34" t="n">
        <f aca="false">AH$31*INDEX(Precio_O,11)*INDEX(IdxPrecio_O,1,MIN(10,AH$17))*(1+P_dPrecio)</f>
        <v>0</v>
      </c>
      <c r="AI43" s="34" t="n">
        <f aca="false">AI$31*INDEX(Precio_O,11)*INDEX(IdxPrecio_O,1,MIN(10,AI$17))*(1+P_dPrecio)</f>
        <v>0</v>
      </c>
      <c r="AJ43" s="34" t="n">
        <f aca="false">AJ$31*INDEX(Precio_O,11)*INDEX(IdxPrecio_O,1,MIN(10,AJ$17))*(1+P_dPrecio)</f>
        <v>0</v>
      </c>
      <c r="AK43" s="34" t="n">
        <f aca="false">AK$31*INDEX(Precio_O,11)*INDEX(IdxPrecio_O,1,MIN(10,AK$17))*(1+P_dPrecio)</f>
        <v>0</v>
      </c>
      <c r="AL43" s="34" t="n">
        <f aca="false">AL$31*INDEX(Precio_O,11)*INDEX(IdxPrecio_O,1,MIN(10,AL$17))*(1+P_dPrecio)</f>
        <v>0</v>
      </c>
      <c r="AM43" s="34" t="n">
        <f aca="false">AM$31*INDEX(Precio_O,11)*INDEX(IdxPrecio_O,1,MIN(10,AM$17))*(1+P_dPrecio)</f>
        <v>0</v>
      </c>
      <c r="AN43" s="34" t="n">
        <f aca="false">AN$31*INDEX(Precio_O,11)*INDEX(IdxPrecio_O,1,MIN(10,AN$17))*(1+P_dPrecio)</f>
        <v>0</v>
      </c>
      <c r="AO43" s="34" t="n">
        <f aca="false">AO$31*INDEX(Precio_O,11)*INDEX(IdxPrecio_O,1,MIN(10,AO$17))*(1+P_dPrecio)</f>
        <v>0</v>
      </c>
      <c r="AP43" s="34" t="n">
        <f aca="false">AP$31*INDEX(Precio_O,11)*INDEX(IdxPrecio_O,1,MIN(10,AP$17))*(1+P_dPrecio)</f>
        <v>0</v>
      </c>
      <c r="AQ43" s="34" t="n">
        <f aca="false">AQ$31*INDEX(Precio_O,11)*INDEX(IdxPrecio_O,1,MIN(10,AQ$17))*(1+P_dPrecio)</f>
        <v>0</v>
      </c>
      <c r="AR43" s="34" t="n">
        <f aca="false">AR$31*INDEX(Precio_O,11)*INDEX(IdxPrecio_O,1,MIN(10,AR$17))*(1+P_dPrecio)</f>
        <v>0</v>
      </c>
      <c r="AS43" s="34" t="n">
        <f aca="false">AS$31*INDEX(Precio_O,11)*INDEX(IdxPrecio_O,1,MIN(10,AS$17))*(1+P_dPrecio)</f>
        <v>0</v>
      </c>
      <c r="AT43" s="34" t="n">
        <f aca="false">AT$31*INDEX(Precio_O,11)*INDEX(IdxPrecio_O,1,MIN(10,AT$17))*(1+P_dPrecio)</f>
        <v>0</v>
      </c>
      <c r="AU43" s="34" t="n">
        <f aca="false">AU$31*INDEX(Precio_O,11)*INDEX(IdxPrecio_O,1,MIN(10,AU$17))*(1+P_dPrecio)</f>
        <v>0</v>
      </c>
      <c r="AV43" s="34" t="n">
        <f aca="false">AV$31*INDEX(Precio_O,11)*INDEX(IdxPrecio_O,1,MIN(10,AV$17))*(1+P_dPrecio)</f>
        <v>0</v>
      </c>
      <c r="AW43" s="34" t="n">
        <f aca="false">AW$31*INDEX(Precio_O,11)*INDEX(IdxPrecio_O,1,MIN(10,AW$17))*(1+P_dPrecio)</f>
        <v>0</v>
      </c>
      <c r="AX43" s="34" t="n">
        <f aca="false">AX$31*INDEX(Precio_O,11)*INDEX(IdxPrecio_O,1,MIN(10,AX$17))*(1+P_dPrecio)</f>
        <v>0</v>
      </c>
      <c r="AY43" s="34" t="n">
        <f aca="false">AY$31*INDEX(Precio_O,11)*INDEX(IdxPrecio_O,1,MIN(10,AY$17))*(1+P_dPrecio)</f>
        <v>0</v>
      </c>
      <c r="AZ43" s="34" t="n">
        <f aca="false">AZ$31*INDEX(Precio_O,11)*INDEX(IdxPrecio_O,1,MIN(10,AZ$17))*(1+P_dPrecio)</f>
        <v>0</v>
      </c>
      <c r="BA43" s="34" t="n">
        <f aca="false">BA$31*INDEX(Precio_O,11)*INDEX(IdxPrecio_O,1,MIN(10,BA$17))*(1+P_dPrecio)</f>
        <v>0</v>
      </c>
      <c r="BB43" s="34" t="n">
        <f aca="false">BB$31*INDEX(Precio_O,11)*INDEX(IdxPrecio_O,1,MIN(10,BB$17))*(1+P_dPrecio)</f>
        <v>0</v>
      </c>
      <c r="BC43" s="34" t="n">
        <f aca="false">BC$31*INDEX(Precio_O,11)*INDEX(IdxPrecio_O,1,MIN(10,BC$17))*(1+P_dPrecio)</f>
        <v>0</v>
      </c>
      <c r="BD43" s="34" t="n">
        <f aca="false">BD$31*INDEX(Precio_O,11)*INDEX(IdxPrecio_O,1,MIN(10,BD$17))*(1+P_dPrecio)</f>
        <v>0</v>
      </c>
      <c r="BE43" s="34" t="n">
        <f aca="false">BE$31*INDEX(Precio_O,11)*INDEX(IdxPrecio_O,1,MIN(10,BE$17))*(1+P_dPrecio)</f>
        <v>0</v>
      </c>
      <c r="BF43" s="34" t="n">
        <f aca="false">BF$31*INDEX(Precio_O,11)*INDEX(IdxPrecio_O,1,MIN(10,BF$17))*(1+P_dPrecio)</f>
        <v>0</v>
      </c>
      <c r="BG43" s="34" t="n">
        <f aca="false">BG$31*INDEX(Precio_O,11)*INDEX(IdxPrecio_O,1,MIN(10,BG$17))*(1+P_dPrecio)</f>
        <v>0</v>
      </c>
      <c r="BH43" s="34" t="n">
        <f aca="false">BH$31*INDEX(Precio_O,11)*INDEX(IdxPrecio_O,1,MIN(10,BH$17))*(1+P_dPrecio)</f>
        <v>0</v>
      </c>
      <c r="BI43" s="34" t="n">
        <f aca="false">BI$31*INDEX(Precio_O,11)*INDEX(IdxPrecio_O,1,MIN(10,BI$17))*(1+P_dPrecio)</f>
        <v>0</v>
      </c>
      <c r="BJ43" s="34" t="n">
        <f aca="false">BJ$31*INDEX(Precio_O,11)*INDEX(IdxPrecio_O,1,MIN(10,BJ$17))*(1+P_dPrecio)</f>
        <v>0</v>
      </c>
      <c r="BK43" s="34" t="n">
        <f aca="false">BK$31*INDEX(Precio_O,11)*INDEX(IdxPrecio_O,1,MIN(10,BK$17))*(1+P_dPrecio)</f>
        <v>0</v>
      </c>
      <c r="BL43" s="34" t="n">
        <f aca="false">BL$31*INDEX(Precio_O,11)*INDEX(IdxPrecio_O,1,MIN(10,BL$17))*(1+P_dPrecio)</f>
        <v>0</v>
      </c>
      <c r="BM43" s="34" t="n">
        <f aca="false">BM$31*INDEX(Precio_O,11)*INDEX(IdxPrecio_O,1,MIN(10,BM$17))*(1+P_dPrecio)</f>
        <v>0</v>
      </c>
      <c r="BN43" s="34" t="n">
        <f aca="false">BN$31*INDEX(Precio_O,11)*INDEX(IdxPrecio_O,1,MIN(10,BN$17))*(1+P_dPrecio)</f>
        <v>0</v>
      </c>
      <c r="BO43" s="34" t="n">
        <f aca="false">BO$31*INDEX(Precio_O,11)*INDEX(IdxPrecio_O,1,MIN(10,BO$17))*(1+P_dPrecio)</f>
        <v>0</v>
      </c>
      <c r="BP43" s="34" t="n">
        <f aca="false">BP$31*INDEX(Precio_O,11)*INDEX(IdxPrecio_O,1,MIN(10,BP$17))*(1+P_dPrecio)</f>
        <v>0</v>
      </c>
      <c r="BQ43" s="34" t="n">
        <f aca="false">BQ$31*INDEX(Precio_O,11)*INDEX(IdxPrecio_O,1,MIN(10,BQ$17))*(1+P_dPrecio)</f>
        <v>0</v>
      </c>
      <c r="BR43" s="34" t="n">
        <f aca="false">BR$31*INDEX(Precio_O,11)*INDEX(IdxPrecio_O,1,MIN(10,BR$17))*(1+P_dPrecio)</f>
        <v>0</v>
      </c>
      <c r="BS43" s="34" t="n">
        <f aca="false">BS$31*INDEX(Precio_O,11)*INDEX(IdxPrecio_O,1,MIN(10,BS$17))*(1+P_dPrecio)</f>
        <v>0</v>
      </c>
      <c r="BT43" s="34" t="n">
        <f aca="false">BT$31*INDEX(Precio_O,11)*INDEX(IdxPrecio_O,1,MIN(10,BT$17))*(1+P_dPrecio)</f>
        <v>0</v>
      </c>
      <c r="BU43" s="34" t="n">
        <f aca="false">BU$31*INDEX(Precio_O,11)*INDEX(IdxPrecio_O,1,MIN(10,BU$17))*(1+P_dPrecio)</f>
        <v>0</v>
      </c>
      <c r="BV43" s="34" t="n">
        <f aca="false">BV$31*INDEX(Precio_O,11)*INDEX(IdxPrecio_O,1,MIN(10,BV$17))*(1+P_dPrecio)</f>
        <v>0</v>
      </c>
      <c r="BW43" s="34" t="n">
        <f aca="false">BW$31*INDEX(Precio_O,11)*INDEX(IdxPrecio_O,1,MIN(10,BW$17))*(1+P_dPrecio)</f>
        <v>0</v>
      </c>
      <c r="BX43" s="34" t="n">
        <f aca="false">BX$31*INDEX(Precio_O,11)*INDEX(IdxPrecio_O,1,MIN(10,BX$17))*(1+P_dPrecio)</f>
        <v>0</v>
      </c>
      <c r="BY43" s="34" t="n">
        <f aca="false">BY$31*INDEX(Precio_O,11)*INDEX(IdxPrecio_O,1,MIN(10,BY$17))*(1+P_dPrecio)</f>
        <v>0</v>
      </c>
      <c r="BZ43" s="34" t="n">
        <f aca="false">BZ$31*INDEX(Precio_O,11)*INDEX(IdxPrecio_O,1,MIN(10,BZ$17))*(1+P_dPrecio)</f>
        <v>0</v>
      </c>
      <c r="CA43" s="34" t="n">
        <f aca="false">CA$31*INDEX(Precio_O,11)*INDEX(IdxPrecio_O,1,MIN(10,CA$17))*(1+P_dPrecio)</f>
        <v>0</v>
      </c>
      <c r="CB43" s="34" t="n">
        <f aca="false">CB$31*INDEX(Precio_O,11)*INDEX(IdxPrecio_O,1,MIN(10,CB$17))*(1+P_dPrecio)</f>
        <v>0</v>
      </c>
      <c r="CC43" s="34" t="n">
        <f aca="false">CC$31*INDEX(Precio_O,11)*INDEX(IdxPrecio_O,1,MIN(10,CC$17))*(1+P_dPrecio)</f>
        <v>0</v>
      </c>
      <c r="CD43" s="34" t="n">
        <f aca="false">CD$31*INDEX(Precio_O,11)*INDEX(IdxPrecio_O,1,MIN(10,CD$17))*(1+P_dPrecio)</f>
        <v>0</v>
      </c>
      <c r="CE43" s="34" t="n">
        <f aca="false">CE$31*INDEX(Precio_O,11)*INDEX(IdxPrecio_O,1,MIN(10,CE$17))*(1+P_dPrecio)</f>
        <v>0</v>
      </c>
      <c r="CF43" s="34" t="n">
        <f aca="false">CF$31*INDEX(Precio_O,11)*INDEX(IdxPrecio_O,1,MIN(10,CF$17))*(1+P_dPrecio)</f>
        <v>0</v>
      </c>
      <c r="CG43" s="34" t="n">
        <f aca="false">CG$31*INDEX(Precio_O,11)*INDEX(IdxPrecio_O,1,MIN(10,CG$17))*(1+P_dPrecio)</f>
        <v>0</v>
      </c>
      <c r="CH43" s="34" t="n">
        <f aca="false">CH$31*INDEX(Precio_O,11)*INDEX(IdxPrecio_O,1,MIN(10,CH$17))*(1+P_dPrecio)</f>
        <v>0</v>
      </c>
      <c r="CI43" s="34" t="n">
        <f aca="false">CI$31*INDEX(Precio_O,11)*INDEX(IdxPrecio_O,1,MIN(10,CI$17))*(1+P_dPrecio)</f>
        <v>0</v>
      </c>
      <c r="CJ43" s="34" t="n">
        <f aca="false">CJ$31*INDEX(Precio_O,11)*INDEX(IdxPrecio_O,1,MIN(10,CJ$17))*(1+P_dPrecio)</f>
        <v>0</v>
      </c>
      <c r="CK43" s="34" t="n">
        <f aca="false">CK$31*INDEX(Precio_O,11)*INDEX(IdxPrecio_O,1,MIN(10,CK$17))*(1+P_dPrecio)</f>
        <v>0</v>
      </c>
      <c r="CL43" s="34" t="n">
        <f aca="false">CL$31*INDEX(Precio_O,11)*INDEX(IdxPrecio_O,1,MIN(10,CL$17))*(1+P_dPrecio)</f>
        <v>0</v>
      </c>
      <c r="CM43" s="34" t="n">
        <f aca="false">CM$31*INDEX(Precio_O,11)*INDEX(IdxPrecio_O,1,MIN(10,CM$17))*(1+P_dPrecio)</f>
        <v>0</v>
      </c>
      <c r="CN43" s="34" t="n">
        <f aca="false">CN$31*INDEX(Precio_O,11)*INDEX(IdxPrecio_O,1,MIN(10,CN$17))*(1+P_dPrecio)</f>
        <v>0</v>
      </c>
      <c r="CO43" s="34" t="n">
        <f aca="false">CO$31*INDEX(Precio_O,11)*INDEX(IdxPrecio_O,1,MIN(10,CO$17))*(1+P_dPrecio)</f>
        <v>0</v>
      </c>
      <c r="CP43" s="34" t="n">
        <f aca="false">CP$31*INDEX(Precio_O,11)*INDEX(IdxPrecio_O,1,MIN(10,CP$17))*(1+P_dPrecio)</f>
        <v>0</v>
      </c>
      <c r="CQ43" s="34" t="n">
        <f aca="false">CQ$31*INDEX(Precio_O,11)*INDEX(IdxPrecio_O,1,MIN(10,CQ$17))*(1+P_dPrecio)</f>
        <v>0</v>
      </c>
      <c r="CR43" s="34" t="n">
        <f aca="false">CR$31*INDEX(Precio_O,11)*INDEX(IdxPrecio_O,1,MIN(10,CR$17))*(1+P_dPrecio)</f>
        <v>0</v>
      </c>
      <c r="CS43" s="34" t="n">
        <f aca="false">CS$31*INDEX(Precio_O,11)*INDEX(IdxPrecio_O,1,MIN(10,CS$17))*(1+P_dPrecio)</f>
        <v>0</v>
      </c>
      <c r="CT43" s="34" t="n">
        <f aca="false">CT$31*INDEX(Precio_O,11)*INDEX(IdxPrecio_O,1,MIN(10,CT$17))*(1+P_dPrecio)</f>
        <v>0</v>
      </c>
      <c r="CU43" s="34" t="n">
        <f aca="false">CU$31*INDEX(Precio_O,11)*INDEX(IdxPrecio_O,1,MIN(10,CU$17))*(1+P_dPrecio)</f>
        <v>0</v>
      </c>
      <c r="CV43" s="34" t="n">
        <f aca="false">CV$31*INDEX(Precio_O,11)*INDEX(IdxPrecio_O,1,MIN(10,CV$17))*(1+P_dPrecio)</f>
        <v>0</v>
      </c>
      <c r="CW43" s="34" t="n">
        <f aca="false">CW$31*INDEX(Precio_O,11)*INDEX(IdxPrecio_O,1,MIN(10,CW$17))*(1+P_dPrecio)</f>
        <v>0</v>
      </c>
      <c r="CX43" s="34" t="n">
        <f aca="false">CX$31*INDEX(Precio_O,11)*INDEX(IdxPrecio_O,1,MIN(10,CX$17))*(1+P_dPrecio)</f>
        <v>0</v>
      </c>
      <c r="CY43" s="34" t="n">
        <f aca="false">CY$31*INDEX(Precio_O,11)*INDEX(IdxPrecio_O,1,MIN(10,CY$17))*(1+P_dPrecio)</f>
        <v>0</v>
      </c>
      <c r="CZ43" s="34" t="n">
        <f aca="false">CZ$31*INDEX(Precio_O,11)*INDEX(IdxPrecio_O,1,MIN(10,CZ$17))*(1+P_dPrecio)</f>
        <v>0</v>
      </c>
      <c r="DA43" s="34" t="n">
        <f aca="false">DA$31*INDEX(Precio_O,11)*INDEX(IdxPrecio_O,1,MIN(10,DA$17))*(1+P_dPrecio)</f>
        <v>0</v>
      </c>
      <c r="DB43" s="34" t="n">
        <f aca="false">DB$31*INDEX(Precio_O,11)*INDEX(IdxPrecio_O,1,MIN(10,DB$17))*(1+P_dPrecio)</f>
        <v>0</v>
      </c>
      <c r="DC43" s="34" t="n">
        <f aca="false">DC$31*INDEX(Precio_O,11)*INDEX(IdxPrecio_O,1,MIN(10,DC$17))*(1+P_dPrecio)</f>
        <v>0</v>
      </c>
      <c r="DD43" s="34" t="n">
        <f aca="false">DD$31*INDEX(Precio_O,11)*INDEX(IdxPrecio_O,1,MIN(10,DD$17))*(1+P_dPrecio)</f>
        <v>0</v>
      </c>
      <c r="DE43" s="34" t="n">
        <f aca="false">DE$31*INDEX(Precio_O,11)*INDEX(IdxPrecio_O,1,MIN(10,DE$17))*(1+P_dPrecio)</f>
        <v>0</v>
      </c>
      <c r="DF43" s="34" t="n">
        <f aca="false">DF$31*INDEX(Precio_O,11)*INDEX(IdxPrecio_O,1,MIN(10,DF$17))*(1+P_dPrecio)</f>
        <v>0</v>
      </c>
      <c r="DG43" s="34" t="n">
        <f aca="false">DG$31*INDEX(Precio_O,11)*INDEX(IdxPrecio_O,1,MIN(10,DG$17))*(1+P_dPrecio)</f>
        <v>0</v>
      </c>
      <c r="DH43" s="34" t="n">
        <f aca="false">DH$31*INDEX(Precio_O,11)*INDEX(IdxPrecio_O,1,MIN(10,DH$17))*(1+P_dPrecio)</f>
        <v>0</v>
      </c>
      <c r="DI43" s="34" t="n">
        <f aca="false">DI$31*INDEX(Precio_O,11)*INDEX(IdxPrecio_O,1,MIN(10,DI$17))*(1+P_dPrecio)</f>
        <v>0</v>
      </c>
      <c r="DJ43" s="34" t="n">
        <f aca="false">DJ$31*INDEX(Precio_O,11)*INDEX(IdxPrecio_O,1,MIN(10,DJ$17))*(1+P_dPrecio)</f>
        <v>0</v>
      </c>
      <c r="DK43" s="34" t="n">
        <f aca="false">DK$31*INDEX(Precio_O,11)*INDEX(IdxPrecio_O,1,MIN(10,DK$17))*(1+P_dPrecio)</f>
        <v>0</v>
      </c>
      <c r="DL43" s="34" t="n">
        <f aca="false">DL$31*INDEX(Precio_O,11)*INDEX(IdxPrecio_O,1,MIN(10,DL$17))*(1+P_dPrecio)</f>
        <v>0</v>
      </c>
      <c r="DM43" s="34" t="n">
        <f aca="false">DM$31*INDEX(Precio_O,11)*INDEX(IdxPrecio_O,1,MIN(10,DM$17))*(1+P_dPrecio)</f>
        <v>0</v>
      </c>
      <c r="DN43" s="34" t="n">
        <f aca="false">DN$31*INDEX(Precio_O,11)*INDEX(IdxPrecio_O,1,MIN(10,DN$17))*(1+P_dPrecio)</f>
        <v>0</v>
      </c>
      <c r="DO43" s="34" t="n">
        <f aca="false">DO$31*INDEX(Precio_O,11)*INDEX(IdxPrecio_O,1,MIN(10,DO$17))*(1+P_dPrecio)</f>
        <v>0</v>
      </c>
      <c r="DP43" s="34" t="n">
        <f aca="false">DP$31*INDEX(Precio_O,11)*INDEX(IdxPrecio_O,1,MIN(10,DP$17))*(1+P_dPrecio)</f>
        <v>0</v>
      </c>
      <c r="DQ43" s="34" t="n">
        <f aca="false">DQ$31*INDEX(Precio_O,11)*INDEX(IdxPrecio_O,1,MIN(10,DQ$17))*(1+P_dPrecio)</f>
        <v>0</v>
      </c>
      <c r="DR43" s="34" t="n">
        <f aca="false">DR$31*INDEX(Precio_O,11)*INDEX(IdxPrecio_O,1,MIN(10,DR$17))*(1+P_dPrecio)</f>
        <v>0</v>
      </c>
      <c r="DS43" s="34" t="n">
        <f aca="false">DS$31*INDEX(Precio_O,11)*INDEX(IdxPrecio_O,1,MIN(10,DS$17))*(1+P_dPrecio)</f>
        <v>0</v>
      </c>
      <c r="DT43" s="34" t="n">
        <f aca="false">DT$31*INDEX(Precio_O,11)*INDEX(IdxPrecio_O,1,MIN(10,DT$17))*(1+P_dPrecio)</f>
        <v>0</v>
      </c>
      <c r="DU43" s="34" t="n">
        <f aca="false">DU$31*INDEX(Precio_O,11)*INDEX(IdxPrecio_O,1,MIN(10,DU$17))*(1+P_dPrecio)</f>
        <v>0</v>
      </c>
      <c r="DV43" s="34" t="n">
        <f aca="false">DV$31*INDEX(Precio_O,11)*INDEX(IdxPrecio_O,1,MIN(10,DV$17))*(1+P_dPrecio)</f>
        <v>0</v>
      </c>
      <c r="DW43" s="34" t="n">
        <f aca="false">DW$31*INDEX(Precio_O,11)*INDEX(IdxPrecio_O,1,MIN(10,DW$17))*(1+P_dPrecio)</f>
        <v>0</v>
      </c>
      <c r="DX43" s="34" t="n">
        <f aca="false">DX$31*INDEX(Precio_O,11)*INDEX(IdxPrecio_O,1,MIN(10,DX$17))*(1+P_dPrecio)</f>
        <v>0</v>
      </c>
      <c r="DY43" s="34" t="n">
        <f aca="false">DY$31*INDEX(Precio_O,11)*INDEX(IdxPrecio_O,1,MIN(10,DY$17))*(1+P_dPrecio)</f>
        <v>0</v>
      </c>
      <c r="DZ43" s="34" t="n">
        <f aca="false">DZ$31*INDEX(Precio_O,11)*INDEX(IdxPrecio_O,1,MIN(10,DZ$17))*(1+P_dPrecio)</f>
        <v>0</v>
      </c>
      <c r="EA43" s="34" t="n">
        <f aca="false">EA$31*INDEX(Precio_O,11)*INDEX(IdxPrecio_O,1,MIN(10,EA$17))*(1+P_dPrecio)</f>
        <v>0</v>
      </c>
      <c r="EB43" s="34" t="n">
        <f aca="false">EB$31*INDEX(Precio_O,11)*INDEX(IdxPrecio_O,1,MIN(10,EB$17))*(1+P_dPrecio)</f>
        <v>0</v>
      </c>
      <c r="EC43" s="34" t="n">
        <f aca="false">EC$31*INDEX(Precio_O,11)*INDEX(IdxPrecio_O,1,MIN(10,EC$17))*(1+P_dPrecio)</f>
        <v>0</v>
      </c>
      <c r="ED43" s="34" t="n">
        <f aca="false">ED$31*INDEX(Precio_O,11)*INDEX(IdxPrecio_O,1,MIN(10,ED$17))*(1+P_dPrecio)</f>
        <v>0</v>
      </c>
      <c r="EE43" s="34" t="n">
        <f aca="false">EE$31*INDEX(Precio_O,11)*INDEX(IdxPrecio_O,1,MIN(10,EE$17))*(1+P_dPrecio)</f>
        <v>0</v>
      </c>
      <c r="EF43" s="34" t="n">
        <f aca="false">EF$31*INDEX(Precio_O,11)*INDEX(IdxPrecio_O,1,MIN(10,EF$17))*(1+P_dPrecio)</f>
        <v>0</v>
      </c>
      <c r="EG43" s="34" t="n">
        <f aca="false">EG$31*INDEX(Precio_O,11)*INDEX(IdxPrecio_O,1,MIN(10,EG$17))*(1+P_dPrecio)</f>
        <v>0</v>
      </c>
      <c r="EH43" s="34" t="n">
        <f aca="false">EH$31*INDEX(Precio_O,11)*INDEX(IdxPrecio_O,1,MIN(10,EH$17))*(1+P_dPrecio)</f>
        <v>0</v>
      </c>
      <c r="EI43" s="34" t="n">
        <f aca="false">EI$31*INDEX(Precio_O,11)*INDEX(IdxPrecio_O,1,MIN(10,EI$17))*(1+P_dPrecio)</f>
        <v>0</v>
      </c>
      <c r="EJ43" s="34" t="n">
        <f aca="false">EJ$31*INDEX(Precio_O,11)*INDEX(IdxPrecio_O,1,MIN(10,EJ$17))*(1+P_dPrecio)</f>
        <v>0</v>
      </c>
      <c r="EK43" s="34" t="n">
        <f aca="false">EK$31*INDEX(Precio_O,11)*INDEX(IdxPrecio_O,1,MIN(10,EK$17))*(1+P_dPrecio)</f>
        <v>0</v>
      </c>
      <c r="EL43" s="34" t="n">
        <f aca="false">EL$31*INDEX(Precio_O,11)*INDEX(IdxPrecio_O,1,MIN(10,EL$17))*(1+P_dPrecio)</f>
        <v>0</v>
      </c>
      <c r="EM43" s="34" t="n">
        <f aca="false">EM$31*INDEX(Precio_O,11)*INDEX(IdxPrecio_O,1,MIN(10,EM$17))*(1+P_dPrecio)</f>
        <v>0</v>
      </c>
      <c r="EN43" s="34" t="n">
        <f aca="false">EN$31*INDEX(Precio_O,11)*INDEX(IdxPrecio_O,1,MIN(10,EN$17))*(1+P_dPrecio)</f>
        <v>0</v>
      </c>
      <c r="EO43" s="34" t="n">
        <f aca="false">EO$31*INDEX(Precio_O,11)*INDEX(IdxPrecio_O,1,MIN(10,EO$17))*(1+P_dPrecio)</f>
        <v>0</v>
      </c>
      <c r="EP43" s="34" t="n">
        <f aca="false">EP$31*INDEX(Precio_O,11)*INDEX(IdxPrecio_O,1,MIN(10,EP$17))*(1+P_dPrecio)</f>
        <v>0</v>
      </c>
      <c r="EQ43" s="34" t="n">
        <f aca="false">EQ$31*INDEX(Precio_O,11)*INDEX(IdxPrecio_O,1,MIN(10,EQ$17))*(1+P_dPrecio)</f>
        <v>0</v>
      </c>
      <c r="ER43" s="34" t="n">
        <f aca="false">ER$31*INDEX(Precio_O,11)*INDEX(IdxPrecio_O,1,MIN(10,ER$17))*(1+P_dPrecio)</f>
        <v>0</v>
      </c>
      <c r="ES43" s="34" t="n">
        <f aca="false">ES$31*INDEX(Precio_O,11)*INDEX(IdxPrecio_O,1,MIN(10,ES$17))*(1+P_dPrecio)</f>
        <v>0</v>
      </c>
    </row>
    <row r="44" customFormat="false" ht="15" hidden="false" customHeight="false" outlineLevel="0" collapsed="false">
      <c r="A44" s="2" t="s">
        <v>581</v>
      </c>
      <c r="B44" s="39" t="str">
        <f aca="false">IF(INDEX(Prod_Nombre,12)="","Producto 12",INDEX(Prod_Nombre,12))&amp;" — ventas USD"</f>
        <v>Producto 12 — ventas USD</v>
      </c>
      <c r="C44" s="6" t="s">
        <v>250</v>
      </c>
      <c r="E44" s="40" t="n">
        <f aca="false">SUM(F44:ES44)</f>
        <v>0</v>
      </c>
      <c r="F44" s="34" t="n">
        <f aca="false">F$32*INDEX(Precio_O,12)*INDEX(IdxPrecio_O,1,MIN(10,F$17))*(1+P_dPrecio)</f>
        <v>0</v>
      </c>
      <c r="G44" s="34" t="n">
        <f aca="false">G$32*INDEX(Precio_O,12)*INDEX(IdxPrecio_O,1,MIN(10,G$17))*(1+P_dPrecio)</f>
        <v>0</v>
      </c>
      <c r="H44" s="34" t="n">
        <f aca="false">H$32*INDEX(Precio_O,12)*INDEX(IdxPrecio_O,1,MIN(10,H$17))*(1+P_dPrecio)</f>
        <v>0</v>
      </c>
      <c r="I44" s="34" t="n">
        <f aca="false">I$32*INDEX(Precio_O,12)*INDEX(IdxPrecio_O,1,MIN(10,I$17))*(1+P_dPrecio)</f>
        <v>0</v>
      </c>
      <c r="J44" s="34" t="n">
        <f aca="false">J$32*INDEX(Precio_O,12)*INDEX(IdxPrecio_O,1,MIN(10,J$17))*(1+P_dPrecio)</f>
        <v>0</v>
      </c>
      <c r="K44" s="34" t="n">
        <f aca="false">K$32*INDEX(Precio_O,12)*INDEX(IdxPrecio_O,1,MIN(10,K$17))*(1+P_dPrecio)</f>
        <v>0</v>
      </c>
      <c r="L44" s="34" t="n">
        <f aca="false">L$32*INDEX(Precio_O,12)*INDEX(IdxPrecio_O,1,MIN(10,L$17))*(1+P_dPrecio)</f>
        <v>0</v>
      </c>
      <c r="M44" s="34" t="n">
        <f aca="false">M$32*INDEX(Precio_O,12)*INDEX(IdxPrecio_O,1,MIN(10,M$17))*(1+P_dPrecio)</f>
        <v>0</v>
      </c>
      <c r="N44" s="34" t="n">
        <f aca="false">N$32*INDEX(Precio_O,12)*INDEX(IdxPrecio_O,1,MIN(10,N$17))*(1+P_dPrecio)</f>
        <v>0</v>
      </c>
      <c r="O44" s="34" t="n">
        <f aca="false">O$32*INDEX(Precio_O,12)*INDEX(IdxPrecio_O,1,MIN(10,O$17))*(1+P_dPrecio)</f>
        <v>0</v>
      </c>
      <c r="P44" s="34" t="n">
        <f aca="false">P$32*INDEX(Precio_O,12)*INDEX(IdxPrecio_O,1,MIN(10,P$17))*(1+P_dPrecio)</f>
        <v>0</v>
      </c>
      <c r="Q44" s="34" t="n">
        <f aca="false">Q$32*INDEX(Precio_O,12)*INDEX(IdxPrecio_O,1,MIN(10,Q$17))*(1+P_dPrecio)</f>
        <v>0</v>
      </c>
      <c r="R44" s="34" t="n">
        <f aca="false">R$32*INDEX(Precio_O,12)*INDEX(IdxPrecio_O,1,MIN(10,R$17))*(1+P_dPrecio)</f>
        <v>0</v>
      </c>
      <c r="S44" s="34" t="n">
        <f aca="false">S$32*INDEX(Precio_O,12)*INDEX(IdxPrecio_O,1,MIN(10,S$17))*(1+P_dPrecio)</f>
        <v>0</v>
      </c>
      <c r="T44" s="34" t="n">
        <f aca="false">T$32*INDEX(Precio_O,12)*INDEX(IdxPrecio_O,1,MIN(10,T$17))*(1+P_dPrecio)</f>
        <v>0</v>
      </c>
      <c r="U44" s="34" t="n">
        <f aca="false">U$32*INDEX(Precio_O,12)*INDEX(IdxPrecio_O,1,MIN(10,U$17))*(1+P_dPrecio)</f>
        <v>0</v>
      </c>
      <c r="V44" s="34" t="n">
        <f aca="false">V$32*INDEX(Precio_O,12)*INDEX(IdxPrecio_O,1,MIN(10,V$17))*(1+P_dPrecio)</f>
        <v>0</v>
      </c>
      <c r="W44" s="34" t="n">
        <f aca="false">W$32*INDEX(Precio_O,12)*INDEX(IdxPrecio_O,1,MIN(10,W$17))*(1+P_dPrecio)</f>
        <v>0</v>
      </c>
      <c r="X44" s="34" t="n">
        <f aca="false">X$32*INDEX(Precio_O,12)*INDEX(IdxPrecio_O,1,MIN(10,X$17))*(1+P_dPrecio)</f>
        <v>0</v>
      </c>
      <c r="Y44" s="34" t="n">
        <f aca="false">Y$32*INDEX(Precio_O,12)*INDEX(IdxPrecio_O,1,MIN(10,Y$17))*(1+P_dPrecio)</f>
        <v>0</v>
      </c>
      <c r="Z44" s="34" t="n">
        <f aca="false">Z$32*INDEX(Precio_O,12)*INDEX(IdxPrecio_O,1,MIN(10,Z$17))*(1+P_dPrecio)</f>
        <v>0</v>
      </c>
      <c r="AA44" s="34" t="n">
        <f aca="false">AA$32*INDEX(Precio_O,12)*INDEX(IdxPrecio_O,1,MIN(10,AA$17))*(1+P_dPrecio)</f>
        <v>0</v>
      </c>
      <c r="AB44" s="34" t="n">
        <f aca="false">AB$32*INDEX(Precio_O,12)*INDEX(IdxPrecio_O,1,MIN(10,AB$17))*(1+P_dPrecio)</f>
        <v>0</v>
      </c>
      <c r="AC44" s="34" t="n">
        <f aca="false">AC$32*INDEX(Precio_O,12)*INDEX(IdxPrecio_O,1,MIN(10,AC$17))*(1+P_dPrecio)</f>
        <v>0</v>
      </c>
      <c r="AD44" s="34" t="n">
        <f aca="false">AD$32*INDEX(Precio_O,12)*INDEX(IdxPrecio_O,1,MIN(10,AD$17))*(1+P_dPrecio)</f>
        <v>0</v>
      </c>
      <c r="AE44" s="34" t="n">
        <f aca="false">AE$32*INDEX(Precio_O,12)*INDEX(IdxPrecio_O,1,MIN(10,AE$17))*(1+P_dPrecio)</f>
        <v>0</v>
      </c>
      <c r="AF44" s="34" t="n">
        <f aca="false">AF$32*INDEX(Precio_O,12)*INDEX(IdxPrecio_O,1,MIN(10,AF$17))*(1+P_dPrecio)</f>
        <v>0</v>
      </c>
      <c r="AG44" s="34" t="n">
        <f aca="false">AG$32*INDEX(Precio_O,12)*INDEX(IdxPrecio_O,1,MIN(10,AG$17))*(1+P_dPrecio)</f>
        <v>0</v>
      </c>
      <c r="AH44" s="34" t="n">
        <f aca="false">AH$32*INDEX(Precio_O,12)*INDEX(IdxPrecio_O,1,MIN(10,AH$17))*(1+P_dPrecio)</f>
        <v>0</v>
      </c>
      <c r="AI44" s="34" t="n">
        <f aca="false">AI$32*INDEX(Precio_O,12)*INDEX(IdxPrecio_O,1,MIN(10,AI$17))*(1+P_dPrecio)</f>
        <v>0</v>
      </c>
      <c r="AJ44" s="34" t="n">
        <f aca="false">AJ$32*INDEX(Precio_O,12)*INDEX(IdxPrecio_O,1,MIN(10,AJ$17))*(1+P_dPrecio)</f>
        <v>0</v>
      </c>
      <c r="AK44" s="34" t="n">
        <f aca="false">AK$32*INDEX(Precio_O,12)*INDEX(IdxPrecio_O,1,MIN(10,AK$17))*(1+P_dPrecio)</f>
        <v>0</v>
      </c>
      <c r="AL44" s="34" t="n">
        <f aca="false">AL$32*INDEX(Precio_O,12)*INDEX(IdxPrecio_O,1,MIN(10,AL$17))*(1+P_dPrecio)</f>
        <v>0</v>
      </c>
      <c r="AM44" s="34" t="n">
        <f aca="false">AM$32*INDEX(Precio_O,12)*INDEX(IdxPrecio_O,1,MIN(10,AM$17))*(1+P_dPrecio)</f>
        <v>0</v>
      </c>
      <c r="AN44" s="34" t="n">
        <f aca="false">AN$32*INDEX(Precio_O,12)*INDEX(IdxPrecio_O,1,MIN(10,AN$17))*(1+P_dPrecio)</f>
        <v>0</v>
      </c>
      <c r="AO44" s="34" t="n">
        <f aca="false">AO$32*INDEX(Precio_O,12)*INDEX(IdxPrecio_O,1,MIN(10,AO$17))*(1+P_dPrecio)</f>
        <v>0</v>
      </c>
      <c r="AP44" s="34" t="n">
        <f aca="false">AP$32*INDEX(Precio_O,12)*INDEX(IdxPrecio_O,1,MIN(10,AP$17))*(1+P_dPrecio)</f>
        <v>0</v>
      </c>
      <c r="AQ44" s="34" t="n">
        <f aca="false">AQ$32*INDEX(Precio_O,12)*INDEX(IdxPrecio_O,1,MIN(10,AQ$17))*(1+P_dPrecio)</f>
        <v>0</v>
      </c>
      <c r="AR44" s="34" t="n">
        <f aca="false">AR$32*INDEX(Precio_O,12)*INDEX(IdxPrecio_O,1,MIN(10,AR$17))*(1+P_dPrecio)</f>
        <v>0</v>
      </c>
      <c r="AS44" s="34" t="n">
        <f aca="false">AS$32*INDEX(Precio_O,12)*INDEX(IdxPrecio_O,1,MIN(10,AS$17))*(1+P_dPrecio)</f>
        <v>0</v>
      </c>
      <c r="AT44" s="34" t="n">
        <f aca="false">AT$32*INDEX(Precio_O,12)*INDEX(IdxPrecio_O,1,MIN(10,AT$17))*(1+P_dPrecio)</f>
        <v>0</v>
      </c>
      <c r="AU44" s="34" t="n">
        <f aca="false">AU$32*INDEX(Precio_O,12)*INDEX(IdxPrecio_O,1,MIN(10,AU$17))*(1+P_dPrecio)</f>
        <v>0</v>
      </c>
      <c r="AV44" s="34" t="n">
        <f aca="false">AV$32*INDEX(Precio_O,12)*INDEX(IdxPrecio_O,1,MIN(10,AV$17))*(1+P_dPrecio)</f>
        <v>0</v>
      </c>
      <c r="AW44" s="34" t="n">
        <f aca="false">AW$32*INDEX(Precio_O,12)*INDEX(IdxPrecio_O,1,MIN(10,AW$17))*(1+P_dPrecio)</f>
        <v>0</v>
      </c>
      <c r="AX44" s="34" t="n">
        <f aca="false">AX$32*INDEX(Precio_O,12)*INDEX(IdxPrecio_O,1,MIN(10,AX$17))*(1+P_dPrecio)</f>
        <v>0</v>
      </c>
      <c r="AY44" s="34" t="n">
        <f aca="false">AY$32*INDEX(Precio_O,12)*INDEX(IdxPrecio_O,1,MIN(10,AY$17))*(1+P_dPrecio)</f>
        <v>0</v>
      </c>
      <c r="AZ44" s="34" t="n">
        <f aca="false">AZ$32*INDEX(Precio_O,12)*INDEX(IdxPrecio_O,1,MIN(10,AZ$17))*(1+P_dPrecio)</f>
        <v>0</v>
      </c>
      <c r="BA44" s="34" t="n">
        <f aca="false">BA$32*INDEX(Precio_O,12)*INDEX(IdxPrecio_O,1,MIN(10,BA$17))*(1+P_dPrecio)</f>
        <v>0</v>
      </c>
      <c r="BB44" s="34" t="n">
        <f aca="false">BB$32*INDEX(Precio_O,12)*INDEX(IdxPrecio_O,1,MIN(10,BB$17))*(1+P_dPrecio)</f>
        <v>0</v>
      </c>
      <c r="BC44" s="34" t="n">
        <f aca="false">BC$32*INDEX(Precio_O,12)*INDEX(IdxPrecio_O,1,MIN(10,BC$17))*(1+P_dPrecio)</f>
        <v>0</v>
      </c>
      <c r="BD44" s="34" t="n">
        <f aca="false">BD$32*INDEX(Precio_O,12)*INDEX(IdxPrecio_O,1,MIN(10,BD$17))*(1+P_dPrecio)</f>
        <v>0</v>
      </c>
      <c r="BE44" s="34" t="n">
        <f aca="false">BE$32*INDEX(Precio_O,12)*INDEX(IdxPrecio_O,1,MIN(10,BE$17))*(1+P_dPrecio)</f>
        <v>0</v>
      </c>
      <c r="BF44" s="34" t="n">
        <f aca="false">BF$32*INDEX(Precio_O,12)*INDEX(IdxPrecio_O,1,MIN(10,BF$17))*(1+P_dPrecio)</f>
        <v>0</v>
      </c>
      <c r="BG44" s="34" t="n">
        <f aca="false">BG$32*INDEX(Precio_O,12)*INDEX(IdxPrecio_O,1,MIN(10,BG$17))*(1+P_dPrecio)</f>
        <v>0</v>
      </c>
      <c r="BH44" s="34" t="n">
        <f aca="false">BH$32*INDEX(Precio_O,12)*INDEX(IdxPrecio_O,1,MIN(10,BH$17))*(1+P_dPrecio)</f>
        <v>0</v>
      </c>
      <c r="BI44" s="34" t="n">
        <f aca="false">BI$32*INDEX(Precio_O,12)*INDEX(IdxPrecio_O,1,MIN(10,BI$17))*(1+P_dPrecio)</f>
        <v>0</v>
      </c>
      <c r="BJ44" s="34" t="n">
        <f aca="false">BJ$32*INDEX(Precio_O,12)*INDEX(IdxPrecio_O,1,MIN(10,BJ$17))*(1+P_dPrecio)</f>
        <v>0</v>
      </c>
      <c r="BK44" s="34" t="n">
        <f aca="false">BK$32*INDEX(Precio_O,12)*INDEX(IdxPrecio_O,1,MIN(10,BK$17))*(1+P_dPrecio)</f>
        <v>0</v>
      </c>
      <c r="BL44" s="34" t="n">
        <f aca="false">BL$32*INDEX(Precio_O,12)*INDEX(IdxPrecio_O,1,MIN(10,BL$17))*(1+P_dPrecio)</f>
        <v>0</v>
      </c>
      <c r="BM44" s="34" t="n">
        <f aca="false">BM$32*INDEX(Precio_O,12)*INDEX(IdxPrecio_O,1,MIN(10,BM$17))*(1+P_dPrecio)</f>
        <v>0</v>
      </c>
      <c r="BN44" s="34" t="n">
        <f aca="false">BN$32*INDEX(Precio_O,12)*INDEX(IdxPrecio_O,1,MIN(10,BN$17))*(1+P_dPrecio)</f>
        <v>0</v>
      </c>
      <c r="BO44" s="34" t="n">
        <f aca="false">BO$32*INDEX(Precio_O,12)*INDEX(IdxPrecio_O,1,MIN(10,BO$17))*(1+P_dPrecio)</f>
        <v>0</v>
      </c>
      <c r="BP44" s="34" t="n">
        <f aca="false">BP$32*INDEX(Precio_O,12)*INDEX(IdxPrecio_O,1,MIN(10,BP$17))*(1+P_dPrecio)</f>
        <v>0</v>
      </c>
      <c r="BQ44" s="34" t="n">
        <f aca="false">BQ$32*INDEX(Precio_O,12)*INDEX(IdxPrecio_O,1,MIN(10,BQ$17))*(1+P_dPrecio)</f>
        <v>0</v>
      </c>
      <c r="BR44" s="34" t="n">
        <f aca="false">BR$32*INDEX(Precio_O,12)*INDEX(IdxPrecio_O,1,MIN(10,BR$17))*(1+P_dPrecio)</f>
        <v>0</v>
      </c>
      <c r="BS44" s="34" t="n">
        <f aca="false">BS$32*INDEX(Precio_O,12)*INDEX(IdxPrecio_O,1,MIN(10,BS$17))*(1+P_dPrecio)</f>
        <v>0</v>
      </c>
      <c r="BT44" s="34" t="n">
        <f aca="false">BT$32*INDEX(Precio_O,12)*INDEX(IdxPrecio_O,1,MIN(10,BT$17))*(1+P_dPrecio)</f>
        <v>0</v>
      </c>
      <c r="BU44" s="34" t="n">
        <f aca="false">BU$32*INDEX(Precio_O,12)*INDEX(IdxPrecio_O,1,MIN(10,BU$17))*(1+P_dPrecio)</f>
        <v>0</v>
      </c>
      <c r="BV44" s="34" t="n">
        <f aca="false">BV$32*INDEX(Precio_O,12)*INDEX(IdxPrecio_O,1,MIN(10,BV$17))*(1+P_dPrecio)</f>
        <v>0</v>
      </c>
      <c r="BW44" s="34" t="n">
        <f aca="false">BW$32*INDEX(Precio_O,12)*INDEX(IdxPrecio_O,1,MIN(10,BW$17))*(1+P_dPrecio)</f>
        <v>0</v>
      </c>
      <c r="BX44" s="34" t="n">
        <f aca="false">BX$32*INDEX(Precio_O,12)*INDEX(IdxPrecio_O,1,MIN(10,BX$17))*(1+P_dPrecio)</f>
        <v>0</v>
      </c>
      <c r="BY44" s="34" t="n">
        <f aca="false">BY$32*INDEX(Precio_O,12)*INDEX(IdxPrecio_O,1,MIN(10,BY$17))*(1+P_dPrecio)</f>
        <v>0</v>
      </c>
      <c r="BZ44" s="34" t="n">
        <f aca="false">BZ$32*INDEX(Precio_O,12)*INDEX(IdxPrecio_O,1,MIN(10,BZ$17))*(1+P_dPrecio)</f>
        <v>0</v>
      </c>
      <c r="CA44" s="34" t="n">
        <f aca="false">CA$32*INDEX(Precio_O,12)*INDEX(IdxPrecio_O,1,MIN(10,CA$17))*(1+P_dPrecio)</f>
        <v>0</v>
      </c>
      <c r="CB44" s="34" t="n">
        <f aca="false">CB$32*INDEX(Precio_O,12)*INDEX(IdxPrecio_O,1,MIN(10,CB$17))*(1+P_dPrecio)</f>
        <v>0</v>
      </c>
      <c r="CC44" s="34" t="n">
        <f aca="false">CC$32*INDEX(Precio_O,12)*INDEX(IdxPrecio_O,1,MIN(10,CC$17))*(1+P_dPrecio)</f>
        <v>0</v>
      </c>
      <c r="CD44" s="34" t="n">
        <f aca="false">CD$32*INDEX(Precio_O,12)*INDEX(IdxPrecio_O,1,MIN(10,CD$17))*(1+P_dPrecio)</f>
        <v>0</v>
      </c>
      <c r="CE44" s="34" t="n">
        <f aca="false">CE$32*INDEX(Precio_O,12)*INDEX(IdxPrecio_O,1,MIN(10,CE$17))*(1+P_dPrecio)</f>
        <v>0</v>
      </c>
      <c r="CF44" s="34" t="n">
        <f aca="false">CF$32*INDEX(Precio_O,12)*INDEX(IdxPrecio_O,1,MIN(10,CF$17))*(1+P_dPrecio)</f>
        <v>0</v>
      </c>
      <c r="CG44" s="34" t="n">
        <f aca="false">CG$32*INDEX(Precio_O,12)*INDEX(IdxPrecio_O,1,MIN(10,CG$17))*(1+P_dPrecio)</f>
        <v>0</v>
      </c>
      <c r="CH44" s="34" t="n">
        <f aca="false">CH$32*INDEX(Precio_O,12)*INDEX(IdxPrecio_O,1,MIN(10,CH$17))*(1+P_dPrecio)</f>
        <v>0</v>
      </c>
      <c r="CI44" s="34" t="n">
        <f aca="false">CI$32*INDEX(Precio_O,12)*INDEX(IdxPrecio_O,1,MIN(10,CI$17))*(1+P_dPrecio)</f>
        <v>0</v>
      </c>
      <c r="CJ44" s="34" t="n">
        <f aca="false">CJ$32*INDEX(Precio_O,12)*INDEX(IdxPrecio_O,1,MIN(10,CJ$17))*(1+P_dPrecio)</f>
        <v>0</v>
      </c>
      <c r="CK44" s="34" t="n">
        <f aca="false">CK$32*INDEX(Precio_O,12)*INDEX(IdxPrecio_O,1,MIN(10,CK$17))*(1+P_dPrecio)</f>
        <v>0</v>
      </c>
      <c r="CL44" s="34" t="n">
        <f aca="false">CL$32*INDEX(Precio_O,12)*INDEX(IdxPrecio_O,1,MIN(10,CL$17))*(1+P_dPrecio)</f>
        <v>0</v>
      </c>
      <c r="CM44" s="34" t="n">
        <f aca="false">CM$32*INDEX(Precio_O,12)*INDEX(IdxPrecio_O,1,MIN(10,CM$17))*(1+P_dPrecio)</f>
        <v>0</v>
      </c>
      <c r="CN44" s="34" t="n">
        <f aca="false">CN$32*INDEX(Precio_O,12)*INDEX(IdxPrecio_O,1,MIN(10,CN$17))*(1+P_dPrecio)</f>
        <v>0</v>
      </c>
      <c r="CO44" s="34" t="n">
        <f aca="false">CO$32*INDEX(Precio_O,12)*INDEX(IdxPrecio_O,1,MIN(10,CO$17))*(1+P_dPrecio)</f>
        <v>0</v>
      </c>
      <c r="CP44" s="34" t="n">
        <f aca="false">CP$32*INDEX(Precio_O,12)*INDEX(IdxPrecio_O,1,MIN(10,CP$17))*(1+P_dPrecio)</f>
        <v>0</v>
      </c>
      <c r="CQ44" s="34" t="n">
        <f aca="false">CQ$32*INDEX(Precio_O,12)*INDEX(IdxPrecio_O,1,MIN(10,CQ$17))*(1+P_dPrecio)</f>
        <v>0</v>
      </c>
      <c r="CR44" s="34" t="n">
        <f aca="false">CR$32*INDEX(Precio_O,12)*INDEX(IdxPrecio_O,1,MIN(10,CR$17))*(1+P_dPrecio)</f>
        <v>0</v>
      </c>
      <c r="CS44" s="34" t="n">
        <f aca="false">CS$32*INDEX(Precio_O,12)*INDEX(IdxPrecio_O,1,MIN(10,CS$17))*(1+P_dPrecio)</f>
        <v>0</v>
      </c>
      <c r="CT44" s="34" t="n">
        <f aca="false">CT$32*INDEX(Precio_O,12)*INDEX(IdxPrecio_O,1,MIN(10,CT$17))*(1+P_dPrecio)</f>
        <v>0</v>
      </c>
      <c r="CU44" s="34" t="n">
        <f aca="false">CU$32*INDEX(Precio_O,12)*INDEX(IdxPrecio_O,1,MIN(10,CU$17))*(1+P_dPrecio)</f>
        <v>0</v>
      </c>
      <c r="CV44" s="34" t="n">
        <f aca="false">CV$32*INDEX(Precio_O,12)*INDEX(IdxPrecio_O,1,MIN(10,CV$17))*(1+P_dPrecio)</f>
        <v>0</v>
      </c>
      <c r="CW44" s="34" t="n">
        <f aca="false">CW$32*INDEX(Precio_O,12)*INDEX(IdxPrecio_O,1,MIN(10,CW$17))*(1+P_dPrecio)</f>
        <v>0</v>
      </c>
      <c r="CX44" s="34" t="n">
        <f aca="false">CX$32*INDEX(Precio_O,12)*INDEX(IdxPrecio_O,1,MIN(10,CX$17))*(1+P_dPrecio)</f>
        <v>0</v>
      </c>
      <c r="CY44" s="34" t="n">
        <f aca="false">CY$32*INDEX(Precio_O,12)*INDEX(IdxPrecio_O,1,MIN(10,CY$17))*(1+P_dPrecio)</f>
        <v>0</v>
      </c>
      <c r="CZ44" s="34" t="n">
        <f aca="false">CZ$32*INDEX(Precio_O,12)*INDEX(IdxPrecio_O,1,MIN(10,CZ$17))*(1+P_dPrecio)</f>
        <v>0</v>
      </c>
      <c r="DA44" s="34" t="n">
        <f aca="false">DA$32*INDEX(Precio_O,12)*INDEX(IdxPrecio_O,1,MIN(10,DA$17))*(1+P_dPrecio)</f>
        <v>0</v>
      </c>
      <c r="DB44" s="34" t="n">
        <f aca="false">DB$32*INDEX(Precio_O,12)*INDEX(IdxPrecio_O,1,MIN(10,DB$17))*(1+P_dPrecio)</f>
        <v>0</v>
      </c>
      <c r="DC44" s="34" t="n">
        <f aca="false">DC$32*INDEX(Precio_O,12)*INDEX(IdxPrecio_O,1,MIN(10,DC$17))*(1+P_dPrecio)</f>
        <v>0</v>
      </c>
      <c r="DD44" s="34" t="n">
        <f aca="false">DD$32*INDEX(Precio_O,12)*INDEX(IdxPrecio_O,1,MIN(10,DD$17))*(1+P_dPrecio)</f>
        <v>0</v>
      </c>
      <c r="DE44" s="34" t="n">
        <f aca="false">DE$32*INDEX(Precio_O,12)*INDEX(IdxPrecio_O,1,MIN(10,DE$17))*(1+P_dPrecio)</f>
        <v>0</v>
      </c>
      <c r="DF44" s="34" t="n">
        <f aca="false">DF$32*INDEX(Precio_O,12)*INDEX(IdxPrecio_O,1,MIN(10,DF$17))*(1+P_dPrecio)</f>
        <v>0</v>
      </c>
      <c r="DG44" s="34" t="n">
        <f aca="false">DG$32*INDEX(Precio_O,12)*INDEX(IdxPrecio_O,1,MIN(10,DG$17))*(1+P_dPrecio)</f>
        <v>0</v>
      </c>
      <c r="DH44" s="34" t="n">
        <f aca="false">DH$32*INDEX(Precio_O,12)*INDEX(IdxPrecio_O,1,MIN(10,DH$17))*(1+P_dPrecio)</f>
        <v>0</v>
      </c>
      <c r="DI44" s="34" t="n">
        <f aca="false">DI$32*INDEX(Precio_O,12)*INDEX(IdxPrecio_O,1,MIN(10,DI$17))*(1+P_dPrecio)</f>
        <v>0</v>
      </c>
      <c r="DJ44" s="34" t="n">
        <f aca="false">DJ$32*INDEX(Precio_O,12)*INDEX(IdxPrecio_O,1,MIN(10,DJ$17))*(1+P_dPrecio)</f>
        <v>0</v>
      </c>
      <c r="DK44" s="34" t="n">
        <f aca="false">DK$32*INDEX(Precio_O,12)*INDEX(IdxPrecio_O,1,MIN(10,DK$17))*(1+P_dPrecio)</f>
        <v>0</v>
      </c>
      <c r="DL44" s="34" t="n">
        <f aca="false">DL$32*INDEX(Precio_O,12)*INDEX(IdxPrecio_O,1,MIN(10,DL$17))*(1+P_dPrecio)</f>
        <v>0</v>
      </c>
      <c r="DM44" s="34" t="n">
        <f aca="false">DM$32*INDEX(Precio_O,12)*INDEX(IdxPrecio_O,1,MIN(10,DM$17))*(1+P_dPrecio)</f>
        <v>0</v>
      </c>
      <c r="DN44" s="34" t="n">
        <f aca="false">DN$32*INDEX(Precio_O,12)*INDEX(IdxPrecio_O,1,MIN(10,DN$17))*(1+P_dPrecio)</f>
        <v>0</v>
      </c>
      <c r="DO44" s="34" t="n">
        <f aca="false">DO$32*INDEX(Precio_O,12)*INDEX(IdxPrecio_O,1,MIN(10,DO$17))*(1+P_dPrecio)</f>
        <v>0</v>
      </c>
      <c r="DP44" s="34" t="n">
        <f aca="false">DP$32*INDEX(Precio_O,12)*INDEX(IdxPrecio_O,1,MIN(10,DP$17))*(1+P_dPrecio)</f>
        <v>0</v>
      </c>
      <c r="DQ44" s="34" t="n">
        <f aca="false">DQ$32*INDEX(Precio_O,12)*INDEX(IdxPrecio_O,1,MIN(10,DQ$17))*(1+P_dPrecio)</f>
        <v>0</v>
      </c>
      <c r="DR44" s="34" t="n">
        <f aca="false">DR$32*INDEX(Precio_O,12)*INDEX(IdxPrecio_O,1,MIN(10,DR$17))*(1+P_dPrecio)</f>
        <v>0</v>
      </c>
      <c r="DS44" s="34" t="n">
        <f aca="false">DS$32*INDEX(Precio_O,12)*INDEX(IdxPrecio_O,1,MIN(10,DS$17))*(1+P_dPrecio)</f>
        <v>0</v>
      </c>
      <c r="DT44" s="34" t="n">
        <f aca="false">DT$32*INDEX(Precio_O,12)*INDEX(IdxPrecio_O,1,MIN(10,DT$17))*(1+P_dPrecio)</f>
        <v>0</v>
      </c>
      <c r="DU44" s="34" t="n">
        <f aca="false">DU$32*INDEX(Precio_O,12)*INDEX(IdxPrecio_O,1,MIN(10,DU$17))*(1+P_dPrecio)</f>
        <v>0</v>
      </c>
      <c r="DV44" s="34" t="n">
        <f aca="false">DV$32*INDEX(Precio_O,12)*INDEX(IdxPrecio_O,1,MIN(10,DV$17))*(1+P_dPrecio)</f>
        <v>0</v>
      </c>
      <c r="DW44" s="34" t="n">
        <f aca="false">DW$32*INDEX(Precio_O,12)*INDEX(IdxPrecio_O,1,MIN(10,DW$17))*(1+P_dPrecio)</f>
        <v>0</v>
      </c>
      <c r="DX44" s="34" t="n">
        <f aca="false">DX$32*INDEX(Precio_O,12)*INDEX(IdxPrecio_O,1,MIN(10,DX$17))*(1+P_dPrecio)</f>
        <v>0</v>
      </c>
      <c r="DY44" s="34" t="n">
        <f aca="false">DY$32*INDEX(Precio_O,12)*INDEX(IdxPrecio_O,1,MIN(10,DY$17))*(1+P_dPrecio)</f>
        <v>0</v>
      </c>
      <c r="DZ44" s="34" t="n">
        <f aca="false">DZ$32*INDEX(Precio_O,12)*INDEX(IdxPrecio_O,1,MIN(10,DZ$17))*(1+P_dPrecio)</f>
        <v>0</v>
      </c>
      <c r="EA44" s="34" t="n">
        <f aca="false">EA$32*INDEX(Precio_O,12)*INDEX(IdxPrecio_O,1,MIN(10,EA$17))*(1+P_dPrecio)</f>
        <v>0</v>
      </c>
      <c r="EB44" s="34" t="n">
        <f aca="false">EB$32*INDEX(Precio_O,12)*INDEX(IdxPrecio_O,1,MIN(10,EB$17))*(1+P_dPrecio)</f>
        <v>0</v>
      </c>
      <c r="EC44" s="34" t="n">
        <f aca="false">EC$32*INDEX(Precio_O,12)*INDEX(IdxPrecio_O,1,MIN(10,EC$17))*(1+P_dPrecio)</f>
        <v>0</v>
      </c>
      <c r="ED44" s="34" t="n">
        <f aca="false">ED$32*INDEX(Precio_O,12)*INDEX(IdxPrecio_O,1,MIN(10,ED$17))*(1+P_dPrecio)</f>
        <v>0</v>
      </c>
      <c r="EE44" s="34" t="n">
        <f aca="false">EE$32*INDEX(Precio_O,12)*INDEX(IdxPrecio_O,1,MIN(10,EE$17))*(1+P_dPrecio)</f>
        <v>0</v>
      </c>
      <c r="EF44" s="34" t="n">
        <f aca="false">EF$32*INDEX(Precio_O,12)*INDEX(IdxPrecio_O,1,MIN(10,EF$17))*(1+P_dPrecio)</f>
        <v>0</v>
      </c>
      <c r="EG44" s="34" t="n">
        <f aca="false">EG$32*INDEX(Precio_O,12)*INDEX(IdxPrecio_O,1,MIN(10,EG$17))*(1+P_dPrecio)</f>
        <v>0</v>
      </c>
      <c r="EH44" s="34" t="n">
        <f aca="false">EH$32*INDEX(Precio_O,12)*INDEX(IdxPrecio_O,1,MIN(10,EH$17))*(1+P_dPrecio)</f>
        <v>0</v>
      </c>
      <c r="EI44" s="34" t="n">
        <f aca="false">EI$32*INDEX(Precio_O,12)*INDEX(IdxPrecio_O,1,MIN(10,EI$17))*(1+P_dPrecio)</f>
        <v>0</v>
      </c>
      <c r="EJ44" s="34" t="n">
        <f aca="false">EJ$32*INDEX(Precio_O,12)*INDEX(IdxPrecio_O,1,MIN(10,EJ$17))*(1+P_dPrecio)</f>
        <v>0</v>
      </c>
      <c r="EK44" s="34" t="n">
        <f aca="false">EK$32*INDEX(Precio_O,12)*INDEX(IdxPrecio_O,1,MIN(10,EK$17))*(1+P_dPrecio)</f>
        <v>0</v>
      </c>
      <c r="EL44" s="34" t="n">
        <f aca="false">EL$32*INDEX(Precio_O,12)*INDEX(IdxPrecio_O,1,MIN(10,EL$17))*(1+P_dPrecio)</f>
        <v>0</v>
      </c>
      <c r="EM44" s="34" t="n">
        <f aca="false">EM$32*INDEX(Precio_O,12)*INDEX(IdxPrecio_O,1,MIN(10,EM$17))*(1+P_dPrecio)</f>
        <v>0</v>
      </c>
      <c r="EN44" s="34" t="n">
        <f aca="false">EN$32*INDEX(Precio_O,12)*INDEX(IdxPrecio_O,1,MIN(10,EN$17))*(1+P_dPrecio)</f>
        <v>0</v>
      </c>
      <c r="EO44" s="34" t="n">
        <f aca="false">EO$32*INDEX(Precio_O,12)*INDEX(IdxPrecio_O,1,MIN(10,EO$17))*(1+P_dPrecio)</f>
        <v>0</v>
      </c>
      <c r="EP44" s="34" t="n">
        <f aca="false">EP$32*INDEX(Precio_O,12)*INDEX(IdxPrecio_O,1,MIN(10,EP$17))*(1+P_dPrecio)</f>
        <v>0</v>
      </c>
      <c r="EQ44" s="34" t="n">
        <f aca="false">EQ$32*INDEX(Precio_O,12)*INDEX(IdxPrecio_O,1,MIN(10,EQ$17))*(1+P_dPrecio)</f>
        <v>0</v>
      </c>
      <c r="ER44" s="34" t="n">
        <f aca="false">ER$32*INDEX(Precio_O,12)*INDEX(IdxPrecio_O,1,MIN(10,ER$17))*(1+P_dPrecio)</f>
        <v>0</v>
      </c>
      <c r="ES44" s="34" t="n">
        <f aca="false">ES$32*INDEX(Precio_O,12)*INDEX(IdxPrecio_O,1,MIN(10,ES$17))*(1+P_dPrecio)</f>
        <v>0</v>
      </c>
    </row>
    <row r="45" customFormat="false" ht="15" hidden="false" customHeight="false" outlineLevel="0" collapsed="false">
      <c r="A45" s="2" t="s">
        <v>582</v>
      </c>
      <c r="B45" s="52" t="s">
        <v>583</v>
      </c>
      <c r="C45" s="6" t="s">
        <v>250</v>
      </c>
      <c r="E45" s="40" t="n">
        <f aca="false">SUM(F45:ES45)</f>
        <v>81222447.7216454</v>
      </c>
      <c r="F45" s="10" t="n">
        <f aca="false">F$33+F$34+F$35+F$36+F$37+F$38+F$39+F$40+F$41+F$42+F$43+F$44</f>
        <v>404166.666666667</v>
      </c>
      <c r="G45" s="10" t="n">
        <f aca="false">G$33+G$34+G$35+G$36+G$37+G$38+G$39+G$40+G$41+G$42+G$43+G$44</f>
        <v>404166.666666667</v>
      </c>
      <c r="H45" s="10" t="n">
        <f aca="false">H$33+H$34+H$35+H$36+H$37+H$38+H$39+H$40+H$41+H$42+H$43+H$44</f>
        <v>404166.666666667</v>
      </c>
      <c r="I45" s="10" t="n">
        <f aca="false">I$33+I$34+I$35+I$36+I$37+I$38+I$39+I$40+I$41+I$42+I$43+I$44</f>
        <v>404166.666666667</v>
      </c>
      <c r="J45" s="10" t="n">
        <f aca="false">J$33+J$34+J$35+J$36+J$37+J$38+J$39+J$40+J$41+J$42+J$43+J$44</f>
        <v>404166.666666667</v>
      </c>
      <c r="K45" s="10" t="n">
        <f aca="false">K$33+K$34+K$35+K$36+K$37+K$38+K$39+K$40+K$41+K$42+K$43+K$44</f>
        <v>404166.666666667</v>
      </c>
      <c r="L45" s="10" t="n">
        <f aca="false">L$33+L$34+L$35+L$36+L$37+L$38+L$39+L$40+L$41+L$42+L$43+L$44</f>
        <v>404166.666666667</v>
      </c>
      <c r="M45" s="10" t="n">
        <f aca="false">M$33+M$34+M$35+M$36+M$37+M$38+M$39+M$40+M$41+M$42+M$43+M$44</f>
        <v>404166.666666667</v>
      </c>
      <c r="N45" s="10" t="n">
        <f aca="false">N$33+N$34+N$35+N$36+N$37+N$38+N$39+N$40+N$41+N$42+N$43+N$44</f>
        <v>404166.666666667</v>
      </c>
      <c r="O45" s="10" t="n">
        <f aca="false">O$33+O$34+O$35+O$36+O$37+O$38+O$39+O$40+O$41+O$42+O$43+O$44</f>
        <v>404166.666666667</v>
      </c>
      <c r="P45" s="10" t="n">
        <f aca="false">P$33+P$34+P$35+P$36+P$37+P$38+P$39+P$40+P$41+P$42+P$43+P$44</f>
        <v>404166.666666667</v>
      </c>
      <c r="Q45" s="10" t="n">
        <f aca="false">Q$33+Q$34+Q$35+Q$36+Q$37+Q$38+Q$39+Q$40+Q$41+Q$42+Q$43+Q$44</f>
        <v>404166.666666667</v>
      </c>
      <c r="R45" s="10" t="n">
        <f aca="false">R$33+R$34+R$35+R$36+R$37+R$38+R$39+R$40+R$41+R$42+R$43+R$44</f>
        <v>515100</v>
      </c>
      <c r="S45" s="10" t="n">
        <f aca="false">S$33+S$34+S$35+S$36+S$37+S$38+S$39+S$40+S$41+S$42+S$43+S$44</f>
        <v>515100</v>
      </c>
      <c r="T45" s="10" t="n">
        <f aca="false">T$33+T$34+T$35+T$36+T$37+T$38+T$39+T$40+T$41+T$42+T$43+T$44</f>
        <v>515100</v>
      </c>
      <c r="U45" s="10" t="n">
        <f aca="false">U$33+U$34+U$35+U$36+U$37+U$38+U$39+U$40+U$41+U$42+U$43+U$44</f>
        <v>515100</v>
      </c>
      <c r="V45" s="10" t="n">
        <f aca="false">V$33+V$34+V$35+V$36+V$37+V$38+V$39+V$40+V$41+V$42+V$43+V$44</f>
        <v>515100</v>
      </c>
      <c r="W45" s="10" t="n">
        <f aca="false">W$33+W$34+W$35+W$36+W$37+W$38+W$39+W$40+W$41+W$42+W$43+W$44</f>
        <v>515100</v>
      </c>
      <c r="X45" s="10" t="n">
        <f aca="false">X$33+X$34+X$35+X$36+X$37+X$38+X$39+X$40+X$41+X$42+X$43+X$44</f>
        <v>515100</v>
      </c>
      <c r="Y45" s="10" t="n">
        <f aca="false">Y$33+Y$34+Y$35+Y$36+Y$37+Y$38+Y$39+Y$40+Y$41+Y$42+Y$43+Y$44</f>
        <v>515100</v>
      </c>
      <c r="Z45" s="10" t="n">
        <f aca="false">Z$33+Z$34+Z$35+Z$36+Z$37+Z$38+Z$39+Z$40+Z$41+Z$42+Z$43+Z$44</f>
        <v>515100</v>
      </c>
      <c r="AA45" s="10" t="n">
        <f aca="false">AA$33+AA$34+AA$35+AA$36+AA$37+AA$38+AA$39+AA$40+AA$41+AA$42+AA$43+AA$44</f>
        <v>515100</v>
      </c>
      <c r="AB45" s="10" t="n">
        <f aca="false">AB$33+AB$34+AB$35+AB$36+AB$37+AB$38+AB$39+AB$40+AB$41+AB$42+AB$43+AB$44</f>
        <v>515100</v>
      </c>
      <c r="AC45" s="10" t="n">
        <f aca="false">AC$33+AC$34+AC$35+AC$36+AC$37+AC$38+AC$39+AC$40+AC$41+AC$42+AC$43+AC$44</f>
        <v>515100</v>
      </c>
      <c r="AD45" s="10" t="n">
        <f aca="false">AD$33+AD$34+AD$35+AD$36+AD$37+AD$38+AD$39+AD$40+AD$41+AD$42+AD$43+AD$44</f>
        <v>628211.583333333</v>
      </c>
      <c r="AE45" s="10" t="n">
        <f aca="false">AE$33+AE$34+AE$35+AE$36+AE$37+AE$38+AE$39+AE$40+AE$41+AE$42+AE$43+AE$44</f>
        <v>628211.583333333</v>
      </c>
      <c r="AF45" s="10" t="n">
        <f aca="false">AF$33+AF$34+AF$35+AF$36+AF$37+AF$38+AF$39+AF$40+AF$41+AF$42+AF$43+AF$44</f>
        <v>628211.583333333</v>
      </c>
      <c r="AG45" s="10" t="n">
        <f aca="false">AG$33+AG$34+AG$35+AG$36+AG$37+AG$38+AG$39+AG$40+AG$41+AG$42+AG$43+AG$44</f>
        <v>628211.583333333</v>
      </c>
      <c r="AH45" s="10" t="n">
        <f aca="false">AH$33+AH$34+AH$35+AH$36+AH$37+AH$38+AH$39+AH$40+AH$41+AH$42+AH$43+AH$44</f>
        <v>628211.583333333</v>
      </c>
      <c r="AI45" s="10" t="n">
        <f aca="false">AI$33+AI$34+AI$35+AI$36+AI$37+AI$38+AI$39+AI$40+AI$41+AI$42+AI$43+AI$44</f>
        <v>628211.583333333</v>
      </c>
      <c r="AJ45" s="10" t="n">
        <f aca="false">AJ$33+AJ$34+AJ$35+AJ$36+AJ$37+AJ$38+AJ$39+AJ$40+AJ$41+AJ$42+AJ$43+AJ$44</f>
        <v>628211.583333333</v>
      </c>
      <c r="AK45" s="10" t="n">
        <f aca="false">AK$33+AK$34+AK$35+AK$36+AK$37+AK$38+AK$39+AK$40+AK$41+AK$42+AK$43+AK$44</f>
        <v>628211.583333333</v>
      </c>
      <c r="AL45" s="10" t="n">
        <f aca="false">AL$33+AL$34+AL$35+AL$36+AL$37+AL$38+AL$39+AL$40+AL$41+AL$42+AL$43+AL$44</f>
        <v>628211.583333333</v>
      </c>
      <c r="AM45" s="10" t="n">
        <f aca="false">AM$33+AM$34+AM$35+AM$36+AM$37+AM$38+AM$39+AM$40+AM$41+AM$42+AM$43+AM$44</f>
        <v>628211.583333333</v>
      </c>
      <c r="AN45" s="10" t="n">
        <f aca="false">AN$33+AN$34+AN$35+AN$36+AN$37+AN$38+AN$39+AN$40+AN$41+AN$42+AN$43+AN$44</f>
        <v>628211.583333333</v>
      </c>
      <c r="AO45" s="10" t="n">
        <f aca="false">AO$33+AO$34+AO$35+AO$36+AO$37+AO$38+AO$39+AO$40+AO$41+AO$42+AO$43+AO$44</f>
        <v>628211.583333333</v>
      </c>
      <c r="AP45" s="10" t="n">
        <f aca="false">AP$33+AP$34+AP$35+AP$36+AP$37+AP$38+AP$39+AP$40+AP$41+AP$42+AP$43+AP$44</f>
        <v>723786.4525</v>
      </c>
      <c r="AQ45" s="10" t="n">
        <f aca="false">AQ$33+AQ$34+AQ$35+AQ$36+AQ$37+AQ$38+AQ$39+AQ$40+AQ$41+AQ$42+AQ$43+AQ$44</f>
        <v>723786.4525</v>
      </c>
      <c r="AR45" s="10" t="n">
        <f aca="false">AR$33+AR$34+AR$35+AR$36+AR$37+AR$38+AR$39+AR$40+AR$41+AR$42+AR$43+AR$44</f>
        <v>723786.4525</v>
      </c>
      <c r="AS45" s="10" t="n">
        <f aca="false">AS$33+AS$34+AS$35+AS$36+AS$37+AS$38+AS$39+AS$40+AS$41+AS$42+AS$43+AS$44</f>
        <v>723786.4525</v>
      </c>
      <c r="AT45" s="10" t="n">
        <f aca="false">AT$33+AT$34+AT$35+AT$36+AT$37+AT$38+AT$39+AT$40+AT$41+AT$42+AT$43+AT$44</f>
        <v>723786.4525</v>
      </c>
      <c r="AU45" s="10" t="n">
        <f aca="false">AU$33+AU$34+AU$35+AU$36+AU$37+AU$38+AU$39+AU$40+AU$41+AU$42+AU$43+AU$44</f>
        <v>723786.4525</v>
      </c>
      <c r="AV45" s="10" t="n">
        <f aca="false">AV$33+AV$34+AV$35+AV$36+AV$37+AV$38+AV$39+AV$40+AV$41+AV$42+AV$43+AV$44</f>
        <v>723786.4525</v>
      </c>
      <c r="AW45" s="10" t="n">
        <f aca="false">AW$33+AW$34+AW$35+AW$36+AW$37+AW$38+AW$39+AW$40+AW$41+AW$42+AW$43+AW$44</f>
        <v>723786.4525</v>
      </c>
      <c r="AX45" s="10" t="n">
        <f aca="false">AX$33+AX$34+AX$35+AX$36+AX$37+AX$38+AX$39+AX$40+AX$41+AX$42+AX$43+AX$44</f>
        <v>723786.4525</v>
      </c>
      <c r="AY45" s="10" t="n">
        <f aca="false">AY$33+AY$34+AY$35+AY$36+AY$37+AY$38+AY$39+AY$40+AY$41+AY$42+AY$43+AY$44</f>
        <v>723786.4525</v>
      </c>
      <c r="AZ45" s="10" t="n">
        <f aca="false">AZ$33+AZ$34+AZ$35+AZ$36+AZ$37+AZ$38+AZ$39+AZ$40+AZ$41+AZ$42+AZ$43+AZ$44</f>
        <v>723786.4525</v>
      </c>
      <c r="BA45" s="10" t="n">
        <f aca="false">BA$33+BA$34+BA$35+BA$36+BA$37+BA$38+BA$39+BA$40+BA$41+BA$42+BA$43+BA$44</f>
        <v>723786.4525</v>
      </c>
      <c r="BB45" s="10" t="n">
        <f aca="false">BB$33+BB$34+BB$35+BB$36+BB$37+BB$38+BB$39+BB$40+BB$41+BB$42+BB$43+BB$44</f>
        <v>731024.317025</v>
      </c>
      <c r="BC45" s="10" t="n">
        <f aca="false">BC$33+BC$34+BC$35+BC$36+BC$37+BC$38+BC$39+BC$40+BC$41+BC$42+BC$43+BC$44</f>
        <v>731024.317025</v>
      </c>
      <c r="BD45" s="10" t="n">
        <f aca="false">BD$33+BD$34+BD$35+BD$36+BD$37+BD$38+BD$39+BD$40+BD$41+BD$42+BD$43+BD$44</f>
        <v>731024.317025</v>
      </c>
      <c r="BE45" s="10" t="n">
        <f aca="false">BE$33+BE$34+BE$35+BE$36+BE$37+BE$38+BE$39+BE$40+BE$41+BE$42+BE$43+BE$44</f>
        <v>731024.317025</v>
      </c>
      <c r="BF45" s="10" t="n">
        <f aca="false">BF$33+BF$34+BF$35+BF$36+BF$37+BF$38+BF$39+BF$40+BF$41+BF$42+BF$43+BF$44</f>
        <v>731024.317025</v>
      </c>
      <c r="BG45" s="10" t="n">
        <f aca="false">BG$33+BG$34+BG$35+BG$36+BG$37+BG$38+BG$39+BG$40+BG$41+BG$42+BG$43+BG$44</f>
        <v>731024.317025</v>
      </c>
      <c r="BH45" s="10" t="n">
        <f aca="false">BH$33+BH$34+BH$35+BH$36+BH$37+BH$38+BH$39+BH$40+BH$41+BH$42+BH$43+BH$44</f>
        <v>731024.317025</v>
      </c>
      <c r="BI45" s="10" t="n">
        <f aca="false">BI$33+BI$34+BI$35+BI$36+BI$37+BI$38+BI$39+BI$40+BI$41+BI$42+BI$43+BI$44</f>
        <v>731024.317025</v>
      </c>
      <c r="BJ45" s="10" t="n">
        <f aca="false">BJ$33+BJ$34+BJ$35+BJ$36+BJ$37+BJ$38+BJ$39+BJ$40+BJ$41+BJ$42+BJ$43+BJ$44</f>
        <v>731024.317025</v>
      </c>
      <c r="BK45" s="10" t="n">
        <f aca="false">BK$33+BK$34+BK$35+BK$36+BK$37+BK$38+BK$39+BK$40+BK$41+BK$42+BK$43+BK$44</f>
        <v>731024.317025</v>
      </c>
      <c r="BL45" s="10" t="n">
        <f aca="false">BL$33+BL$34+BL$35+BL$36+BL$37+BL$38+BL$39+BL$40+BL$41+BL$42+BL$43+BL$44</f>
        <v>731024.317025</v>
      </c>
      <c r="BM45" s="10" t="n">
        <f aca="false">BM$33+BM$34+BM$35+BM$36+BM$37+BM$38+BM$39+BM$40+BM$41+BM$42+BM$43+BM$44</f>
        <v>731024.317025</v>
      </c>
      <c r="BN45" s="10" t="n">
        <f aca="false">BN$33+BN$34+BN$35+BN$36+BN$37+BN$38+BN$39+BN$40+BN$41+BN$42+BN$43+BN$44</f>
        <v>738334.56019525</v>
      </c>
      <c r="BO45" s="10" t="n">
        <f aca="false">BO$33+BO$34+BO$35+BO$36+BO$37+BO$38+BO$39+BO$40+BO$41+BO$42+BO$43+BO$44</f>
        <v>738334.56019525</v>
      </c>
      <c r="BP45" s="10" t="n">
        <f aca="false">BP$33+BP$34+BP$35+BP$36+BP$37+BP$38+BP$39+BP$40+BP$41+BP$42+BP$43+BP$44</f>
        <v>738334.56019525</v>
      </c>
      <c r="BQ45" s="10" t="n">
        <f aca="false">BQ$33+BQ$34+BQ$35+BQ$36+BQ$37+BQ$38+BQ$39+BQ$40+BQ$41+BQ$42+BQ$43+BQ$44</f>
        <v>738334.56019525</v>
      </c>
      <c r="BR45" s="10" t="n">
        <f aca="false">BR$33+BR$34+BR$35+BR$36+BR$37+BR$38+BR$39+BR$40+BR$41+BR$42+BR$43+BR$44</f>
        <v>738334.56019525</v>
      </c>
      <c r="BS45" s="10" t="n">
        <f aca="false">BS$33+BS$34+BS$35+BS$36+BS$37+BS$38+BS$39+BS$40+BS$41+BS$42+BS$43+BS$44</f>
        <v>738334.56019525</v>
      </c>
      <c r="BT45" s="10" t="n">
        <f aca="false">BT$33+BT$34+BT$35+BT$36+BT$37+BT$38+BT$39+BT$40+BT$41+BT$42+BT$43+BT$44</f>
        <v>738334.56019525</v>
      </c>
      <c r="BU45" s="10" t="n">
        <f aca="false">BU$33+BU$34+BU$35+BU$36+BU$37+BU$38+BU$39+BU$40+BU$41+BU$42+BU$43+BU$44</f>
        <v>738334.56019525</v>
      </c>
      <c r="BV45" s="10" t="n">
        <f aca="false">BV$33+BV$34+BV$35+BV$36+BV$37+BV$38+BV$39+BV$40+BV$41+BV$42+BV$43+BV$44</f>
        <v>738334.56019525</v>
      </c>
      <c r="BW45" s="10" t="n">
        <f aca="false">BW$33+BW$34+BW$35+BW$36+BW$37+BW$38+BW$39+BW$40+BW$41+BW$42+BW$43+BW$44</f>
        <v>738334.56019525</v>
      </c>
      <c r="BX45" s="10" t="n">
        <f aca="false">BX$33+BX$34+BX$35+BX$36+BX$37+BX$38+BX$39+BX$40+BX$41+BX$42+BX$43+BX$44</f>
        <v>738334.56019525</v>
      </c>
      <c r="BY45" s="10" t="n">
        <f aca="false">BY$33+BY$34+BY$35+BY$36+BY$37+BY$38+BY$39+BY$40+BY$41+BY$42+BY$43+BY$44</f>
        <v>738334.56019525</v>
      </c>
      <c r="BZ45" s="10" t="n">
        <f aca="false">BZ$33+BZ$34+BZ$35+BZ$36+BZ$37+BZ$38+BZ$39+BZ$40+BZ$41+BZ$42+BZ$43+BZ$44</f>
        <v>745717.905797202</v>
      </c>
      <c r="CA45" s="10" t="n">
        <f aca="false">CA$33+CA$34+CA$35+CA$36+CA$37+CA$38+CA$39+CA$40+CA$41+CA$42+CA$43+CA$44</f>
        <v>745717.905797202</v>
      </c>
      <c r="CB45" s="10" t="n">
        <f aca="false">CB$33+CB$34+CB$35+CB$36+CB$37+CB$38+CB$39+CB$40+CB$41+CB$42+CB$43+CB$44</f>
        <v>745717.905797202</v>
      </c>
      <c r="CC45" s="10" t="n">
        <f aca="false">CC$33+CC$34+CC$35+CC$36+CC$37+CC$38+CC$39+CC$40+CC$41+CC$42+CC$43+CC$44</f>
        <v>745717.905797202</v>
      </c>
      <c r="CD45" s="10" t="n">
        <f aca="false">CD$33+CD$34+CD$35+CD$36+CD$37+CD$38+CD$39+CD$40+CD$41+CD$42+CD$43+CD$44</f>
        <v>745717.905797202</v>
      </c>
      <c r="CE45" s="10" t="n">
        <f aca="false">CE$33+CE$34+CE$35+CE$36+CE$37+CE$38+CE$39+CE$40+CE$41+CE$42+CE$43+CE$44</f>
        <v>745717.905797202</v>
      </c>
      <c r="CF45" s="10" t="n">
        <f aca="false">CF$33+CF$34+CF$35+CF$36+CF$37+CF$38+CF$39+CF$40+CF$41+CF$42+CF$43+CF$44</f>
        <v>745717.905797202</v>
      </c>
      <c r="CG45" s="10" t="n">
        <f aca="false">CG$33+CG$34+CG$35+CG$36+CG$37+CG$38+CG$39+CG$40+CG$41+CG$42+CG$43+CG$44</f>
        <v>745717.905797202</v>
      </c>
      <c r="CH45" s="10" t="n">
        <f aca="false">CH$33+CH$34+CH$35+CH$36+CH$37+CH$38+CH$39+CH$40+CH$41+CH$42+CH$43+CH$44</f>
        <v>745717.905797202</v>
      </c>
      <c r="CI45" s="10" t="n">
        <f aca="false">CI$33+CI$34+CI$35+CI$36+CI$37+CI$38+CI$39+CI$40+CI$41+CI$42+CI$43+CI$44</f>
        <v>745717.905797202</v>
      </c>
      <c r="CJ45" s="10" t="n">
        <f aca="false">CJ$33+CJ$34+CJ$35+CJ$36+CJ$37+CJ$38+CJ$39+CJ$40+CJ$41+CJ$42+CJ$43+CJ$44</f>
        <v>745717.905797202</v>
      </c>
      <c r="CK45" s="10" t="n">
        <f aca="false">CK$33+CK$34+CK$35+CK$36+CK$37+CK$38+CK$39+CK$40+CK$41+CK$42+CK$43+CK$44</f>
        <v>745717.905797202</v>
      </c>
      <c r="CL45" s="10" t="n">
        <f aca="false">CL$33+CL$34+CL$35+CL$36+CL$37+CL$38+CL$39+CL$40+CL$41+CL$42+CL$43+CL$44</f>
        <v>753175.084855174</v>
      </c>
      <c r="CM45" s="10" t="n">
        <f aca="false">CM$33+CM$34+CM$35+CM$36+CM$37+CM$38+CM$39+CM$40+CM$41+CM$42+CM$43+CM$44</f>
        <v>753175.084855174</v>
      </c>
      <c r="CN45" s="10" t="n">
        <f aca="false">CN$33+CN$34+CN$35+CN$36+CN$37+CN$38+CN$39+CN$40+CN$41+CN$42+CN$43+CN$44</f>
        <v>753175.084855174</v>
      </c>
      <c r="CO45" s="10" t="n">
        <f aca="false">CO$33+CO$34+CO$35+CO$36+CO$37+CO$38+CO$39+CO$40+CO$41+CO$42+CO$43+CO$44</f>
        <v>753175.084855174</v>
      </c>
      <c r="CP45" s="10" t="n">
        <f aca="false">CP$33+CP$34+CP$35+CP$36+CP$37+CP$38+CP$39+CP$40+CP$41+CP$42+CP$43+CP$44</f>
        <v>753175.084855174</v>
      </c>
      <c r="CQ45" s="10" t="n">
        <f aca="false">CQ$33+CQ$34+CQ$35+CQ$36+CQ$37+CQ$38+CQ$39+CQ$40+CQ$41+CQ$42+CQ$43+CQ$44</f>
        <v>753175.084855174</v>
      </c>
      <c r="CR45" s="10" t="n">
        <f aca="false">CR$33+CR$34+CR$35+CR$36+CR$37+CR$38+CR$39+CR$40+CR$41+CR$42+CR$43+CR$44</f>
        <v>753175.084855174</v>
      </c>
      <c r="CS45" s="10" t="n">
        <f aca="false">CS$33+CS$34+CS$35+CS$36+CS$37+CS$38+CS$39+CS$40+CS$41+CS$42+CS$43+CS$44</f>
        <v>753175.084855174</v>
      </c>
      <c r="CT45" s="10" t="n">
        <f aca="false">CT$33+CT$34+CT$35+CT$36+CT$37+CT$38+CT$39+CT$40+CT$41+CT$42+CT$43+CT$44</f>
        <v>753175.084855174</v>
      </c>
      <c r="CU45" s="10" t="n">
        <f aca="false">CU$33+CU$34+CU$35+CU$36+CU$37+CU$38+CU$39+CU$40+CU$41+CU$42+CU$43+CU$44</f>
        <v>753175.084855174</v>
      </c>
      <c r="CV45" s="10" t="n">
        <f aca="false">CV$33+CV$34+CV$35+CV$36+CV$37+CV$38+CV$39+CV$40+CV$41+CV$42+CV$43+CV$44</f>
        <v>753175.084855174</v>
      </c>
      <c r="CW45" s="10" t="n">
        <f aca="false">CW$33+CW$34+CW$35+CW$36+CW$37+CW$38+CW$39+CW$40+CW$41+CW$42+CW$43+CW$44</f>
        <v>753175.084855174</v>
      </c>
      <c r="CX45" s="10" t="n">
        <f aca="false">CX$33+CX$34+CX$35+CX$36+CX$37+CX$38+CX$39+CX$40+CX$41+CX$42+CX$43+CX$44</f>
        <v>760706.835703726</v>
      </c>
      <c r="CY45" s="10" t="n">
        <f aca="false">CY$33+CY$34+CY$35+CY$36+CY$37+CY$38+CY$39+CY$40+CY$41+CY$42+CY$43+CY$44</f>
        <v>760706.835703726</v>
      </c>
      <c r="CZ45" s="10" t="n">
        <f aca="false">CZ$33+CZ$34+CZ$35+CZ$36+CZ$37+CZ$38+CZ$39+CZ$40+CZ$41+CZ$42+CZ$43+CZ$44</f>
        <v>760706.835703726</v>
      </c>
      <c r="DA45" s="10" t="n">
        <f aca="false">DA$33+DA$34+DA$35+DA$36+DA$37+DA$38+DA$39+DA$40+DA$41+DA$42+DA$43+DA$44</f>
        <v>760706.835703726</v>
      </c>
      <c r="DB45" s="10" t="n">
        <f aca="false">DB$33+DB$34+DB$35+DB$36+DB$37+DB$38+DB$39+DB$40+DB$41+DB$42+DB$43+DB$44</f>
        <v>760706.835703726</v>
      </c>
      <c r="DC45" s="10" t="n">
        <f aca="false">DC$33+DC$34+DC$35+DC$36+DC$37+DC$38+DC$39+DC$40+DC$41+DC$42+DC$43+DC$44</f>
        <v>760706.835703726</v>
      </c>
      <c r="DD45" s="10" t="n">
        <f aca="false">DD$33+DD$34+DD$35+DD$36+DD$37+DD$38+DD$39+DD$40+DD$41+DD$42+DD$43+DD$44</f>
        <v>760706.835703726</v>
      </c>
      <c r="DE45" s="10" t="n">
        <f aca="false">DE$33+DE$34+DE$35+DE$36+DE$37+DE$38+DE$39+DE$40+DE$41+DE$42+DE$43+DE$44</f>
        <v>760706.835703726</v>
      </c>
      <c r="DF45" s="10" t="n">
        <f aca="false">DF$33+DF$34+DF$35+DF$36+DF$37+DF$38+DF$39+DF$40+DF$41+DF$42+DF$43+DF$44</f>
        <v>760706.835703726</v>
      </c>
      <c r="DG45" s="10" t="n">
        <f aca="false">DG$33+DG$34+DG$35+DG$36+DG$37+DG$38+DG$39+DG$40+DG$41+DG$42+DG$43+DG$44</f>
        <v>760706.835703726</v>
      </c>
      <c r="DH45" s="10" t="n">
        <f aca="false">DH$33+DH$34+DH$35+DH$36+DH$37+DH$38+DH$39+DH$40+DH$41+DH$42+DH$43+DH$44</f>
        <v>760706.835703726</v>
      </c>
      <c r="DI45" s="10" t="n">
        <f aca="false">DI$33+DI$34+DI$35+DI$36+DI$37+DI$38+DI$39+DI$40+DI$41+DI$42+DI$43+DI$44</f>
        <v>760706.835703726</v>
      </c>
      <c r="DJ45" s="10" t="n">
        <f aca="false">DJ$33+DJ$34+DJ$35+DJ$36+DJ$37+DJ$38+DJ$39+DJ$40+DJ$41+DJ$42+DJ$43+DJ$44</f>
        <v>768313.904060764</v>
      </c>
      <c r="DK45" s="10" t="n">
        <f aca="false">DK$33+DK$34+DK$35+DK$36+DK$37+DK$38+DK$39+DK$40+DK$41+DK$42+DK$43+DK$44</f>
        <v>768313.904060764</v>
      </c>
      <c r="DL45" s="10" t="n">
        <f aca="false">DL$33+DL$34+DL$35+DL$36+DL$37+DL$38+DL$39+DL$40+DL$41+DL$42+DL$43+DL$44</f>
        <v>768313.904060764</v>
      </c>
      <c r="DM45" s="10" t="n">
        <f aca="false">DM$33+DM$34+DM$35+DM$36+DM$37+DM$38+DM$39+DM$40+DM$41+DM$42+DM$43+DM$44</f>
        <v>768313.904060764</v>
      </c>
      <c r="DN45" s="10" t="n">
        <f aca="false">DN$33+DN$34+DN$35+DN$36+DN$37+DN$38+DN$39+DN$40+DN$41+DN$42+DN$43+DN$44</f>
        <v>768313.904060764</v>
      </c>
      <c r="DO45" s="10" t="n">
        <f aca="false">DO$33+DO$34+DO$35+DO$36+DO$37+DO$38+DO$39+DO$40+DO$41+DO$42+DO$43+DO$44</f>
        <v>768313.904060764</v>
      </c>
      <c r="DP45" s="10" t="n">
        <f aca="false">DP$33+DP$34+DP$35+DP$36+DP$37+DP$38+DP$39+DP$40+DP$41+DP$42+DP$43+DP$44</f>
        <v>768313.904060764</v>
      </c>
      <c r="DQ45" s="10" t="n">
        <f aca="false">DQ$33+DQ$34+DQ$35+DQ$36+DQ$37+DQ$38+DQ$39+DQ$40+DQ$41+DQ$42+DQ$43+DQ$44</f>
        <v>768313.904060764</v>
      </c>
      <c r="DR45" s="10" t="n">
        <f aca="false">DR$33+DR$34+DR$35+DR$36+DR$37+DR$38+DR$39+DR$40+DR$41+DR$42+DR$43+DR$44</f>
        <v>768313.904060764</v>
      </c>
      <c r="DS45" s="10" t="n">
        <f aca="false">DS$33+DS$34+DS$35+DS$36+DS$37+DS$38+DS$39+DS$40+DS$41+DS$42+DS$43+DS$44</f>
        <v>768313.904060764</v>
      </c>
      <c r="DT45" s="10" t="n">
        <f aca="false">DT$33+DT$34+DT$35+DT$36+DT$37+DT$38+DT$39+DT$40+DT$41+DT$42+DT$43+DT$44</f>
        <v>768313.904060764</v>
      </c>
      <c r="DU45" s="10" t="n">
        <f aca="false">DU$33+DU$34+DU$35+DU$36+DU$37+DU$38+DU$39+DU$40+DU$41+DU$42+DU$43+DU$44</f>
        <v>768313.904060764</v>
      </c>
      <c r="DV45" s="10" t="n">
        <f aca="false">DV$33+DV$34+DV$35+DV$36+DV$37+DV$38+DV$39+DV$40+DV$41+DV$42+DV$43+DV$44</f>
        <v>0</v>
      </c>
      <c r="DW45" s="10" t="n">
        <f aca="false">DW$33+DW$34+DW$35+DW$36+DW$37+DW$38+DW$39+DW$40+DW$41+DW$42+DW$43+DW$44</f>
        <v>0</v>
      </c>
      <c r="DX45" s="10" t="n">
        <f aca="false">DX$33+DX$34+DX$35+DX$36+DX$37+DX$38+DX$39+DX$40+DX$41+DX$42+DX$43+DX$44</f>
        <v>0</v>
      </c>
      <c r="DY45" s="10" t="n">
        <f aca="false">DY$33+DY$34+DY$35+DY$36+DY$37+DY$38+DY$39+DY$40+DY$41+DY$42+DY$43+DY$44</f>
        <v>0</v>
      </c>
      <c r="DZ45" s="10" t="n">
        <f aca="false">DZ$33+DZ$34+DZ$35+DZ$36+DZ$37+DZ$38+DZ$39+DZ$40+DZ$41+DZ$42+DZ$43+DZ$44</f>
        <v>0</v>
      </c>
      <c r="EA45" s="10" t="n">
        <f aca="false">EA$33+EA$34+EA$35+EA$36+EA$37+EA$38+EA$39+EA$40+EA$41+EA$42+EA$43+EA$44</f>
        <v>0</v>
      </c>
      <c r="EB45" s="10" t="n">
        <f aca="false">EB$33+EB$34+EB$35+EB$36+EB$37+EB$38+EB$39+EB$40+EB$41+EB$42+EB$43+EB$44</f>
        <v>0</v>
      </c>
      <c r="EC45" s="10" t="n">
        <f aca="false">EC$33+EC$34+EC$35+EC$36+EC$37+EC$38+EC$39+EC$40+EC$41+EC$42+EC$43+EC$44</f>
        <v>0</v>
      </c>
      <c r="ED45" s="10" t="n">
        <f aca="false">ED$33+ED$34+ED$35+ED$36+ED$37+ED$38+ED$39+ED$40+ED$41+ED$42+ED$43+ED$44</f>
        <v>0</v>
      </c>
      <c r="EE45" s="10" t="n">
        <f aca="false">EE$33+EE$34+EE$35+EE$36+EE$37+EE$38+EE$39+EE$40+EE$41+EE$42+EE$43+EE$44</f>
        <v>0</v>
      </c>
      <c r="EF45" s="10" t="n">
        <f aca="false">EF$33+EF$34+EF$35+EF$36+EF$37+EF$38+EF$39+EF$40+EF$41+EF$42+EF$43+EF$44</f>
        <v>0</v>
      </c>
      <c r="EG45" s="10" t="n">
        <f aca="false">EG$33+EG$34+EG$35+EG$36+EG$37+EG$38+EG$39+EG$40+EG$41+EG$42+EG$43+EG$44</f>
        <v>0</v>
      </c>
      <c r="EH45" s="10" t="n">
        <f aca="false">EH$33+EH$34+EH$35+EH$36+EH$37+EH$38+EH$39+EH$40+EH$41+EH$42+EH$43+EH$44</f>
        <v>0</v>
      </c>
      <c r="EI45" s="10" t="n">
        <f aca="false">EI$33+EI$34+EI$35+EI$36+EI$37+EI$38+EI$39+EI$40+EI$41+EI$42+EI$43+EI$44</f>
        <v>0</v>
      </c>
      <c r="EJ45" s="10" t="n">
        <f aca="false">EJ$33+EJ$34+EJ$35+EJ$36+EJ$37+EJ$38+EJ$39+EJ$40+EJ$41+EJ$42+EJ$43+EJ$44</f>
        <v>0</v>
      </c>
      <c r="EK45" s="10" t="n">
        <f aca="false">EK$33+EK$34+EK$35+EK$36+EK$37+EK$38+EK$39+EK$40+EK$41+EK$42+EK$43+EK$44</f>
        <v>0</v>
      </c>
      <c r="EL45" s="10" t="n">
        <f aca="false">EL$33+EL$34+EL$35+EL$36+EL$37+EL$38+EL$39+EL$40+EL$41+EL$42+EL$43+EL$44</f>
        <v>0</v>
      </c>
      <c r="EM45" s="10" t="n">
        <f aca="false">EM$33+EM$34+EM$35+EM$36+EM$37+EM$38+EM$39+EM$40+EM$41+EM$42+EM$43+EM$44</f>
        <v>0</v>
      </c>
      <c r="EN45" s="10" t="n">
        <f aca="false">EN$33+EN$34+EN$35+EN$36+EN$37+EN$38+EN$39+EN$40+EN$41+EN$42+EN$43+EN$44</f>
        <v>0</v>
      </c>
      <c r="EO45" s="10" t="n">
        <f aca="false">EO$33+EO$34+EO$35+EO$36+EO$37+EO$38+EO$39+EO$40+EO$41+EO$42+EO$43+EO$44</f>
        <v>0</v>
      </c>
      <c r="EP45" s="10" t="n">
        <f aca="false">EP$33+EP$34+EP$35+EP$36+EP$37+EP$38+EP$39+EP$40+EP$41+EP$42+EP$43+EP$44</f>
        <v>0</v>
      </c>
      <c r="EQ45" s="10" t="n">
        <f aca="false">EQ$33+EQ$34+EQ$35+EQ$36+EQ$37+EQ$38+EQ$39+EQ$40+EQ$41+EQ$42+EQ$43+EQ$44</f>
        <v>0</v>
      </c>
      <c r="ER45" s="10" t="n">
        <f aca="false">ER$33+ER$34+ER$35+ER$36+ER$37+ER$38+ER$39+ER$40+ER$41+ER$42+ER$43+ER$44</f>
        <v>0</v>
      </c>
      <c r="ES45" s="10" t="n">
        <f aca="false">ES$33+ES$34+ES$35+ES$36+ES$37+ES$38+ES$39+ES$40+ES$41+ES$42+ES$43+ES$44</f>
        <v>0</v>
      </c>
    </row>
    <row r="46" customFormat="false" ht="15" hidden="false" customHeight="false" outlineLevel="0" collapsed="false">
      <c r="A46" s="4"/>
      <c r="B46" s="3" t="s">
        <v>584</v>
      </c>
      <c r="C46" s="4"/>
      <c r="D46" s="4"/>
      <c r="E46" s="4"/>
    </row>
    <row r="47" customFormat="false" ht="15" hidden="false" customHeight="false" outlineLevel="0" collapsed="false">
      <c r="A47" s="2" t="s">
        <v>585</v>
      </c>
      <c r="B47" s="6" t="s">
        <v>586</v>
      </c>
      <c r="C47" s="6" t="s">
        <v>250</v>
      </c>
      <c r="E47" s="40" t="n">
        <f aca="false">SUM(F47:ES47)</f>
        <v>25293483.38356</v>
      </c>
      <c r="F47" s="34" t="n">
        <f aca="false">SUMPRODUCT(F21:F32,MP_O)*INDEX(IdxMP_O,1,MIN(10,F$17))*(1+P_dMat)/(1-P_Merma)</f>
        <v>125875</v>
      </c>
      <c r="G47" s="34" t="n">
        <f aca="false">SUMPRODUCT(G21:G32,MP_O)*INDEX(IdxMP_O,1,MIN(10,G$17))*(1+P_dMat)/(1-P_Merma)</f>
        <v>125875</v>
      </c>
      <c r="H47" s="34" t="n">
        <f aca="false">SUMPRODUCT(H21:H32,MP_O)*INDEX(IdxMP_O,1,MIN(10,H$17))*(1+P_dMat)/(1-P_Merma)</f>
        <v>125875</v>
      </c>
      <c r="I47" s="34" t="n">
        <f aca="false">SUMPRODUCT(I21:I32,MP_O)*INDEX(IdxMP_O,1,MIN(10,I$17))*(1+P_dMat)/(1-P_Merma)</f>
        <v>125875</v>
      </c>
      <c r="J47" s="34" t="n">
        <f aca="false">SUMPRODUCT(J21:J32,MP_O)*INDEX(IdxMP_O,1,MIN(10,J$17))*(1+P_dMat)/(1-P_Merma)</f>
        <v>125875</v>
      </c>
      <c r="K47" s="34" t="n">
        <f aca="false">SUMPRODUCT(K21:K32,MP_O)*INDEX(IdxMP_O,1,MIN(10,K$17))*(1+P_dMat)/(1-P_Merma)</f>
        <v>125875</v>
      </c>
      <c r="L47" s="34" t="n">
        <f aca="false">SUMPRODUCT(L21:L32,MP_O)*INDEX(IdxMP_O,1,MIN(10,L$17))*(1+P_dMat)/(1-P_Merma)</f>
        <v>125875</v>
      </c>
      <c r="M47" s="34" t="n">
        <f aca="false">SUMPRODUCT(M21:M32,MP_O)*INDEX(IdxMP_O,1,MIN(10,M$17))*(1+P_dMat)/(1-P_Merma)</f>
        <v>125875</v>
      </c>
      <c r="N47" s="34" t="n">
        <f aca="false">SUMPRODUCT(N21:N32,MP_O)*INDEX(IdxMP_O,1,MIN(10,N$17))*(1+P_dMat)/(1-P_Merma)</f>
        <v>125875</v>
      </c>
      <c r="O47" s="34" t="n">
        <f aca="false">SUMPRODUCT(O21:O32,MP_O)*INDEX(IdxMP_O,1,MIN(10,O$17))*(1+P_dMat)/(1-P_Merma)</f>
        <v>125875</v>
      </c>
      <c r="P47" s="34" t="n">
        <f aca="false">SUMPRODUCT(P21:P32,MP_O)*INDEX(IdxMP_O,1,MIN(10,P$17))*(1+P_dMat)/(1-P_Merma)</f>
        <v>125875</v>
      </c>
      <c r="Q47" s="34" t="n">
        <f aca="false">SUMPRODUCT(Q21:Q32,MP_O)*INDEX(IdxMP_O,1,MIN(10,Q$17))*(1+P_dMat)/(1-P_Merma)</f>
        <v>125875</v>
      </c>
      <c r="R47" s="34" t="n">
        <f aca="false">SUMPRODUCT(R21:R32,MP_O)*INDEX(IdxMP_O,1,MIN(10,R$17))*(1+P_dMat)/(1-P_Merma)</f>
        <v>160476.375</v>
      </c>
      <c r="S47" s="34" t="n">
        <f aca="false">SUMPRODUCT(S21:S32,MP_O)*INDEX(IdxMP_O,1,MIN(10,S$17))*(1+P_dMat)/(1-P_Merma)</f>
        <v>160476.375</v>
      </c>
      <c r="T47" s="34" t="n">
        <f aca="false">SUMPRODUCT(T21:T32,MP_O)*INDEX(IdxMP_O,1,MIN(10,T$17))*(1+P_dMat)/(1-P_Merma)</f>
        <v>160476.375</v>
      </c>
      <c r="U47" s="34" t="n">
        <f aca="false">SUMPRODUCT(U21:U32,MP_O)*INDEX(IdxMP_O,1,MIN(10,U$17))*(1+P_dMat)/(1-P_Merma)</f>
        <v>160476.375</v>
      </c>
      <c r="V47" s="34" t="n">
        <f aca="false">SUMPRODUCT(V21:V32,MP_O)*INDEX(IdxMP_O,1,MIN(10,V$17))*(1+P_dMat)/(1-P_Merma)</f>
        <v>160476.375</v>
      </c>
      <c r="W47" s="34" t="n">
        <f aca="false">SUMPRODUCT(W21:W32,MP_O)*INDEX(IdxMP_O,1,MIN(10,W$17))*(1+P_dMat)/(1-P_Merma)</f>
        <v>160476.375</v>
      </c>
      <c r="X47" s="34" t="n">
        <f aca="false">SUMPRODUCT(X21:X32,MP_O)*INDEX(IdxMP_O,1,MIN(10,X$17))*(1+P_dMat)/(1-P_Merma)</f>
        <v>160476.375</v>
      </c>
      <c r="Y47" s="34" t="n">
        <f aca="false">SUMPRODUCT(Y21:Y32,MP_O)*INDEX(IdxMP_O,1,MIN(10,Y$17))*(1+P_dMat)/(1-P_Merma)</f>
        <v>160476.375</v>
      </c>
      <c r="Z47" s="34" t="n">
        <f aca="false">SUMPRODUCT(Z21:Z32,MP_O)*INDEX(IdxMP_O,1,MIN(10,Z$17))*(1+P_dMat)/(1-P_Merma)</f>
        <v>160476.375</v>
      </c>
      <c r="AA47" s="34" t="n">
        <f aca="false">SUMPRODUCT(AA21:AA32,MP_O)*INDEX(IdxMP_O,1,MIN(10,AA$17))*(1+P_dMat)/(1-P_Merma)</f>
        <v>160476.375</v>
      </c>
      <c r="AB47" s="34" t="n">
        <f aca="false">SUMPRODUCT(AB21:AB32,MP_O)*INDEX(IdxMP_O,1,MIN(10,AB$17))*(1+P_dMat)/(1-P_Merma)</f>
        <v>160476.375</v>
      </c>
      <c r="AC47" s="34" t="n">
        <f aca="false">SUMPRODUCT(AC21:AC32,MP_O)*INDEX(IdxMP_O,1,MIN(10,AC$17))*(1+P_dMat)/(1-P_Merma)</f>
        <v>160476.375</v>
      </c>
      <c r="AD47" s="34" t="n">
        <f aca="false">SUMPRODUCT(AD21:AD32,MP_O)*INDEX(IdxMP_O,1,MIN(10,AD$17))*(1+P_dMat)/(1-P_Merma)</f>
        <v>195757.19</v>
      </c>
      <c r="AE47" s="34" t="n">
        <f aca="false">SUMPRODUCT(AE21:AE32,MP_O)*INDEX(IdxMP_O,1,MIN(10,AE$17))*(1+P_dMat)/(1-P_Merma)</f>
        <v>195757.19</v>
      </c>
      <c r="AF47" s="34" t="n">
        <f aca="false">SUMPRODUCT(AF21:AF32,MP_O)*INDEX(IdxMP_O,1,MIN(10,AF$17))*(1+P_dMat)/(1-P_Merma)</f>
        <v>195757.19</v>
      </c>
      <c r="AG47" s="34" t="n">
        <f aca="false">SUMPRODUCT(AG21:AG32,MP_O)*INDEX(IdxMP_O,1,MIN(10,AG$17))*(1+P_dMat)/(1-P_Merma)</f>
        <v>195757.19</v>
      </c>
      <c r="AH47" s="34" t="n">
        <f aca="false">SUMPRODUCT(AH21:AH32,MP_O)*INDEX(IdxMP_O,1,MIN(10,AH$17))*(1+P_dMat)/(1-P_Merma)</f>
        <v>195757.19</v>
      </c>
      <c r="AI47" s="34" t="n">
        <f aca="false">SUMPRODUCT(AI21:AI32,MP_O)*INDEX(IdxMP_O,1,MIN(10,AI$17))*(1+P_dMat)/(1-P_Merma)</f>
        <v>195757.19</v>
      </c>
      <c r="AJ47" s="34" t="n">
        <f aca="false">SUMPRODUCT(AJ21:AJ32,MP_O)*INDEX(IdxMP_O,1,MIN(10,AJ$17))*(1+P_dMat)/(1-P_Merma)</f>
        <v>195757.19</v>
      </c>
      <c r="AK47" s="34" t="n">
        <f aca="false">SUMPRODUCT(AK21:AK32,MP_O)*INDEX(IdxMP_O,1,MIN(10,AK$17))*(1+P_dMat)/(1-P_Merma)</f>
        <v>195757.19</v>
      </c>
      <c r="AL47" s="34" t="n">
        <f aca="false">SUMPRODUCT(AL21:AL32,MP_O)*INDEX(IdxMP_O,1,MIN(10,AL$17))*(1+P_dMat)/(1-P_Merma)</f>
        <v>195757.19</v>
      </c>
      <c r="AM47" s="34" t="n">
        <f aca="false">SUMPRODUCT(AM21:AM32,MP_O)*INDEX(IdxMP_O,1,MIN(10,AM$17))*(1+P_dMat)/(1-P_Merma)</f>
        <v>195757.19</v>
      </c>
      <c r="AN47" s="34" t="n">
        <f aca="false">SUMPRODUCT(AN21:AN32,MP_O)*INDEX(IdxMP_O,1,MIN(10,AN$17))*(1+P_dMat)/(1-P_Merma)</f>
        <v>195757.19</v>
      </c>
      <c r="AO47" s="34" t="n">
        <f aca="false">SUMPRODUCT(AO21:AO32,MP_O)*INDEX(IdxMP_O,1,MIN(10,AO$17))*(1+P_dMat)/(1-P_Merma)</f>
        <v>195757.19</v>
      </c>
      <c r="AP47" s="34" t="n">
        <f aca="false">SUMPRODUCT(AP21:AP32,MP_O)*INDEX(IdxMP_O,1,MIN(10,AP$17))*(1+P_dMat)/(1-P_Merma)</f>
        <v>225365.4649875</v>
      </c>
      <c r="AQ47" s="34" t="n">
        <f aca="false">SUMPRODUCT(AQ21:AQ32,MP_O)*INDEX(IdxMP_O,1,MIN(10,AQ$17))*(1+P_dMat)/(1-P_Merma)</f>
        <v>225365.4649875</v>
      </c>
      <c r="AR47" s="34" t="n">
        <f aca="false">SUMPRODUCT(AR21:AR32,MP_O)*INDEX(IdxMP_O,1,MIN(10,AR$17))*(1+P_dMat)/(1-P_Merma)</f>
        <v>225365.4649875</v>
      </c>
      <c r="AS47" s="34" t="n">
        <f aca="false">SUMPRODUCT(AS21:AS32,MP_O)*INDEX(IdxMP_O,1,MIN(10,AS$17))*(1+P_dMat)/(1-P_Merma)</f>
        <v>225365.4649875</v>
      </c>
      <c r="AT47" s="34" t="n">
        <f aca="false">SUMPRODUCT(AT21:AT32,MP_O)*INDEX(IdxMP_O,1,MIN(10,AT$17))*(1+P_dMat)/(1-P_Merma)</f>
        <v>225365.4649875</v>
      </c>
      <c r="AU47" s="34" t="n">
        <f aca="false">SUMPRODUCT(AU21:AU32,MP_O)*INDEX(IdxMP_O,1,MIN(10,AU$17))*(1+P_dMat)/(1-P_Merma)</f>
        <v>225365.4649875</v>
      </c>
      <c r="AV47" s="34" t="n">
        <f aca="false">SUMPRODUCT(AV21:AV32,MP_O)*INDEX(IdxMP_O,1,MIN(10,AV$17))*(1+P_dMat)/(1-P_Merma)</f>
        <v>225365.4649875</v>
      </c>
      <c r="AW47" s="34" t="n">
        <f aca="false">SUMPRODUCT(AW21:AW32,MP_O)*INDEX(IdxMP_O,1,MIN(10,AW$17))*(1+P_dMat)/(1-P_Merma)</f>
        <v>225365.4649875</v>
      </c>
      <c r="AX47" s="34" t="n">
        <f aca="false">SUMPRODUCT(AX21:AX32,MP_O)*INDEX(IdxMP_O,1,MIN(10,AX$17))*(1+P_dMat)/(1-P_Merma)</f>
        <v>225365.4649875</v>
      </c>
      <c r="AY47" s="34" t="n">
        <f aca="false">SUMPRODUCT(AY21:AY32,MP_O)*INDEX(IdxMP_O,1,MIN(10,AY$17))*(1+P_dMat)/(1-P_Merma)</f>
        <v>225365.4649875</v>
      </c>
      <c r="AZ47" s="34" t="n">
        <f aca="false">SUMPRODUCT(AZ21:AZ32,MP_O)*INDEX(IdxMP_O,1,MIN(10,AZ$17))*(1+P_dMat)/(1-P_Merma)</f>
        <v>225365.4649875</v>
      </c>
      <c r="BA47" s="34" t="n">
        <f aca="false">SUMPRODUCT(BA21:BA32,MP_O)*INDEX(IdxMP_O,1,MIN(10,BA$17))*(1+P_dMat)/(1-P_Merma)</f>
        <v>225365.4649875</v>
      </c>
      <c r="BB47" s="34" t="n">
        <f aca="false">SUMPRODUCT(BB21:BB32,MP_O)*INDEX(IdxMP_O,1,MIN(10,BB$17))*(1+P_dMat)/(1-P_Merma)</f>
        <v>227619.119637375</v>
      </c>
      <c r="BC47" s="34" t="n">
        <f aca="false">SUMPRODUCT(BC21:BC32,MP_O)*INDEX(IdxMP_O,1,MIN(10,BC$17))*(1+P_dMat)/(1-P_Merma)</f>
        <v>227619.119637375</v>
      </c>
      <c r="BD47" s="34" t="n">
        <f aca="false">SUMPRODUCT(BD21:BD32,MP_O)*INDEX(IdxMP_O,1,MIN(10,BD$17))*(1+P_dMat)/(1-P_Merma)</f>
        <v>227619.119637375</v>
      </c>
      <c r="BE47" s="34" t="n">
        <f aca="false">SUMPRODUCT(BE21:BE32,MP_O)*INDEX(IdxMP_O,1,MIN(10,BE$17))*(1+P_dMat)/(1-P_Merma)</f>
        <v>227619.119637375</v>
      </c>
      <c r="BF47" s="34" t="n">
        <f aca="false">SUMPRODUCT(BF21:BF32,MP_O)*INDEX(IdxMP_O,1,MIN(10,BF$17))*(1+P_dMat)/(1-P_Merma)</f>
        <v>227619.119637375</v>
      </c>
      <c r="BG47" s="34" t="n">
        <f aca="false">SUMPRODUCT(BG21:BG32,MP_O)*INDEX(IdxMP_O,1,MIN(10,BG$17))*(1+P_dMat)/(1-P_Merma)</f>
        <v>227619.119637375</v>
      </c>
      <c r="BH47" s="34" t="n">
        <f aca="false">SUMPRODUCT(BH21:BH32,MP_O)*INDEX(IdxMP_O,1,MIN(10,BH$17))*(1+P_dMat)/(1-P_Merma)</f>
        <v>227619.119637375</v>
      </c>
      <c r="BI47" s="34" t="n">
        <f aca="false">SUMPRODUCT(BI21:BI32,MP_O)*INDEX(IdxMP_O,1,MIN(10,BI$17))*(1+P_dMat)/(1-P_Merma)</f>
        <v>227619.119637375</v>
      </c>
      <c r="BJ47" s="34" t="n">
        <f aca="false">SUMPRODUCT(BJ21:BJ32,MP_O)*INDEX(IdxMP_O,1,MIN(10,BJ$17))*(1+P_dMat)/(1-P_Merma)</f>
        <v>227619.119637375</v>
      </c>
      <c r="BK47" s="34" t="n">
        <f aca="false">SUMPRODUCT(BK21:BK32,MP_O)*INDEX(IdxMP_O,1,MIN(10,BK$17))*(1+P_dMat)/(1-P_Merma)</f>
        <v>227619.119637375</v>
      </c>
      <c r="BL47" s="34" t="n">
        <f aca="false">SUMPRODUCT(BL21:BL32,MP_O)*INDEX(IdxMP_O,1,MIN(10,BL$17))*(1+P_dMat)/(1-P_Merma)</f>
        <v>227619.119637375</v>
      </c>
      <c r="BM47" s="34" t="n">
        <f aca="false">SUMPRODUCT(BM21:BM32,MP_O)*INDEX(IdxMP_O,1,MIN(10,BM$17))*(1+P_dMat)/(1-P_Merma)</f>
        <v>227619.119637375</v>
      </c>
      <c r="BN47" s="34" t="n">
        <f aca="false">SUMPRODUCT(BN21:BN32,MP_O)*INDEX(IdxMP_O,1,MIN(10,BN$17))*(1+P_dMat)/(1-P_Merma)</f>
        <v>229895.310833749</v>
      </c>
      <c r="BO47" s="34" t="n">
        <f aca="false">SUMPRODUCT(BO21:BO32,MP_O)*INDEX(IdxMP_O,1,MIN(10,BO$17))*(1+P_dMat)/(1-P_Merma)</f>
        <v>229895.310833749</v>
      </c>
      <c r="BP47" s="34" t="n">
        <f aca="false">SUMPRODUCT(BP21:BP32,MP_O)*INDEX(IdxMP_O,1,MIN(10,BP$17))*(1+P_dMat)/(1-P_Merma)</f>
        <v>229895.310833749</v>
      </c>
      <c r="BQ47" s="34" t="n">
        <f aca="false">SUMPRODUCT(BQ21:BQ32,MP_O)*INDEX(IdxMP_O,1,MIN(10,BQ$17))*(1+P_dMat)/(1-P_Merma)</f>
        <v>229895.310833749</v>
      </c>
      <c r="BR47" s="34" t="n">
        <f aca="false">SUMPRODUCT(BR21:BR32,MP_O)*INDEX(IdxMP_O,1,MIN(10,BR$17))*(1+P_dMat)/(1-P_Merma)</f>
        <v>229895.310833749</v>
      </c>
      <c r="BS47" s="34" t="n">
        <f aca="false">SUMPRODUCT(BS21:BS32,MP_O)*INDEX(IdxMP_O,1,MIN(10,BS$17))*(1+P_dMat)/(1-P_Merma)</f>
        <v>229895.310833749</v>
      </c>
      <c r="BT47" s="34" t="n">
        <f aca="false">SUMPRODUCT(BT21:BT32,MP_O)*INDEX(IdxMP_O,1,MIN(10,BT$17))*(1+P_dMat)/(1-P_Merma)</f>
        <v>229895.310833749</v>
      </c>
      <c r="BU47" s="34" t="n">
        <f aca="false">SUMPRODUCT(BU21:BU32,MP_O)*INDEX(IdxMP_O,1,MIN(10,BU$17))*(1+P_dMat)/(1-P_Merma)</f>
        <v>229895.310833749</v>
      </c>
      <c r="BV47" s="34" t="n">
        <f aca="false">SUMPRODUCT(BV21:BV32,MP_O)*INDEX(IdxMP_O,1,MIN(10,BV$17))*(1+P_dMat)/(1-P_Merma)</f>
        <v>229895.310833749</v>
      </c>
      <c r="BW47" s="34" t="n">
        <f aca="false">SUMPRODUCT(BW21:BW32,MP_O)*INDEX(IdxMP_O,1,MIN(10,BW$17))*(1+P_dMat)/(1-P_Merma)</f>
        <v>229895.310833749</v>
      </c>
      <c r="BX47" s="34" t="n">
        <f aca="false">SUMPRODUCT(BX21:BX32,MP_O)*INDEX(IdxMP_O,1,MIN(10,BX$17))*(1+P_dMat)/(1-P_Merma)</f>
        <v>229895.310833749</v>
      </c>
      <c r="BY47" s="34" t="n">
        <f aca="false">SUMPRODUCT(BY21:BY32,MP_O)*INDEX(IdxMP_O,1,MIN(10,BY$17))*(1+P_dMat)/(1-P_Merma)</f>
        <v>229895.310833749</v>
      </c>
      <c r="BZ47" s="34" t="n">
        <f aca="false">SUMPRODUCT(BZ21:BZ32,MP_O)*INDEX(IdxMP_O,1,MIN(10,BZ$17))*(1+P_dMat)/(1-P_Merma)</f>
        <v>232194.263942086</v>
      </c>
      <c r="CA47" s="34" t="n">
        <f aca="false">SUMPRODUCT(CA21:CA32,MP_O)*INDEX(IdxMP_O,1,MIN(10,CA$17))*(1+P_dMat)/(1-P_Merma)</f>
        <v>232194.263942086</v>
      </c>
      <c r="CB47" s="34" t="n">
        <f aca="false">SUMPRODUCT(CB21:CB32,MP_O)*INDEX(IdxMP_O,1,MIN(10,CB$17))*(1+P_dMat)/(1-P_Merma)</f>
        <v>232194.263942086</v>
      </c>
      <c r="CC47" s="34" t="n">
        <f aca="false">SUMPRODUCT(CC21:CC32,MP_O)*INDEX(IdxMP_O,1,MIN(10,CC$17))*(1+P_dMat)/(1-P_Merma)</f>
        <v>232194.263942086</v>
      </c>
      <c r="CD47" s="34" t="n">
        <f aca="false">SUMPRODUCT(CD21:CD32,MP_O)*INDEX(IdxMP_O,1,MIN(10,CD$17))*(1+P_dMat)/(1-P_Merma)</f>
        <v>232194.263942086</v>
      </c>
      <c r="CE47" s="34" t="n">
        <f aca="false">SUMPRODUCT(CE21:CE32,MP_O)*INDEX(IdxMP_O,1,MIN(10,CE$17))*(1+P_dMat)/(1-P_Merma)</f>
        <v>232194.263942086</v>
      </c>
      <c r="CF47" s="34" t="n">
        <f aca="false">SUMPRODUCT(CF21:CF32,MP_O)*INDEX(IdxMP_O,1,MIN(10,CF$17))*(1+P_dMat)/(1-P_Merma)</f>
        <v>232194.263942086</v>
      </c>
      <c r="CG47" s="34" t="n">
        <f aca="false">SUMPRODUCT(CG21:CG32,MP_O)*INDEX(IdxMP_O,1,MIN(10,CG$17))*(1+P_dMat)/(1-P_Merma)</f>
        <v>232194.263942086</v>
      </c>
      <c r="CH47" s="34" t="n">
        <f aca="false">SUMPRODUCT(CH21:CH32,MP_O)*INDEX(IdxMP_O,1,MIN(10,CH$17))*(1+P_dMat)/(1-P_Merma)</f>
        <v>232194.263942086</v>
      </c>
      <c r="CI47" s="34" t="n">
        <f aca="false">SUMPRODUCT(CI21:CI32,MP_O)*INDEX(IdxMP_O,1,MIN(10,CI$17))*(1+P_dMat)/(1-P_Merma)</f>
        <v>232194.263942086</v>
      </c>
      <c r="CJ47" s="34" t="n">
        <f aca="false">SUMPRODUCT(CJ21:CJ32,MP_O)*INDEX(IdxMP_O,1,MIN(10,CJ$17))*(1+P_dMat)/(1-P_Merma)</f>
        <v>232194.263942086</v>
      </c>
      <c r="CK47" s="34" t="n">
        <f aca="false">SUMPRODUCT(CK21:CK32,MP_O)*INDEX(IdxMP_O,1,MIN(10,CK$17))*(1+P_dMat)/(1-P_Merma)</f>
        <v>232194.263942086</v>
      </c>
      <c r="CL47" s="34" t="n">
        <f aca="false">SUMPRODUCT(CL21:CL32,MP_O)*INDEX(IdxMP_O,1,MIN(10,CL$17))*(1+P_dMat)/(1-P_Merma)</f>
        <v>234516.206581507</v>
      </c>
      <c r="CM47" s="34" t="n">
        <f aca="false">SUMPRODUCT(CM21:CM32,MP_O)*INDEX(IdxMP_O,1,MIN(10,CM$17))*(1+P_dMat)/(1-P_Merma)</f>
        <v>234516.206581507</v>
      </c>
      <c r="CN47" s="34" t="n">
        <f aca="false">SUMPRODUCT(CN21:CN32,MP_O)*INDEX(IdxMP_O,1,MIN(10,CN$17))*(1+P_dMat)/(1-P_Merma)</f>
        <v>234516.206581507</v>
      </c>
      <c r="CO47" s="34" t="n">
        <f aca="false">SUMPRODUCT(CO21:CO32,MP_O)*INDEX(IdxMP_O,1,MIN(10,CO$17))*(1+P_dMat)/(1-P_Merma)</f>
        <v>234516.206581507</v>
      </c>
      <c r="CP47" s="34" t="n">
        <f aca="false">SUMPRODUCT(CP21:CP32,MP_O)*INDEX(IdxMP_O,1,MIN(10,CP$17))*(1+P_dMat)/(1-P_Merma)</f>
        <v>234516.206581507</v>
      </c>
      <c r="CQ47" s="34" t="n">
        <f aca="false">SUMPRODUCT(CQ21:CQ32,MP_O)*INDEX(IdxMP_O,1,MIN(10,CQ$17))*(1+P_dMat)/(1-P_Merma)</f>
        <v>234516.206581507</v>
      </c>
      <c r="CR47" s="34" t="n">
        <f aca="false">SUMPRODUCT(CR21:CR32,MP_O)*INDEX(IdxMP_O,1,MIN(10,CR$17))*(1+P_dMat)/(1-P_Merma)</f>
        <v>234516.206581507</v>
      </c>
      <c r="CS47" s="34" t="n">
        <f aca="false">SUMPRODUCT(CS21:CS32,MP_O)*INDEX(IdxMP_O,1,MIN(10,CS$17))*(1+P_dMat)/(1-P_Merma)</f>
        <v>234516.206581507</v>
      </c>
      <c r="CT47" s="34" t="n">
        <f aca="false">SUMPRODUCT(CT21:CT32,MP_O)*INDEX(IdxMP_O,1,MIN(10,CT$17))*(1+P_dMat)/(1-P_Merma)</f>
        <v>234516.206581507</v>
      </c>
      <c r="CU47" s="34" t="n">
        <f aca="false">SUMPRODUCT(CU21:CU32,MP_O)*INDEX(IdxMP_O,1,MIN(10,CU$17))*(1+P_dMat)/(1-P_Merma)</f>
        <v>234516.206581507</v>
      </c>
      <c r="CV47" s="34" t="n">
        <f aca="false">SUMPRODUCT(CV21:CV32,MP_O)*INDEX(IdxMP_O,1,MIN(10,CV$17))*(1+P_dMat)/(1-P_Merma)</f>
        <v>234516.206581507</v>
      </c>
      <c r="CW47" s="34" t="n">
        <f aca="false">SUMPRODUCT(CW21:CW32,MP_O)*INDEX(IdxMP_O,1,MIN(10,CW$17))*(1+P_dMat)/(1-P_Merma)</f>
        <v>234516.206581507</v>
      </c>
      <c r="CX47" s="34" t="n">
        <f aca="false">SUMPRODUCT(CX21:CX32,MP_O)*INDEX(IdxMP_O,1,MIN(10,CX$17))*(1+P_dMat)/(1-P_Merma)</f>
        <v>236861.368647322</v>
      </c>
      <c r="CY47" s="34" t="n">
        <f aca="false">SUMPRODUCT(CY21:CY32,MP_O)*INDEX(IdxMP_O,1,MIN(10,CY$17))*(1+P_dMat)/(1-P_Merma)</f>
        <v>236861.368647322</v>
      </c>
      <c r="CZ47" s="34" t="n">
        <f aca="false">SUMPRODUCT(CZ21:CZ32,MP_O)*INDEX(IdxMP_O,1,MIN(10,CZ$17))*(1+P_dMat)/(1-P_Merma)</f>
        <v>236861.368647322</v>
      </c>
      <c r="DA47" s="34" t="n">
        <f aca="false">SUMPRODUCT(DA21:DA32,MP_O)*INDEX(IdxMP_O,1,MIN(10,DA$17))*(1+P_dMat)/(1-P_Merma)</f>
        <v>236861.368647322</v>
      </c>
      <c r="DB47" s="34" t="n">
        <f aca="false">SUMPRODUCT(DB21:DB32,MP_O)*INDEX(IdxMP_O,1,MIN(10,DB$17))*(1+P_dMat)/(1-P_Merma)</f>
        <v>236861.368647322</v>
      </c>
      <c r="DC47" s="34" t="n">
        <f aca="false">SUMPRODUCT(DC21:DC32,MP_O)*INDEX(IdxMP_O,1,MIN(10,DC$17))*(1+P_dMat)/(1-P_Merma)</f>
        <v>236861.368647322</v>
      </c>
      <c r="DD47" s="34" t="n">
        <f aca="false">SUMPRODUCT(DD21:DD32,MP_O)*INDEX(IdxMP_O,1,MIN(10,DD$17))*(1+P_dMat)/(1-P_Merma)</f>
        <v>236861.368647322</v>
      </c>
      <c r="DE47" s="34" t="n">
        <f aca="false">SUMPRODUCT(DE21:DE32,MP_O)*INDEX(IdxMP_O,1,MIN(10,DE$17))*(1+P_dMat)/(1-P_Merma)</f>
        <v>236861.368647322</v>
      </c>
      <c r="DF47" s="34" t="n">
        <f aca="false">SUMPRODUCT(DF21:DF32,MP_O)*INDEX(IdxMP_O,1,MIN(10,DF$17))*(1+P_dMat)/(1-P_Merma)</f>
        <v>236861.368647322</v>
      </c>
      <c r="DG47" s="34" t="n">
        <f aca="false">SUMPRODUCT(DG21:DG32,MP_O)*INDEX(IdxMP_O,1,MIN(10,DG$17))*(1+P_dMat)/(1-P_Merma)</f>
        <v>236861.368647322</v>
      </c>
      <c r="DH47" s="34" t="n">
        <f aca="false">SUMPRODUCT(DH21:DH32,MP_O)*INDEX(IdxMP_O,1,MIN(10,DH$17))*(1+P_dMat)/(1-P_Merma)</f>
        <v>236861.368647322</v>
      </c>
      <c r="DI47" s="34" t="n">
        <f aca="false">SUMPRODUCT(DI21:DI32,MP_O)*INDEX(IdxMP_O,1,MIN(10,DI$17))*(1+P_dMat)/(1-P_Merma)</f>
        <v>236861.368647322</v>
      </c>
      <c r="DJ47" s="34" t="n">
        <f aca="false">SUMPRODUCT(DJ21:DJ32,MP_O)*INDEX(IdxMP_O,1,MIN(10,DJ$17))*(1+P_dMat)/(1-P_Merma)</f>
        <v>239229.982333795</v>
      </c>
      <c r="DK47" s="34" t="n">
        <f aca="false">SUMPRODUCT(DK21:DK32,MP_O)*INDEX(IdxMP_O,1,MIN(10,DK$17))*(1+P_dMat)/(1-P_Merma)</f>
        <v>239229.982333795</v>
      </c>
      <c r="DL47" s="34" t="n">
        <f aca="false">SUMPRODUCT(DL21:DL32,MP_O)*INDEX(IdxMP_O,1,MIN(10,DL$17))*(1+P_dMat)/(1-P_Merma)</f>
        <v>239229.982333795</v>
      </c>
      <c r="DM47" s="34" t="n">
        <f aca="false">SUMPRODUCT(DM21:DM32,MP_O)*INDEX(IdxMP_O,1,MIN(10,DM$17))*(1+P_dMat)/(1-P_Merma)</f>
        <v>239229.982333795</v>
      </c>
      <c r="DN47" s="34" t="n">
        <f aca="false">SUMPRODUCT(DN21:DN32,MP_O)*INDEX(IdxMP_O,1,MIN(10,DN$17))*(1+P_dMat)/(1-P_Merma)</f>
        <v>239229.982333795</v>
      </c>
      <c r="DO47" s="34" t="n">
        <f aca="false">SUMPRODUCT(DO21:DO32,MP_O)*INDEX(IdxMP_O,1,MIN(10,DO$17))*(1+P_dMat)/(1-P_Merma)</f>
        <v>239229.982333795</v>
      </c>
      <c r="DP47" s="34" t="n">
        <f aca="false">SUMPRODUCT(DP21:DP32,MP_O)*INDEX(IdxMP_O,1,MIN(10,DP$17))*(1+P_dMat)/(1-P_Merma)</f>
        <v>239229.982333795</v>
      </c>
      <c r="DQ47" s="34" t="n">
        <f aca="false">SUMPRODUCT(DQ21:DQ32,MP_O)*INDEX(IdxMP_O,1,MIN(10,DQ$17))*(1+P_dMat)/(1-P_Merma)</f>
        <v>239229.982333795</v>
      </c>
      <c r="DR47" s="34" t="n">
        <f aca="false">SUMPRODUCT(DR21:DR32,MP_O)*INDEX(IdxMP_O,1,MIN(10,DR$17))*(1+P_dMat)/(1-P_Merma)</f>
        <v>239229.982333795</v>
      </c>
      <c r="DS47" s="34" t="n">
        <f aca="false">SUMPRODUCT(DS21:DS32,MP_O)*INDEX(IdxMP_O,1,MIN(10,DS$17))*(1+P_dMat)/(1-P_Merma)</f>
        <v>239229.982333795</v>
      </c>
      <c r="DT47" s="34" t="n">
        <f aca="false">SUMPRODUCT(DT21:DT32,MP_O)*INDEX(IdxMP_O,1,MIN(10,DT$17))*(1+P_dMat)/(1-P_Merma)</f>
        <v>239229.982333795</v>
      </c>
      <c r="DU47" s="34" t="n">
        <f aca="false">SUMPRODUCT(DU21:DU32,MP_O)*INDEX(IdxMP_O,1,MIN(10,DU$17))*(1+P_dMat)/(1-P_Merma)</f>
        <v>239229.982333795</v>
      </c>
      <c r="DV47" s="34" t="n">
        <f aca="false">SUMPRODUCT(DV21:DV32,MP_O)*INDEX(IdxMP_O,1,MIN(10,DV$17))*(1+P_dMat)/(1-P_Merma)</f>
        <v>0</v>
      </c>
      <c r="DW47" s="34" t="n">
        <f aca="false">SUMPRODUCT(DW21:DW32,MP_O)*INDEX(IdxMP_O,1,MIN(10,DW$17))*(1+P_dMat)/(1-P_Merma)</f>
        <v>0</v>
      </c>
      <c r="DX47" s="34" t="n">
        <f aca="false">SUMPRODUCT(DX21:DX32,MP_O)*INDEX(IdxMP_O,1,MIN(10,DX$17))*(1+P_dMat)/(1-P_Merma)</f>
        <v>0</v>
      </c>
      <c r="DY47" s="34" t="n">
        <f aca="false">SUMPRODUCT(DY21:DY32,MP_O)*INDEX(IdxMP_O,1,MIN(10,DY$17))*(1+P_dMat)/(1-P_Merma)</f>
        <v>0</v>
      </c>
      <c r="DZ47" s="34" t="n">
        <f aca="false">SUMPRODUCT(DZ21:DZ32,MP_O)*INDEX(IdxMP_O,1,MIN(10,DZ$17))*(1+P_dMat)/(1-P_Merma)</f>
        <v>0</v>
      </c>
      <c r="EA47" s="34" t="n">
        <f aca="false">SUMPRODUCT(EA21:EA32,MP_O)*INDEX(IdxMP_O,1,MIN(10,EA$17))*(1+P_dMat)/(1-P_Merma)</f>
        <v>0</v>
      </c>
      <c r="EB47" s="34" t="n">
        <f aca="false">SUMPRODUCT(EB21:EB32,MP_O)*INDEX(IdxMP_O,1,MIN(10,EB$17))*(1+P_dMat)/(1-P_Merma)</f>
        <v>0</v>
      </c>
      <c r="EC47" s="34" t="n">
        <f aca="false">SUMPRODUCT(EC21:EC32,MP_O)*INDEX(IdxMP_O,1,MIN(10,EC$17))*(1+P_dMat)/(1-P_Merma)</f>
        <v>0</v>
      </c>
      <c r="ED47" s="34" t="n">
        <f aca="false">SUMPRODUCT(ED21:ED32,MP_O)*INDEX(IdxMP_O,1,MIN(10,ED$17))*(1+P_dMat)/(1-P_Merma)</f>
        <v>0</v>
      </c>
      <c r="EE47" s="34" t="n">
        <f aca="false">SUMPRODUCT(EE21:EE32,MP_O)*INDEX(IdxMP_O,1,MIN(10,EE$17))*(1+P_dMat)/(1-P_Merma)</f>
        <v>0</v>
      </c>
      <c r="EF47" s="34" t="n">
        <f aca="false">SUMPRODUCT(EF21:EF32,MP_O)*INDEX(IdxMP_O,1,MIN(10,EF$17))*(1+P_dMat)/(1-P_Merma)</f>
        <v>0</v>
      </c>
      <c r="EG47" s="34" t="n">
        <f aca="false">SUMPRODUCT(EG21:EG32,MP_O)*INDEX(IdxMP_O,1,MIN(10,EG$17))*(1+P_dMat)/(1-P_Merma)</f>
        <v>0</v>
      </c>
      <c r="EH47" s="34" t="n">
        <f aca="false">SUMPRODUCT(EH21:EH32,MP_O)*INDEX(IdxMP_O,1,MIN(10,EH$17))*(1+P_dMat)/(1-P_Merma)</f>
        <v>0</v>
      </c>
      <c r="EI47" s="34" t="n">
        <f aca="false">SUMPRODUCT(EI21:EI32,MP_O)*INDEX(IdxMP_O,1,MIN(10,EI$17))*(1+P_dMat)/(1-P_Merma)</f>
        <v>0</v>
      </c>
      <c r="EJ47" s="34" t="n">
        <f aca="false">SUMPRODUCT(EJ21:EJ32,MP_O)*INDEX(IdxMP_O,1,MIN(10,EJ$17))*(1+P_dMat)/(1-P_Merma)</f>
        <v>0</v>
      </c>
      <c r="EK47" s="34" t="n">
        <f aca="false">SUMPRODUCT(EK21:EK32,MP_O)*INDEX(IdxMP_O,1,MIN(10,EK$17))*(1+P_dMat)/(1-P_Merma)</f>
        <v>0</v>
      </c>
      <c r="EL47" s="34" t="n">
        <f aca="false">SUMPRODUCT(EL21:EL32,MP_O)*INDEX(IdxMP_O,1,MIN(10,EL$17))*(1+P_dMat)/(1-P_Merma)</f>
        <v>0</v>
      </c>
      <c r="EM47" s="34" t="n">
        <f aca="false">SUMPRODUCT(EM21:EM32,MP_O)*INDEX(IdxMP_O,1,MIN(10,EM$17))*(1+P_dMat)/(1-P_Merma)</f>
        <v>0</v>
      </c>
      <c r="EN47" s="34" t="n">
        <f aca="false">SUMPRODUCT(EN21:EN32,MP_O)*INDEX(IdxMP_O,1,MIN(10,EN$17))*(1+P_dMat)/(1-P_Merma)</f>
        <v>0</v>
      </c>
      <c r="EO47" s="34" t="n">
        <f aca="false">SUMPRODUCT(EO21:EO32,MP_O)*INDEX(IdxMP_O,1,MIN(10,EO$17))*(1+P_dMat)/(1-P_Merma)</f>
        <v>0</v>
      </c>
      <c r="EP47" s="34" t="n">
        <f aca="false">SUMPRODUCT(EP21:EP32,MP_O)*INDEX(IdxMP_O,1,MIN(10,EP$17))*(1+P_dMat)/(1-P_Merma)</f>
        <v>0</v>
      </c>
      <c r="EQ47" s="34" t="n">
        <f aca="false">SUMPRODUCT(EQ21:EQ32,MP_O)*INDEX(IdxMP_O,1,MIN(10,EQ$17))*(1+P_dMat)/(1-P_Merma)</f>
        <v>0</v>
      </c>
      <c r="ER47" s="34" t="n">
        <f aca="false">SUMPRODUCT(ER21:ER32,MP_O)*INDEX(IdxMP_O,1,MIN(10,ER$17))*(1+P_dMat)/(1-P_Merma)</f>
        <v>0</v>
      </c>
      <c r="ES47" s="34" t="n">
        <f aca="false">SUMPRODUCT(ES21:ES32,MP_O)*INDEX(IdxMP_O,1,MIN(10,ES$17))*(1+P_dMat)/(1-P_Merma)</f>
        <v>0</v>
      </c>
    </row>
    <row r="48" customFormat="false" ht="15" hidden="false" customHeight="false" outlineLevel="0" collapsed="false">
      <c r="A48" s="2" t="s">
        <v>587</v>
      </c>
      <c r="B48" s="6" t="s">
        <v>588</v>
      </c>
      <c r="C48" s="6" t="s">
        <v>250</v>
      </c>
      <c r="E48" s="40" t="n">
        <f aca="false">SUM(F48:ES48)</f>
        <v>14024610</v>
      </c>
      <c r="F48" s="34" t="n">
        <f aca="false">SUMPRODUCT(F21:F32,INS_O)*INDEX(IdxOV_O,1,MIN(10,F$17))*(1+P_dMat)/(1-P_Merma)</f>
        <v>73297.5</v>
      </c>
      <c r="G48" s="34" t="n">
        <f aca="false">SUMPRODUCT(G21:G32,INS_O)*INDEX(IdxOV_O,1,MIN(10,G$17))*(1+P_dMat)/(1-P_Merma)</f>
        <v>73297.5</v>
      </c>
      <c r="H48" s="34" t="n">
        <f aca="false">SUMPRODUCT(H21:H32,INS_O)*INDEX(IdxOV_O,1,MIN(10,H$17))*(1+P_dMat)/(1-P_Merma)</f>
        <v>73297.5</v>
      </c>
      <c r="I48" s="34" t="n">
        <f aca="false">SUMPRODUCT(I21:I32,INS_O)*INDEX(IdxOV_O,1,MIN(10,I$17))*(1+P_dMat)/(1-P_Merma)</f>
        <v>73297.5</v>
      </c>
      <c r="J48" s="34" t="n">
        <f aca="false">SUMPRODUCT(J21:J32,INS_O)*INDEX(IdxOV_O,1,MIN(10,J$17))*(1+P_dMat)/(1-P_Merma)</f>
        <v>73297.5</v>
      </c>
      <c r="K48" s="34" t="n">
        <f aca="false">SUMPRODUCT(K21:K32,INS_O)*INDEX(IdxOV_O,1,MIN(10,K$17))*(1+P_dMat)/(1-P_Merma)</f>
        <v>73297.5</v>
      </c>
      <c r="L48" s="34" t="n">
        <f aca="false">SUMPRODUCT(L21:L32,INS_O)*INDEX(IdxOV_O,1,MIN(10,L$17))*(1+P_dMat)/(1-P_Merma)</f>
        <v>73297.5</v>
      </c>
      <c r="M48" s="34" t="n">
        <f aca="false">SUMPRODUCT(M21:M32,INS_O)*INDEX(IdxOV_O,1,MIN(10,M$17))*(1+P_dMat)/(1-P_Merma)</f>
        <v>73297.5</v>
      </c>
      <c r="N48" s="34" t="n">
        <f aca="false">SUMPRODUCT(N21:N32,INS_O)*INDEX(IdxOV_O,1,MIN(10,N$17))*(1+P_dMat)/(1-P_Merma)</f>
        <v>73297.5</v>
      </c>
      <c r="O48" s="34" t="n">
        <f aca="false">SUMPRODUCT(O21:O32,INS_O)*INDEX(IdxOV_O,1,MIN(10,O$17))*(1+P_dMat)/(1-P_Merma)</f>
        <v>73297.5</v>
      </c>
      <c r="P48" s="34" t="n">
        <f aca="false">SUMPRODUCT(P21:P32,INS_O)*INDEX(IdxOV_O,1,MIN(10,P$17))*(1+P_dMat)/(1-P_Merma)</f>
        <v>73297.5</v>
      </c>
      <c r="Q48" s="34" t="n">
        <f aca="false">SUMPRODUCT(Q21:Q32,INS_O)*INDEX(IdxOV_O,1,MIN(10,Q$17))*(1+P_dMat)/(1-P_Merma)</f>
        <v>73297.5</v>
      </c>
      <c r="R48" s="34" t="n">
        <f aca="false">SUMPRODUCT(R21:R32,INS_O)*INDEX(IdxOV_O,1,MIN(10,R$17))*(1+P_dMat)/(1-P_Merma)</f>
        <v>92632.5</v>
      </c>
      <c r="S48" s="34" t="n">
        <f aca="false">SUMPRODUCT(S21:S32,INS_O)*INDEX(IdxOV_O,1,MIN(10,S$17))*(1+P_dMat)/(1-P_Merma)</f>
        <v>92632.5</v>
      </c>
      <c r="T48" s="34" t="n">
        <f aca="false">SUMPRODUCT(T21:T32,INS_O)*INDEX(IdxOV_O,1,MIN(10,T$17))*(1+P_dMat)/(1-P_Merma)</f>
        <v>92632.5</v>
      </c>
      <c r="U48" s="34" t="n">
        <f aca="false">SUMPRODUCT(U21:U32,INS_O)*INDEX(IdxOV_O,1,MIN(10,U$17))*(1+P_dMat)/(1-P_Merma)</f>
        <v>92632.5</v>
      </c>
      <c r="V48" s="34" t="n">
        <f aca="false">SUMPRODUCT(V21:V32,INS_O)*INDEX(IdxOV_O,1,MIN(10,V$17))*(1+P_dMat)/(1-P_Merma)</f>
        <v>92632.5</v>
      </c>
      <c r="W48" s="34" t="n">
        <f aca="false">SUMPRODUCT(W21:W32,INS_O)*INDEX(IdxOV_O,1,MIN(10,W$17))*(1+P_dMat)/(1-P_Merma)</f>
        <v>92632.5</v>
      </c>
      <c r="X48" s="34" t="n">
        <f aca="false">SUMPRODUCT(X21:X32,INS_O)*INDEX(IdxOV_O,1,MIN(10,X$17))*(1+P_dMat)/(1-P_Merma)</f>
        <v>92632.5</v>
      </c>
      <c r="Y48" s="34" t="n">
        <f aca="false">SUMPRODUCT(Y21:Y32,INS_O)*INDEX(IdxOV_O,1,MIN(10,Y$17))*(1+P_dMat)/(1-P_Merma)</f>
        <v>92632.5</v>
      </c>
      <c r="Z48" s="34" t="n">
        <f aca="false">SUMPRODUCT(Z21:Z32,INS_O)*INDEX(IdxOV_O,1,MIN(10,Z$17))*(1+P_dMat)/(1-P_Merma)</f>
        <v>92632.5</v>
      </c>
      <c r="AA48" s="34" t="n">
        <f aca="false">SUMPRODUCT(AA21:AA32,INS_O)*INDEX(IdxOV_O,1,MIN(10,AA$17))*(1+P_dMat)/(1-P_Merma)</f>
        <v>92632.5</v>
      </c>
      <c r="AB48" s="34" t="n">
        <f aca="false">SUMPRODUCT(AB21:AB32,INS_O)*INDEX(IdxOV_O,1,MIN(10,AB$17))*(1+P_dMat)/(1-P_Merma)</f>
        <v>92632.5</v>
      </c>
      <c r="AC48" s="34" t="n">
        <f aca="false">SUMPRODUCT(AC21:AC32,INS_O)*INDEX(IdxOV_O,1,MIN(10,AC$17))*(1+P_dMat)/(1-P_Merma)</f>
        <v>92632.5</v>
      </c>
      <c r="AD48" s="34" t="n">
        <f aca="false">SUMPRODUCT(AD21:AD32,INS_O)*INDEX(IdxOV_O,1,MIN(10,AD$17))*(1+P_dMat)/(1-P_Merma)</f>
        <v>111967.5</v>
      </c>
      <c r="AE48" s="34" t="n">
        <f aca="false">SUMPRODUCT(AE21:AE32,INS_O)*INDEX(IdxOV_O,1,MIN(10,AE$17))*(1+P_dMat)/(1-P_Merma)</f>
        <v>111967.5</v>
      </c>
      <c r="AF48" s="34" t="n">
        <f aca="false">SUMPRODUCT(AF21:AF32,INS_O)*INDEX(IdxOV_O,1,MIN(10,AF$17))*(1+P_dMat)/(1-P_Merma)</f>
        <v>111967.5</v>
      </c>
      <c r="AG48" s="34" t="n">
        <f aca="false">SUMPRODUCT(AG21:AG32,INS_O)*INDEX(IdxOV_O,1,MIN(10,AG$17))*(1+P_dMat)/(1-P_Merma)</f>
        <v>111967.5</v>
      </c>
      <c r="AH48" s="34" t="n">
        <f aca="false">SUMPRODUCT(AH21:AH32,INS_O)*INDEX(IdxOV_O,1,MIN(10,AH$17))*(1+P_dMat)/(1-P_Merma)</f>
        <v>111967.5</v>
      </c>
      <c r="AI48" s="34" t="n">
        <f aca="false">SUMPRODUCT(AI21:AI32,INS_O)*INDEX(IdxOV_O,1,MIN(10,AI$17))*(1+P_dMat)/(1-P_Merma)</f>
        <v>111967.5</v>
      </c>
      <c r="AJ48" s="34" t="n">
        <f aca="false">SUMPRODUCT(AJ21:AJ32,INS_O)*INDEX(IdxOV_O,1,MIN(10,AJ$17))*(1+P_dMat)/(1-P_Merma)</f>
        <v>111967.5</v>
      </c>
      <c r="AK48" s="34" t="n">
        <f aca="false">SUMPRODUCT(AK21:AK32,INS_O)*INDEX(IdxOV_O,1,MIN(10,AK$17))*(1+P_dMat)/(1-P_Merma)</f>
        <v>111967.5</v>
      </c>
      <c r="AL48" s="34" t="n">
        <f aca="false">SUMPRODUCT(AL21:AL32,INS_O)*INDEX(IdxOV_O,1,MIN(10,AL$17))*(1+P_dMat)/(1-P_Merma)</f>
        <v>111967.5</v>
      </c>
      <c r="AM48" s="34" t="n">
        <f aca="false">SUMPRODUCT(AM21:AM32,INS_O)*INDEX(IdxOV_O,1,MIN(10,AM$17))*(1+P_dMat)/(1-P_Merma)</f>
        <v>111967.5</v>
      </c>
      <c r="AN48" s="34" t="n">
        <f aca="false">SUMPRODUCT(AN21:AN32,INS_O)*INDEX(IdxOV_O,1,MIN(10,AN$17))*(1+P_dMat)/(1-P_Merma)</f>
        <v>111967.5</v>
      </c>
      <c r="AO48" s="34" t="n">
        <f aca="false">SUMPRODUCT(AO21:AO32,INS_O)*INDEX(IdxOV_O,1,MIN(10,AO$17))*(1+P_dMat)/(1-P_Merma)</f>
        <v>111967.5</v>
      </c>
      <c r="AP48" s="34" t="n">
        <f aca="false">SUMPRODUCT(AP21:AP32,INS_O)*INDEX(IdxOV_O,1,MIN(10,AP$17))*(1+P_dMat)/(1-P_Merma)</f>
        <v>127260</v>
      </c>
      <c r="AQ48" s="34" t="n">
        <f aca="false">SUMPRODUCT(AQ21:AQ32,INS_O)*INDEX(IdxOV_O,1,MIN(10,AQ$17))*(1+P_dMat)/(1-P_Merma)</f>
        <v>127260</v>
      </c>
      <c r="AR48" s="34" t="n">
        <f aca="false">SUMPRODUCT(AR21:AR32,INS_O)*INDEX(IdxOV_O,1,MIN(10,AR$17))*(1+P_dMat)/(1-P_Merma)</f>
        <v>127260</v>
      </c>
      <c r="AS48" s="34" t="n">
        <f aca="false">SUMPRODUCT(AS21:AS32,INS_O)*INDEX(IdxOV_O,1,MIN(10,AS$17))*(1+P_dMat)/(1-P_Merma)</f>
        <v>127260</v>
      </c>
      <c r="AT48" s="34" t="n">
        <f aca="false">SUMPRODUCT(AT21:AT32,INS_O)*INDEX(IdxOV_O,1,MIN(10,AT$17))*(1+P_dMat)/(1-P_Merma)</f>
        <v>127260</v>
      </c>
      <c r="AU48" s="34" t="n">
        <f aca="false">SUMPRODUCT(AU21:AU32,INS_O)*INDEX(IdxOV_O,1,MIN(10,AU$17))*(1+P_dMat)/(1-P_Merma)</f>
        <v>127260</v>
      </c>
      <c r="AV48" s="34" t="n">
        <f aca="false">SUMPRODUCT(AV21:AV32,INS_O)*INDEX(IdxOV_O,1,MIN(10,AV$17))*(1+P_dMat)/(1-P_Merma)</f>
        <v>127260</v>
      </c>
      <c r="AW48" s="34" t="n">
        <f aca="false">SUMPRODUCT(AW21:AW32,INS_O)*INDEX(IdxOV_O,1,MIN(10,AW$17))*(1+P_dMat)/(1-P_Merma)</f>
        <v>127260</v>
      </c>
      <c r="AX48" s="34" t="n">
        <f aca="false">SUMPRODUCT(AX21:AX32,INS_O)*INDEX(IdxOV_O,1,MIN(10,AX$17))*(1+P_dMat)/(1-P_Merma)</f>
        <v>127260</v>
      </c>
      <c r="AY48" s="34" t="n">
        <f aca="false">SUMPRODUCT(AY21:AY32,INS_O)*INDEX(IdxOV_O,1,MIN(10,AY$17))*(1+P_dMat)/(1-P_Merma)</f>
        <v>127260</v>
      </c>
      <c r="AZ48" s="34" t="n">
        <f aca="false">SUMPRODUCT(AZ21:AZ32,INS_O)*INDEX(IdxOV_O,1,MIN(10,AZ$17))*(1+P_dMat)/(1-P_Merma)</f>
        <v>127260</v>
      </c>
      <c r="BA48" s="34" t="n">
        <f aca="false">SUMPRODUCT(BA21:BA32,INS_O)*INDEX(IdxOV_O,1,MIN(10,BA$17))*(1+P_dMat)/(1-P_Merma)</f>
        <v>127260</v>
      </c>
      <c r="BB48" s="34" t="n">
        <f aca="false">SUMPRODUCT(BB21:BB32,INS_O)*INDEX(IdxOV_O,1,MIN(10,BB$17))*(1+P_dMat)/(1-P_Merma)</f>
        <v>127260</v>
      </c>
      <c r="BC48" s="34" t="n">
        <f aca="false">SUMPRODUCT(BC21:BC32,INS_O)*INDEX(IdxOV_O,1,MIN(10,BC$17))*(1+P_dMat)/(1-P_Merma)</f>
        <v>127260</v>
      </c>
      <c r="BD48" s="34" t="n">
        <f aca="false">SUMPRODUCT(BD21:BD32,INS_O)*INDEX(IdxOV_O,1,MIN(10,BD$17))*(1+P_dMat)/(1-P_Merma)</f>
        <v>127260</v>
      </c>
      <c r="BE48" s="34" t="n">
        <f aca="false">SUMPRODUCT(BE21:BE32,INS_O)*INDEX(IdxOV_O,1,MIN(10,BE$17))*(1+P_dMat)/(1-P_Merma)</f>
        <v>127260</v>
      </c>
      <c r="BF48" s="34" t="n">
        <f aca="false">SUMPRODUCT(BF21:BF32,INS_O)*INDEX(IdxOV_O,1,MIN(10,BF$17))*(1+P_dMat)/(1-P_Merma)</f>
        <v>127260</v>
      </c>
      <c r="BG48" s="34" t="n">
        <f aca="false">SUMPRODUCT(BG21:BG32,INS_O)*INDEX(IdxOV_O,1,MIN(10,BG$17))*(1+P_dMat)/(1-P_Merma)</f>
        <v>127260</v>
      </c>
      <c r="BH48" s="34" t="n">
        <f aca="false">SUMPRODUCT(BH21:BH32,INS_O)*INDEX(IdxOV_O,1,MIN(10,BH$17))*(1+P_dMat)/(1-P_Merma)</f>
        <v>127260</v>
      </c>
      <c r="BI48" s="34" t="n">
        <f aca="false">SUMPRODUCT(BI21:BI32,INS_O)*INDEX(IdxOV_O,1,MIN(10,BI$17))*(1+P_dMat)/(1-P_Merma)</f>
        <v>127260</v>
      </c>
      <c r="BJ48" s="34" t="n">
        <f aca="false">SUMPRODUCT(BJ21:BJ32,INS_O)*INDEX(IdxOV_O,1,MIN(10,BJ$17))*(1+P_dMat)/(1-P_Merma)</f>
        <v>127260</v>
      </c>
      <c r="BK48" s="34" t="n">
        <f aca="false">SUMPRODUCT(BK21:BK32,INS_O)*INDEX(IdxOV_O,1,MIN(10,BK$17))*(1+P_dMat)/(1-P_Merma)</f>
        <v>127260</v>
      </c>
      <c r="BL48" s="34" t="n">
        <f aca="false">SUMPRODUCT(BL21:BL32,INS_O)*INDEX(IdxOV_O,1,MIN(10,BL$17))*(1+P_dMat)/(1-P_Merma)</f>
        <v>127260</v>
      </c>
      <c r="BM48" s="34" t="n">
        <f aca="false">SUMPRODUCT(BM21:BM32,INS_O)*INDEX(IdxOV_O,1,MIN(10,BM$17))*(1+P_dMat)/(1-P_Merma)</f>
        <v>127260</v>
      </c>
      <c r="BN48" s="34" t="n">
        <f aca="false">SUMPRODUCT(BN21:BN32,INS_O)*INDEX(IdxOV_O,1,MIN(10,BN$17))*(1+P_dMat)/(1-P_Merma)</f>
        <v>127260</v>
      </c>
      <c r="BO48" s="34" t="n">
        <f aca="false">SUMPRODUCT(BO21:BO32,INS_O)*INDEX(IdxOV_O,1,MIN(10,BO$17))*(1+P_dMat)/(1-P_Merma)</f>
        <v>127260</v>
      </c>
      <c r="BP48" s="34" t="n">
        <f aca="false">SUMPRODUCT(BP21:BP32,INS_O)*INDEX(IdxOV_O,1,MIN(10,BP$17))*(1+P_dMat)/(1-P_Merma)</f>
        <v>127260</v>
      </c>
      <c r="BQ48" s="34" t="n">
        <f aca="false">SUMPRODUCT(BQ21:BQ32,INS_O)*INDEX(IdxOV_O,1,MIN(10,BQ$17))*(1+P_dMat)/(1-P_Merma)</f>
        <v>127260</v>
      </c>
      <c r="BR48" s="34" t="n">
        <f aca="false">SUMPRODUCT(BR21:BR32,INS_O)*INDEX(IdxOV_O,1,MIN(10,BR$17))*(1+P_dMat)/(1-P_Merma)</f>
        <v>127260</v>
      </c>
      <c r="BS48" s="34" t="n">
        <f aca="false">SUMPRODUCT(BS21:BS32,INS_O)*INDEX(IdxOV_O,1,MIN(10,BS$17))*(1+P_dMat)/(1-P_Merma)</f>
        <v>127260</v>
      </c>
      <c r="BT48" s="34" t="n">
        <f aca="false">SUMPRODUCT(BT21:BT32,INS_O)*INDEX(IdxOV_O,1,MIN(10,BT$17))*(1+P_dMat)/(1-P_Merma)</f>
        <v>127260</v>
      </c>
      <c r="BU48" s="34" t="n">
        <f aca="false">SUMPRODUCT(BU21:BU32,INS_O)*INDEX(IdxOV_O,1,MIN(10,BU$17))*(1+P_dMat)/(1-P_Merma)</f>
        <v>127260</v>
      </c>
      <c r="BV48" s="34" t="n">
        <f aca="false">SUMPRODUCT(BV21:BV32,INS_O)*INDEX(IdxOV_O,1,MIN(10,BV$17))*(1+P_dMat)/(1-P_Merma)</f>
        <v>127260</v>
      </c>
      <c r="BW48" s="34" t="n">
        <f aca="false">SUMPRODUCT(BW21:BW32,INS_O)*INDEX(IdxOV_O,1,MIN(10,BW$17))*(1+P_dMat)/(1-P_Merma)</f>
        <v>127260</v>
      </c>
      <c r="BX48" s="34" t="n">
        <f aca="false">SUMPRODUCT(BX21:BX32,INS_O)*INDEX(IdxOV_O,1,MIN(10,BX$17))*(1+P_dMat)/(1-P_Merma)</f>
        <v>127260</v>
      </c>
      <c r="BY48" s="34" t="n">
        <f aca="false">SUMPRODUCT(BY21:BY32,INS_O)*INDEX(IdxOV_O,1,MIN(10,BY$17))*(1+P_dMat)/(1-P_Merma)</f>
        <v>127260</v>
      </c>
      <c r="BZ48" s="34" t="n">
        <f aca="false">SUMPRODUCT(BZ21:BZ32,INS_O)*INDEX(IdxOV_O,1,MIN(10,BZ$17))*(1+P_dMat)/(1-P_Merma)</f>
        <v>127260</v>
      </c>
      <c r="CA48" s="34" t="n">
        <f aca="false">SUMPRODUCT(CA21:CA32,INS_O)*INDEX(IdxOV_O,1,MIN(10,CA$17))*(1+P_dMat)/(1-P_Merma)</f>
        <v>127260</v>
      </c>
      <c r="CB48" s="34" t="n">
        <f aca="false">SUMPRODUCT(CB21:CB32,INS_O)*INDEX(IdxOV_O,1,MIN(10,CB$17))*(1+P_dMat)/(1-P_Merma)</f>
        <v>127260</v>
      </c>
      <c r="CC48" s="34" t="n">
        <f aca="false">SUMPRODUCT(CC21:CC32,INS_O)*INDEX(IdxOV_O,1,MIN(10,CC$17))*(1+P_dMat)/(1-P_Merma)</f>
        <v>127260</v>
      </c>
      <c r="CD48" s="34" t="n">
        <f aca="false">SUMPRODUCT(CD21:CD32,INS_O)*INDEX(IdxOV_O,1,MIN(10,CD$17))*(1+P_dMat)/(1-P_Merma)</f>
        <v>127260</v>
      </c>
      <c r="CE48" s="34" t="n">
        <f aca="false">SUMPRODUCT(CE21:CE32,INS_O)*INDEX(IdxOV_O,1,MIN(10,CE$17))*(1+P_dMat)/(1-P_Merma)</f>
        <v>127260</v>
      </c>
      <c r="CF48" s="34" t="n">
        <f aca="false">SUMPRODUCT(CF21:CF32,INS_O)*INDEX(IdxOV_O,1,MIN(10,CF$17))*(1+P_dMat)/(1-P_Merma)</f>
        <v>127260</v>
      </c>
      <c r="CG48" s="34" t="n">
        <f aca="false">SUMPRODUCT(CG21:CG32,INS_O)*INDEX(IdxOV_O,1,MIN(10,CG$17))*(1+P_dMat)/(1-P_Merma)</f>
        <v>127260</v>
      </c>
      <c r="CH48" s="34" t="n">
        <f aca="false">SUMPRODUCT(CH21:CH32,INS_O)*INDEX(IdxOV_O,1,MIN(10,CH$17))*(1+P_dMat)/(1-P_Merma)</f>
        <v>127260</v>
      </c>
      <c r="CI48" s="34" t="n">
        <f aca="false">SUMPRODUCT(CI21:CI32,INS_O)*INDEX(IdxOV_O,1,MIN(10,CI$17))*(1+P_dMat)/(1-P_Merma)</f>
        <v>127260</v>
      </c>
      <c r="CJ48" s="34" t="n">
        <f aca="false">SUMPRODUCT(CJ21:CJ32,INS_O)*INDEX(IdxOV_O,1,MIN(10,CJ$17))*(1+P_dMat)/(1-P_Merma)</f>
        <v>127260</v>
      </c>
      <c r="CK48" s="34" t="n">
        <f aca="false">SUMPRODUCT(CK21:CK32,INS_O)*INDEX(IdxOV_O,1,MIN(10,CK$17))*(1+P_dMat)/(1-P_Merma)</f>
        <v>127260</v>
      </c>
      <c r="CL48" s="34" t="n">
        <f aca="false">SUMPRODUCT(CL21:CL32,INS_O)*INDEX(IdxOV_O,1,MIN(10,CL$17))*(1+P_dMat)/(1-P_Merma)</f>
        <v>127260</v>
      </c>
      <c r="CM48" s="34" t="n">
        <f aca="false">SUMPRODUCT(CM21:CM32,INS_O)*INDEX(IdxOV_O,1,MIN(10,CM$17))*(1+P_dMat)/(1-P_Merma)</f>
        <v>127260</v>
      </c>
      <c r="CN48" s="34" t="n">
        <f aca="false">SUMPRODUCT(CN21:CN32,INS_O)*INDEX(IdxOV_O,1,MIN(10,CN$17))*(1+P_dMat)/(1-P_Merma)</f>
        <v>127260</v>
      </c>
      <c r="CO48" s="34" t="n">
        <f aca="false">SUMPRODUCT(CO21:CO32,INS_O)*INDEX(IdxOV_O,1,MIN(10,CO$17))*(1+P_dMat)/(1-P_Merma)</f>
        <v>127260</v>
      </c>
      <c r="CP48" s="34" t="n">
        <f aca="false">SUMPRODUCT(CP21:CP32,INS_O)*INDEX(IdxOV_O,1,MIN(10,CP$17))*(1+P_dMat)/(1-P_Merma)</f>
        <v>127260</v>
      </c>
      <c r="CQ48" s="34" t="n">
        <f aca="false">SUMPRODUCT(CQ21:CQ32,INS_O)*INDEX(IdxOV_O,1,MIN(10,CQ$17))*(1+P_dMat)/(1-P_Merma)</f>
        <v>127260</v>
      </c>
      <c r="CR48" s="34" t="n">
        <f aca="false">SUMPRODUCT(CR21:CR32,INS_O)*INDEX(IdxOV_O,1,MIN(10,CR$17))*(1+P_dMat)/(1-P_Merma)</f>
        <v>127260</v>
      </c>
      <c r="CS48" s="34" t="n">
        <f aca="false">SUMPRODUCT(CS21:CS32,INS_O)*INDEX(IdxOV_O,1,MIN(10,CS$17))*(1+P_dMat)/(1-P_Merma)</f>
        <v>127260</v>
      </c>
      <c r="CT48" s="34" t="n">
        <f aca="false">SUMPRODUCT(CT21:CT32,INS_O)*INDEX(IdxOV_O,1,MIN(10,CT$17))*(1+P_dMat)/(1-P_Merma)</f>
        <v>127260</v>
      </c>
      <c r="CU48" s="34" t="n">
        <f aca="false">SUMPRODUCT(CU21:CU32,INS_O)*INDEX(IdxOV_O,1,MIN(10,CU$17))*(1+P_dMat)/(1-P_Merma)</f>
        <v>127260</v>
      </c>
      <c r="CV48" s="34" t="n">
        <f aca="false">SUMPRODUCT(CV21:CV32,INS_O)*INDEX(IdxOV_O,1,MIN(10,CV$17))*(1+P_dMat)/(1-P_Merma)</f>
        <v>127260</v>
      </c>
      <c r="CW48" s="34" t="n">
        <f aca="false">SUMPRODUCT(CW21:CW32,INS_O)*INDEX(IdxOV_O,1,MIN(10,CW$17))*(1+P_dMat)/(1-P_Merma)</f>
        <v>127260</v>
      </c>
      <c r="CX48" s="34" t="n">
        <f aca="false">SUMPRODUCT(CX21:CX32,INS_O)*INDEX(IdxOV_O,1,MIN(10,CX$17))*(1+P_dMat)/(1-P_Merma)</f>
        <v>127260</v>
      </c>
      <c r="CY48" s="34" t="n">
        <f aca="false">SUMPRODUCT(CY21:CY32,INS_O)*INDEX(IdxOV_O,1,MIN(10,CY$17))*(1+P_dMat)/(1-P_Merma)</f>
        <v>127260</v>
      </c>
      <c r="CZ48" s="34" t="n">
        <f aca="false">SUMPRODUCT(CZ21:CZ32,INS_O)*INDEX(IdxOV_O,1,MIN(10,CZ$17))*(1+P_dMat)/(1-P_Merma)</f>
        <v>127260</v>
      </c>
      <c r="DA48" s="34" t="n">
        <f aca="false">SUMPRODUCT(DA21:DA32,INS_O)*INDEX(IdxOV_O,1,MIN(10,DA$17))*(1+P_dMat)/(1-P_Merma)</f>
        <v>127260</v>
      </c>
      <c r="DB48" s="34" t="n">
        <f aca="false">SUMPRODUCT(DB21:DB32,INS_O)*INDEX(IdxOV_O,1,MIN(10,DB$17))*(1+P_dMat)/(1-P_Merma)</f>
        <v>127260</v>
      </c>
      <c r="DC48" s="34" t="n">
        <f aca="false">SUMPRODUCT(DC21:DC32,INS_O)*INDEX(IdxOV_O,1,MIN(10,DC$17))*(1+P_dMat)/(1-P_Merma)</f>
        <v>127260</v>
      </c>
      <c r="DD48" s="34" t="n">
        <f aca="false">SUMPRODUCT(DD21:DD32,INS_O)*INDEX(IdxOV_O,1,MIN(10,DD$17))*(1+P_dMat)/(1-P_Merma)</f>
        <v>127260</v>
      </c>
      <c r="DE48" s="34" t="n">
        <f aca="false">SUMPRODUCT(DE21:DE32,INS_O)*INDEX(IdxOV_O,1,MIN(10,DE$17))*(1+P_dMat)/(1-P_Merma)</f>
        <v>127260</v>
      </c>
      <c r="DF48" s="34" t="n">
        <f aca="false">SUMPRODUCT(DF21:DF32,INS_O)*INDEX(IdxOV_O,1,MIN(10,DF$17))*(1+P_dMat)/(1-P_Merma)</f>
        <v>127260</v>
      </c>
      <c r="DG48" s="34" t="n">
        <f aca="false">SUMPRODUCT(DG21:DG32,INS_O)*INDEX(IdxOV_O,1,MIN(10,DG$17))*(1+P_dMat)/(1-P_Merma)</f>
        <v>127260</v>
      </c>
      <c r="DH48" s="34" t="n">
        <f aca="false">SUMPRODUCT(DH21:DH32,INS_O)*INDEX(IdxOV_O,1,MIN(10,DH$17))*(1+P_dMat)/(1-P_Merma)</f>
        <v>127260</v>
      </c>
      <c r="DI48" s="34" t="n">
        <f aca="false">SUMPRODUCT(DI21:DI32,INS_O)*INDEX(IdxOV_O,1,MIN(10,DI$17))*(1+P_dMat)/(1-P_Merma)</f>
        <v>127260</v>
      </c>
      <c r="DJ48" s="34" t="n">
        <f aca="false">SUMPRODUCT(DJ21:DJ32,INS_O)*INDEX(IdxOV_O,1,MIN(10,DJ$17))*(1+P_dMat)/(1-P_Merma)</f>
        <v>127260</v>
      </c>
      <c r="DK48" s="34" t="n">
        <f aca="false">SUMPRODUCT(DK21:DK32,INS_O)*INDEX(IdxOV_O,1,MIN(10,DK$17))*(1+P_dMat)/(1-P_Merma)</f>
        <v>127260</v>
      </c>
      <c r="DL48" s="34" t="n">
        <f aca="false">SUMPRODUCT(DL21:DL32,INS_O)*INDEX(IdxOV_O,1,MIN(10,DL$17))*(1+P_dMat)/(1-P_Merma)</f>
        <v>127260</v>
      </c>
      <c r="DM48" s="34" t="n">
        <f aca="false">SUMPRODUCT(DM21:DM32,INS_O)*INDEX(IdxOV_O,1,MIN(10,DM$17))*(1+P_dMat)/(1-P_Merma)</f>
        <v>127260</v>
      </c>
      <c r="DN48" s="34" t="n">
        <f aca="false">SUMPRODUCT(DN21:DN32,INS_O)*INDEX(IdxOV_O,1,MIN(10,DN$17))*(1+P_dMat)/(1-P_Merma)</f>
        <v>127260</v>
      </c>
      <c r="DO48" s="34" t="n">
        <f aca="false">SUMPRODUCT(DO21:DO32,INS_O)*INDEX(IdxOV_O,1,MIN(10,DO$17))*(1+P_dMat)/(1-P_Merma)</f>
        <v>127260</v>
      </c>
      <c r="DP48" s="34" t="n">
        <f aca="false">SUMPRODUCT(DP21:DP32,INS_O)*INDEX(IdxOV_O,1,MIN(10,DP$17))*(1+P_dMat)/(1-P_Merma)</f>
        <v>127260</v>
      </c>
      <c r="DQ48" s="34" t="n">
        <f aca="false">SUMPRODUCT(DQ21:DQ32,INS_O)*INDEX(IdxOV_O,1,MIN(10,DQ$17))*(1+P_dMat)/(1-P_Merma)</f>
        <v>127260</v>
      </c>
      <c r="DR48" s="34" t="n">
        <f aca="false">SUMPRODUCT(DR21:DR32,INS_O)*INDEX(IdxOV_O,1,MIN(10,DR$17))*(1+P_dMat)/(1-P_Merma)</f>
        <v>127260</v>
      </c>
      <c r="DS48" s="34" t="n">
        <f aca="false">SUMPRODUCT(DS21:DS32,INS_O)*INDEX(IdxOV_O,1,MIN(10,DS$17))*(1+P_dMat)/(1-P_Merma)</f>
        <v>127260</v>
      </c>
      <c r="DT48" s="34" t="n">
        <f aca="false">SUMPRODUCT(DT21:DT32,INS_O)*INDEX(IdxOV_O,1,MIN(10,DT$17))*(1+P_dMat)/(1-P_Merma)</f>
        <v>127260</v>
      </c>
      <c r="DU48" s="34" t="n">
        <f aca="false">SUMPRODUCT(DU21:DU32,INS_O)*INDEX(IdxOV_O,1,MIN(10,DU$17))*(1+P_dMat)/(1-P_Merma)</f>
        <v>127260</v>
      </c>
      <c r="DV48" s="34" t="n">
        <f aca="false">SUMPRODUCT(DV21:DV32,INS_O)*INDEX(IdxOV_O,1,MIN(10,DV$17))*(1+P_dMat)/(1-P_Merma)</f>
        <v>0</v>
      </c>
      <c r="DW48" s="34" t="n">
        <f aca="false">SUMPRODUCT(DW21:DW32,INS_O)*INDEX(IdxOV_O,1,MIN(10,DW$17))*(1+P_dMat)/(1-P_Merma)</f>
        <v>0</v>
      </c>
      <c r="DX48" s="34" t="n">
        <f aca="false">SUMPRODUCT(DX21:DX32,INS_O)*INDEX(IdxOV_O,1,MIN(10,DX$17))*(1+P_dMat)/(1-P_Merma)</f>
        <v>0</v>
      </c>
      <c r="DY48" s="34" t="n">
        <f aca="false">SUMPRODUCT(DY21:DY32,INS_O)*INDEX(IdxOV_O,1,MIN(10,DY$17))*(1+P_dMat)/(1-P_Merma)</f>
        <v>0</v>
      </c>
      <c r="DZ48" s="34" t="n">
        <f aca="false">SUMPRODUCT(DZ21:DZ32,INS_O)*INDEX(IdxOV_O,1,MIN(10,DZ$17))*(1+P_dMat)/(1-P_Merma)</f>
        <v>0</v>
      </c>
      <c r="EA48" s="34" t="n">
        <f aca="false">SUMPRODUCT(EA21:EA32,INS_O)*INDEX(IdxOV_O,1,MIN(10,EA$17))*(1+P_dMat)/(1-P_Merma)</f>
        <v>0</v>
      </c>
      <c r="EB48" s="34" t="n">
        <f aca="false">SUMPRODUCT(EB21:EB32,INS_O)*INDEX(IdxOV_O,1,MIN(10,EB$17))*(1+P_dMat)/(1-P_Merma)</f>
        <v>0</v>
      </c>
      <c r="EC48" s="34" t="n">
        <f aca="false">SUMPRODUCT(EC21:EC32,INS_O)*INDEX(IdxOV_O,1,MIN(10,EC$17))*(1+P_dMat)/(1-P_Merma)</f>
        <v>0</v>
      </c>
      <c r="ED48" s="34" t="n">
        <f aca="false">SUMPRODUCT(ED21:ED32,INS_O)*INDEX(IdxOV_O,1,MIN(10,ED$17))*(1+P_dMat)/(1-P_Merma)</f>
        <v>0</v>
      </c>
      <c r="EE48" s="34" t="n">
        <f aca="false">SUMPRODUCT(EE21:EE32,INS_O)*INDEX(IdxOV_O,1,MIN(10,EE$17))*(1+P_dMat)/(1-P_Merma)</f>
        <v>0</v>
      </c>
      <c r="EF48" s="34" t="n">
        <f aca="false">SUMPRODUCT(EF21:EF32,INS_O)*INDEX(IdxOV_O,1,MIN(10,EF$17))*(1+P_dMat)/(1-P_Merma)</f>
        <v>0</v>
      </c>
      <c r="EG48" s="34" t="n">
        <f aca="false">SUMPRODUCT(EG21:EG32,INS_O)*INDEX(IdxOV_O,1,MIN(10,EG$17))*(1+P_dMat)/(1-P_Merma)</f>
        <v>0</v>
      </c>
      <c r="EH48" s="34" t="n">
        <f aca="false">SUMPRODUCT(EH21:EH32,INS_O)*INDEX(IdxOV_O,1,MIN(10,EH$17))*(1+P_dMat)/(1-P_Merma)</f>
        <v>0</v>
      </c>
      <c r="EI48" s="34" t="n">
        <f aca="false">SUMPRODUCT(EI21:EI32,INS_O)*INDEX(IdxOV_O,1,MIN(10,EI$17))*(1+P_dMat)/(1-P_Merma)</f>
        <v>0</v>
      </c>
      <c r="EJ48" s="34" t="n">
        <f aca="false">SUMPRODUCT(EJ21:EJ32,INS_O)*INDEX(IdxOV_O,1,MIN(10,EJ$17))*(1+P_dMat)/(1-P_Merma)</f>
        <v>0</v>
      </c>
      <c r="EK48" s="34" t="n">
        <f aca="false">SUMPRODUCT(EK21:EK32,INS_O)*INDEX(IdxOV_O,1,MIN(10,EK$17))*(1+P_dMat)/(1-P_Merma)</f>
        <v>0</v>
      </c>
      <c r="EL48" s="34" t="n">
        <f aca="false">SUMPRODUCT(EL21:EL32,INS_O)*INDEX(IdxOV_O,1,MIN(10,EL$17))*(1+P_dMat)/(1-P_Merma)</f>
        <v>0</v>
      </c>
      <c r="EM48" s="34" t="n">
        <f aca="false">SUMPRODUCT(EM21:EM32,INS_O)*INDEX(IdxOV_O,1,MIN(10,EM$17))*(1+P_dMat)/(1-P_Merma)</f>
        <v>0</v>
      </c>
      <c r="EN48" s="34" t="n">
        <f aca="false">SUMPRODUCT(EN21:EN32,INS_O)*INDEX(IdxOV_O,1,MIN(10,EN$17))*(1+P_dMat)/(1-P_Merma)</f>
        <v>0</v>
      </c>
      <c r="EO48" s="34" t="n">
        <f aca="false">SUMPRODUCT(EO21:EO32,INS_O)*INDEX(IdxOV_O,1,MIN(10,EO$17))*(1+P_dMat)/(1-P_Merma)</f>
        <v>0</v>
      </c>
      <c r="EP48" s="34" t="n">
        <f aca="false">SUMPRODUCT(EP21:EP32,INS_O)*INDEX(IdxOV_O,1,MIN(10,EP$17))*(1+P_dMat)/(1-P_Merma)</f>
        <v>0</v>
      </c>
      <c r="EQ48" s="34" t="n">
        <f aca="false">SUMPRODUCT(EQ21:EQ32,INS_O)*INDEX(IdxOV_O,1,MIN(10,EQ$17))*(1+P_dMat)/(1-P_Merma)</f>
        <v>0</v>
      </c>
      <c r="ER48" s="34" t="n">
        <f aca="false">SUMPRODUCT(ER21:ER32,INS_O)*INDEX(IdxOV_O,1,MIN(10,ER$17))*(1+P_dMat)/(1-P_Merma)</f>
        <v>0</v>
      </c>
      <c r="ES48" s="34" t="n">
        <f aca="false">SUMPRODUCT(ES21:ES32,INS_O)*INDEX(IdxOV_O,1,MIN(10,ES$17))*(1+P_dMat)/(1-P_Merma)</f>
        <v>0</v>
      </c>
    </row>
    <row r="49" customFormat="false" ht="15" hidden="false" customHeight="false" outlineLevel="0" collapsed="false">
      <c r="A49" s="2" t="s">
        <v>589</v>
      </c>
      <c r="B49" s="6" t="s">
        <v>590</v>
      </c>
      <c r="C49" s="6" t="s">
        <v>250</v>
      </c>
      <c r="E49" s="40" t="n">
        <f aca="false">SUM(F49:ES49)</f>
        <v>8388891.936</v>
      </c>
      <c r="F49" s="34" t="n">
        <f aca="false">SUMPRODUCT(F21:F32,OV_O)*INDEX(IdxOV_O,1,MIN(10,F$17))*(1+P_dMat)/(1-P_Merma)</f>
        <v>43834.333</v>
      </c>
      <c r="G49" s="34" t="n">
        <f aca="false">SUMPRODUCT(G21:G32,OV_O)*INDEX(IdxOV_O,1,MIN(10,G$17))*(1+P_dMat)/(1-P_Merma)</f>
        <v>43834.333</v>
      </c>
      <c r="H49" s="34" t="n">
        <f aca="false">SUMPRODUCT(H21:H32,OV_O)*INDEX(IdxOV_O,1,MIN(10,H$17))*(1+P_dMat)/(1-P_Merma)</f>
        <v>43834.333</v>
      </c>
      <c r="I49" s="34" t="n">
        <f aca="false">SUMPRODUCT(I21:I32,OV_O)*INDEX(IdxOV_O,1,MIN(10,I$17))*(1+P_dMat)/(1-P_Merma)</f>
        <v>43834.333</v>
      </c>
      <c r="J49" s="34" t="n">
        <f aca="false">SUMPRODUCT(J21:J32,OV_O)*INDEX(IdxOV_O,1,MIN(10,J$17))*(1+P_dMat)/(1-P_Merma)</f>
        <v>43834.333</v>
      </c>
      <c r="K49" s="34" t="n">
        <f aca="false">SUMPRODUCT(K21:K32,OV_O)*INDEX(IdxOV_O,1,MIN(10,K$17))*(1+P_dMat)/(1-P_Merma)</f>
        <v>43834.333</v>
      </c>
      <c r="L49" s="34" t="n">
        <f aca="false">SUMPRODUCT(L21:L32,OV_O)*INDEX(IdxOV_O,1,MIN(10,L$17))*(1+P_dMat)/(1-P_Merma)</f>
        <v>43834.333</v>
      </c>
      <c r="M49" s="34" t="n">
        <f aca="false">SUMPRODUCT(M21:M32,OV_O)*INDEX(IdxOV_O,1,MIN(10,M$17))*(1+P_dMat)/(1-P_Merma)</f>
        <v>43834.333</v>
      </c>
      <c r="N49" s="34" t="n">
        <f aca="false">SUMPRODUCT(N21:N32,OV_O)*INDEX(IdxOV_O,1,MIN(10,N$17))*(1+P_dMat)/(1-P_Merma)</f>
        <v>43834.333</v>
      </c>
      <c r="O49" s="34" t="n">
        <f aca="false">SUMPRODUCT(O21:O32,OV_O)*INDEX(IdxOV_O,1,MIN(10,O$17))*(1+P_dMat)/(1-P_Merma)</f>
        <v>43834.333</v>
      </c>
      <c r="P49" s="34" t="n">
        <f aca="false">SUMPRODUCT(P21:P32,OV_O)*INDEX(IdxOV_O,1,MIN(10,P$17))*(1+P_dMat)/(1-P_Merma)</f>
        <v>43834.333</v>
      </c>
      <c r="Q49" s="34" t="n">
        <f aca="false">SUMPRODUCT(Q21:Q32,OV_O)*INDEX(IdxOV_O,1,MIN(10,Q$17))*(1+P_dMat)/(1-P_Merma)</f>
        <v>43834.333</v>
      </c>
      <c r="R49" s="34" t="n">
        <f aca="false">SUMPRODUCT(R21:R32,OV_O)*INDEX(IdxOV_O,1,MIN(10,R$17))*(1+P_dMat)/(1-P_Merma)</f>
        <v>55361.66625</v>
      </c>
      <c r="S49" s="34" t="n">
        <f aca="false">SUMPRODUCT(S21:S32,OV_O)*INDEX(IdxOV_O,1,MIN(10,S$17))*(1+P_dMat)/(1-P_Merma)</f>
        <v>55361.66625</v>
      </c>
      <c r="T49" s="34" t="n">
        <f aca="false">SUMPRODUCT(T21:T32,OV_O)*INDEX(IdxOV_O,1,MIN(10,T$17))*(1+P_dMat)/(1-P_Merma)</f>
        <v>55361.66625</v>
      </c>
      <c r="U49" s="34" t="n">
        <f aca="false">SUMPRODUCT(U21:U32,OV_O)*INDEX(IdxOV_O,1,MIN(10,U$17))*(1+P_dMat)/(1-P_Merma)</f>
        <v>55361.66625</v>
      </c>
      <c r="V49" s="34" t="n">
        <f aca="false">SUMPRODUCT(V21:V32,OV_O)*INDEX(IdxOV_O,1,MIN(10,V$17))*(1+P_dMat)/(1-P_Merma)</f>
        <v>55361.66625</v>
      </c>
      <c r="W49" s="34" t="n">
        <f aca="false">SUMPRODUCT(W21:W32,OV_O)*INDEX(IdxOV_O,1,MIN(10,W$17))*(1+P_dMat)/(1-P_Merma)</f>
        <v>55361.66625</v>
      </c>
      <c r="X49" s="34" t="n">
        <f aca="false">SUMPRODUCT(X21:X32,OV_O)*INDEX(IdxOV_O,1,MIN(10,X$17))*(1+P_dMat)/(1-P_Merma)</f>
        <v>55361.66625</v>
      </c>
      <c r="Y49" s="34" t="n">
        <f aca="false">SUMPRODUCT(Y21:Y32,OV_O)*INDEX(IdxOV_O,1,MIN(10,Y$17))*(1+P_dMat)/(1-P_Merma)</f>
        <v>55361.66625</v>
      </c>
      <c r="Z49" s="34" t="n">
        <f aca="false">SUMPRODUCT(Z21:Z32,OV_O)*INDEX(IdxOV_O,1,MIN(10,Z$17))*(1+P_dMat)/(1-P_Merma)</f>
        <v>55361.66625</v>
      </c>
      <c r="AA49" s="34" t="n">
        <f aca="false">SUMPRODUCT(AA21:AA32,OV_O)*INDEX(IdxOV_O,1,MIN(10,AA$17))*(1+P_dMat)/(1-P_Merma)</f>
        <v>55361.66625</v>
      </c>
      <c r="AB49" s="34" t="n">
        <f aca="false">SUMPRODUCT(AB21:AB32,OV_O)*INDEX(IdxOV_O,1,MIN(10,AB$17))*(1+P_dMat)/(1-P_Merma)</f>
        <v>55361.66625</v>
      </c>
      <c r="AC49" s="34" t="n">
        <f aca="false">SUMPRODUCT(AC21:AC32,OV_O)*INDEX(IdxOV_O,1,MIN(10,AC$17))*(1+P_dMat)/(1-P_Merma)</f>
        <v>55361.66625</v>
      </c>
      <c r="AD49" s="34" t="n">
        <f aca="false">SUMPRODUCT(AD21:AD32,OV_O)*INDEX(IdxOV_O,1,MIN(10,AD$17))*(1+P_dMat)/(1-P_Merma)</f>
        <v>66888.9995</v>
      </c>
      <c r="AE49" s="34" t="n">
        <f aca="false">SUMPRODUCT(AE21:AE32,OV_O)*INDEX(IdxOV_O,1,MIN(10,AE$17))*(1+P_dMat)/(1-P_Merma)</f>
        <v>66888.9995</v>
      </c>
      <c r="AF49" s="34" t="n">
        <f aca="false">SUMPRODUCT(AF21:AF32,OV_O)*INDEX(IdxOV_O,1,MIN(10,AF$17))*(1+P_dMat)/(1-P_Merma)</f>
        <v>66888.9995</v>
      </c>
      <c r="AG49" s="34" t="n">
        <f aca="false">SUMPRODUCT(AG21:AG32,OV_O)*INDEX(IdxOV_O,1,MIN(10,AG$17))*(1+P_dMat)/(1-P_Merma)</f>
        <v>66888.9995</v>
      </c>
      <c r="AH49" s="34" t="n">
        <f aca="false">SUMPRODUCT(AH21:AH32,OV_O)*INDEX(IdxOV_O,1,MIN(10,AH$17))*(1+P_dMat)/(1-P_Merma)</f>
        <v>66888.9995</v>
      </c>
      <c r="AI49" s="34" t="n">
        <f aca="false">SUMPRODUCT(AI21:AI32,OV_O)*INDEX(IdxOV_O,1,MIN(10,AI$17))*(1+P_dMat)/(1-P_Merma)</f>
        <v>66888.9995</v>
      </c>
      <c r="AJ49" s="34" t="n">
        <f aca="false">SUMPRODUCT(AJ21:AJ32,OV_O)*INDEX(IdxOV_O,1,MIN(10,AJ$17))*(1+P_dMat)/(1-P_Merma)</f>
        <v>66888.9995</v>
      </c>
      <c r="AK49" s="34" t="n">
        <f aca="false">SUMPRODUCT(AK21:AK32,OV_O)*INDEX(IdxOV_O,1,MIN(10,AK$17))*(1+P_dMat)/(1-P_Merma)</f>
        <v>66888.9995</v>
      </c>
      <c r="AL49" s="34" t="n">
        <f aca="false">SUMPRODUCT(AL21:AL32,OV_O)*INDEX(IdxOV_O,1,MIN(10,AL$17))*(1+P_dMat)/(1-P_Merma)</f>
        <v>66888.9995</v>
      </c>
      <c r="AM49" s="34" t="n">
        <f aca="false">SUMPRODUCT(AM21:AM32,OV_O)*INDEX(IdxOV_O,1,MIN(10,AM$17))*(1+P_dMat)/(1-P_Merma)</f>
        <v>66888.9995</v>
      </c>
      <c r="AN49" s="34" t="n">
        <f aca="false">SUMPRODUCT(AN21:AN32,OV_O)*INDEX(IdxOV_O,1,MIN(10,AN$17))*(1+P_dMat)/(1-P_Merma)</f>
        <v>66888.9995</v>
      </c>
      <c r="AO49" s="34" t="n">
        <f aca="false">SUMPRODUCT(AO21:AO32,OV_O)*INDEX(IdxOV_O,1,MIN(10,AO$17))*(1+P_dMat)/(1-P_Merma)</f>
        <v>66888.9995</v>
      </c>
      <c r="AP49" s="34" t="n">
        <f aca="false">SUMPRODUCT(AP21:AP32,OV_O)*INDEX(IdxOV_O,1,MIN(10,AP$17))*(1+P_dMat)/(1-P_Merma)</f>
        <v>76141.33275</v>
      </c>
      <c r="AQ49" s="34" t="n">
        <f aca="false">SUMPRODUCT(AQ21:AQ32,OV_O)*INDEX(IdxOV_O,1,MIN(10,AQ$17))*(1+P_dMat)/(1-P_Merma)</f>
        <v>76141.33275</v>
      </c>
      <c r="AR49" s="34" t="n">
        <f aca="false">SUMPRODUCT(AR21:AR32,OV_O)*INDEX(IdxOV_O,1,MIN(10,AR$17))*(1+P_dMat)/(1-P_Merma)</f>
        <v>76141.33275</v>
      </c>
      <c r="AS49" s="34" t="n">
        <f aca="false">SUMPRODUCT(AS21:AS32,OV_O)*INDEX(IdxOV_O,1,MIN(10,AS$17))*(1+P_dMat)/(1-P_Merma)</f>
        <v>76141.33275</v>
      </c>
      <c r="AT49" s="34" t="n">
        <f aca="false">SUMPRODUCT(AT21:AT32,OV_O)*INDEX(IdxOV_O,1,MIN(10,AT$17))*(1+P_dMat)/(1-P_Merma)</f>
        <v>76141.33275</v>
      </c>
      <c r="AU49" s="34" t="n">
        <f aca="false">SUMPRODUCT(AU21:AU32,OV_O)*INDEX(IdxOV_O,1,MIN(10,AU$17))*(1+P_dMat)/(1-P_Merma)</f>
        <v>76141.33275</v>
      </c>
      <c r="AV49" s="34" t="n">
        <f aca="false">SUMPRODUCT(AV21:AV32,OV_O)*INDEX(IdxOV_O,1,MIN(10,AV$17))*(1+P_dMat)/(1-P_Merma)</f>
        <v>76141.33275</v>
      </c>
      <c r="AW49" s="34" t="n">
        <f aca="false">SUMPRODUCT(AW21:AW32,OV_O)*INDEX(IdxOV_O,1,MIN(10,AW$17))*(1+P_dMat)/(1-P_Merma)</f>
        <v>76141.33275</v>
      </c>
      <c r="AX49" s="34" t="n">
        <f aca="false">SUMPRODUCT(AX21:AX32,OV_O)*INDEX(IdxOV_O,1,MIN(10,AX$17))*(1+P_dMat)/(1-P_Merma)</f>
        <v>76141.33275</v>
      </c>
      <c r="AY49" s="34" t="n">
        <f aca="false">SUMPRODUCT(AY21:AY32,OV_O)*INDEX(IdxOV_O,1,MIN(10,AY$17))*(1+P_dMat)/(1-P_Merma)</f>
        <v>76141.33275</v>
      </c>
      <c r="AZ49" s="34" t="n">
        <f aca="false">SUMPRODUCT(AZ21:AZ32,OV_O)*INDEX(IdxOV_O,1,MIN(10,AZ$17))*(1+P_dMat)/(1-P_Merma)</f>
        <v>76141.33275</v>
      </c>
      <c r="BA49" s="34" t="n">
        <f aca="false">SUMPRODUCT(BA21:BA32,OV_O)*INDEX(IdxOV_O,1,MIN(10,BA$17))*(1+P_dMat)/(1-P_Merma)</f>
        <v>76141.33275</v>
      </c>
      <c r="BB49" s="34" t="n">
        <f aca="false">SUMPRODUCT(BB21:BB32,OV_O)*INDEX(IdxOV_O,1,MIN(10,BB$17))*(1+P_dMat)/(1-P_Merma)</f>
        <v>76141.33275</v>
      </c>
      <c r="BC49" s="34" t="n">
        <f aca="false">SUMPRODUCT(BC21:BC32,OV_O)*INDEX(IdxOV_O,1,MIN(10,BC$17))*(1+P_dMat)/(1-P_Merma)</f>
        <v>76141.33275</v>
      </c>
      <c r="BD49" s="34" t="n">
        <f aca="false">SUMPRODUCT(BD21:BD32,OV_O)*INDEX(IdxOV_O,1,MIN(10,BD$17))*(1+P_dMat)/(1-P_Merma)</f>
        <v>76141.33275</v>
      </c>
      <c r="BE49" s="34" t="n">
        <f aca="false">SUMPRODUCT(BE21:BE32,OV_O)*INDEX(IdxOV_O,1,MIN(10,BE$17))*(1+P_dMat)/(1-P_Merma)</f>
        <v>76141.33275</v>
      </c>
      <c r="BF49" s="34" t="n">
        <f aca="false">SUMPRODUCT(BF21:BF32,OV_O)*INDEX(IdxOV_O,1,MIN(10,BF$17))*(1+P_dMat)/(1-P_Merma)</f>
        <v>76141.33275</v>
      </c>
      <c r="BG49" s="34" t="n">
        <f aca="false">SUMPRODUCT(BG21:BG32,OV_O)*INDEX(IdxOV_O,1,MIN(10,BG$17))*(1+P_dMat)/(1-P_Merma)</f>
        <v>76141.33275</v>
      </c>
      <c r="BH49" s="34" t="n">
        <f aca="false">SUMPRODUCT(BH21:BH32,OV_O)*INDEX(IdxOV_O,1,MIN(10,BH$17))*(1+P_dMat)/(1-P_Merma)</f>
        <v>76141.33275</v>
      </c>
      <c r="BI49" s="34" t="n">
        <f aca="false">SUMPRODUCT(BI21:BI32,OV_O)*INDEX(IdxOV_O,1,MIN(10,BI$17))*(1+P_dMat)/(1-P_Merma)</f>
        <v>76141.33275</v>
      </c>
      <c r="BJ49" s="34" t="n">
        <f aca="false">SUMPRODUCT(BJ21:BJ32,OV_O)*INDEX(IdxOV_O,1,MIN(10,BJ$17))*(1+P_dMat)/(1-P_Merma)</f>
        <v>76141.33275</v>
      </c>
      <c r="BK49" s="34" t="n">
        <f aca="false">SUMPRODUCT(BK21:BK32,OV_O)*INDEX(IdxOV_O,1,MIN(10,BK$17))*(1+P_dMat)/(1-P_Merma)</f>
        <v>76141.33275</v>
      </c>
      <c r="BL49" s="34" t="n">
        <f aca="false">SUMPRODUCT(BL21:BL32,OV_O)*INDEX(IdxOV_O,1,MIN(10,BL$17))*(1+P_dMat)/(1-P_Merma)</f>
        <v>76141.33275</v>
      </c>
      <c r="BM49" s="34" t="n">
        <f aca="false">SUMPRODUCT(BM21:BM32,OV_O)*INDEX(IdxOV_O,1,MIN(10,BM$17))*(1+P_dMat)/(1-P_Merma)</f>
        <v>76141.33275</v>
      </c>
      <c r="BN49" s="34" t="n">
        <f aca="false">SUMPRODUCT(BN21:BN32,OV_O)*INDEX(IdxOV_O,1,MIN(10,BN$17))*(1+P_dMat)/(1-P_Merma)</f>
        <v>76141.33275</v>
      </c>
      <c r="BO49" s="34" t="n">
        <f aca="false">SUMPRODUCT(BO21:BO32,OV_O)*INDEX(IdxOV_O,1,MIN(10,BO$17))*(1+P_dMat)/(1-P_Merma)</f>
        <v>76141.33275</v>
      </c>
      <c r="BP49" s="34" t="n">
        <f aca="false">SUMPRODUCT(BP21:BP32,OV_O)*INDEX(IdxOV_O,1,MIN(10,BP$17))*(1+P_dMat)/(1-P_Merma)</f>
        <v>76141.33275</v>
      </c>
      <c r="BQ49" s="34" t="n">
        <f aca="false">SUMPRODUCT(BQ21:BQ32,OV_O)*INDEX(IdxOV_O,1,MIN(10,BQ$17))*(1+P_dMat)/(1-P_Merma)</f>
        <v>76141.33275</v>
      </c>
      <c r="BR49" s="34" t="n">
        <f aca="false">SUMPRODUCT(BR21:BR32,OV_O)*INDEX(IdxOV_O,1,MIN(10,BR$17))*(1+P_dMat)/(1-P_Merma)</f>
        <v>76141.33275</v>
      </c>
      <c r="BS49" s="34" t="n">
        <f aca="false">SUMPRODUCT(BS21:BS32,OV_O)*INDEX(IdxOV_O,1,MIN(10,BS$17))*(1+P_dMat)/(1-P_Merma)</f>
        <v>76141.33275</v>
      </c>
      <c r="BT49" s="34" t="n">
        <f aca="false">SUMPRODUCT(BT21:BT32,OV_O)*INDEX(IdxOV_O,1,MIN(10,BT$17))*(1+P_dMat)/(1-P_Merma)</f>
        <v>76141.33275</v>
      </c>
      <c r="BU49" s="34" t="n">
        <f aca="false">SUMPRODUCT(BU21:BU32,OV_O)*INDEX(IdxOV_O,1,MIN(10,BU$17))*(1+P_dMat)/(1-P_Merma)</f>
        <v>76141.33275</v>
      </c>
      <c r="BV49" s="34" t="n">
        <f aca="false">SUMPRODUCT(BV21:BV32,OV_O)*INDEX(IdxOV_O,1,MIN(10,BV$17))*(1+P_dMat)/(1-P_Merma)</f>
        <v>76141.33275</v>
      </c>
      <c r="BW49" s="34" t="n">
        <f aca="false">SUMPRODUCT(BW21:BW32,OV_O)*INDEX(IdxOV_O,1,MIN(10,BW$17))*(1+P_dMat)/(1-P_Merma)</f>
        <v>76141.33275</v>
      </c>
      <c r="BX49" s="34" t="n">
        <f aca="false">SUMPRODUCT(BX21:BX32,OV_O)*INDEX(IdxOV_O,1,MIN(10,BX$17))*(1+P_dMat)/(1-P_Merma)</f>
        <v>76141.33275</v>
      </c>
      <c r="BY49" s="34" t="n">
        <f aca="false">SUMPRODUCT(BY21:BY32,OV_O)*INDEX(IdxOV_O,1,MIN(10,BY$17))*(1+P_dMat)/(1-P_Merma)</f>
        <v>76141.33275</v>
      </c>
      <c r="BZ49" s="34" t="n">
        <f aca="false">SUMPRODUCT(BZ21:BZ32,OV_O)*INDEX(IdxOV_O,1,MIN(10,BZ$17))*(1+P_dMat)/(1-P_Merma)</f>
        <v>76141.33275</v>
      </c>
      <c r="CA49" s="34" t="n">
        <f aca="false">SUMPRODUCT(CA21:CA32,OV_O)*INDEX(IdxOV_O,1,MIN(10,CA$17))*(1+P_dMat)/(1-P_Merma)</f>
        <v>76141.33275</v>
      </c>
      <c r="CB49" s="34" t="n">
        <f aca="false">SUMPRODUCT(CB21:CB32,OV_O)*INDEX(IdxOV_O,1,MIN(10,CB$17))*(1+P_dMat)/(1-P_Merma)</f>
        <v>76141.33275</v>
      </c>
      <c r="CC49" s="34" t="n">
        <f aca="false">SUMPRODUCT(CC21:CC32,OV_O)*INDEX(IdxOV_O,1,MIN(10,CC$17))*(1+P_dMat)/(1-P_Merma)</f>
        <v>76141.33275</v>
      </c>
      <c r="CD49" s="34" t="n">
        <f aca="false">SUMPRODUCT(CD21:CD32,OV_O)*INDEX(IdxOV_O,1,MIN(10,CD$17))*(1+P_dMat)/(1-P_Merma)</f>
        <v>76141.33275</v>
      </c>
      <c r="CE49" s="34" t="n">
        <f aca="false">SUMPRODUCT(CE21:CE32,OV_O)*INDEX(IdxOV_O,1,MIN(10,CE$17))*(1+P_dMat)/(1-P_Merma)</f>
        <v>76141.33275</v>
      </c>
      <c r="CF49" s="34" t="n">
        <f aca="false">SUMPRODUCT(CF21:CF32,OV_O)*INDEX(IdxOV_O,1,MIN(10,CF$17))*(1+P_dMat)/(1-P_Merma)</f>
        <v>76141.33275</v>
      </c>
      <c r="CG49" s="34" t="n">
        <f aca="false">SUMPRODUCT(CG21:CG32,OV_O)*INDEX(IdxOV_O,1,MIN(10,CG$17))*(1+P_dMat)/(1-P_Merma)</f>
        <v>76141.33275</v>
      </c>
      <c r="CH49" s="34" t="n">
        <f aca="false">SUMPRODUCT(CH21:CH32,OV_O)*INDEX(IdxOV_O,1,MIN(10,CH$17))*(1+P_dMat)/(1-P_Merma)</f>
        <v>76141.33275</v>
      </c>
      <c r="CI49" s="34" t="n">
        <f aca="false">SUMPRODUCT(CI21:CI32,OV_O)*INDEX(IdxOV_O,1,MIN(10,CI$17))*(1+P_dMat)/(1-P_Merma)</f>
        <v>76141.33275</v>
      </c>
      <c r="CJ49" s="34" t="n">
        <f aca="false">SUMPRODUCT(CJ21:CJ32,OV_O)*INDEX(IdxOV_O,1,MIN(10,CJ$17))*(1+P_dMat)/(1-P_Merma)</f>
        <v>76141.33275</v>
      </c>
      <c r="CK49" s="34" t="n">
        <f aca="false">SUMPRODUCT(CK21:CK32,OV_O)*INDEX(IdxOV_O,1,MIN(10,CK$17))*(1+P_dMat)/(1-P_Merma)</f>
        <v>76141.33275</v>
      </c>
      <c r="CL49" s="34" t="n">
        <f aca="false">SUMPRODUCT(CL21:CL32,OV_O)*INDEX(IdxOV_O,1,MIN(10,CL$17))*(1+P_dMat)/(1-P_Merma)</f>
        <v>76141.33275</v>
      </c>
      <c r="CM49" s="34" t="n">
        <f aca="false">SUMPRODUCT(CM21:CM32,OV_O)*INDEX(IdxOV_O,1,MIN(10,CM$17))*(1+P_dMat)/(1-P_Merma)</f>
        <v>76141.33275</v>
      </c>
      <c r="CN49" s="34" t="n">
        <f aca="false">SUMPRODUCT(CN21:CN32,OV_O)*INDEX(IdxOV_O,1,MIN(10,CN$17))*(1+P_dMat)/(1-P_Merma)</f>
        <v>76141.33275</v>
      </c>
      <c r="CO49" s="34" t="n">
        <f aca="false">SUMPRODUCT(CO21:CO32,OV_O)*INDEX(IdxOV_O,1,MIN(10,CO$17))*(1+P_dMat)/(1-P_Merma)</f>
        <v>76141.33275</v>
      </c>
      <c r="CP49" s="34" t="n">
        <f aca="false">SUMPRODUCT(CP21:CP32,OV_O)*INDEX(IdxOV_O,1,MIN(10,CP$17))*(1+P_dMat)/(1-P_Merma)</f>
        <v>76141.33275</v>
      </c>
      <c r="CQ49" s="34" t="n">
        <f aca="false">SUMPRODUCT(CQ21:CQ32,OV_O)*INDEX(IdxOV_O,1,MIN(10,CQ$17))*(1+P_dMat)/(1-P_Merma)</f>
        <v>76141.33275</v>
      </c>
      <c r="CR49" s="34" t="n">
        <f aca="false">SUMPRODUCT(CR21:CR32,OV_O)*INDEX(IdxOV_O,1,MIN(10,CR$17))*(1+P_dMat)/(1-P_Merma)</f>
        <v>76141.33275</v>
      </c>
      <c r="CS49" s="34" t="n">
        <f aca="false">SUMPRODUCT(CS21:CS32,OV_O)*INDEX(IdxOV_O,1,MIN(10,CS$17))*(1+P_dMat)/(1-P_Merma)</f>
        <v>76141.33275</v>
      </c>
      <c r="CT49" s="34" t="n">
        <f aca="false">SUMPRODUCT(CT21:CT32,OV_O)*INDEX(IdxOV_O,1,MIN(10,CT$17))*(1+P_dMat)/(1-P_Merma)</f>
        <v>76141.33275</v>
      </c>
      <c r="CU49" s="34" t="n">
        <f aca="false">SUMPRODUCT(CU21:CU32,OV_O)*INDEX(IdxOV_O,1,MIN(10,CU$17))*(1+P_dMat)/(1-P_Merma)</f>
        <v>76141.33275</v>
      </c>
      <c r="CV49" s="34" t="n">
        <f aca="false">SUMPRODUCT(CV21:CV32,OV_O)*INDEX(IdxOV_O,1,MIN(10,CV$17))*(1+P_dMat)/(1-P_Merma)</f>
        <v>76141.33275</v>
      </c>
      <c r="CW49" s="34" t="n">
        <f aca="false">SUMPRODUCT(CW21:CW32,OV_O)*INDEX(IdxOV_O,1,MIN(10,CW$17))*(1+P_dMat)/(1-P_Merma)</f>
        <v>76141.33275</v>
      </c>
      <c r="CX49" s="34" t="n">
        <f aca="false">SUMPRODUCT(CX21:CX32,OV_O)*INDEX(IdxOV_O,1,MIN(10,CX$17))*(1+P_dMat)/(1-P_Merma)</f>
        <v>76141.33275</v>
      </c>
      <c r="CY49" s="34" t="n">
        <f aca="false">SUMPRODUCT(CY21:CY32,OV_O)*INDEX(IdxOV_O,1,MIN(10,CY$17))*(1+P_dMat)/(1-P_Merma)</f>
        <v>76141.33275</v>
      </c>
      <c r="CZ49" s="34" t="n">
        <f aca="false">SUMPRODUCT(CZ21:CZ32,OV_O)*INDEX(IdxOV_O,1,MIN(10,CZ$17))*(1+P_dMat)/(1-P_Merma)</f>
        <v>76141.33275</v>
      </c>
      <c r="DA49" s="34" t="n">
        <f aca="false">SUMPRODUCT(DA21:DA32,OV_O)*INDEX(IdxOV_O,1,MIN(10,DA$17))*(1+P_dMat)/(1-P_Merma)</f>
        <v>76141.33275</v>
      </c>
      <c r="DB49" s="34" t="n">
        <f aca="false">SUMPRODUCT(DB21:DB32,OV_O)*INDEX(IdxOV_O,1,MIN(10,DB$17))*(1+P_dMat)/(1-P_Merma)</f>
        <v>76141.33275</v>
      </c>
      <c r="DC49" s="34" t="n">
        <f aca="false">SUMPRODUCT(DC21:DC32,OV_O)*INDEX(IdxOV_O,1,MIN(10,DC$17))*(1+P_dMat)/(1-P_Merma)</f>
        <v>76141.33275</v>
      </c>
      <c r="DD49" s="34" t="n">
        <f aca="false">SUMPRODUCT(DD21:DD32,OV_O)*INDEX(IdxOV_O,1,MIN(10,DD$17))*(1+P_dMat)/(1-P_Merma)</f>
        <v>76141.33275</v>
      </c>
      <c r="DE49" s="34" t="n">
        <f aca="false">SUMPRODUCT(DE21:DE32,OV_O)*INDEX(IdxOV_O,1,MIN(10,DE$17))*(1+P_dMat)/(1-P_Merma)</f>
        <v>76141.33275</v>
      </c>
      <c r="DF49" s="34" t="n">
        <f aca="false">SUMPRODUCT(DF21:DF32,OV_O)*INDEX(IdxOV_O,1,MIN(10,DF$17))*(1+P_dMat)/(1-P_Merma)</f>
        <v>76141.33275</v>
      </c>
      <c r="DG49" s="34" t="n">
        <f aca="false">SUMPRODUCT(DG21:DG32,OV_O)*INDEX(IdxOV_O,1,MIN(10,DG$17))*(1+P_dMat)/(1-P_Merma)</f>
        <v>76141.33275</v>
      </c>
      <c r="DH49" s="34" t="n">
        <f aca="false">SUMPRODUCT(DH21:DH32,OV_O)*INDEX(IdxOV_O,1,MIN(10,DH$17))*(1+P_dMat)/(1-P_Merma)</f>
        <v>76141.33275</v>
      </c>
      <c r="DI49" s="34" t="n">
        <f aca="false">SUMPRODUCT(DI21:DI32,OV_O)*INDEX(IdxOV_O,1,MIN(10,DI$17))*(1+P_dMat)/(1-P_Merma)</f>
        <v>76141.33275</v>
      </c>
      <c r="DJ49" s="34" t="n">
        <f aca="false">SUMPRODUCT(DJ21:DJ32,OV_O)*INDEX(IdxOV_O,1,MIN(10,DJ$17))*(1+P_dMat)/(1-P_Merma)</f>
        <v>76141.33275</v>
      </c>
      <c r="DK49" s="34" t="n">
        <f aca="false">SUMPRODUCT(DK21:DK32,OV_O)*INDEX(IdxOV_O,1,MIN(10,DK$17))*(1+P_dMat)/(1-P_Merma)</f>
        <v>76141.33275</v>
      </c>
      <c r="DL49" s="34" t="n">
        <f aca="false">SUMPRODUCT(DL21:DL32,OV_O)*INDEX(IdxOV_O,1,MIN(10,DL$17))*(1+P_dMat)/(1-P_Merma)</f>
        <v>76141.33275</v>
      </c>
      <c r="DM49" s="34" t="n">
        <f aca="false">SUMPRODUCT(DM21:DM32,OV_O)*INDEX(IdxOV_O,1,MIN(10,DM$17))*(1+P_dMat)/(1-P_Merma)</f>
        <v>76141.33275</v>
      </c>
      <c r="DN49" s="34" t="n">
        <f aca="false">SUMPRODUCT(DN21:DN32,OV_O)*INDEX(IdxOV_O,1,MIN(10,DN$17))*(1+P_dMat)/(1-P_Merma)</f>
        <v>76141.33275</v>
      </c>
      <c r="DO49" s="34" t="n">
        <f aca="false">SUMPRODUCT(DO21:DO32,OV_O)*INDEX(IdxOV_O,1,MIN(10,DO$17))*(1+P_dMat)/(1-P_Merma)</f>
        <v>76141.33275</v>
      </c>
      <c r="DP49" s="34" t="n">
        <f aca="false">SUMPRODUCT(DP21:DP32,OV_O)*INDEX(IdxOV_O,1,MIN(10,DP$17))*(1+P_dMat)/(1-P_Merma)</f>
        <v>76141.33275</v>
      </c>
      <c r="DQ49" s="34" t="n">
        <f aca="false">SUMPRODUCT(DQ21:DQ32,OV_O)*INDEX(IdxOV_O,1,MIN(10,DQ$17))*(1+P_dMat)/(1-P_Merma)</f>
        <v>76141.33275</v>
      </c>
      <c r="DR49" s="34" t="n">
        <f aca="false">SUMPRODUCT(DR21:DR32,OV_O)*INDEX(IdxOV_O,1,MIN(10,DR$17))*(1+P_dMat)/(1-P_Merma)</f>
        <v>76141.33275</v>
      </c>
      <c r="DS49" s="34" t="n">
        <f aca="false">SUMPRODUCT(DS21:DS32,OV_O)*INDEX(IdxOV_O,1,MIN(10,DS$17))*(1+P_dMat)/(1-P_Merma)</f>
        <v>76141.33275</v>
      </c>
      <c r="DT49" s="34" t="n">
        <f aca="false">SUMPRODUCT(DT21:DT32,OV_O)*INDEX(IdxOV_O,1,MIN(10,DT$17))*(1+P_dMat)/(1-P_Merma)</f>
        <v>76141.33275</v>
      </c>
      <c r="DU49" s="34" t="n">
        <f aca="false">SUMPRODUCT(DU21:DU32,OV_O)*INDEX(IdxOV_O,1,MIN(10,DU$17))*(1+P_dMat)/(1-P_Merma)</f>
        <v>76141.33275</v>
      </c>
      <c r="DV49" s="34" t="n">
        <f aca="false">SUMPRODUCT(DV21:DV32,OV_O)*INDEX(IdxOV_O,1,MIN(10,DV$17))*(1+P_dMat)/(1-P_Merma)</f>
        <v>0</v>
      </c>
      <c r="DW49" s="34" t="n">
        <f aca="false">SUMPRODUCT(DW21:DW32,OV_O)*INDEX(IdxOV_O,1,MIN(10,DW$17))*(1+P_dMat)/(1-P_Merma)</f>
        <v>0</v>
      </c>
      <c r="DX49" s="34" t="n">
        <f aca="false">SUMPRODUCT(DX21:DX32,OV_O)*INDEX(IdxOV_O,1,MIN(10,DX$17))*(1+P_dMat)/(1-P_Merma)</f>
        <v>0</v>
      </c>
      <c r="DY49" s="34" t="n">
        <f aca="false">SUMPRODUCT(DY21:DY32,OV_O)*INDEX(IdxOV_O,1,MIN(10,DY$17))*(1+P_dMat)/(1-P_Merma)</f>
        <v>0</v>
      </c>
      <c r="DZ49" s="34" t="n">
        <f aca="false">SUMPRODUCT(DZ21:DZ32,OV_O)*INDEX(IdxOV_O,1,MIN(10,DZ$17))*(1+P_dMat)/(1-P_Merma)</f>
        <v>0</v>
      </c>
      <c r="EA49" s="34" t="n">
        <f aca="false">SUMPRODUCT(EA21:EA32,OV_O)*INDEX(IdxOV_O,1,MIN(10,EA$17))*(1+P_dMat)/(1-P_Merma)</f>
        <v>0</v>
      </c>
      <c r="EB49" s="34" t="n">
        <f aca="false">SUMPRODUCT(EB21:EB32,OV_O)*INDEX(IdxOV_O,1,MIN(10,EB$17))*(1+P_dMat)/(1-P_Merma)</f>
        <v>0</v>
      </c>
      <c r="EC49" s="34" t="n">
        <f aca="false">SUMPRODUCT(EC21:EC32,OV_O)*INDEX(IdxOV_O,1,MIN(10,EC$17))*(1+P_dMat)/(1-P_Merma)</f>
        <v>0</v>
      </c>
      <c r="ED49" s="34" t="n">
        <f aca="false">SUMPRODUCT(ED21:ED32,OV_O)*INDEX(IdxOV_O,1,MIN(10,ED$17))*(1+P_dMat)/(1-P_Merma)</f>
        <v>0</v>
      </c>
      <c r="EE49" s="34" t="n">
        <f aca="false">SUMPRODUCT(EE21:EE32,OV_O)*INDEX(IdxOV_O,1,MIN(10,EE$17))*(1+P_dMat)/(1-P_Merma)</f>
        <v>0</v>
      </c>
      <c r="EF49" s="34" t="n">
        <f aca="false">SUMPRODUCT(EF21:EF32,OV_O)*INDEX(IdxOV_O,1,MIN(10,EF$17))*(1+P_dMat)/(1-P_Merma)</f>
        <v>0</v>
      </c>
      <c r="EG49" s="34" t="n">
        <f aca="false">SUMPRODUCT(EG21:EG32,OV_O)*INDEX(IdxOV_O,1,MIN(10,EG$17))*(1+P_dMat)/(1-P_Merma)</f>
        <v>0</v>
      </c>
      <c r="EH49" s="34" t="n">
        <f aca="false">SUMPRODUCT(EH21:EH32,OV_O)*INDEX(IdxOV_O,1,MIN(10,EH$17))*(1+P_dMat)/(1-P_Merma)</f>
        <v>0</v>
      </c>
      <c r="EI49" s="34" t="n">
        <f aca="false">SUMPRODUCT(EI21:EI32,OV_O)*INDEX(IdxOV_O,1,MIN(10,EI$17))*(1+P_dMat)/(1-P_Merma)</f>
        <v>0</v>
      </c>
      <c r="EJ49" s="34" t="n">
        <f aca="false">SUMPRODUCT(EJ21:EJ32,OV_O)*INDEX(IdxOV_O,1,MIN(10,EJ$17))*(1+P_dMat)/(1-P_Merma)</f>
        <v>0</v>
      </c>
      <c r="EK49" s="34" t="n">
        <f aca="false">SUMPRODUCT(EK21:EK32,OV_O)*INDEX(IdxOV_O,1,MIN(10,EK$17))*(1+P_dMat)/(1-P_Merma)</f>
        <v>0</v>
      </c>
      <c r="EL49" s="34" t="n">
        <f aca="false">SUMPRODUCT(EL21:EL32,OV_O)*INDEX(IdxOV_O,1,MIN(10,EL$17))*(1+P_dMat)/(1-P_Merma)</f>
        <v>0</v>
      </c>
      <c r="EM49" s="34" t="n">
        <f aca="false">SUMPRODUCT(EM21:EM32,OV_O)*INDEX(IdxOV_O,1,MIN(10,EM$17))*(1+P_dMat)/(1-P_Merma)</f>
        <v>0</v>
      </c>
      <c r="EN49" s="34" t="n">
        <f aca="false">SUMPRODUCT(EN21:EN32,OV_O)*INDEX(IdxOV_O,1,MIN(10,EN$17))*(1+P_dMat)/(1-P_Merma)</f>
        <v>0</v>
      </c>
      <c r="EO49" s="34" t="n">
        <f aca="false">SUMPRODUCT(EO21:EO32,OV_O)*INDEX(IdxOV_O,1,MIN(10,EO$17))*(1+P_dMat)/(1-P_Merma)</f>
        <v>0</v>
      </c>
      <c r="EP49" s="34" t="n">
        <f aca="false">SUMPRODUCT(EP21:EP32,OV_O)*INDEX(IdxOV_O,1,MIN(10,EP$17))*(1+P_dMat)/(1-P_Merma)</f>
        <v>0</v>
      </c>
      <c r="EQ49" s="34" t="n">
        <f aca="false">SUMPRODUCT(EQ21:EQ32,OV_O)*INDEX(IdxOV_O,1,MIN(10,EQ$17))*(1+P_dMat)/(1-P_Merma)</f>
        <v>0</v>
      </c>
      <c r="ER49" s="34" t="n">
        <f aca="false">SUMPRODUCT(ER21:ER32,OV_O)*INDEX(IdxOV_O,1,MIN(10,ER$17))*(1+P_dMat)/(1-P_Merma)</f>
        <v>0</v>
      </c>
      <c r="ES49" s="34" t="n">
        <f aca="false">SUMPRODUCT(ES21:ES32,OV_O)*INDEX(IdxOV_O,1,MIN(10,ES$17))*(1+P_dMat)/(1-P_Merma)</f>
        <v>0</v>
      </c>
    </row>
    <row r="50" customFormat="false" ht="15" hidden="false" customHeight="false" outlineLevel="0" collapsed="false">
      <c r="A50" s="2" t="s">
        <v>591</v>
      </c>
      <c r="B50" s="6" t="s">
        <v>592</v>
      </c>
      <c r="C50" s="6" t="s">
        <v>250</v>
      </c>
      <c r="E50" s="40" t="n">
        <f aca="false">SUM(F50:ES50)</f>
        <v>1179542.8015068</v>
      </c>
      <c r="F50" s="34" t="n">
        <f aca="false">P_Desp*(F$47+F$48)</f>
        <v>5975.175</v>
      </c>
      <c r="G50" s="34" t="n">
        <f aca="false">P_Desp*(G$47+G$48)</f>
        <v>5975.175</v>
      </c>
      <c r="H50" s="34" t="n">
        <f aca="false">P_Desp*(H$47+H$48)</f>
        <v>5975.175</v>
      </c>
      <c r="I50" s="34" t="n">
        <f aca="false">P_Desp*(I$47+I$48)</f>
        <v>5975.175</v>
      </c>
      <c r="J50" s="34" t="n">
        <f aca="false">P_Desp*(J$47+J$48)</f>
        <v>5975.175</v>
      </c>
      <c r="K50" s="34" t="n">
        <f aca="false">P_Desp*(K$47+K$48)</f>
        <v>5975.175</v>
      </c>
      <c r="L50" s="34" t="n">
        <f aca="false">P_Desp*(L$47+L$48)</f>
        <v>5975.175</v>
      </c>
      <c r="M50" s="34" t="n">
        <f aca="false">P_Desp*(M$47+M$48)</f>
        <v>5975.175</v>
      </c>
      <c r="N50" s="34" t="n">
        <f aca="false">P_Desp*(N$47+N$48)</f>
        <v>5975.175</v>
      </c>
      <c r="O50" s="34" t="n">
        <f aca="false">P_Desp*(O$47+O$48)</f>
        <v>5975.175</v>
      </c>
      <c r="P50" s="34" t="n">
        <f aca="false">P_Desp*(P$47+P$48)</f>
        <v>5975.175</v>
      </c>
      <c r="Q50" s="34" t="n">
        <f aca="false">P_Desp*(Q$47+Q$48)</f>
        <v>5975.175</v>
      </c>
      <c r="R50" s="34" t="n">
        <f aca="false">P_Desp*(R$47+R$48)</f>
        <v>7593.26625</v>
      </c>
      <c r="S50" s="34" t="n">
        <f aca="false">P_Desp*(S$47+S$48)</f>
        <v>7593.26625</v>
      </c>
      <c r="T50" s="34" t="n">
        <f aca="false">P_Desp*(T$47+T$48)</f>
        <v>7593.26625</v>
      </c>
      <c r="U50" s="34" t="n">
        <f aca="false">P_Desp*(U$47+U$48)</f>
        <v>7593.26625</v>
      </c>
      <c r="V50" s="34" t="n">
        <f aca="false">P_Desp*(V$47+V$48)</f>
        <v>7593.26625</v>
      </c>
      <c r="W50" s="34" t="n">
        <f aca="false">P_Desp*(W$47+W$48)</f>
        <v>7593.26625</v>
      </c>
      <c r="X50" s="34" t="n">
        <f aca="false">P_Desp*(X$47+X$48)</f>
        <v>7593.26625</v>
      </c>
      <c r="Y50" s="34" t="n">
        <f aca="false">P_Desp*(Y$47+Y$48)</f>
        <v>7593.26625</v>
      </c>
      <c r="Z50" s="34" t="n">
        <f aca="false">P_Desp*(Z$47+Z$48)</f>
        <v>7593.26625</v>
      </c>
      <c r="AA50" s="34" t="n">
        <f aca="false">P_Desp*(AA$47+AA$48)</f>
        <v>7593.26625</v>
      </c>
      <c r="AB50" s="34" t="n">
        <f aca="false">P_Desp*(AB$47+AB$48)</f>
        <v>7593.26625</v>
      </c>
      <c r="AC50" s="34" t="n">
        <f aca="false">P_Desp*(AC$47+AC$48)</f>
        <v>7593.26625</v>
      </c>
      <c r="AD50" s="34" t="n">
        <f aca="false">P_Desp*(AD$47+AD$48)</f>
        <v>9231.7407</v>
      </c>
      <c r="AE50" s="34" t="n">
        <f aca="false">P_Desp*(AE$47+AE$48)</f>
        <v>9231.7407</v>
      </c>
      <c r="AF50" s="34" t="n">
        <f aca="false">P_Desp*(AF$47+AF$48)</f>
        <v>9231.7407</v>
      </c>
      <c r="AG50" s="34" t="n">
        <f aca="false">P_Desp*(AG$47+AG$48)</f>
        <v>9231.7407</v>
      </c>
      <c r="AH50" s="34" t="n">
        <f aca="false">P_Desp*(AH$47+AH$48)</f>
        <v>9231.7407</v>
      </c>
      <c r="AI50" s="34" t="n">
        <f aca="false">P_Desp*(AI$47+AI$48)</f>
        <v>9231.7407</v>
      </c>
      <c r="AJ50" s="34" t="n">
        <f aca="false">P_Desp*(AJ$47+AJ$48)</f>
        <v>9231.7407</v>
      </c>
      <c r="AK50" s="34" t="n">
        <f aca="false">P_Desp*(AK$47+AK$48)</f>
        <v>9231.7407</v>
      </c>
      <c r="AL50" s="34" t="n">
        <f aca="false">P_Desp*(AL$47+AL$48)</f>
        <v>9231.7407</v>
      </c>
      <c r="AM50" s="34" t="n">
        <f aca="false">P_Desp*(AM$47+AM$48)</f>
        <v>9231.7407</v>
      </c>
      <c r="AN50" s="34" t="n">
        <f aca="false">P_Desp*(AN$47+AN$48)</f>
        <v>9231.7407</v>
      </c>
      <c r="AO50" s="34" t="n">
        <f aca="false">P_Desp*(AO$47+AO$48)</f>
        <v>9231.7407</v>
      </c>
      <c r="AP50" s="34" t="n">
        <f aca="false">P_Desp*(AP$47+AP$48)</f>
        <v>10578.763949625</v>
      </c>
      <c r="AQ50" s="34" t="n">
        <f aca="false">P_Desp*(AQ$47+AQ$48)</f>
        <v>10578.763949625</v>
      </c>
      <c r="AR50" s="34" t="n">
        <f aca="false">P_Desp*(AR$47+AR$48)</f>
        <v>10578.763949625</v>
      </c>
      <c r="AS50" s="34" t="n">
        <f aca="false">P_Desp*(AS$47+AS$48)</f>
        <v>10578.763949625</v>
      </c>
      <c r="AT50" s="34" t="n">
        <f aca="false">P_Desp*(AT$47+AT$48)</f>
        <v>10578.763949625</v>
      </c>
      <c r="AU50" s="34" t="n">
        <f aca="false">P_Desp*(AU$47+AU$48)</f>
        <v>10578.763949625</v>
      </c>
      <c r="AV50" s="34" t="n">
        <f aca="false">P_Desp*(AV$47+AV$48)</f>
        <v>10578.763949625</v>
      </c>
      <c r="AW50" s="34" t="n">
        <f aca="false">P_Desp*(AW$47+AW$48)</f>
        <v>10578.763949625</v>
      </c>
      <c r="AX50" s="34" t="n">
        <f aca="false">P_Desp*(AX$47+AX$48)</f>
        <v>10578.763949625</v>
      </c>
      <c r="AY50" s="34" t="n">
        <f aca="false">P_Desp*(AY$47+AY$48)</f>
        <v>10578.763949625</v>
      </c>
      <c r="AZ50" s="34" t="n">
        <f aca="false">P_Desp*(AZ$47+AZ$48)</f>
        <v>10578.763949625</v>
      </c>
      <c r="BA50" s="34" t="n">
        <f aca="false">P_Desp*(BA$47+BA$48)</f>
        <v>10578.763949625</v>
      </c>
      <c r="BB50" s="34" t="n">
        <f aca="false">P_Desp*(BB$47+BB$48)</f>
        <v>10646.3735891213</v>
      </c>
      <c r="BC50" s="34" t="n">
        <f aca="false">P_Desp*(BC$47+BC$48)</f>
        <v>10646.3735891213</v>
      </c>
      <c r="BD50" s="34" t="n">
        <f aca="false">P_Desp*(BD$47+BD$48)</f>
        <v>10646.3735891213</v>
      </c>
      <c r="BE50" s="34" t="n">
        <f aca="false">P_Desp*(BE$47+BE$48)</f>
        <v>10646.3735891213</v>
      </c>
      <c r="BF50" s="34" t="n">
        <f aca="false">P_Desp*(BF$47+BF$48)</f>
        <v>10646.3735891213</v>
      </c>
      <c r="BG50" s="34" t="n">
        <f aca="false">P_Desp*(BG$47+BG$48)</f>
        <v>10646.3735891213</v>
      </c>
      <c r="BH50" s="34" t="n">
        <f aca="false">P_Desp*(BH$47+BH$48)</f>
        <v>10646.3735891213</v>
      </c>
      <c r="BI50" s="34" t="n">
        <f aca="false">P_Desp*(BI$47+BI$48)</f>
        <v>10646.3735891213</v>
      </c>
      <c r="BJ50" s="34" t="n">
        <f aca="false">P_Desp*(BJ$47+BJ$48)</f>
        <v>10646.3735891213</v>
      </c>
      <c r="BK50" s="34" t="n">
        <f aca="false">P_Desp*(BK$47+BK$48)</f>
        <v>10646.3735891213</v>
      </c>
      <c r="BL50" s="34" t="n">
        <f aca="false">P_Desp*(BL$47+BL$48)</f>
        <v>10646.3735891213</v>
      </c>
      <c r="BM50" s="34" t="n">
        <f aca="false">P_Desp*(BM$47+BM$48)</f>
        <v>10646.3735891213</v>
      </c>
      <c r="BN50" s="34" t="n">
        <f aca="false">P_Desp*(BN$47+BN$48)</f>
        <v>10714.6593250125</v>
      </c>
      <c r="BO50" s="34" t="n">
        <f aca="false">P_Desp*(BO$47+BO$48)</f>
        <v>10714.6593250125</v>
      </c>
      <c r="BP50" s="34" t="n">
        <f aca="false">P_Desp*(BP$47+BP$48)</f>
        <v>10714.6593250125</v>
      </c>
      <c r="BQ50" s="34" t="n">
        <f aca="false">P_Desp*(BQ$47+BQ$48)</f>
        <v>10714.6593250125</v>
      </c>
      <c r="BR50" s="34" t="n">
        <f aca="false">P_Desp*(BR$47+BR$48)</f>
        <v>10714.6593250125</v>
      </c>
      <c r="BS50" s="34" t="n">
        <f aca="false">P_Desp*(BS$47+BS$48)</f>
        <v>10714.6593250125</v>
      </c>
      <c r="BT50" s="34" t="n">
        <f aca="false">P_Desp*(BT$47+BT$48)</f>
        <v>10714.6593250125</v>
      </c>
      <c r="BU50" s="34" t="n">
        <f aca="false">P_Desp*(BU$47+BU$48)</f>
        <v>10714.6593250125</v>
      </c>
      <c r="BV50" s="34" t="n">
        <f aca="false">P_Desp*(BV$47+BV$48)</f>
        <v>10714.6593250125</v>
      </c>
      <c r="BW50" s="34" t="n">
        <f aca="false">P_Desp*(BW$47+BW$48)</f>
        <v>10714.6593250125</v>
      </c>
      <c r="BX50" s="34" t="n">
        <f aca="false">P_Desp*(BX$47+BX$48)</f>
        <v>10714.6593250125</v>
      </c>
      <c r="BY50" s="34" t="n">
        <f aca="false">P_Desp*(BY$47+BY$48)</f>
        <v>10714.6593250125</v>
      </c>
      <c r="BZ50" s="34" t="n">
        <f aca="false">P_Desp*(BZ$47+BZ$48)</f>
        <v>10783.6279182626</v>
      </c>
      <c r="CA50" s="34" t="n">
        <f aca="false">P_Desp*(CA$47+CA$48)</f>
        <v>10783.6279182626</v>
      </c>
      <c r="CB50" s="34" t="n">
        <f aca="false">P_Desp*(CB$47+CB$48)</f>
        <v>10783.6279182626</v>
      </c>
      <c r="CC50" s="34" t="n">
        <f aca="false">P_Desp*(CC$47+CC$48)</f>
        <v>10783.6279182626</v>
      </c>
      <c r="CD50" s="34" t="n">
        <f aca="false">P_Desp*(CD$47+CD$48)</f>
        <v>10783.6279182626</v>
      </c>
      <c r="CE50" s="34" t="n">
        <f aca="false">P_Desp*(CE$47+CE$48)</f>
        <v>10783.6279182626</v>
      </c>
      <c r="CF50" s="34" t="n">
        <f aca="false">P_Desp*(CF$47+CF$48)</f>
        <v>10783.6279182626</v>
      </c>
      <c r="CG50" s="34" t="n">
        <f aca="false">P_Desp*(CG$47+CG$48)</f>
        <v>10783.6279182626</v>
      </c>
      <c r="CH50" s="34" t="n">
        <f aca="false">P_Desp*(CH$47+CH$48)</f>
        <v>10783.6279182626</v>
      </c>
      <c r="CI50" s="34" t="n">
        <f aca="false">P_Desp*(CI$47+CI$48)</f>
        <v>10783.6279182626</v>
      </c>
      <c r="CJ50" s="34" t="n">
        <f aca="false">P_Desp*(CJ$47+CJ$48)</f>
        <v>10783.6279182626</v>
      </c>
      <c r="CK50" s="34" t="n">
        <f aca="false">P_Desp*(CK$47+CK$48)</f>
        <v>10783.6279182626</v>
      </c>
      <c r="CL50" s="34" t="n">
        <f aca="false">P_Desp*(CL$47+CL$48)</f>
        <v>10853.2861974452</v>
      </c>
      <c r="CM50" s="34" t="n">
        <f aca="false">P_Desp*(CM$47+CM$48)</f>
        <v>10853.2861974452</v>
      </c>
      <c r="CN50" s="34" t="n">
        <f aca="false">P_Desp*(CN$47+CN$48)</f>
        <v>10853.2861974452</v>
      </c>
      <c r="CO50" s="34" t="n">
        <f aca="false">P_Desp*(CO$47+CO$48)</f>
        <v>10853.2861974452</v>
      </c>
      <c r="CP50" s="34" t="n">
        <f aca="false">P_Desp*(CP$47+CP$48)</f>
        <v>10853.2861974452</v>
      </c>
      <c r="CQ50" s="34" t="n">
        <f aca="false">P_Desp*(CQ$47+CQ$48)</f>
        <v>10853.2861974452</v>
      </c>
      <c r="CR50" s="34" t="n">
        <f aca="false">P_Desp*(CR$47+CR$48)</f>
        <v>10853.2861974452</v>
      </c>
      <c r="CS50" s="34" t="n">
        <f aca="false">P_Desp*(CS$47+CS$48)</f>
        <v>10853.2861974452</v>
      </c>
      <c r="CT50" s="34" t="n">
        <f aca="false">P_Desp*(CT$47+CT$48)</f>
        <v>10853.2861974452</v>
      </c>
      <c r="CU50" s="34" t="n">
        <f aca="false">P_Desp*(CU$47+CU$48)</f>
        <v>10853.2861974452</v>
      </c>
      <c r="CV50" s="34" t="n">
        <f aca="false">P_Desp*(CV$47+CV$48)</f>
        <v>10853.2861974452</v>
      </c>
      <c r="CW50" s="34" t="n">
        <f aca="false">P_Desp*(CW$47+CW$48)</f>
        <v>10853.2861974452</v>
      </c>
      <c r="CX50" s="34" t="n">
        <f aca="false">P_Desp*(CX$47+CX$48)</f>
        <v>10923.6410594197</v>
      </c>
      <c r="CY50" s="34" t="n">
        <f aca="false">P_Desp*(CY$47+CY$48)</f>
        <v>10923.6410594197</v>
      </c>
      <c r="CZ50" s="34" t="n">
        <f aca="false">P_Desp*(CZ$47+CZ$48)</f>
        <v>10923.6410594197</v>
      </c>
      <c r="DA50" s="34" t="n">
        <f aca="false">P_Desp*(DA$47+DA$48)</f>
        <v>10923.6410594197</v>
      </c>
      <c r="DB50" s="34" t="n">
        <f aca="false">P_Desp*(DB$47+DB$48)</f>
        <v>10923.6410594197</v>
      </c>
      <c r="DC50" s="34" t="n">
        <f aca="false">P_Desp*(DC$47+DC$48)</f>
        <v>10923.6410594197</v>
      </c>
      <c r="DD50" s="34" t="n">
        <f aca="false">P_Desp*(DD$47+DD$48)</f>
        <v>10923.6410594197</v>
      </c>
      <c r="DE50" s="34" t="n">
        <f aca="false">P_Desp*(DE$47+DE$48)</f>
        <v>10923.6410594197</v>
      </c>
      <c r="DF50" s="34" t="n">
        <f aca="false">P_Desp*(DF$47+DF$48)</f>
        <v>10923.6410594197</v>
      </c>
      <c r="DG50" s="34" t="n">
        <f aca="false">P_Desp*(DG$47+DG$48)</f>
        <v>10923.6410594197</v>
      </c>
      <c r="DH50" s="34" t="n">
        <f aca="false">P_Desp*(DH$47+DH$48)</f>
        <v>10923.6410594197</v>
      </c>
      <c r="DI50" s="34" t="n">
        <f aca="false">P_Desp*(DI$47+DI$48)</f>
        <v>10923.6410594197</v>
      </c>
      <c r="DJ50" s="34" t="n">
        <f aca="false">P_Desp*(DJ$47+DJ$48)</f>
        <v>10994.6994700139</v>
      </c>
      <c r="DK50" s="34" t="n">
        <f aca="false">P_Desp*(DK$47+DK$48)</f>
        <v>10994.6994700139</v>
      </c>
      <c r="DL50" s="34" t="n">
        <f aca="false">P_Desp*(DL$47+DL$48)</f>
        <v>10994.6994700139</v>
      </c>
      <c r="DM50" s="34" t="n">
        <f aca="false">P_Desp*(DM$47+DM$48)</f>
        <v>10994.6994700139</v>
      </c>
      <c r="DN50" s="34" t="n">
        <f aca="false">P_Desp*(DN$47+DN$48)</f>
        <v>10994.6994700139</v>
      </c>
      <c r="DO50" s="34" t="n">
        <f aca="false">P_Desp*(DO$47+DO$48)</f>
        <v>10994.6994700139</v>
      </c>
      <c r="DP50" s="34" t="n">
        <f aca="false">P_Desp*(DP$47+DP$48)</f>
        <v>10994.6994700139</v>
      </c>
      <c r="DQ50" s="34" t="n">
        <f aca="false">P_Desp*(DQ$47+DQ$48)</f>
        <v>10994.6994700139</v>
      </c>
      <c r="DR50" s="34" t="n">
        <f aca="false">P_Desp*(DR$47+DR$48)</f>
        <v>10994.6994700139</v>
      </c>
      <c r="DS50" s="34" t="n">
        <f aca="false">P_Desp*(DS$47+DS$48)</f>
        <v>10994.6994700139</v>
      </c>
      <c r="DT50" s="34" t="n">
        <f aca="false">P_Desp*(DT$47+DT$48)</f>
        <v>10994.6994700139</v>
      </c>
      <c r="DU50" s="34" t="n">
        <f aca="false">P_Desp*(DU$47+DU$48)</f>
        <v>10994.6994700139</v>
      </c>
      <c r="DV50" s="34" t="n">
        <f aca="false">P_Desp*(DV$47+DV$48)</f>
        <v>0</v>
      </c>
      <c r="DW50" s="34" t="n">
        <f aca="false">P_Desp*(DW$47+DW$48)</f>
        <v>0</v>
      </c>
      <c r="DX50" s="34" t="n">
        <f aca="false">P_Desp*(DX$47+DX$48)</f>
        <v>0</v>
      </c>
      <c r="DY50" s="34" t="n">
        <f aca="false">P_Desp*(DY$47+DY$48)</f>
        <v>0</v>
      </c>
      <c r="DZ50" s="34" t="n">
        <f aca="false">P_Desp*(DZ$47+DZ$48)</f>
        <v>0</v>
      </c>
      <c r="EA50" s="34" t="n">
        <f aca="false">P_Desp*(EA$47+EA$48)</f>
        <v>0</v>
      </c>
      <c r="EB50" s="34" t="n">
        <f aca="false">P_Desp*(EB$47+EB$48)</f>
        <v>0</v>
      </c>
      <c r="EC50" s="34" t="n">
        <f aca="false">P_Desp*(EC$47+EC$48)</f>
        <v>0</v>
      </c>
      <c r="ED50" s="34" t="n">
        <f aca="false">P_Desp*(ED$47+ED$48)</f>
        <v>0</v>
      </c>
      <c r="EE50" s="34" t="n">
        <f aca="false">P_Desp*(EE$47+EE$48)</f>
        <v>0</v>
      </c>
      <c r="EF50" s="34" t="n">
        <f aca="false">P_Desp*(EF$47+EF$48)</f>
        <v>0</v>
      </c>
      <c r="EG50" s="34" t="n">
        <f aca="false">P_Desp*(EG$47+EG$48)</f>
        <v>0</v>
      </c>
      <c r="EH50" s="34" t="n">
        <f aca="false">P_Desp*(EH$47+EH$48)</f>
        <v>0</v>
      </c>
      <c r="EI50" s="34" t="n">
        <f aca="false">P_Desp*(EI$47+EI$48)</f>
        <v>0</v>
      </c>
      <c r="EJ50" s="34" t="n">
        <f aca="false">P_Desp*(EJ$47+EJ$48)</f>
        <v>0</v>
      </c>
      <c r="EK50" s="34" t="n">
        <f aca="false">P_Desp*(EK$47+EK$48)</f>
        <v>0</v>
      </c>
      <c r="EL50" s="34" t="n">
        <f aca="false">P_Desp*(EL$47+EL$48)</f>
        <v>0</v>
      </c>
      <c r="EM50" s="34" t="n">
        <f aca="false">P_Desp*(EM$47+EM$48)</f>
        <v>0</v>
      </c>
      <c r="EN50" s="34" t="n">
        <f aca="false">P_Desp*(EN$47+EN$48)</f>
        <v>0</v>
      </c>
      <c r="EO50" s="34" t="n">
        <f aca="false">P_Desp*(EO$47+EO$48)</f>
        <v>0</v>
      </c>
      <c r="EP50" s="34" t="n">
        <f aca="false">P_Desp*(EP$47+EP$48)</f>
        <v>0</v>
      </c>
      <c r="EQ50" s="34" t="n">
        <f aca="false">P_Desp*(EQ$47+EQ$48)</f>
        <v>0</v>
      </c>
      <c r="ER50" s="34" t="n">
        <f aca="false">P_Desp*(ER$47+ER$48)</f>
        <v>0</v>
      </c>
      <c r="ES50" s="34" t="n">
        <f aca="false">P_Desp*(ES$47+ES$48)</f>
        <v>0</v>
      </c>
    </row>
    <row r="51" customFormat="false" ht="15" hidden="false" customHeight="false" outlineLevel="0" collapsed="false">
      <c r="A51" s="2" t="s">
        <v>593</v>
      </c>
      <c r="B51" s="6" t="s">
        <v>594</v>
      </c>
      <c r="C51" s="6" t="s">
        <v>595</v>
      </c>
      <c r="F51" s="36" t="n">
        <f aca="false">SUMPRODUCT((Per_Clase="Directo")*INDEX(Dot_O,0,MIN(10,F$17)))*(F$15+F$16*P_PreDir)</f>
        <v>43</v>
      </c>
      <c r="G51" s="36" t="n">
        <f aca="false">SUMPRODUCT((Per_Clase="Directo")*INDEX(Dot_O,0,MIN(10,G$17)))*(G$15+G$16*P_PreDir)</f>
        <v>43</v>
      </c>
      <c r="H51" s="36" t="n">
        <f aca="false">SUMPRODUCT((Per_Clase="Directo")*INDEX(Dot_O,0,MIN(10,H$17)))*(H$15+H$16*P_PreDir)</f>
        <v>43</v>
      </c>
      <c r="I51" s="36" t="n">
        <f aca="false">SUMPRODUCT((Per_Clase="Directo")*INDEX(Dot_O,0,MIN(10,I$17)))*(I$15+I$16*P_PreDir)</f>
        <v>43</v>
      </c>
      <c r="J51" s="36" t="n">
        <f aca="false">SUMPRODUCT((Per_Clase="Directo")*INDEX(Dot_O,0,MIN(10,J$17)))*(J$15+J$16*P_PreDir)</f>
        <v>43</v>
      </c>
      <c r="K51" s="36" t="n">
        <f aca="false">SUMPRODUCT((Per_Clase="Directo")*INDEX(Dot_O,0,MIN(10,K$17)))*(K$15+K$16*P_PreDir)</f>
        <v>43</v>
      </c>
      <c r="L51" s="36" t="n">
        <f aca="false">SUMPRODUCT((Per_Clase="Directo")*INDEX(Dot_O,0,MIN(10,L$17)))*(L$15+L$16*P_PreDir)</f>
        <v>43</v>
      </c>
      <c r="M51" s="36" t="n">
        <f aca="false">SUMPRODUCT((Per_Clase="Directo")*INDEX(Dot_O,0,MIN(10,M$17)))*(M$15+M$16*P_PreDir)</f>
        <v>43</v>
      </c>
      <c r="N51" s="36" t="n">
        <f aca="false">SUMPRODUCT((Per_Clase="Directo")*INDEX(Dot_O,0,MIN(10,N$17)))*(N$15+N$16*P_PreDir)</f>
        <v>43</v>
      </c>
      <c r="O51" s="36" t="n">
        <f aca="false">SUMPRODUCT((Per_Clase="Directo")*INDEX(Dot_O,0,MIN(10,O$17)))*(O$15+O$16*P_PreDir)</f>
        <v>43</v>
      </c>
      <c r="P51" s="36" t="n">
        <f aca="false">SUMPRODUCT((Per_Clase="Directo")*INDEX(Dot_O,0,MIN(10,P$17)))*(P$15+P$16*P_PreDir)</f>
        <v>43</v>
      </c>
      <c r="Q51" s="36" t="n">
        <f aca="false">SUMPRODUCT((Per_Clase="Directo")*INDEX(Dot_O,0,MIN(10,Q$17)))*(Q$15+Q$16*P_PreDir)</f>
        <v>43</v>
      </c>
      <c r="R51" s="36" t="n">
        <f aca="false">SUMPRODUCT((Per_Clase="Directo")*INDEX(Dot_O,0,MIN(10,R$17)))*(R$15+R$16*P_PreDir)</f>
        <v>43</v>
      </c>
      <c r="S51" s="36" t="n">
        <f aca="false">SUMPRODUCT((Per_Clase="Directo")*INDEX(Dot_O,0,MIN(10,S$17)))*(S$15+S$16*P_PreDir)</f>
        <v>43</v>
      </c>
      <c r="T51" s="36" t="n">
        <f aca="false">SUMPRODUCT((Per_Clase="Directo")*INDEX(Dot_O,0,MIN(10,T$17)))*(T$15+T$16*P_PreDir)</f>
        <v>43</v>
      </c>
      <c r="U51" s="36" t="n">
        <f aca="false">SUMPRODUCT((Per_Clase="Directo")*INDEX(Dot_O,0,MIN(10,U$17)))*(U$15+U$16*P_PreDir)</f>
        <v>43</v>
      </c>
      <c r="V51" s="36" t="n">
        <f aca="false">SUMPRODUCT((Per_Clase="Directo")*INDEX(Dot_O,0,MIN(10,V$17)))*(V$15+V$16*P_PreDir)</f>
        <v>43</v>
      </c>
      <c r="W51" s="36" t="n">
        <f aca="false">SUMPRODUCT((Per_Clase="Directo")*INDEX(Dot_O,0,MIN(10,W$17)))*(W$15+W$16*P_PreDir)</f>
        <v>43</v>
      </c>
      <c r="X51" s="36" t="n">
        <f aca="false">SUMPRODUCT((Per_Clase="Directo")*INDEX(Dot_O,0,MIN(10,X$17)))*(X$15+X$16*P_PreDir)</f>
        <v>43</v>
      </c>
      <c r="Y51" s="36" t="n">
        <f aca="false">SUMPRODUCT((Per_Clase="Directo")*INDEX(Dot_O,0,MIN(10,Y$17)))*(Y$15+Y$16*P_PreDir)</f>
        <v>43</v>
      </c>
      <c r="Z51" s="36" t="n">
        <f aca="false">SUMPRODUCT((Per_Clase="Directo")*INDEX(Dot_O,0,MIN(10,Z$17)))*(Z$15+Z$16*P_PreDir)</f>
        <v>43</v>
      </c>
      <c r="AA51" s="36" t="n">
        <f aca="false">SUMPRODUCT((Per_Clase="Directo")*INDEX(Dot_O,0,MIN(10,AA$17)))*(AA$15+AA$16*P_PreDir)</f>
        <v>43</v>
      </c>
      <c r="AB51" s="36" t="n">
        <f aca="false">SUMPRODUCT((Per_Clase="Directo")*INDEX(Dot_O,0,MIN(10,AB$17)))*(AB$15+AB$16*P_PreDir)</f>
        <v>43</v>
      </c>
      <c r="AC51" s="36" t="n">
        <f aca="false">SUMPRODUCT((Per_Clase="Directo")*INDEX(Dot_O,0,MIN(10,AC$17)))*(AC$15+AC$16*P_PreDir)</f>
        <v>43</v>
      </c>
      <c r="AD51" s="36" t="n">
        <f aca="false">SUMPRODUCT((Per_Clase="Directo")*INDEX(Dot_O,0,MIN(10,AD$17)))*(AD$15+AD$16*P_PreDir)</f>
        <v>46</v>
      </c>
      <c r="AE51" s="36" t="n">
        <f aca="false">SUMPRODUCT((Per_Clase="Directo")*INDEX(Dot_O,0,MIN(10,AE$17)))*(AE$15+AE$16*P_PreDir)</f>
        <v>46</v>
      </c>
      <c r="AF51" s="36" t="n">
        <f aca="false">SUMPRODUCT((Per_Clase="Directo")*INDEX(Dot_O,0,MIN(10,AF$17)))*(AF$15+AF$16*P_PreDir)</f>
        <v>46</v>
      </c>
      <c r="AG51" s="36" t="n">
        <f aca="false">SUMPRODUCT((Per_Clase="Directo")*INDEX(Dot_O,0,MIN(10,AG$17)))*(AG$15+AG$16*P_PreDir)</f>
        <v>46</v>
      </c>
      <c r="AH51" s="36" t="n">
        <f aca="false">SUMPRODUCT((Per_Clase="Directo")*INDEX(Dot_O,0,MIN(10,AH$17)))*(AH$15+AH$16*P_PreDir)</f>
        <v>46</v>
      </c>
      <c r="AI51" s="36" t="n">
        <f aca="false">SUMPRODUCT((Per_Clase="Directo")*INDEX(Dot_O,0,MIN(10,AI$17)))*(AI$15+AI$16*P_PreDir)</f>
        <v>46</v>
      </c>
      <c r="AJ51" s="36" t="n">
        <f aca="false">SUMPRODUCT((Per_Clase="Directo")*INDEX(Dot_O,0,MIN(10,AJ$17)))*(AJ$15+AJ$16*P_PreDir)</f>
        <v>46</v>
      </c>
      <c r="AK51" s="36" t="n">
        <f aca="false">SUMPRODUCT((Per_Clase="Directo")*INDEX(Dot_O,0,MIN(10,AK$17)))*(AK$15+AK$16*P_PreDir)</f>
        <v>46</v>
      </c>
      <c r="AL51" s="36" t="n">
        <f aca="false">SUMPRODUCT((Per_Clase="Directo")*INDEX(Dot_O,0,MIN(10,AL$17)))*(AL$15+AL$16*P_PreDir)</f>
        <v>46</v>
      </c>
      <c r="AM51" s="36" t="n">
        <f aca="false">SUMPRODUCT((Per_Clase="Directo")*INDEX(Dot_O,0,MIN(10,AM$17)))*(AM$15+AM$16*P_PreDir)</f>
        <v>46</v>
      </c>
      <c r="AN51" s="36" t="n">
        <f aca="false">SUMPRODUCT((Per_Clase="Directo")*INDEX(Dot_O,0,MIN(10,AN$17)))*(AN$15+AN$16*P_PreDir)</f>
        <v>46</v>
      </c>
      <c r="AO51" s="36" t="n">
        <f aca="false">SUMPRODUCT((Per_Clase="Directo")*INDEX(Dot_O,0,MIN(10,AO$17)))*(AO$15+AO$16*P_PreDir)</f>
        <v>46</v>
      </c>
      <c r="AP51" s="36" t="n">
        <f aca="false">SUMPRODUCT((Per_Clase="Directo")*INDEX(Dot_O,0,MIN(10,AP$17)))*(AP$15+AP$16*P_PreDir)</f>
        <v>49</v>
      </c>
      <c r="AQ51" s="36" t="n">
        <f aca="false">SUMPRODUCT((Per_Clase="Directo")*INDEX(Dot_O,0,MIN(10,AQ$17)))*(AQ$15+AQ$16*P_PreDir)</f>
        <v>49</v>
      </c>
      <c r="AR51" s="36" t="n">
        <f aca="false">SUMPRODUCT((Per_Clase="Directo")*INDEX(Dot_O,0,MIN(10,AR$17)))*(AR$15+AR$16*P_PreDir)</f>
        <v>49</v>
      </c>
      <c r="AS51" s="36" t="n">
        <f aca="false">SUMPRODUCT((Per_Clase="Directo")*INDEX(Dot_O,0,MIN(10,AS$17)))*(AS$15+AS$16*P_PreDir)</f>
        <v>49</v>
      </c>
      <c r="AT51" s="36" t="n">
        <f aca="false">SUMPRODUCT((Per_Clase="Directo")*INDEX(Dot_O,0,MIN(10,AT$17)))*(AT$15+AT$16*P_PreDir)</f>
        <v>49</v>
      </c>
      <c r="AU51" s="36" t="n">
        <f aca="false">SUMPRODUCT((Per_Clase="Directo")*INDEX(Dot_O,0,MIN(10,AU$17)))*(AU$15+AU$16*P_PreDir)</f>
        <v>49</v>
      </c>
      <c r="AV51" s="36" t="n">
        <f aca="false">SUMPRODUCT((Per_Clase="Directo")*INDEX(Dot_O,0,MIN(10,AV$17)))*(AV$15+AV$16*P_PreDir)</f>
        <v>49</v>
      </c>
      <c r="AW51" s="36" t="n">
        <f aca="false">SUMPRODUCT((Per_Clase="Directo")*INDEX(Dot_O,0,MIN(10,AW$17)))*(AW$15+AW$16*P_PreDir)</f>
        <v>49</v>
      </c>
      <c r="AX51" s="36" t="n">
        <f aca="false">SUMPRODUCT((Per_Clase="Directo")*INDEX(Dot_O,0,MIN(10,AX$17)))*(AX$15+AX$16*P_PreDir)</f>
        <v>49</v>
      </c>
      <c r="AY51" s="36" t="n">
        <f aca="false">SUMPRODUCT((Per_Clase="Directo")*INDEX(Dot_O,0,MIN(10,AY$17)))*(AY$15+AY$16*P_PreDir)</f>
        <v>49</v>
      </c>
      <c r="AZ51" s="36" t="n">
        <f aca="false">SUMPRODUCT((Per_Clase="Directo")*INDEX(Dot_O,0,MIN(10,AZ$17)))*(AZ$15+AZ$16*P_PreDir)</f>
        <v>49</v>
      </c>
      <c r="BA51" s="36" t="n">
        <f aca="false">SUMPRODUCT((Per_Clase="Directo")*INDEX(Dot_O,0,MIN(10,BA$17)))*(BA$15+BA$16*P_PreDir)</f>
        <v>49</v>
      </c>
      <c r="BB51" s="36" t="n">
        <f aca="false">SUMPRODUCT((Per_Clase="Directo")*INDEX(Dot_O,0,MIN(10,BB$17)))*(BB$15+BB$16*P_PreDir)</f>
        <v>52</v>
      </c>
      <c r="BC51" s="36" t="n">
        <f aca="false">SUMPRODUCT((Per_Clase="Directo")*INDEX(Dot_O,0,MIN(10,BC$17)))*(BC$15+BC$16*P_PreDir)</f>
        <v>52</v>
      </c>
      <c r="BD51" s="36" t="n">
        <f aca="false">SUMPRODUCT((Per_Clase="Directo")*INDEX(Dot_O,0,MIN(10,BD$17)))*(BD$15+BD$16*P_PreDir)</f>
        <v>52</v>
      </c>
      <c r="BE51" s="36" t="n">
        <f aca="false">SUMPRODUCT((Per_Clase="Directo")*INDEX(Dot_O,0,MIN(10,BE$17)))*(BE$15+BE$16*P_PreDir)</f>
        <v>52</v>
      </c>
      <c r="BF51" s="36" t="n">
        <f aca="false">SUMPRODUCT((Per_Clase="Directo")*INDEX(Dot_O,0,MIN(10,BF$17)))*(BF$15+BF$16*P_PreDir)</f>
        <v>52</v>
      </c>
      <c r="BG51" s="36" t="n">
        <f aca="false">SUMPRODUCT((Per_Clase="Directo")*INDEX(Dot_O,0,MIN(10,BG$17)))*(BG$15+BG$16*P_PreDir)</f>
        <v>52</v>
      </c>
      <c r="BH51" s="36" t="n">
        <f aca="false">SUMPRODUCT((Per_Clase="Directo")*INDEX(Dot_O,0,MIN(10,BH$17)))*(BH$15+BH$16*P_PreDir)</f>
        <v>52</v>
      </c>
      <c r="BI51" s="36" t="n">
        <f aca="false">SUMPRODUCT((Per_Clase="Directo")*INDEX(Dot_O,0,MIN(10,BI$17)))*(BI$15+BI$16*P_PreDir)</f>
        <v>52</v>
      </c>
      <c r="BJ51" s="36" t="n">
        <f aca="false">SUMPRODUCT((Per_Clase="Directo")*INDEX(Dot_O,0,MIN(10,BJ$17)))*(BJ$15+BJ$16*P_PreDir)</f>
        <v>52</v>
      </c>
      <c r="BK51" s="36" t="n">
        <f aca="false">SUMPRODUCT((Per_Clase="Directo")*INDEX(Dot_O,0,MIN(10,BK$17)))*(BK$15+BK$16*P_PreDir)</f>
        <v>52</v>
      </c>
      <c r="BL51" s="36" t="n">
        <f aca="false">SUMPRODUCT((Per_Clase="Directo")*INDEX(Dot_O,0,MIN(10,BL$17)))*(BL$15+BL$16*P_PreDir)</f>
        <v>52</v>
      </c>
      <c r="BM51" s="36" t="n">
        <f aca="false">SUMPRODUCT((Per_Clase="Directo")*INDEX(Dot_O,0,MIN(10,BM$17)))*(BM$15+BM$16*P_PreDir)</f>
        <v>52</v>
      </c>
      <c r="BN51" s="36" t="n">
        <f aca="false">SUMPRODUCT((Per_Clase="Directo")*INDEX(Dot_O,0,MIN(10,BN$17)))*(BN$15+BN$16*P_PreDir)</f>
        <v>52</v>
      </c>
      <c r="BO51" s="36" t="n">
        <f aca="false">SUMPRODUCT((Per_Clase="Directo")*INDEX(Dot_O,0,MIN(10,BO$17)))*(BO$15+BO$16*P_PreDir)</f>
        <v>52</v>
      </c>
      <c r="BP51" s="36" t="n">
        <f aca="false">SUMPRODUCT((Per_Clase="Directo")*INDEX(Dot_O,0,MIN(10,BP$17)))*(BP$15+BP$16*P_PreDir)</f>
        <v>52</v>
      </c>
      <c r="BQ51" s="36" t="n">
        <f aca="false">SUMPRODUCT((Per_Clase="Directo")*INDEX(Dot_O,0,MIN(10,BQ$17)))*(BQ$15+BQ$16*P_PreDir)</f>
        <v>52</v>
      </c>
      <c r="BR51" s="36" t="n">
        <f aca="false">SUMPRODUCT((Per_Clase="Directo")*INDEX(Dot_O,0,MIN(10,BR$17)))*(BR$15+BR$16*P_PreDir)</f>
        <v>52</v>
      </c>
      <c r="BS51" s="36" t="n">
        <f aca="false">SUMPRODUCT((Per_Clase="Directo")*INDEX(Dot_O,0,MIN(10,BS$17)))*(BS$15+BS$16*P_PreDir)</f>
        <v>52</v>
      </c>
      <c r="BT51" s="36" t="n">
        <f aca="false">SUMPRODUCT((Per_Clase="Directo")*INDEX(Dot_O,0,MIN(10,BT$17)))*(BT$15+BT$16*P_PreDir)</f>
        <v>52</v>
      </c>
      <c r="BU51" s="36" t="n">
        <f aca="false">SUMPRODUCT((Per_Clase="Directo")*INDEX(Dot_O,0,MIN(10,BU$17)))*(BU$15+BU$16*P_PreDir)</f>
        <v>52</v>
      </c>
      <c r="BV51" s="36" t="n">
        <f aca="false">SUMPRODUCT((Per_Clase="Directo")*INDEX(Dot_O,0,MIN(10,BV$17)))*(BV$15+BV$16*P_PreDir)</f>
        <v>52</v>
      </c>
      <c r="BW51" s="36" t="n">
        <f aca="false">SUMPRODUCT((Per_Clase="Directo")*INDEX(Dot_O,0,MIN(10,BW$17)))*(BW$15+BW$16*P_PreDir)</f>
        <v>52</v>
      </c>
      <c r="BX51" s="36" t="n">
        <f aca="false">SUMPRODUCT((Per_Clase="Directo")*INDEX(Dot_O,0,MIN(10,BX$17)))*(BX$15+BX$16*P_PreDir)</f>
        <v>52</v>
      </c>
      <c r="BY51" s="36" t="n">
        <f aca="false">SUMPRODUCT((Per_Clase="Directo")*INDEX(Dot_O,0,MIN(10,BY$17)))*(BY$15+BY$16*P_PreDir)</f>
        <v>52</v>
      </c>
      <c r="BZ51" s="36" t="n">
        <f aca="false">SUMPRODUCT((Per_Clase="Directo")*INDEX(Dot_O,0,MIN(10,BZ$17)))*(BZ$15+BZ$16*P_PreDir)</f>
        <v>52</v>
      </c>
      <c r="CA51" s="36" t="n">
        <f aca="false">SUMPRODUCT((Per_Clase="Directo")*INDEX(Dot_O,0,MIN(10,CA$17)))*(CA$15+CA$16*P_PreDir)</f>
        <v>52</v>
      </c>
      <c r="CB51" s="36" t="n">
        <f aca="false">SUMPRODUCT((Per_Clase="Directo")*INDEX(Dot_O,0,MIN(10,CB$17)))*(CB$15+CB$16*P_PreDir)</f>
        <v>52</v>
      </c>
      <c r="CC51" s="36" t="n">
        <f aca="false">SUMPRODUCT((Per_Clase="Directo")*INDEX(Dot_O,0,MIN(10,CC$17)))*(CC$15+CC$16*P_PreDir)</f>
        <v>52</v>
      </c>
      <c r="CD51" s="36" t="n">
        <f aca="false">SUMPRODUCT((Per_Clase="Directo")*INDEX(Dot_O,0,MIN(10,CD$17)))*(CD$15+CD$16*P_PreDir)</f>
        <v>52</v>
      </c>
      <c r="CE51" s="36" t="n">
        <f aca="false">SUMPRODUCT((Per_Clase="Directo")*INDEX(Dot_O,0,MIN(10,CE$17)))*(CE$15+CE$16*P_PreDir)</f>
        <v>52</v>
      </c>
      <c r="CF51" s="36" t="n">
        <f aca="false">SUMPRODUCT((Per_Clase="Directo")*INDEX(Dot_O,0,MIN(10,CF$17)))*(CF$15+CF$16*P_PreDir)</f>
        <v>52</v>
      </c>
      <c r="CG51" s="36" t="n">
        <f aca="false">SUMPRODUCT((Per_Clase="Directo")*INDEX(Dot_O,0,MIN(10,CG$17)))*(CG$15+CG$16*P_PreDir)</f>
        <v>52</v>
      </c>
      <c r="CH51" s="36" t="n">
        <f aca="false">SUMPRODUCT((Per_Clase="Directo")*INDEX(Dot_O,0,MIN(10,CH$17)))*(CH$15+CH$16*P_PreDir)</f>
        <v>52</v>
      </c>
      <c r="CI51" s="36" t="n">
        <f aca="false">SUMPRODUCT((Per_Clase="Directo")*INDEX(Dot_O,0,MIN(10,CI$17)))*(CI$15+CI$16*P_PreDir)</f>
        <v>52</v>
      </c>
      <c r="CJ51" s="36" t="n">
        <f aca="false">SUMPRODUCT((Per_Clase="Directo")*INDEX(Dot_O,0,MIN(10,CJ$17)))*(CJ$15+CJ$16*P_PreDir)</f>
        <v>52</v>
      </c>
      <c r="CK51" s="36" t="n">
        <f aca="false">SUMPRODUCT((Per_Clase="Directo")*INDEX(Dot_O,0,MIN(10,CK$17)))*(CK$15+CK$16*P_PreDir)</f>
        <v>52</v>
      </c>
      <c r="CL51" s="36" t="n">
        <f aca="false">SUMPRODUCT((Per_Clase="Directo")*INDEX(Dot_O,0,MIN(10,CL$17)))*(CL$15+CL$16*P_PreDir)</f>
        <v>52</v>
      </c>
      <c r="CM51" s="36" t="n">
        <f aca="false">SUMPRODUCT((Per_Clase="Directo")*INDEX(Dot_O,0,MIN(10,CM$17)))*(CM$15+CM$16*P_PreDir)</f>
        <v>52</v>
      </c>
      <c r="CN51" s="36" t="n">
        <f aca="false">SUMPRODUCT((Per_Clase="Directo")*INDEX(Dot_O,0,MIN(10,CN$17)))*(CN$15+CN$16*P_PreDir)</f>
        <v>52</v>
      </c>
      <c r="CO51" s="36" t="n">
        <f aca="false">SUMPRODUCT((Per_Clase="Directo")*INDEX(Dot_O,0,MIN(10,CO$17)))*(CO$15+CO$16*P_PreDir)</f>
        <v>52</v>
      </c>
      <c r="CP51" s="36" t="n">
        <f aca="false">SUMPRODUCT((Per_Clase="Directo")*INDEX(Dot_O,0,MIN(10,CP$17)))*(CP$15+CP$16*P_PreDir)</f>
        <v>52</v>
      </c>
      <c r="CQ51" s="36" t="n">
        <f aca="false">SUMPRODUCT((Per_Clase="Directo")*INDEX(Dot_O,0,MIN(10,CQ$17)))*(CQ$15+CQ$16*P_PreDir)</f>
        <v>52</v>
      </c>
      <c r="CR51" s="36" t="n">
        <f aca="false">SUMPRODUCT((Per_Clase="Directo")*INDEX(Dot_O,0,MIN(10,CR$17)))*(CR$15+CR$16*P_PreDir)</f>
        <v>52</v>
      </c>
      <c r="CS51" s="36" t="n">
        <f aca="false">SUMPRODUCT((Per_Clase="Directo")*INDEX(Dot_O,0,MIN(10,CS$17)))*(CS$15+CS$16*P_PreDir)</f>
        <v>52</v>
      </c>
      <c r="CT51" s="36" t="n">
        <f aca="false">SUMPRODUCT((Per_Clase="Directo")*INDEX(Dot_O,0,MIN(10,CT$17)))*(CT$15+CT$16*P_PreDir)</f>
        <v>52</v>
      </c>
      <c r="CU51" s="36" t="n">
        <f aca="false">SUMPRODUCT((Per_Clase="Directo")*INDEX(Dot_O,0,MIN(10,CU$17)))*(CU$15+CU$16*P_PreDir)</f>
        <v>52</v>
      </c>
      <c r="CV51" s="36" t="n">
        <f aca="false">SUMPRODUCT((Per_Clase="Directo")*INDEX(Dot_O,0,MIN(10,CV$17)))*(CV$15+CV$16*P_PreDir)</f>
        <v>52</v>
      </c>
      <c r="CW51" s="36" t="n">
        <f aca="false">SUMPRODUCT((Per_Clase="Directo")*INDEX(Dot_O,0,MIN(10,CW$17)))*(CW$15+CW$16*P_PreDir)</f>
        <v>52</v>
      </c>
      <c r="CX51" s="36" t="n">
        <f aca="false">SUMPRODUCT((Per_Clase="Directo")*INDEX(Dot_O,0,MIN(10,CX$17)))*(CX$15+CX$16*P_PreDir)</f>
        <v>52</v>
      </c>
      <c r="CY51" s="36" t="n">
        <f aca="false">SUMPRODUCT((Per_Clase="Directo")*INDEX(Dot_O,0,MIN(10,CY$17)))*(CY$15+CY$16*P_PreDir)</f>
        <v>52</v>
      </c>
      <c r="CZ51" s="36" t="n">
        <f aca="false">SUMPRODUCT((Per_Clase="Directo")*INDEX(Dot_O,0,MIN(10,CZ$17)))*(CZ$15+CZ$16*P_PreDir)</f>
        <v>52</v>
      </c>
      <c r="DA51" s="36" t="n">
        <f aca="false">SUMPRODUCT((Per_Clase="Directo")*INDEX(Dot_O,0,MIN(10,DA$17)))*(DA$15+DA$16*P_PreDir)</f>
        <v>52</v>
      </c>
      <c r="DB51" s="36" t="n">
        <f aca="false">SUMPRODUCT((Per_Clase="Directo")*INDEX(Dot_O,0,MIN(10,DB$17)))*(DB$15+DB$16*P_PreDir)</f>
        <v>52</v>
      </c>
      <c r="DC51" s="36" t="n">
        <f aca="false">SUMPRODUCT((Per_Clase="Directo")*INDEX(Dot_O,0,MIN(10,DC$17)))*(DC$15+DC$16*P_PreDir)</f>
        <v>52</v>
      </c>
      <c r="DD51" s="36" t="n">
        <f aca="false">SUMPRODUCT((Per_Clase="Directo")*INDEX(Dot_O,0,MIN(10,DD$17)))*(DD$15+DD$16*P_PreDir)</f>
        <v>52</v>
      </c>
      <c r="DE51" s="36" t="n">
        <f aca="false">SUMPRODUCT((Per_Clase="Directo")*INDEX(Dot_O,0,MIN(10,DE$17)))*(DE$15+DE$16*P_PreDir)</f>
        <v>52</v>
      </c>
      <c r="DF51" s="36" t="n">
        <f aca="false">SUMPRODUCT((Per_Clase="Directo")*INDEX(Dot_O,0,MIN(10,DF$17)))*(DF$15+DF$16*P_PreDir)</f>
        <v>52</v>
      </c>
      <c r="DG51" s="36" t="n">
        <f aca="false">SUMPRODUCT((Per_Clase="Directo")*INDEX(Dot_O,0,MIN(10,DG$17)))*(DG$15+DG$16*P_PreDir)</f>
        <v>52</v>
      </c>
      <c r="DH51" s="36" t="n">
        <f aca="false">SUMPRODUCT((Per_Clase="Directo")*INDEX(Dot_O,0,MIN(10,DH$17)))*(DH$15+DH$16*P_PreDir)</f>
        <v>52</v>
      </c>
      <c r="DI51" s="36" t="n">
        <f aca="false">SUMPRODUCT((Per_Clase="Directo")*INDEX(Dot_O,0,MIN(10,DI$17)))*(DI$15+DI$16*P_PreDir)</f>
        <v>52</v>
      </c>
      <c r="DJ51" s="36" t="n">
        <f aca="false">SUMPRODUCT((Per_Clase="Directo")*INDEX(Dot_O,0,MIN(10,DJ$17)))*(DJ$15+DJ$16*P_PreDir)</f>
        <v>52</v>
      </c>
      <c r="DK51" s="36" t="n">
        <f aca="false">SUMPRODUCT((Per_Clase="Directo")*INDEX(Dot_O,0,MIN(10,DK$17)))*(DK$15+DK$16*P_PreDir)</f>
        <v>52</v>
      </c>
      <c r="DL51" s="36" t="n">
        <f aca="false">SUMPRODUCT((Per_Clase="Directo")*INDEX(Dot_O,0,MIN(10,DL$17)))*(DL$15+DL$16*P_PreDir)</f>
        <v>52</v>
      </c>
      <c r="DM51" s="36" t="n">
        <f aca="false">SUMPRODUCT((Per_Clase="Directo")*INDEX(Dot_O,0,MIN(10,DM$17)))*(DM$15+DM$16*P_PreDir)</f>
        <v>52</v>
      </c>
      <c r="DN51" s="36" t="n">
        <f aca="false">SUMPRODUCT((Per_Clase="Directo")*INDEX(Dot_O,0,MIN(10,DN$17)))*(DN$15+DN$16*P_PreDir)</f>
        <v>52</v>
      </c>
      <c r="DO51" s="36" t="n">
        <f aca="false">SUMPRODUCT((Per_Clase="Directo")*INDEX(Dot_O,0,MIN(10,DO$17)))*(DO$15+DO$16*P_PreDir)</f>
        <v>52</v>
      </c>
      <c r="DP51" s="36" t="n">
        <f aca="false">SUMPRODUCT((Per_Clase="Directo")*INDEX(Dot_O,0,MIN(10,DP$17)))*(DP$15+DP$16*P_PreDir)</f>
        <v>52</v>
      </c>
      <c r="DQ51" s="36" t="n">
        <f aca="false">SUMPRODUCT((Per_Clase="Directo")*INDEX(Dot_O,0,MIN(10,DQ$17)))*(DQ$15+DQ$16*P_PreDir)</f>
        <v>52</v>
      </c>
      <c r="DR51" s="36" t="n">
        <f aca="false">SUMPRODUCT((Per_Clase="Directo")*INDEX(Dot_O,0,MIN(10,DR$17)))*(DR$15+DR$16*P_PreDir)</f>
        <v>52</v>
      </c>
      <c r="DS51" s="36" t="n">
        <f aca="false">SUMPRODUCT((Per_Clase="Directo")*INDEX(Dot_O,0,MIN(10,DS$17)))*(DS$15+DS$16*P_PreDir)</f>
        <v>52</v>
      </c>
      <c r="DT51" s="36" t="n">
        <f aca="false">SUMPRODUCT((Per_Clase="Directo")*INDEX(Dot_O,0,MIN(10,DT$17)))*(DT$15+DT$16*P_PreDir)</f>
        <v>52</v>
      </c>
      <c r="DU51" s="36" t="n">
        <f aca="false">SUMPRODUCT((Per_Clase="Directo")*INDEX(Dot_O,0,MIN(10,DU$17)))*(DU$15+DU$16*P_PreDir)</f>
        <v>52</v>
      </c>
      <c r="DV51" s="36" t="n">
        <f aca="false">SUMPRODUCT((Per_Clase="Directo")*INDEX(Dot_O,0,MIN(10,DV$17)))*(DV$15+DV$16*P_PreDir)</f>
        <v>0</v>
      </c>
      <c r="DW51" s="36" t="n">
        <f aca="false">SUMPRODUCT((Per_Clase="Directo")*INDEX(Dot_O,0,MIN(10,DW$17)))*(DW$15+DW$16*P_PreDir)</f>
        <v>0</v>
      </c>
      <c r="DX51" s="36" t="n">
        <f aca="false">SUMPRODUCT((Per_Clase="Directo")*INDEX(Dot_O,0,MIN(10,DX$17)))*(DX$15+DX$16*P_PreDir)</f>
        <v>0</v>
      </c>
      <c r="DY51" s="36" t="n">
        <f aca="false">SUMPRODUCT((Per_Clase="Directo")*INDEX(Dot_O,0,MIN(10,DY$17)))*(DY$15+DY$16*P_PreDir)</f>
        <v>0</v>
      </c>
      <c r="DZ51" s="36" t="n">
        <f aca="false">SUMPRODUCT((Per_Clase="Directo")*INDEX(Dot_O,0,MIN(10,DZ$17)))*(DZ$15+DZ$16*P_PreDir)</f>
        <v>0</v>
      </c>
      <c r="EA51" s="36" t="n">
        <f aca="false">SUMPRODUCT((Per_Clase="Directo")*INDEX(Dot_O,0,MIN(10,EA$17)))*(EA$15+EA$16*P_PreDir)</f>
        <v>0</v>
      </c>
      <c r="EB51" s="36" t="n">
        <f aca="false">SUMPRODUCT((Per_Clase="Directo")*INDEX(Dot_O,0,MIN(10,EB$17)))*(EB$15+EB$16*P_PreDir)</f>
        <v>0</v>
      </c>
      <c r="EC51" s="36" t="n">
        <f aca="false">SUMPRODUCT((Per_Clase="Directo")*INDEX(Dot_O,0,MIN(10,EC$17)))*(EC$15+EC$16*P_PreDir)</f>
        <v>0</v>
      </c>
      <c r="ED51" s="36" t="n">
        <f aca="false">SUMPRODUCT((Per_Clase="Directo")*INDEX(Dot_O,0,MIN(10,ED$17)))*(ED$15+ED$16*P_PreDir)</f>
        <v>0</v>
      </c>
      <c r="EE51" s="36" t="n">
        <f aca="false">SUMPRODUCT((Per_Clase="Directo")*INDEX(Dot_O,0,MIN(10,EE$17)))*(EE$15+EE$16*P_PreDir)</f>
        <v>0</v>
      </c>
      <c r="EF51" s="36" t="n">
        <f aca="false">SUMPRODUCT((Per_Clase="Directo")*INDEX(Dot_O,0,MIN(10,EF$17)))*(EF$15+EF$16*P_PreDir)</f>
        <v>0</v>
      </c>
      <c r="EG51" s="36" t="n">
        <f aca="false">SUMPRODUCT((Per_Clase="Directo")*INDEX(Dot_O,0,MIN(10,EG$17)))*(EG$15+EG$16*P_PreDir)</f>
        <v>0</v>
      </c>
      <c r="EH51" s="36" t="n">
        <f aca="false">SUMPRODUCT((Per_Clase="Directo")*INDEX(Dot_O,0,MIN(10,EH$17)))*(EH$15+EH$16*P_PreDir)</f>
        <v>0</v>
      </c>
      <c r="EI51" s="36" t="n">
        <f aca="false">SUMPRODUCT((Per_Clase="Directo")*INDEX(Dot_O,0,MIN(10,EI$17)))*(EI$15+EI$16*P_PreDir)</f>
        <v>0</v>
      </c>
      <c r="EJ51" s="36" t="n">
        <f aca="false">SUMPRODUCT((Per_Clase="Directo")*INDEX(Dot_O,0,MIN(10,EJ$17)))*(EJ$15+EJ$16*P_PreDir)</f>
        <v>0</v>
      </c>
      <c r="EK51" s="36" t="n">
        <f aca="false">SUMPRODUCT((Per_Clase="Directo")*INDEX(Dot_O,0,MIN(10,EK$17)))*(EK$15+EK$16*P_PreDir)</f>
        <v>0</v>
      </c>
      <c r="EL51" s="36" t="n">
        <f aca="false">SUMPRODUCT((Per_Clase="Directo")*INDEX(Dot_O,0,MIN(10,EL$17)))*(EL$15+EL$16*P_PreDir)</f>
        <v>0</v>
      </c>
      <c r="EM51" s="36" t="n">
        <f aca="false">SUMPRODUCT((Per_Clase="Directo")*INDEX(Dot_O,0,MIN(10,EM$17)))*(EM$15+EM$16*P_PreDir)</f>
        <v>0</v>
      </c>
      <c r="EN51" s="36" t="n">
        <f aca="false">SUMPRODUCT((Per_Clase="Directo")*INDEX(Dot_O,0,MIN(10,EN$17)))*(EN$15+EN$16*P_PreDir)</f>
        <v>0</v>
      </c>
      <c r="EO51" s="36" t="n">
        <f aca="false">SUMPRODUCT((Per_Clase="Directo")*INDEX(Dot_O,0,MIN(10,EO$17)))*(EO$15+EO$16*P_PreDir)</f>
        <v>0</v>
      </c>
      <c r="EP51" s="36" t="n">
        <f aca="false">SUMPRODUCT((Per_Clase="Directo")*INDEX(Dot_O,0,MIN(10,EP$17)))*(EP$15+EP$16*P_PreDir)</f>
        <v>0</v>
      </c>
      <c r="EQ51" s="36" t="n">
        <f aca="false">SUMPRODUCT((Per_Clase="Directo")*INDEX(Dot_O,0,MIN(10,EQ$17)))*(EQ$15+EQ$16*P_PreDir)</f>
        <v>0</v>
      </c>
      <c r="ER51" s="36" t="n">
        <f aca="false">SUMPRODUCT((Per_Clase="Directo")*INDEX(Dot_O,0,MIN(10,ER$17)))*(ER$15+ER$16*P_PreDir)</f>
        <v>0</v>
      </c>
      <c r="ES51" s="36" t="n">
        <f aca="false">SUMPRODUCT((Per_Clase="Directo")*INDEX(Dot_O,0,MIN(10,ES$17)))*(ES$15+ES$16*P_PreDir)</f>
        <v>0</v>
      </c>
    </row>
    <row r="52" customFormat="false" ht="15" hidden="false" customHeight="false" outlineLevel="0" collapsed="false">
      <c r="A52" s="2" t="s">
        <v>596</v>
      </c>
      <c r="B52" s="6" t="s">
        <v>597</v>
      </c>
      <c r="C52" s="6" t="s">
        <v>250</v>
      </c>
      <c r="E52" s="40" t="n">
        <f aca="false">SUM(F52:ES52)</f>
        <v>4532548.91505156</v>
      </c>
      <c r="F52" s="34" t="n">
        <f aca="false">SUMPRODUCT((Per_Clase="Directo")*Sal_O*INDEX(Dot_O,0,MIN(10,F$17))*((Per_Mon="PYG")*F$19+(Per_Mon&lt;&gt;"PYG")))*(F$15+F$16*P_PreDir)*INDEX(IdxSal_O,1,MIN(10,F$17))*(1+P_Cargas)+F$51*P_Alim*F$19</f>
        <v>32622.2257971233</v>
      </c>
      <c r="G52" s="34" t="n">
        <f aca="false">SUMPRODUCT((Per_Clase="Directo")*Sal_O*INDEX(Dot_O,0,MIN(10,G$17))*((Per_Mon="PYG")*G$19+(Per_Mon&lt;&gt;"PYG")))*(G$15+G$16*P_PreDir)*INDEX(IdxSal_O,1,MIN(10,G$17))*(1+P_Cargas)+G$51*P_Alim*G$19</f>
        <v>32622.2257971233</v>
      </c>
      <c r="H52" s="34" t="n">
        <f aca="false">SUMPRODUCT((Per_Clase="Directo")*Sal_O*INDEX(Dot_O,0,MIN(10,H$17))*((Per_Mon="PYG")*H$19+(Per_Mon&lt;&gt;"PYG")))*(H$15+H$16*P_PreDir)*INDEX(IdxSal_O,1,MIN(10,H$17))*(1+P_Cargas)+H$51*P_Alim*H$19</f>
        <v>32622.2257971233</v>
      </c>
      <c r="I52" s="34" t="n">
        <f aca="false">SUMPRODUCT((Per_Clase="Directo")*Sal_O*INDEX(Dot_O,0,MIN(10,I$17))*((Per_Mon="PYG")*I$19+(Per_Mon&lt;&gt;"PYG")))*(I$15+I$16*P_PreDir)*INDEX(IdxSal_O,1,MIN(10,I$17))*(1+P_Cargas)+I$51*P_Alim*I$19</f>
        <v>32622.2257971233</v>
      </c>
      <c r="J52" s="34" t="n">
        <f aca="false">SUMPRODUCT((Per_Clase="Directo")*Sal_O*INDEX(Dot_O,0,MIN(10,J$17))*((Per_Mon="PYG")*J$19+(Per_Mon&lt;&gt;"PYG")))*(J$15+J$16*P_PreDir)*INDEX(IdxSal_O,1,MIN(10,J$17))*(1+P_Cargas)+J$51*P_Alim*J$19</f>
        <v>32622.2257971233</v>
      </c>
      <c r="K52" s="34" t="n">
        <f aca="false">SUMPRODUCT((Per_Clase="Directo")*Sal_O*INDEX(Dot_O,0,MIN(10,K$17))*((Per_Mon="PYG")*K$19+(Per_Mon&lt;&gt;"PYG")))*(K$15+K$16*P_PreDir)*INDEX(IdxSal_O,1,MIN(10,K$17))*(1+P_Cargas)+K$51*P_Alim*K$19</f>
        <v>32622.2257971233</v>
      </c>
      <c r="L52" s="34" t="n">
        <f aca="false">SUMPRODUCT((Per_Clase="Directo")*Sal_O*INDEX(Dot_O,0,MIN(10,L$17))*((Per_Mon="PYG")*L$19+(Per_Mon&lt;&gt;"PYG")))*(L$15+L$16*P_PreDir)*INDEX(IdxSal_O,1,MIN(10,L$17))*(1+P_Cargas)+L$51*P_Alim*L$19</f>
        <v>32622.2257971233</v>
      </c>
      <c r="M52" s="34" t="n">
        <f aca="false">SUMPRODUCT((Per_Clase="Directo")*Sal_O*INDEX(Dot_O,0,MIN(10,M$17))*((Per_Mon="PYG")*M$19+(Per_Mon&lt;&gt;"PYG")))*(M$15+M$16*P_PreDir)*INDEX(IdxSal_O,1,MIN(10,M$17))*(1+P_Cargas)+M$51*P_Alim*M$19</f>
        <v>32622.2257971233</v>
      </c>
      <c r="N52" s="34" t="n">
        <f aca="false">SUMPRODUCT((Per_Clase="Directo")*Sal_O*INDEX(Dot_O,0,MIN(10,N$17))*((Per_Mon="PYG")*N$19+(Per_Mon&lt;&gt;"PYG")))*(N$15+N$16*P_PreDir)*INDEX(IdxSal_O,1,MIN(10,N$17))*(1+P_Cargas)+N$51*P_Alim*N$19</f>
        <v>32622.2257971233</v>
      </c>
      <c r="O52" s="34" t="n">
        <f aca="false">SUMPRODUCT((Per_Clase="Directo")*Sal_O*INDEX(Dot_O,0,MIN(10,O$17))*((Per_Mon="PYG")*O$19+(Per_Mon&lt;&gt;"PYG")))*(O$15+O$16*P_PreDir)*INDEX(IdxSal_O,1,MIN(10,O$17))*(1+P_Cargas)+O$51*P_Alim*O$19</f>
        <v>32622.2257971233</v>
      </c>
      <c r="P52" s="34" t="n">
        <f aca="false">SUMPRODUCT((Per_Clase="Directo")*Sal_O*INDEX(Dot_O,0,MIN(10,P$17))*((Per_Mon="PYG")*P$19+(Per_Mon&lt;&gt;"PYG")))*(P$15+P$16*P_PreDir)*INDEX(IdxSal_O,1,MIN(10,P$17))*(1+P_Cargas)+P$51*P_Alim*P$19</f>
        <v>32622.2257971233</v>
      </c>
      <c r="Q52" s="34" t="n">
        <f aca="false">SUMPRODUCT((Per_Clase="Directo")*Sal_O*INDEX(Dot_O,0,MIN(10,Q$17))*((Per_Mon="PYG")*Q$19+(Per_Mon&lt;&gt;"PYG")))*(Q$15+Q$16*P_PreDir)*INDEX(IdxSal_O,1,MIN(10,Q$17))*(1+P_Cargas)+Q$51*P_Alim*Q$19</f>
        <v>32622.2257971233</v>
      </c>
      <c r="R52" s="34" t="n">
        <f aca="false">SUMPRODUCT((Per_Clase="Directo")*Sal_O*INDEX(Dot_O,0,MIN(10,R$17))*((Per_Mon="PYG")*R$19+(Per_Mon&lt;&gt;"PYG")))*(R$15+R$16*P_PreDir)*INDEX(IdxSal_O,1,MIN(10,R$17))*(1+P_Cargas)+R$51*P_Alim*R$19</f>
        <v>32622.2257971233</v>
      </c>
      <c r="S52" s="34" t="n">
        <f aca="false">SUMPRODUCT((Per_Clase="Directo")*Sal_O*INDEX(Dot_O,0,MIN(10,S$17))*((Per_Mon="PYG")*S$19+(Per_Mon&lt;&gt;"PYG")))*(S$15+S$16*P_PreDir)*INDEX(IdxSal_O,1,MIN(10,S$17))*(1+P_Cargas)+S$51*P_Alim*S$19</f>
        <v>32622.2257971233</v>
      </c>
      <c r="T52" s="34" t="n">
        <f aca="false">SUMPRODUCT((Per_Clase="Directo")*Sal_O*INDEX(Dot_O,0,MIN(10,T$17))*((Per_Mon="PYG")*T$19+(Per_Mon&lt;&gt;"PYG")))*(T$15+T$16*P_PreDir)*INDEX(IdxSal_O,1,MIN(10,T$17))*(1+P_Cargas)+T$51*P_Alim*T$19</f>
        <v>32622.2257971233</v>
      </c>
      <c r="U52" s="34" t="n">
        <f aca="false">SUMPRODUCT((Per_Clase="Directo")*Sal_O*INDEX(Dot_O,0,MIN(10,U$17))*((Per_Mon="PYG")*U$19+(Per_Mon&lt;&gt;"PYG")))*(U$15+U$16*P_PreDir)*INDEX(IdxSal_O,1,MIN(10,U$17))*(1+P_Cargas)+U$51*P_Alim*U$19</f>
        <v>32622.2257971233</v>
      </c>
      <c r="V52" s="34" t="n">
        <f aca="false">SUMPRODUCT((Per_Clase="Directo")*Sal_O*INDEX(Dot_O,0,MIN(10,V$17))*((Per_Mon="PYG")*V$19+(Per_Mon&lt;&gt;"PYG")))*(V$15+V$16*P_PreDir)*INDEX(IdxSal_O,1,MIN(10,V$17))*(1+P_Cargas)+V$51*P_Alim*V$19</f>
        <v>32622.2257971233</v>
      </c>
      <c r="W52" s="34" t="n">
        <f aca="false">SUMPRODUCT((Per_Clase="Directo")*Sal_O*INDEX(Dot_O,0,MIN(10,W$17))*((Per_Mon="PYG")*W$19+(Per_Mon&lt;&gt;"PYG")))*(W$15+W$16*P_PreDir)*INDEX(IdxSal_O,1,MIN(10,W$17))*(1+P_Cargas)+W$51*P_Alim*W$19</f>
        <v>32622.2257971233</v>
      </c>
      <c r="X52" s="34" t="n">
        <f aca="false">SUMPRODUCT((Per_Clase="Directo")*Sal_O*INDEX(Dot_O,0,MIN(10,X$17))*((Per_Mon="PYG")*X$19+(Per_Mon&lt;&gt;"PYG")))*(X$15+X$16*P_PreDir)*INDEX(IdxSal_O,1,MIN(10,X$17))*(1+P_Cargas)+X$51*P_Alim*X$19</f>
        <v>32622.2257971233</v>
      </c>
      <c r="Y52" s="34" t="n">
        <f aca="false">SUMPRODUCT((Per_Clase="Directo")*Sal_O*INDEX(Dot_O,0,MIN(10,Y$17))*((Per_Mon="PYG")*Y$19+(Per_Mon&lt;&gt;"PYG")))*(Y$15+Y$16*P_PreDir)*INDEX(IdxSal_O,1,MIN(10,Y$17))*(1+P_Cargas)+Y$51*P_Alim*Y$19</f>
        <v>32622.2257971233</v>
      </c>
      <c r="Z52" s="34" t="n">
        <f aca="false">SUMPRODUCT((Per_Clase="Directo")*Sal_O*INDEX(Dot_O,0,MIN(10,Z$17))*((Per_Mon="PYG")*Z$19+(Per_Mon&lt;&gt;"PYG")))*(Z$15+Z$16*P_PreDir)*INDEX(IdxSal_O,1,MIN(10,Z$17))*(1+P_Cargas)+Z$51*P_Alim*Z$19</f>
        <v>32622.2257971233</v>
      </c>
      <c r="AA52" s="34" t="n">
        <f aca="false">SUMPRODUCT((Per_Clase="Directo")*Sal_O*INDEX(Dot_O,0,MIN(10,AA$17))*((Per_Mon="PYG")*AA$19+(Per_Mon&lt;&gt;"PYG")))*(AA$15+AA$16*P_PreDir)*INDEX(IdxSal_O,1,MIN(10,AA$17))*(1+P_Cargas)+AA$51*P_Alim*AA$19</f>
        <v>32622.2257971233</v>
      </c>
      <c r="AB52" s="34" t="n">
        <f aca="false">SUMPRODUCT((Per_Clase="Directo")*Sal_O*INDEX(Dot_O,0,MIN(10,AB$17))*((Per_Mon="PYG")*AB$19+(Per_Mon&lt;&gt;"PYG")))*(AB$15+AB$16*P_PreDir)*INDEX(IdxSal_O,1,MIN(10,AB$17))*(1+P_Cargas)+AB$51*P_Alim*AB$19</f>
        <v>32622.2257971233</v>
      </c>
      <c r="AC52" s="34" t="n">
        <f aca="false">SUMPRODUCT((Per_Clase="Directo")*Sal_O*INDEX(Dot_O,0,MIN(10,AC$17))*((Per_Mon="PYG")*AC$19+(Per_Mon&lt;&gt;"PYG")))*(AC$15+AC$16*P_PreDir)*INDEX(IdxSal_O,1,MIN(10,AC$17))*(1+P_Cargas)+AC$51*P_Alim*AC$19</f>
        <v>32622.2257971233</v>
      </c>
      <c r="AD52" s="34" t="n">
        <f aca="false">SUMPRODUCT((Per_Clase="Directo")*Sal_O*INDEX(Dot_O,0,MIN(10,AD$17))*((Per_Mon="PYG")*AD$19+(Per_Mon&lt;&gt;"PYG")))*(AD$15+AD$16*P_PreDir)*INDEX(IdxSal_O,1,MIN(10,AD$17))*(1+P_Cargas)+AD$51*P_Alim*AD$19</f>
        <v>35267.6436408904</v>
      </c>
      <c r="AE52" s="34" t="n">
        <f aca="false">SUMPRODUCT((Per_Clase="Directo")*Sal_O*INDEX(Dot_O,0,MIN(10,AE$17))*((Per_Mon="PYG")*AE$19+(Per_Mon&lt;&gt;"PYG")))*(AE$15+AE$16*P_PreDir)*INDEX(IdxSal_O,1,MIN(10,AE$17))*(1+P_Cargas)+AE$51*P_Alim*AE$19</f>
        <v>35267.6436408904</v>
      </c>
      <c r="AF52" s="34" t="n">
        <f aca="false">SUMPRODUCT((Per_Clase="Directo")*Sal_O*INDEX(Dot_O,0,MIN(10,AF$17))*((Per_Mon="PYG")*AF$19+(Per_Mon&lt;&gt;"PYG")))*(AF$15+AF$16*P_PreDir)*INDEX(IdxSal_O,1,MIN(10,AF$17))*(1+P_Cargas)+AF$51*P_Alim*AF$19</f>
        <v>35267.6436408904</v>
      </c>
      <c r="AG52" s="34" t="n">
        <f aca="false">SUMPRODUCT((Per_Clase="Directo")*Sal_O*INDEX(Dot_O,0,MIN(10,AG$17))*((Per_Mon="PYG")*AG$19+(Per_Mon&lt;&gt;"PYG")))*(AG$15+AG$16*P_PreDir)*INDEX(IdxSal_O,1,MIN(10,AG$17))*(1+P_Cargas)+AG$51*P_Alim*AG$19</f>
        <v>35267.6436408904</v>
      </c>
      <c r="AH52" s="34" t="n">
        <f aca="false">SUMPRODUCT((Per_Clase="Directo")*Sal_O*INDEX(Dot_O,0,MIN(10,AH$17))*((Per_Mon="PYG")*AH$19+(Per_Mon&lt;&gt;"PYG")))*(AH$15+AH$16*P_PreDir)*INDEX(IdxSal_O,1,MIN(10,AH$17))*(1+P_Cargas)+AH$51*P_Alim*AH$19</f>
        <v>35267.6436408904</v>
      </c>
      <c r="AI52" s="34" t="n">
        <f aca="false">SUMPRODUCT((Per_Clase="Directo")*Sal_O*INDEX(Dot_O,0,MIN(10,AI$17))*((Per_Mon="PYG")*AI$19+(Per_Mon&lt;&gt;"PYG")))*(AI$15+AI$16*P_PreDir)*INDEX(IdxSal_O,1,MIN(10,AI$17))*(1+P_Cargas)+AI$51*P_Alim*AI$19</f>
        <v>35267.6436408904</v>
      </c>
      <c r="AJ52" s="34" t="n">
        <f aca="false">SUMPRODUCT((Per_Clase="Directo")*Sal_O*INDEX(Dot_O,0,MIN(10,AJ$17))*((Per_Mon="PYG")*AJ$19+(Per_Mon&lt;&gt;"PYG")))*(AJ$15+AJ$16*P_PreDir)*INDEX(IdxSal_O,1,MIN(10,AJ$17))*(1+P_Cargas)+AJ$51*P_Alim*AJ$19</f>
        <v>35267.6436408904</v>
      </c>
      <c r="AK52" s="34" t="n">
        <f aca="false">SUMPRODUCT((Per_Clase="Directo")*Sal_O*INDEX(Dot_O,0,MIN(10,AK$17))*((Per_Mon="PYG")*AK$19+(Per_Mon&lt;&gt;"PYG")))*(AK$15+AK$16*P_PreDir)*INDEX(IdxSal_O,1,MIN(10,AK$17))*(1+P_Cargas)+AK$51*P_Alim*AK$19</f>
        <v>35267.6436408904</v>
      </c>
      <c r="AL52" s="34" t="n">
        <f aca="false">SUMPRODUCT((Per_Clase="Directo")*Sal_O*INDEX(Dot_O,0,MIN(10,AL$17))*((Per_Mon="PYG")*AL$19+(Per_Mon&lt;&gt;"PYG")))*(AL$15+AL$16*P_PreDir)*INDEX(IdxSal_O,1,MIN(10,AL$17))*(1+P_Cargas)+AL$51*P_Alim*AL$19</f>
        <v>35267.6436408904</v>
      </c>
      <c r="AM52" s="34" t="n">
        <f aca="false">SUMPRODUCT((Per_Clase="Directo")*Sal_O*INDEX(Dot_O,0,MIN(10,AM$17))*((Per_Mon="PYG")*AM$19+(Per_Mon&lt;&gt;"PYG")))*(AM$15+AM$16*P_PreDir)*INDEX(IdxSal_O,1,MIN(10,AM$17))*(1+P_Cargas)+AM$51*P_Alim*AM$19</f>
        <v>35267.6436408904</v>
      </c>
      <c r="AN52" s="34" t="n">
        <f aca="false">SUMPRODUCT((Per_Clase="Directo")*Sal_O*INDEX(Dot_O,0,MIN(10,AN$17))*((Per_Mon="PYG")*AN$19+(Per_Mon&lt;&gt;"PYG")))*(AN$15+AN$16*P_PreDir)*INDEX(IdxSal_O,1,MIN(10,AN$17))*(1+P_Cargas)+AN$51*P_Alim*AN$19</f>
        <v>35267.6436408904</v>
      </c>
      <c r="AO52" s="34" t="n">
        <f aca="false">SUMPRODUCT((Per_Clase="Directo")*Sal_O*INDEX(Dot_O,0,MIN(10,AO$17))*((Per_Mon="PYG")*AO$19+(Per_Mon&lt;&gt;"PYG")))*(AO$15+AO$16*P_PreDir)*INDEX(IdxSal_O,1,MIN(10,AO$17))*(1+P_Cargas)+AO$51*P_Alim*AO$19</f>
        <v>35267.6436408904</v>
      </c>
      <c r="AP52" s="34" t="n">
        <f aca="false">SUMPRODUCT((Per_Clase="Directo")*Sal_O*INDEX(Dot_O,0,MIN(10,AP$17))*((Per_Mon="PYG")*AP$19+(Per_Mon&lt;&gt;"PYG")))*(AP$15+AP$16*P_PreDir)*INDEX(IdxSal_O,1,MIN(10,AP$17))*(1+P_Cargas)+AP$51*P_Alim*AP$19</f>
        <v>37386.0127952877</v>
      </c>
      <c r="AQ52" s="34" t="n">
        <f aca="false">SUMPRODUCT((Per_Clase="Directo")*Sal_O*INDEX(Dot_O,0,MIN(10,AQ$17))*((Per_Mon="PYG")*AQ$19+(Per_Mon&lt;&gt;"PYG")))*(AQ$15+AQ$16*P_PreDir)*INDEX(IdxSal_O,1,MIN(10,AQ$17))*(1+P_Cargas)+AQ$51*P_Alim*AQ$19</f>
        <v>37386.0127952877</v>
      </c>
      <c r="AR52" s="34" t="n">
        <f aca="false">SUMPRODUCT((Per_Clase="Directo")*Sal_O*INDEX(Dot_O,0,MIN(10,AR$17))*((Per_Mon="PYG")*AR$19+(Per_Mon&lt;&gt;"PYG")))*(AR$15+AR$16*P_PreDir)*INDEX(IdxSal_O,1,MIN(10,AR$17))*(1+P_Cargas)+AR$51*P_Alim*AR$19</f>
        <v>37386.0127952877</v>
      </c>
      <c r="AS52" s="34" t="n">
        <f aca="false">SUMPRODUCT((Per_Clase="Directo")*Sal_O*INDEX(Dot_O,0,MIN(10,AS$17))*((Per_Mon="PYG")*AS$19+(Per_Mon&lt;&gt;"PYG")))*(AS$15+AS$16*P_PreDir)*INDEX(IdxSal_O,1,MIN(10,AS$17))*(1+P_Cargas)+AS$51*P_Alim*AS$19</f>
        <v>37386.0127952877</v>
      </c>
      <c r="AT52" s="34" t="n">
        <f aca="false">SUMPRODUCT((Per_Clase="Directo")*Sal_O*INDEX(Dot_O,0,MIN(10,AT$17))*((Per_Mon="PYG")*AT$19+(Per_Mon&lt;&gt;"PYG")))*(AT$15+AT$16*P_PreDir)*INDEX(IdxSal_O,1,MIN(10,AT$17))*(1+P_Cargas)+AT$51*P_Alim*AT$19</f>
        <v>37386.0127952877</v>
      </c>
      <c r="AU52" s="34" t="n">
        <f aca="false">SUMPRODUCT((Per_Clase="Directo")*Sal_O*INDEX(Dot_O,0,MIN(10,AU$17))*((Per_Mon="PYG")*AU$19+(Per_Mon&lt;&gt;"PYG")))*(AU$15+AU$16*P_PreDir)*INDEX(IdxSal_O,1,MIN(10,AU$17))*(1+P_Cargas)+AU$51*P_Alim*AU$19</f>
        <v>37386.0127952877</v>
      </c>
      <c r="AV52" s="34" t="n">
        <f aca="false">SUMPRODUCT((Per_Clase="Directo")*Sal_O*INDEX(Dot_O,0,MIN(10,AV$17))*((Per_Mon="PYG")*AV$19+(Per_Mon&lt;&gt;"PYG")))*(AV$15+AV$16*P_PreDir)*INDEX(IdxSal_O,1,MIN(10,AV$17))*(1+P_Cargas)+AV$51*P_Alim*AV$19</f>
        <v>37386.0127952877</v>
      </c>
      <c r="AW52" s="34" t="n">
        <f aca="false">SUMPRODUCT((Per_Clase="Directo")*Sal_O*INDEX(Dot_O,0,MIN(10,AW$17))*((Per_Mon="PYG")*AW$19+(Per_Mon&lt;&gt;"PYG")))*(AW$15+AW$16*P_PreDir)*INDEX(IdxSal_O,1,MIN(10,AW$17))*(1+P_Cargas)+AW$51*P_Alim*AW$19</f>
        <v>37386.0127952877</v>
      </c>
      <c r="AX52" s="34" t="n">
        <f aca="false">SUMPRODUCT((Per_Clase="Directo")*Sal_O*INDEX(Dot_O,0,MIN(10,AX$17))*((Per_Mon="PYG")*AX$19+(Per_Mon&lt;&gt;"PYG")))*(AX$15+AX$16*P_PreDir)*INDEX(IdxSal_O,1,MIN(10,AX$17))*(1+P_Cargas)+AX$51*P_Alim*AX$19</f>
        <v>37386.0127952877</v>
      </c>
      <c r="AY52" s="34" t="n">
        <f aca="false">SUMPRODUCT((Per_Clase="Directo")*Sal_O*INDEX(Dot_O,0,MIN(10,AY$17))*((Per_Mon="PYG")*AY$19+(Per_Mon&lt;&gt;"PYG")))*(AY$15+AY$16*P_PreDir)*INDEX(IdxSal_O,1,MIN(10,AY$17))*(1+P_Cargas)+AY$51*P_Alim*AY$19</f>
        <v>37386.0127952877</v>
      </c>
      <c r="AZ52" s="34" t="n">
        <f aca="false">SUMPRODUCT((Per_Clase="Directo")*Sal_O*INDEX(Dot_O,0,MIN(10,AZ$17))*((Per_Mon="PYG")*AZ$19+(Per_Mon&lt;&gt;"PYG")))*(AZ$15+AZ$16*P_PreDir)*INDEX(IdxSal_O,1,MIN(10,AZ$17))*(1+P_Cargas)+AZ$51*P_Alim*AZ$19</f>
        <v>37386.0127952877</v>
      </c>
      <c r="BA52" s="34" t="n">
        <f aca="false">SUMPRODUCT((Per_Clase="Directo")*Sal_O*INDEX(Dot_O,0,MIN(10,BA$17))*((Per_Mon="PYG")*BA$19+(Per_Mon&lt;&gt;"PYG")))*(BA$15+BA$16*P_PreDir)*INDEX(IdxSal_O,1,MIN(10,BA$17))*(1+P_Cargas)+BA$51*P_Alim*BA$19</f>
        <v>37386.0127952877</v>
      </c>
      <c r="BB52" s="34" t="n">
        <f aca="false">SUMPRODUCT((Per_Clase="Directo")*Sal_O*INDEX(Dot_O,0,MIN(10,BB$17))*((Per_Mon="PYG")*BB$19+(Per_Mon&lt;&gt;"PYG")))*(BB$15+BB$16*P_PreDir)*INDEX(IdxSal_O,1,MIN(10,BB$17))*(1+P_Cargas)+BB$51*P_Alim*BB$19</f>
        <v>39969.0502595343</v>
      </c>
      <c r="BC52" s="34" t="n">
        <f aca="false">SUMPRODUCT((Per_Clase="Directo")*Sal_O*INDEX(Dot_O,0,MIN(10,BC$17))*((Per_Mon="PYG")*BC$19+(Per_Mon&lt;&gt;"PYG")))*(BC$15+BC$16*P_PreDir)*INDEX(IdxSal_O,1,MIN(10,BC$17))*(1+P_Cargas)+BC$51*P_Alim*BC$19</f>
        <v>39969.0502595343</v>
      </c>
      <c r="BD52" s="34" t="n">
        <f aca="false">SUMPRODUCT((Per_Clase="Directo")*Sal_O*INDEX(Dot_O,0,MIN(10,BD$17))*((Per_Mon="PYG")*BD$19+(Per_Mon&lt;&gt;"PYG")))*(BD$15+BD$16*P_PreDir)*INDEX(IdxSal_O,1,MIN(10,BD$17))*(1+P_Cargas)+BD$51*P_Alim*BD$19</f>
        <v>39969.0502595343</v>
      </c>
      <c r="BE52" s="34" t="n">
        <f aca="false">SUMPRODUCT((Per_Clase="Directo")*Sal_O*INDEX(Dot_O,0,MIN(10,BE$17))*((Per_Mon="PYG")*BE$19+(Per_Mon&lt;&gt;"PYG")))*(BE$15+BE$16*P_PreDir)*INDEX(IdxSal_O,1,MIN(10,BE$17))*(1+P_Cargas)+BE$51*P_Alim*BE$19</f>
        <v>39969.0502595343</v>
      </c>
      <c r="BF52" s="34" t="n">
        <f aca="false">SUMPRODUCT((Per_Clase="Directo")*Sal_O*INDEX(Dot_O,0,MIN(10,BF$17))*((Per_Mon="PYG")*BF$19+(Per_Mon&lt;&gt;"PYG")))*(BF$15+BF$16*P_PreDir)*INDEX(IdxSal_O,1,MIN(10,BF$17))*(1+P_Cargas)+BF$51*P_Alim*BF$19</f>
        <v>39969.0502595343</v>
      </c>
      <c r="BG52" s="34" t="n">
        <f aca="false">SUMPRODUCT((Per_Clase="Directo")*Sal_O*INDEX(Dot_O,0,MIN(10,BG$17))*((Per_Mon="PYG")*BG$19+(Per_Mon&lt;&gt;"PYG")))*(BG$15+BG$16*P_PreDir)*INDEX(IdxSal_O,1,MIN(10,BG$17))*(1+P_Cargas)+BG$51*P_Alim*BG$19</f>
        <v>39969.0502595343</v>
      </c>
      <c r="BH52" s="34" t="n">
        <f aca="false">SUMPRODUCT((Per_Clase="Directo")*Sal_O*INDEX(Dot_O,0,MIN(10,BH$17))*((Per_Mon="PYG")*BH$19+(Per_Mon&lt;&gt;"PYG")))*(BH$15+BH$16*P_PreDir)*INDEX(IdxSal_O,1,MIN(10,BH$17))*(1+P_Cargas)+BH$51*P_Alim*BH$19</f>
        <v>39969.0502595343</v>
      </c>
      <c r="BI52" s="34" t="n">
        <f aca="false">SUMPRODUCT((Per_Clase="Directo")*Sal_O*INDEX(Dot_O,0,MIN(10,BI$17))*((Per_Mon="PYG")*BI$19+(Per_Mon&lt;&gt;"PYG")))*(BI$15+BI$16*P_PreDir)*INDEX(IdxSal_O,1,MIN(10,BI$17))*(1+P_Cargas)+BI$51*P_Alim*BI$19</f>
        <v>39969.0502595343</v>
      </c>
      <c r="BJ52" s="34" t="n">
        <f aca="false">SUMPRODUCT((Per_Clase="Directo")*Sal_O*INDEX(Dot_O,0,MIN(10,BJ$17))*((Per_Mon="PYG")*BJ$19+(Per_Mon&lt;&gt;"PYG")))*(BJ$15+BJ$16*P_PreDir)*INDEX(IdxSal_O,1,MIN(10,BJ$17))*(1+P_Cargas)+BJ$51*P_Alim*BJ$19</f>
        <v>39969.0502595343</v>
      </c>
      <c r="BK52" s="34" t="n">
        <f aca="false">SUMPRODUCT((Per_Clase="Directo")*Sal_O*INDEX(Dot_O,0,MIN(10,BK$17))*((Per_Mon="PYG")*BK$19+(Per_Mon&lt;&gt;"PYG")))*(BK$15+BK$16*P_PreDir)*INDEX(IdxSal_O,1,MIN(10,BK$17))*(1+P_Cargas)+BK$51*P_Alim*BK$19</f>
        <v>39969.0502595343</v>
      </c>
      <c r="BL52" s="34" t="n">
        <f aca="false">SUMPRODUCT((Per_Clase="Directo")*Sal_O*INDEX(Dot_O,0,MIN(10,BL$17))*((Per_Mon="PYG")*BL$19+(Per_Mon&lt;&gt;"PYG")))*(BL$15+BL$16*P_PreDir)*INDEX(IdxSal_O,1,MIN(10,BL$17))*(1+P_Cargas)+BL$51*P_Alim*BL$19</f>
        <v>39969.0502595343</v>
      </c>
      <c r="BM52" s="34" t="n">
        <f aca="false">SUMPRODUCT((Per_Clase="Directo")*Sal_O*INDEX(Dot_O,0,MIN(10,BM$17))*((Per_Mon="PYG")*BM$19+(Per_Mon&lt;&gt;"PYG")))*(BM$15+BM$16*P_PreDir)*INDEX(IdxSal_O,1,MIN(10,BM$17))*(1+P_Cargas)+BM$51*P_Alim*BM$19</f>
        <v>39969.0502595343</v>
      </c>
      <c r="BN52" s="34" t="n">
        <f aca="false">SUMPRODUCT((Per_Clase="Directo")*Sal_O*INDEX(Dot_O,0,MIN(10,BN$17))*((Per_Mon="PYG")*BN$19+(Per_Mon&lt;&gt;"PYG")))*(BN$15+BN$16*P_PreDir)*INDEX(IdxSal_O,1,MIN(10,BN$17))*(1+P_Cargas)+BN$51*P_Alim*BN$19</f>
        <v>39969.0502595343</v>
      </c>
      <c r="BO52" s="34" t="n">
        <f aca="false">SUMPRODUCT((Per_Clase="Directo")*Sal_O*INDEX(Dot_O,0,MIN(10,BO$17))*((Per_Mon="PYG")*BO$19+(Per_Mon&lt;&gt;"PYG")))*(BO$15+BO$16*P_PreDir)*INDEX(IdxSal_O,1,MIN(10,BO$17))*(1+P_Cargas)+BO$51*P_Alim*BO$19</f>
        <v>39969.0502595343</v>
      </c>
      <c r="BP52" s="34" t="n">
        <f aca="false">SUMPRODUCT((Per_Clase="Directo")*Sal_O*INDEX(Dot_O,0,MIN(10,BP$17))*((Per_Mon="PYG")*BP$19+(Per_Mon&lt;&gt;"PYG")))*(BP$15+BP$16*P_PreDir)*INDEX(IdxSal_O,1,MIN(10,BP$17))*(1+P_Cargas)+BP$51*P_Alim*BP$19</f>
        <v>39969.0502595343</v>
      </c>
      <c r="BQ52" s="34" t="n">
        <f aca="false">SUMPRODUCT((Per_Clase="Directo")*Sal_O*INDEX(Dot_O,0,MIN(10,BQ$17))*((Per_Mon="PYG")*BQ$19+(Per_Mon&lt;&gt;"PYG")))*(BQ$15+BQ$16*P_PreDir)*INDEX(IdxSal_O,1,MIN(10,BQ$17))*(1+P_Cargas)+BQ$51*P_Alim*BQ$19</f>
        <v>39969.0502595343</v>
      </c>
      <c r="BR52" s="34" t="n">
        <f aca="false">SUMPRODUCT((Per_Clase="Directo")*Sal_O*INDEX(Dot_O,0,MIN(10,BR$17))*((Per_Mon="PYG")*BR$19+(Per_Mon&lt;&gt;"PYG")))*(BR$15+BR$16*P_PreDir)*INDEX(IdxSal_O,1,MIN(10,BR$17))*(1+P_Cargas)+BR$51*P_Alim*BR$19</f>
        <v>39969.0502595343</v>
      </c>
      <c r="BS52" s="34" t="n">
        <f aca="false">SUMPRODUCT((Per_Clase="Directo")*Sal_O*INDEX(Dot_O,0,MIN(10,BS$17))*((Per_Mon="PYG")*BS$19+(Per_Mon&lt;&gt;"PYG")))*(BS$15+BS$16*P_PreDir)*INDEX(IdxSal_O,1,MIN(10,BS$17))*(1+P_Cargas)+BS$51*P_Alim*BS$19</f>
        <v>39969.0502595343</v>
      </c>
      <c r="BT52" s="34" t="n">
        <f aca="false">SUMPRODUCT((Per_Clase="Directo")*Sal_O*INDEX(Dot_O,0,MIN(10,BT$17))*((Per_Mon="PYG")*BT$19+(Per_Mon&lt;&gt;"PYG")))*(BT$15+BT$16*P_PreDir)*INDEX(IdxSal_O,1,MIN(10,BT$17))*(1+P_Cargas)+BT$51*P_Alim*BT$19</f>
        <v>39969.0502595343</v>
      </c>
      <c r="BU52" s="34" t="n">
        <f aca="false">SUMPRODUCT((Per_Clase="Directo")*Sal_O*INDEX(Dot_O,0,MIN(10,BU$17))*((Per_Mon="PYG")*BU$19+(Per_Mon&lt;&gt;"PYG")))*(BU$15+BU$16*P_PreDir)*INDEX(IdxSal_O,1,MIN(10,BU$17))*(1+P_Cargas)+BU$51*P_Alim*BU$19</f>
        <v>39969.0502595343</v>
      </c>
      <c r="BV52" s="34" t="n">
        <f aca="false">SUMPRODUCT((Per_Clase="Directo")*Sal_O*INDEX(Dot_O,0,MIN(10,BV$17))*((Per_Mon="PYG")*BV$19+(Per_Mon&lt;&gt;"PYG")))*(BV$15+BV$16*P_PreDir)*INDEX(IdxSal_O,1,MIN(10,BV$17))*(1+P_Cargas)+BV$51*P_Alim*BV$19</f>
        <v>39969.0502595343</v>
      </c>
      <c r="BW52" s="34" t="n">
        <f aca="false">SUMPRODUCT((Per_Clase="Directo")*Sal_O*INDEX(Dot_O,0,MIN(10,BW$17))*((Per_Mon="PYG")*BW$19+(Per_Mon&lt;&gt;"PYG")))*(BW$15+BW$16*P_PreDir)*INDEX(IdxSal_O,1,MIN(10,BW$17))*(1+P_Cargas)+BW$51*P_Alim*BW$19</f>
        <v>39969.0502595343</v>
      </c>
      <c r="BX52" s="34" t="n">
        <f aca="false">SUMPRODUCT((Per_Clase="Directo")*Sal_O*INDEX(Dot_O,0,MIN(10,BX$17))*((Per_Mon="PYG")*BX$19+(Per_Mon&lt;&gt;"PYG")))*(BX$15+BX$16*P_PreDir)*INDEX(IdxSal_O,1,MIN(10,BX$17))*(1+P_Cargas)+BX$51*P_Alim*BX$19</f>
        <v>39969.0502595343</v>
      </c>
      <c r="BY52" s="34" t="n">
        <f aca="false">SUMPRODUCT((Per_Clase="Directo")*Sal_O*INDEX(Dot_O,0,MIN(10,BY$17))*((Per_Mon="PYG")*BY$19+(Per_Mon&lt;&gt;"PYG")))*(BY$15+BY$16*P_PreDir)*INDEX(IdxSal_O,1,MIN(10,BY$17))*(1+P_Cargas)+BY$51*P_Alim*BY$19</f>
        <v>39969.0502595343</v>
      </c>
      <c r="BZ52" s="34" t="n">
        <f aca="false">SUMPRODUCT((Per_Clase="Directo")*Sal_O*INDEX(Dot_O,0,MIN(10,BZ$17))*((Per_Mon="PYG")*BZ$19+(Per_Mon&lt;&gt;"PYG")))*(BZ$15+BZ$16*P_PreDir)*INDEX(IdxSal_O,1,MIN(10,BZ$17))*(1+P_Cargas)+BZ$51*P_Alim*BZ$19</f>
        <v>39969.0502595343</v>
      </c>
      <c r="CA52" s="34" t="n">
        <f aca="false">SUMPRODUCT((Per_Clase="Directo")*Sal_O*INDEX(Dot_O,0,MIN(10,CA$17))*((Per_Mon="PYG")*CA$19+(Per_Mon&lt;&gt;"PYG")))*(CA$15+CA$16*P_PreDir)*INDEX(IdxSal_O,1,MIN(10,CA$17))*(1+P_Cargas)+CA$51*P_Alim*CA$19</f>
        <v>39969.0502595343</v>
      </c>
      <c r="CB52" s="34" t="n">
        <f aca="false">SUMPRODUCT((Per_Clase="Directo")*Sal_O*INDEX(Dot_O,0,MIN(10,CB$17))*((Per_Mon="PYG")*CB$19+(Per_Mon&lt;&gt;"PYG")))*(CB$15+CB$16*P_PreDir)*INDEX(IdxSal_O,1,MIN(10,CB$17))*(1+P_Cargas)+CB$51*P_Alim*CB$19</f>
        <v>39969.0502595343</v>
      </c>
      <c r="CC52" s="34" t="n">
        <f aca="false">SUMPRODUCT((Per_Clase="Directo")*Sal_O*INDEX(Dot_O,0,MIN(10,CC$17))*((Per_Mon="PYG")*CC$19+(Per_Mon&lt;&gt;"PYG")))*(CC$15+CC$16*P_PreDir)*INDEX(IdxSal_O,1,MIN(10,CC$17))*(1+P_Cargas)+CC$51*P_Alim*CC$19</f>
        <v>39969.0502595343</v>
      </c>
      <c r="CD52" s="34" t="n">
        <f aca="false">SUMPRODUCT((Per_Clase="Directo")*Sal_O*INDEX(Dot_O,0,MIN(10,CD$17))*((Per_Mon="PYG")*CD$19+(Per_Mon&lt;&gt;"PYG")))*(CD$15+CD$16*P_PreDir)*INDEX(IdxSal_O,1,MIN(10,CD$17))*(1+P_Cargas)+CD$51*P_Alim*CD$19</f>
        <v>39969.0502595343</v>
      </c>
      <c r="CE52" s="34" t="n">
        <f aca="false">SUMPRODUCT((Per_Clase="Directo")*Sal_O*INDEX(Dot_O,0,MIN(10,CE$17))*((Per_Mon="PYG")*CE$19+(Per_Mon&lt;&gt;"PYG")))*(CE$15+CE$16*P_PreDir)*INDEX(IdxSal_O,1,MIN(10,CE$17))*(1+P_Cargas)+CE$51*P_Alim*CE$19</f>
        <v>39969.0502595343</v>
      </c>
      <c r="CF52" s="34" t="n">
        <f aca="false">SUMPRODUCT((Per_Clase="Directo")*Sal_O*INDEX(Dot_O,0,MIN(10,CF$17))*((Per_Mon="PYG")*CF$19+(Per_Mon&lt;&gt;"PYG")))*(CF$15+CF$16*P_PreDir)*INDEX(IdxSal_O,1,MIN(10,CF$17))*(1+P_Cargas)+CF$51*P_Alim*CF$19</f>
        <v>39969.0502595343</v>
      </c>
      <c r="CG52" s="34" t="n">
        <f aca="false">SUMPRODUCT((Per_Clase="Directo")*Sal_O*INDEX(Dot_O,0,MIN(10,CG$17))*((Per_Mon="PYG")*CG$19+(Per_Mon&lt;&gt;"PYG")))*(CG$15+CG$16*P_PreDir)*INDEX(IdxSal_O,1,MIN(10,CG$17))*(1+P_Cargas)+CG$51*P_Alim*CG$19</f>
        <v>39969.0502595343</v>
      </c>
      <c r="CH52" s="34" t="n">
        <f aca="false">SUMPRODUCT((Per_Clase="Directo")*Sal_O*INDEX(Dot_O,0,MIN(10,CH$17))*((Per_Mon="PYG")*CH$19+(Per_Mon&lt;&gt;"PYG")))*(CH$15+CH$16*P_PreDir)*INDEX(IdxSal_O,1,MIN(10,CH$17))*(1+P_Cargas)+CH$51*P_Alim*CH$19</f>
        <v>39969.0502595343</v>
      </c>
      <c r="CI52" s="34" t="n">
        <f aca="false">SUMPRODUCT((Per_Clase="Directo")*Sal_O*INDEX(Dot_O,0,MIN(10,CI$17))*((Per_Mon="PYG")*CI$19+(Per_Mon&lt;&gt;"PYG")))*(CI$15+CI$16*P_PreDir)*INDEX(IdxSal_O,1,MIN(10,CI$17))*(1+P_Cargas)+CI$51*P_Alim*CI$19</f>
        <v>39969.0502595343</v>
      </c>
      <c r="CJ52" s="34" t="n">
        <f aca="false">SUMPRODUCT((Per_Clase="Directo")*Sal_O*INDEX(Dot_O,0,MIN(10,CJ$17))*((Per_Mon="PYG")*CJ$19+(Per_Mon&lt;&gt;"PYG")))*(CJ$15+CJ$16*P_PreDir)*INDEX(IdxSal_O,1,MIN(10,CJ$17))*(1+P_Cargas)+CJ$51*P_Alim*CJ$19</f>
        <v>39969.0502595343</v>
      </c>
      <c r="CK52" s="34" t="n">
        <f aca="false">SUMPRODUCT((Per_Clase="Directo")*Sal_O*INDEX(Dot_O,0,MIN(10,CK$17))*((Per_Mon="PYG")*CK$19+(Per_Mon&lt;&gt;"PYG")))*(CK$15+CK$16*P_PreDir)*INDEX(IdxSal_O,1,MIN(10,CK$17))*(1+P_Cargas)+CK$51*P_Alim*CK$19</f>
        <v>39969.0502595343</v>
      </c>
      <c r="CL52" s="34" t="n">
        <f aca="false">SUMPRODUCT((Per_Clase="Directo")*Sal_O*INDEX(Dot_O,0,MIN(10,CL$17))*((Per_Mon="PYG")*CL$19+(Per_Mon&lt;&gt;"PYG")))*(CL$15+CL$16*P_PreDir)*INDEX(IdxSal_O,1,MIN(10,CL$17))*(1+P_Cargas)+CL$51*P_Alim*CL$19</f>
        <v>39969.0502595343</v>
      </c>
      <c r="CM52" s="34" t="n">
        <f aca="false">SUMPRODUCT((Per_Clase="Directo")*Sal_O*INDEX(Dot_O,0,MIN(10,CM$17))*((Per_Mon="PYG")*CM$19+(Per_Mon&lt;&gt;"PYG")))*(CM$15+CM$16*P_PreDir)*INDEX(IdxSal_O,1,MIN(10,CM$17))*(1+P_Cargas)+CM$51*P_Alim*CM$19</f>
        <v>39969.0502595343</v>
      </c>
      <c r="CN52" s="34" t="n">
        <f aca="false">SUMPRODUCT((Per_Clase="Directo")*Sal_O*INDEX(Dot_O,0,MIN(10,CN$17))*((Per_Mon="PYG")*CN$19+(Per_Mon&lt;&gt;"PYG")))*(CN$15+CN$16*P_PreDir)*INDEX(IdxSal_O,1,MIN(10,CN$17))*(1+P_Cargas)+CN$51*P_Alim*CN$19</f>
        <v>39969.0502595343</v>
      </c>
      <c r="CO52" s="34" t="n">
        <f aca="false">SUMPRODUCT((Per_Clase="Directo")*Sal_O*INDEX(Dot_O,0,MIN(10,CO$17))*((Per_Mon="PYG")*CO$19+(Per_Mon&lt;&gt;"PYG")))*(CO$15+CO$16*P_PreDir)*INDEX(IdxSal_O,1,MIN(10,CO$17))*(1+P_Cargas)+CO$51*P_Alim*CO$19</f>
        <v>39969.0502595343</v>
      </c>
      <c r="CP52" s="34" t="n">
        <f aca="false">SUMPRODUCT((Per_Clase="Directo")*Sal_O*INDEX(Dot_O,0,MIN(10,CP$17))*((Per_Mon="PYG")*CP$19+(Per_Mon&lt;&gt;"PYG")))*(CP$15+CP$16*P_PreDir)*INDEX(IdxSal_O,1,MIN(10,CP$17))*(1+P_Cargas)+CP$51*P_Alim*CP$19</f>
        <v>39969.0502595343</v>
      </c>
      <c r="CQ52" s="34" t="n">
        <f aca="false">SUMPRODUCT((Per_Clase="Directo")*Sal_O*INDEX(Dot_O,0,MIN(10,CQ$17))*((Per_Mon="PYG")*CQ$19+(Per_Mon&lt;&gt;"PYG")))*(CQ$15+CQ$16*P_PreDir)*INDEX(IdxSal_O,1,MIN(10,CQ$17))*(1+P_Cargas)+CQ$51*P_Alim*CQ$19</f>
        <v>39969.0502595343</v>
      </c>
      <c r="CR52" s="34" t="n">
        <f aca="false">SUMPRODUCT((Per_Clase="Directo")*Sal_O*INDEX(Dot_O,0,MIN(10,CR$17))*((Per_Mon="PYG")*CR$19+(Per_Mon&lt;&gt;"PYG")))*(CR$15+CR$16*P_PreDir)*INDEX(IdxSal_O,1,MIN(10,CR$17))*(1+P_Cargas)+CR$51*P_Alim*CR$19</f>
        <v>39969.0502595343</v>
      </c>
      <c r="CS52" s="34" t="n">
        <f aca="false">SUMPRODUCT((Per_Clase="Directo")*Sal_O*INDEX(Dot_O,0,MIN(10,CS$17))*((Per_Mon="PYG")*CS$19+(Per_Mon&lt;&gt;"PYG")))*(CS$15+CS$16*P_PreDir)*INDEX(IdxSal_O,1,MIN(10,CS$17))*(1+P_Cargas)+CS$51*P_Alim*CS$19</f>
        <v>39969.0502595343</v>
      </c>
      <c r="CT52" s="34" t="n">
        <f aca="false">SUMPRODUCT((Per_Clase="Directo")*Sal_O*INDEX(Dot_O,0,MIN(10,CT$17))*((Per_Mon="PYG")*CT$19+(Per_Mon&lt;&gt;"PYG")))*(CT$15+CT$16*P_PreDir)*INDEX(IdxSal_O,1,MIN(10,CT$17))*(1+P_Cargas)+CT$51*P_Alim*CT$19</f>
        <v>39969.0502595343</v>
      </c>
      <c r="CU52" s="34" t="n">
        <f aca="false">SUMPRODUCT((Per_Clase="Directo")*Sal_O*INDEX(Dot_O,0,MIN(10,CU$17))*((Per_Mon="PYG")*CU$19+(Per_Mon&lt;&gt;"PYG")))*(CU$15+CU$16*P_PreDir)*INDEX(IdxSal_O,1,MIN(10,CU$17))*(1+P_Cargas)+CU$51*P_Alim*CU$19</f>
        <v>39969.0502595343</v>
      </c>
      <c r="CV52" s="34" t="n">
        <f aca="false">SUMPRODUCT((Per_Clase="Directo")*Sal_O*INDEX(Dot_O,0,MIN(10,CV$17))*((Per_Mon="PYG")*CV$19+(Per_Mon&lt;&gt;"PYG")))*(CV$15+CV$16*P_PreDir)*INDEX(IdxSal_O,1,MIN(10,CV$17))*(1+P_Cargas)+CV$51*P_Alim*CV$19</f>
        <v>39969.0502595343</v>
      </c>
      <c r="CW52" s="34" t="n">
        <f aca="false">SUMPRODUCT((Per_Clase="Directo")*Sal_O*INDEX(Dot_O,0,MIN(10,CW$17))*((Per_Mon="PYG")*CW$19+(Per_Mon&lt;&gt;"PYG")))*(CW$15+CW$16*P_PreDir)*INDEX(IdxSal_O,1,MIN(10,CW$17))*(1+P_Cargas)+CW$51*P_Alim*CW$19</f>
        <v>39969.0502595343</v>
      </c>
      <c r="CX52" s="34" t="n">
        <f aca="false">SUMPRODUCT((Per_Clase="Directo")*Sal_O*INDEX(Dot_O,0,MIN(10,CX$17))*((Per_Mon="PYG")*CX$19+(Per_Mon&lt;&gt;"PYG")))*(CX$15+CX$16*P_PreDir)*INDEX(IdxSal_O,1,MIN(10,CX$17))*(1+P_Cargas)+CX$51*P_Alim*CX$19</f>
        <v>39969.0502595343</v>
      </c>
      <c r="CY52" s="34" t="n">
        <f aca="false">SUMPRODUCT((Per_Clase="Directo")*Sal_O*INDEX(Dot_O,0,MIN(10,CY$17))*((Per_Mon="PYG")*CY$19+(Per_Mon&lt;&gt;"PYG")))*(CY$15+CY$16*P_PreDir)*INDEX(IdxSal_O,1,MIN(10,CY$17))*(1+P_Cargas)+CY$51*P_Alim*CY$19</f>
        <v>39969.0502595343</v>
      </c>
      <c r="CZ52" s="34" t="n">
        <f aca="false">SUMPRODUCT((Per_Clase="Directo")*Sal_O*INDEX(Dot_O,0,MIN(10,CZ$17))*((Per_Mon="PYG")*CZ$19+(Per_Mon&lt;&gt;"PYG")))*(CZ$15+CZ$16*P_PreDir)*INDEX(IdxSal_O,1,MIN(10,CZ$17))*(1+P_Cargas)+CZ$51*P_Alim*CZ$19</f>
        <v>39969.0502595343</v>
      </c>
      <c r="DA52" s="34" t="n">
        <f aca="false">SUMPRODUCT((Per_Clase="Directo")*Sal_O*INDEX(Dot_O,0,MIN(10,DA$17))*((Per_Mon="PYG")*DA$19+(Per_Mon&lt;&gt;"PYG")))*(DA$15+DA$16*P_PreDir)*INDEX(IdxSal_O,1,MIN(10,DA$17))*(1+P_Cargas)+DA$51*P_Alim*DA$19</f>
        <v>39969.0502595343</v>
      </c>
      <c r="DB52" s="34" t="n">
        <f aca="false">SUMPRODUCT((Per_Clase="Directo")*Sal_O*INDEX(Dot_O,0,MIN(10,DB$17))*((Per_Mon="PYG")*DB$19+(Per_Mon&lt;&gt;"PYG")))*(DB$15+DB$16*P_PreDir)*INDEX(IdxSal_O,1,MIN(10,DB$17))*(1+P_Cargas)+DB$51*P_Alim*DB$19</f>
        <v>39969.0502595343</v>
      </c>
      <c r="DC52" s="34" t="n">
        <f aca="false">SUMPRODUCT((Per_Clase="Directo")*Sal_O*INDEX(Dot_O,0,MIN(10,DC$17))*((Per_Mon="PYG")*DC$19+(Per_Mon&lt;&gt;"PYG")))*(DC$15+DC$16*P_PreDir)*INDEX(IdxSal_O,1,MIN(10,DC$17))*(1+P_Cargas)+DC$51*P_Alim*DC$19</f>
        <v>39969.0502595343</v>
      </c>
      <c r="DD52" s="34" t="n">
        <f aca="false">SUMPRODUCT((Per_Clase="Directo")*Sal_O*INDEX(Dot_O,0,MIN(10,DD$17))*((Per_Mon="PYG")*DD$19+(Per_Mon&lt;&gt;"PYG")))*(DD$15+DD$16*P_PreDir)*INDEX(IdxSal_O,1,MIN(10,DD$17))*(1+P_Cargas)+DD$51*P_Alim*DD$19</f>
        <v>39969.0502595343</v>
      </c>
      <c r="DE52" s="34" t="n">
        <f aca="false">SUMPRODUCT((Per_Clase="Directo")*Sal_O*INDEX(Dot_O,0,MIN(10,DE$17))*((Per_Mon="PYG")*DE$19+(Per_Mon&lt;&gt;"PYG")))*(DE$15+DE$16*P_PreDir)*INDEX(IdxSal_O,1,MIN(10,DE$17))*(1+P_Cargas)+DE$51*P_Alim*DE$19</f>
        <v>39969.0502595343</v>
      </c>
      <c r="DF52" s="34" t="n">
        <f aca="false">SUMPRODUCT((Per_Clase="Directo")*Sal_O*INDEX(Dot_O,0,MIN(10,DF$17))*((Per_Mon="PYG")*DF$19+(Per_Mon&lt;&gt;"PYG")))*(DF$15+DF$16*P_PreDir)*INDEX(IdxSal_O,1,MIN(10,DF$17))*(1+P_Cargas)+DF$51*P_Alim*DF$19</f>
        <v>39969.0502595343</v>
      </c>
      <c r="DG52" s="34" t="n">
        <f aca="false">SUMPRODUCT((Per_Clase="Directo")*Sal_O*INDEX(Dot_O,0,MIN(10,DG$17))*((Per_Mon="PYG")*DG$19+(Per_Mon&lt;&gt;"PYG")))*(DG$15+DG$16*P_PreDir)*INDEX(IdxSal_O,1,MIN(10,DG$17))*(1+P_Cargas)+DG$51*P_Alim*DG$19</f>
        <v>39969.0502595343</v>
      </c>
      <c r="DH52" s="34" t="n">
        <f aca="false">SUMPRODUCT((Per_Clase="Directo")*Sal_O*INDEX(Dot_O,0,MIN(10,DH$17))*((Per_Mon="PYG")*DH$19+(Per_Mon&lt;&gt;"PYG")))*(DH$15+DH$16*P_PreDir)*INDEX(IdxSal_O,1,MIN(10,DH$17))*(1+P_Cargas)+DH$51*P_Alim*DH$19</f>
        <v>39969.0502595343</v>
      </c>
      <c r="DI52" s="34" t="n">
        <f aca="false">SUMPRODUCT((Per_Clase="Directo")*Sal_O*INDEX(Dot_O,0,MIN(10,DI$17))*((Per_Mon="PYG")*DI$19+(Per_Mon&lt;&gt;"PYG")))*(DI$15+DI$16*P_PreDir)*INDEX(IdxSal_O,1,MIN(10,DI$17))*(1+P_Cargas)+DI$51*P_Alim*DI$19</f>
        <v>39969.0502595343</v>
      </c>
      <c r="DJ52" s="34" t="n">
        <f aca="false">SUMPRODUCT((Per_Clase="Directo")*Sal_O*INDEX(Dot_O,0,MIN(10,DJ$17))*((Per_Mon="PYG")*DJ$19+(Per_Mon&lt;&gt;"PYG")))*(DJ$15+DJ$16*P_PreDir)*INDEX(IdxSal_O,1,MIN(10,DJ$17))*(1+P_Cargas)+DJ$51*P_Alim*DJ$19</f>
        <v>39969.0502595343</v>
      </c>
      <c r="DK52" s="34" t="n">
        <f aca="false">SUMPRODUCT((Per_Clase="Directo")*Sal_O*INDEX(Dot_O,0,MIN(10,DK$17))*((Per_Mon="PYG")*DK$19+(Per_Mon&lt;&gt;"PYG")))*(DK$15+DK$16*P_PreDir)*INDEX(IdxSal_O,1,MIN(10,DK$17))*(1+P_Cargas)+DK$51*P_Alim*DK$19</f>
        <v>39969.0502595343</v>
      </c>
      <c r="DL52" s="34" t="n">
        <f aca="false">SUMPRODUCT((Per_Clase="Directo")*Sal_O*INDEX(Dot_O,0,MIN(10,DL$17))*((Per_Mon="PYG")*DL$19+(Per_Mon&lt;&gt;"PYG")))*(DL$15+DL$16*P_PreDir)*INDEX(IdxSal_O,1,MIN(10,DL$17))*(1+P_Cargas)+DL$51*P_Alim*DL$19</f>
        <v>39969.0502595343</v>
      </c>
      <c r="DM52" s="34" t="n">
        <f aca="false">SUMPRODUCT((Per_Clase="Directo")*Sal_O*INDEX(Dot_O,0,MIN(10,DM$17))*((Per_Mon="PYG")*DM$19+(Per_Mon&lt;&gt;"PYG")))*(DM$15+DM$16*P_PreDir)*INDEX(IdxSal_O,1,MIN(10,DM$17))*(1+P_Cargas)+DM$51*P_Alim*DM$19</f>
        <v>39969.0502595343</v>
      </c>
      <c r="DN52" s="34" t="n">
        <f aca="false">SUMPRODUCT((Per_Clase="Directo")*Sal_O*INDEX(Dot_O,0,MIN(10,DN$17))*((Per_Mon="PYG")*DN$19+(Per_Mon&lt;&gt;"PYG")))*(DN$15+DN$16*P_PreDir)*INDEX(IdxSal_O,1,MIN(10,DN$17))*(1+P_Cargas)+DN$51*P_Alim*DN$19</f>
        <v>39969.0502595343</v>
      </c>
      <c r="DO52" s="34" t="n">
        <f aca="false">SUMPRODUCT((Per_Clase="Directo")*Sal_O*INDEX(Dot_O,0,MIN(10,DO$17))*((Per_Mon="PYG")*DO$19+(Per_Mon&lt;&gt;"PYG")))*(DO$15+DO$16*P_PreDir)*INDEX(IdxSal_O,1,MIN(10,DO$17))*(1+P_Cargas)+DO$51*P_Alim*DO$19</f>
        <v>39969.0502595343</v>
      </c>
      <c r="DP52" s="34" t="n">
        <f aca="false">SUMPRODUCT((Per_Clase="Directo")*Sal_O*INDEX(Dot_O,0,MIN(10,DP$17))*((Per_Mon="PYG")*DP$19+(Per_Mon&lt;&gt;"PYG")))*(DP$15+DP$16*P_PreDir)*INDEX(IdxSal_O,1,MIN(10,DP$17))*(1+P_Cargas)+DP$51*P_Alim*DP$19</f>
        <v>39969.0502595343</v>
      </c>
      <c r="DQ52" s="34" t="n">
        <f aca="false">SUMPRODUCT((Per_Clase="Directo")*Sal_O*INDEX(Dot_O,0,MIN(10,DQ$17))*((Per_Mon="PYG")*DQ$19+(Per_Mon&lt;&gt;"PYG")))*(DQ$15+DQ$16*P_PreDir)*INDEX(IdxSal_O,1,MIN(10,DQ$17))*(1+P_Cargas)+DQ$51*P_Alim*DQ$19</f>
        <v>39969.0502595343</v>
      </c>
      <c r="DR52" s="34" t="n">
        <f aca="false">SUMPRODUCT((Per_Clase="Directo")*Sal_O*INDEX(Dot_O,0,MIN(10,DR$17))*((Per_Mon="PYG")*DR$19+(Per_Mon&lt;&gt;"PYG")))*(DR$15+DR$16*P_PreDir)*INDEX(IdxSal_O,1,MIN(10,DR$17))*(1+P_Cargas)+DR$51*P_Alim*DR$19</f>
        <v>39969.0502595343</v>
      </c>
      <c r="DS52" s="34" t="n">
        <f aca="false">SUMPRODUCT((Per_Clase="Directo")*Sal_O*INDEX(Dot_O,0,MIN(10,DS$17))*((Per_Mon="PYG")*DS$19+(Per_Mon&lt;&gt;"PYG")))*(DS$15+DS$16*P_PreDir)*INDEX(IdxSal_O,1,MIN(10,DS$17))*(1+P_Cargas)+DS$51*P_Alim*DS$19</f>
        <v>39969.0502595343</v>
      </c>
      <c r="DT52" s="34" t="n">
        <f aca="false">SUMPRODUCT((Per_Clase="Directo")*Sal_O*INDEX(Dot_O,0,MIN(10,DT$17))*((Per_Mon="PYG")*DT$19+(Per_Mon&lt;&gt;"PYG")))*(DT$15+DT$16*P_PreDir)*INDEX(IdxSal_O,1,MIN(10,DT$17))*(1+P_Cargas)+DT$51*P_Alim*DT$19</f>
        <v>39969.0502595343</v>
      </c>
      <c r="DU52" s="34" t="n">
        <f aca="false">SUMPRODUCT((Per_Clase="Directo")*Sal_O*INDEX(Dot_O,0,MIN(10,DU$17))*((Per_Mon="PYG")*DU$19+(Per_Mon&lt;&gt;"PYG")))*(DU$15+DU$16*P_PreDir)*INDEX(IdxSal_O,1,MIN(10,DU$17))*(1+P_Cargas)+DU$51*P_Alim*DU$19</f>
        <v>39969.0502595343</v>
      </c>
      <c r="DV52" s="34" t="n">
        <f aca="false">SUMPRODUCT((Per_Clase="Directo")*Sal_O*INDEX(Dot_O,0,MIN(10,DV$17))*((Per_Mon="PYG")*DV$19+(Per_Mon&lt;&gt;"PYG")))*(DV$15+DV$16*P_PreDir)*INDEX(IdxSal_O,1,MIN(10,DV$17))*(1+P_Cargas)+DV$51*P_Alim*DV$19</f>
        <v>0</v>
      </c>
      <c r="DW52" s="34" t="n">
        <f aca="false">SUMPRODUCT((Per_Clase="Directo")*Sal_O*INDEX(Dot_O,0,MIN(10,DW$17))*((Per_Mon="PYG")*DW$19+(Per_Mon&lt;&gt;"PYG")))*(DW$15+DW$16*P_PreDir)*INDEX(IdxSal_O,1,MIN(10,DW$17))*(1+P_Cargas)+DW$51*P_Alim*DW$19</f>
        <v>0</v>
      </c>
      <c r="DX52" s="34" t="n">
        <f aca="false">SUMPRODUCT((Per_Clase="Directo")*Sal_O*INDEX(Dot_O,0,MIN(10,DX$17))*((Per_Mon="PYG")*DX$19+(Per_Mon&lt;&gt;"PYG")))*(DX$15+DX$16*P_PreDir)*INDEX(IdxSal_O,1,MIN(10,DX$17))*(1+P_Cargas)+DX$51*P_Alim*DX$19</f>
        <v>0</v>
      </c>
      <c r="DY52" s="34" t="n">
        <f aca="false">SUMPRODUCT((Per_Clase="Directo")*Sal_O*INDEX(Dot_O,0,MIN(10,DY$17))*((Per_Mon="PYG")*DY$19+(Per_Mon&lt;&gt;"PYG")))*(DY$15+DY$16*P_PreDir)*INDEX(IdxSal_O,1,MIN(10,DY$17))*(1+P_Cargas)+DY$51*P_Alim*DY$19</f>
        <v>0</v>
      </c>
      <c r="DZ52" s="34" t="n">
        <f aca="false">SUMPRODUCT((Per_Clase="Directo")*Sal_O*INDEX(Dot_O,0,MIN(10,DZ$17))*((Per_Mon="PYG")*DZ$19+(Per_Mon&lt;&gt;"PYG")))*(DZ$15+DZ$16*P_PreDir)*INDEX(IdxSal_O,1,MIN(10,DZ$17))*(1+P_Cargas)+DZ$51*P_Alim*DZ$19</f>
        <v>0</v>
      </c>
      <c r="EA52" s="34" t="n">
        <f aca="false">SUMPRODUCT((Per_Clase="Directo")*Sal_O*INDEX(Dot_O,0,MIN(10,EA$17))*((Per_Mon="PYG")*EA$19+(Per_Mon&lt;&gt;"PYG")))*(EA$15+EA$16*P_PreDir)*INDEX(IdxSal_O,1,MIN(10,EA$17))*(1+P_Cargas)+EA$51*P_Alim*EA$19</f>
        <v>0</v>
      </c>
      <c r="EB52" s="34" t="n">
        <f aca="false">SUMPRODUCT((Per_Clase="Directo")*Sal_O*INDEX(Dot_O,0,MIN(10,EB$17))*((Per_Mon="PYG")*EB$19+(Per_Mon&lt;&gt;"PYG")))*(EB$15+EB$16*P_PreDir)*INDEX(IdxSal_O,1,MIN(10,EB$17))*(1+P_Cargas)+EB$51*P_Alim*EB$19</f>
        <v>0</v>
      </c>
      <c r="EC52" s="34" t="n">
        <f aca="false">SUMPRODUCT((Per_Clase="Directo")*Sal_O*INDEX(Dot_O,0,MIN(10,EC$17))*((Per_Mon="PYG")*EC$19+(Per_Mon&lt;&gt;"PYG")))*(EC$15+EC$16*P_PreDir)*INDEX(IdxSal_O,1,MIN(10,EC$17))*(1+P_Cargas)+EC$51*P_Alim*EC$19</f>
        <v>0</v>
      </c>
      <c r="ED52" s="34" t="n">
        <f aca="false">SUMPRODUCT((Per_Clase="Directo")*Sal_O*INDEX(Dot_O,0,MIN(10,ED$17))*((Per_Mon="PYG")*ED$19+(Per_Mon&lt;&gt;"PYG")))*(ED$15+ED$16*P_PreDir)*INDEX(IdxSal_O,1,MIN(10,ED$17))*(1+P_Cargas)+ED$51*P_Alim*ED$19</f>
        <v>0</v>
      </c>
      <c r="EE52" s="34" t="n">
        <f aca="false">SUMPRODUCT((Per_Clase="Directo")*Sal_O*INDEX(Dot_O,0,MIN(10,EE$17))*((Per_Mon="PYG")*EE$19+(Per_Mon&lt;&gt;"PYG")))*(EE$15+EE$16*P_PreDir)*INDEX(IdxSal_O,1,MIN(10,EE$17))*(1+P_Cargas)+EE$51*P_Alim*EE$19</f>
        <v>0</v>
      </c>
      <c r="EF52" s="34" t="n">
        <f aca="false">SUMPRODUCT((Per_Clase="Directo")*Sal_O*INDEX(Dot_O,0,MIN(10,EF$17))*((Per_Mon="PYG")*EF$19+(Per_Mon&lt;&gt;"PYG")))*(EF$15+EF$16*P_PreDir)*INDEX(IdxSal_O,1,MIN(10,EF$17))*(1+P_Cargas)+EF$51*P_Alim*EF$19</f>
        <v>0</v>
      </c>
      <c r="EG52" s="34" t="n">
        <f aca="false">SUMPRODUCT((Per_Clase="Directo")*Sal_O*INDEX(Dot_O,0,MIN(10,EG$17))*((Per_Mon="PYG")*EG$19+(Per_Mon&lt;&gt;"PYG")))*(EG$15+EG$16*P_PreDir)*INDEX(IdxSal_O,1,MIN(10,EG$17))*(1+P_Cargas)+EG$51*P_Alim*EG$19</f>
        <v>0</v>
      </c>
      <c r="EH52" s="34" t="n">
        <f aca="false">SUMPRODUCT((Per_Clase="Directo")*Sal_O*INDEX(Dot_O,0,MIN(10,EH$17))*((Per_Mon="PYG")*EH$19+(Per_Mon&lt;&gt;"PYG")))*(EH$15+EH$16*P_PreDir)*INDEX(IdxSal_O,1,MIN(10,EH$17))*(1+P_Cargas)+EH$51*P_Alim*EH$19</f>
        <v>0</v>
      </c>
      <c r="EI52" s="34" t="n">
        <f aca="false">SUMPRODUCT((Per_Clase="Directo")*Sal_O*INDEX(Dot_O,0,MIN(10,EI$17))*((Per_Mon="PYG")*EI$19+(Per_Mon&lt;&gt;"PYG")))*(EI$15+EI$16*P_PreDir)*INDEX(IdxSal_O,1,MIN(10,EI$17))*(1+P_Cargas)+EI$51*P_Alim*EI$19</f>
        <v>0</v>
      </c>
      <c r="EJ52" s="34" t="n">
        <f aca="false">SUMPRODUCT((Per_Clase="Directo")*Sal_O*INDEX(Dot_O,0,MIN(10,EJ$17))*((Per_Mon="PYG")*EJ$19+(Per_Mon&lt;&gt;"PYG")))*(EJ$15+EJ$16*P_PreDir)*INDEX(IdxSal_O,1,MIN(10,EJ$17))*(1+P_Cargas)+EJ$51*P_Alim*EJ$19</f>
        <v>0</v>
      </c>
      <c r="EK52" s="34" t="n">
        <f aca="false">SUMPRODUCT((Per_Clase="Directo")*Sal_O*INDEX(Dot_O,0,MIN(10,EK$17))*((Per_Mon="PYG")*EK$19+(Per_Mon&lt;&gt;"PYG")))*(EK$15+EK$16*P_PreDir)*INDEX(IdxSal_O,1,MIN(10,EK$17))*(1+P_Cargas)+EK$51*P_Alim*EK$19</f>
        <v>0</v>
      </c>
      <c r="EL52" s="34" t="n">
        <f aca="false">SUMPRODUCT((Per_Clase="Directo")*Sal_O*INDEX(Dot_O,0,MIN(10,EL$17))*((Per_Mon="PYG")*EL$19+(Per_Mon&lt;&gt;"PYG")))*(EL$15+EL$16*P_PreDir)*INDEX(IdxSal_O,1,MIN(10,EL$17))*(1+P_Cargas)+EL$51*P_Alim*EL$19</f>
        <v>0</v>
      </c>
      <c r="EM52" s="34" t="n">
        <f aca="false">SUMPRODUCT((Per_Clase="Directo")*Sal_O*INDEX(Dot_O,0,MIN(10,EM$17))*((Per_Mon="PYG")*EM$19+(Per_Mon&lt;&gt;"PYG")))*(EM$15+EM$16*P_PreDir)*INDEX(IdxSal_O,1,MIN(10,EM$17))*(1+P_Cargas)+EM$51*P_Alim*EM$19</f>
        <v>0</v>
      </c>
      <c r="EN52" s="34" t="n">
        <f aca="false">SUMPRODUCT((Per_Clase="Directo")*Sal_O*INDEX(Dot_O,0,MIN(10,EN$17))*((Per_Mon="PYG")*EN$19+(Per_Mon&lt;&gt;"PYG")))*(EN$15+EN$16*P_PreDir)*INDEX(IdxSal_O,1,MIN(10,EN$17))*(1+P_Cargas)+EN$51*P_Alim*EN$19</f>
        <v>0</v>
      </c>
      <c r="EO52" s="34" t="n">
        <f aca="false">SUMPRODUCT((Per_Clase="Directo")*Sal_O*INDEX(Dot_O,0,MIN(10,EO$17))*((Per_Mon="PYG")*EO$19+(Per_Mon&lt;&gt;"PYG")))*(EO$15+EO$16*P_PreDir)*INDEX(IdxSal_O,1,MIN(10,EO$17))*(1+P_Cargas)+EO$51*P_Alim*EO$19</f>
        <v>0</v>
      </c>
      <c r="EP52" s="34" t="n">
        <f aca="false">SUMPRODUCT((Per_Clase="Directo")*Sal_O*INDEX(Dot_O,0,MIN(10,EP$17))*((Per_Mon="PYG")*EP$19+(Per_Mon&lt;&gt;"PYG")))*(EP$15+EP$16*P_PreDir)*INDEX(IdxSal_O,1,MIN(10,EP$17))*(1+P_Cargas)+EP$51*P_Alim*EP$19</f>
        <v>0</v>
      </c>
      <c r="EQ52" s="34" t="n">
        <f aca="false">SUMPRODUCT((Per_Clase="Directo")*Sal_O*INDEX(Dot_O,0,MIN(10,EQ$17))*((Per_Mon="PYG")*EQ$19+(Per_Mon&lt;&gt;"PYG")))*(EQ$15+EQ$16*P_PreDir)*INDEX(IdxSal_O,1,MIN(10,EQ$17))*(1+P_Cargas)+EQ$51*P_Alim*EQ$19</f>
        <v>0</v>
      </c>
      <c r="ER52" s="34" t="n">
        <f aca="false">SUMPRODUCT((Per_Clase="Directo")*Sal_O*INDEX(Dot_O,0,MIN(10,ER$17))*((Per_Mon="PYG")*ER$19+(Per_Mon&lt;&gt;"PYG")))*(ER$15+ER$16*P_PreDir)*INDEX(IdxSal_O,1,MIN(10,ER$17))*(1+P_Cargas)+ER$51*P_Alim*ER$19</f>
        <v>0</v>
      </c>
      <c r="ES52" s="34" t="n">
        <f aca="false">SUMPRODUCT((Per_Clase="Directo")*Sal_O*INDEX(Dot_O,0,MIN(10,ES$17))*((Per_Mon="PYG")*ES$19+(Per_Mon&lt;&gt;"PYG")))*(ES$15+ES$16*P_PreDir)*INDEX(IdxSal_O,1,MIN(10,ES$17))*(1+P_Cargas)+ES$51*P_Alim*ES$19</f>
        <v>0</v>
      </c>
    </row>
    <row r="53" customFormat="false" ht="15" hidden="false" customHeight="false" outlineLevel="0" collapsed="false">
      <c r="A53" s="2" t="s">
        <v>598</v>
      </c>
      <c r="B53" s="6" t="s">
        <v>599</v>
      </c>
      <c r="C53" s="6" t="s">
        <v>595</v>
      </c>
      <c r="F53" s="36" t="n">
        <f aca="false">SUMPRODUCT((Per_Clase="Indirecto")*INDEX(Dot_O,0,MIN(10,F$17)))*(F$15+F$16*P_PreInd)</f>
        <v>17</v>
      </c>
      <c r="G53" s="36" t="n">
        <f aca="false">SUMPRODUCT((Per_Clase="Indirecto")*INDEX(Dot_O,0,MIN(10,G$17)))*(G$15+G$16*P_PreInd)</f>
        <v>17</v>
      </c>
      <c r="H53" s="36" t="n">
        <f aca="false">SUMPRODUCT((Per_Clase="Indirecto")*INDEX(Dot_O,0,MIN(10,H$17)))*(H$15+H$16*P_PreInd)</f>
        <v>17</v>
      </c>
      <c r="I53" s="36" t="n">
        <f aca="false">SUMPRODUCT((Per_Clase="Indirecto")*INDEX(Dot_O,0,MIN(10,I$17)))*(I$15+I$16*P_PreInd)</f>
        <v>17</v>
      </c>
      <c r="J53" s="36" t="n">
        <f aca="false">SUMPRODUCT((Per_Clase="Indirecto")*INDEX(Dot_O,0,MIN(10,J$17)))*(J$15+J$16*P_PreInd)</f>
        <v>17</v>
      </c>
      <c r="K53" s="36" t="n">
        <f aca="false">SUMPRODUCT((Per_Clase="Indirecto")*INDEX(Dot_O,0,MIN(10,K$17)))*(K$15+K$16*P_PreInd)</f>
        <v>17</v>
      </c>
      <c r="L53" s="36" t="n">
        <f aca="false">SUMPRODUCT((Per_Clase="Indirecto")*INDEX(Dot_O,0,MIN(10,L$17)))*(L$15+L$16*P_PreInd)</f>
        <v>17</v>
      </c>
      <c r="M53" s="36" t="n">
        <f aca="false">SUMPRODUCT((Per_Clase="Indirecto")*INDEX(Dot_O,0,MIN(10,M$17)))*(M$15+M$16*P_PreInd)</f>
        <v>17</v>
      </c>
      <c r="N53" s="36" t="n">
        <f aca="false">SUMPRODUCT((Per_Clase="Indirecto")*INDEX(Dot_O,0,MIN(10,N$17)))*(N$15+N$16*P_PreInd)</f>
        <v>17</v>
      </c>
      <c r="O53" s="36" t="n">
        <f aca="false">SUMPRODUCT((Per_Clase="Indirecto")*INDEX(Dot_O,0,MIN(10,O$17)))*(O$15+O$16*P_PreInd)</f>
        <v>17</v>
      </c>
      <c r="P53" s="36" t="n">
        <f aca="false">SUMPRODUCT((Per_Clase="Indirecto")*INDEX(Dot_O,0,MIN(10,P$17)))*(P$15+P$16*P_PreInd)</f>
        <v>17</v>
      </c>
      <c r="Q53" s="36" t="n">
        <f aca="false">SUMPRODUCT((Per_Clase="Indirecto")*INDEX(Dot_O,0,MIN(10,Q$17)))*(Q$15+Q$16*P_PreInd)</f>
        <v>17</v>
      </c>
      <c r="R53" s="36" t="n">
        <f aca="false">SUMPRODUCT((Per_Clase="Indirecto")*INDEX(Dot_O,0,MIN(10,R$17)))*(R$15+R$16*P_PreInd)</f>
        <v>17</v>
      </c>
      <c r="S53" s="36" t="n">
        <f aca="false">SUMPRODUCT((Per_Clase="Indirecto")*INDEX(Dot_O,0,MIN(10,S$17)))*(S$15+S$16*P_PreInd)</f>
        <v>17</v>
      </c>
      <c r="T53" s="36" t="n">
        <f aca="false">SUMPRODUCT((Per_Clase="Indirecto")*INDEX(Dot_O,0,MIN(10,T$17)))*(T$15+T$16*P_PreInd)</f>
        <v>17</v>
      </c>
      <c r="U53" s="36" t="n">
        <f aca="false">SUMPRODUCT((Per_Clase="Indirecto")*INDEX(Dot_O,0,MIN(10,U$17)))*(U$15+U$16*P_PreInd)</f>
        <v>17</v>
      </c>
      <c r="V53" s="36" t="n">
        <f aca="false">SUMPRODUCT((Per_Clase="Indirecto")*INDEX(Dot_O,0,MIN(10,V$17)))*(V$15+V$16*P_PreInd)</f>
        <v>17</v>
      </c>
      <c r="W53" s="36" t="n">
        <f aca="false">SUMPRODUCT((Per_Clase="Indirecto")*INDEX(Dot_O,0,MIN(10,W$17)))*(W$15+W$16*P_PreInd)</f>
        <v>17</v>
      </c>
      <c r="X53" s="36" t="n">
        <f aca="false">SUMPRODUCT((Per_Clase="Indirecto")*INDEX(Dot_O,0,MIN(10,X$17)))*(X$15+X$16*P_PreInd)</f>
        <v>17</v>
      </c>
      <c r="Y53" s="36" t="n">
        <f aca="false">SUMPRODUCT((Per_Clase="Indirecto")*INDEX(Dot_O,0,MIN(10,Y$17)))*(Y$15+Y$16*P_PreInd)</f>
        <v>17</v>
      </c>
      <c r="Z53" s="36" t="n">
        <f aca="false">SUMPRODUCT((Per_Clase="Indirecto")*INDEX(Dot_O,0,MIN(10,Z$17)))*(Z$15+Z$16*P_PreInd)</f>
        <v>17</v>
      </c>
      <c r="AA53" s="36" t="n">
        <f aca="false">SUMPRODUCT((Per_Clase="Indirecto")*INDEX(Dot_O,0,MIN(10,AA$17)))*(AA$15+AA$16*P_PreInd)</f>
        <v>17</v>
      </c>
      <c r="AB53" s="36" t="n">
        <f aca="false">SUMPRODUCT((Per_Clase="Indirecto")*INDEX(Dot_O,0,MIN(10,AB$17)))*(AB$15+AB$16*P_PreInd)</f>
        <v>17</v>
      </c>
      <c r="AC53" s="36" t="n">
        <f aca="false">SUMPRODUCT((Per_Clase="Indirecto")*INDEX(Dot_O,0,MIN(10,AC$17)))*(AC$15+AC$16*P_PreInd)</f>
        <v>17</v>
      </c>
      <c r="AD53" s="36" t="n">
        <f aca="false">SUMPRODUCT((Per_Clase="Indirecto")*INDEX(Dot_O,0,MIN(10,AD$17)))*(AD$15+AD$16*P_PreInd)</f>
        <v>17</v>
      </c>
      <c r="AE53" s="36" t="n">
        <f aca="false">SUMPRODUCT((Per_Clase="Indirecto")*INDEX(Dot_O,0,MIN(10,AE$17)))*(AE$15+AE$16*P_PreInd)</f>
        <v>17</v>
      </c>
      <c r="AF53" s="36" t="n">
        <f aca="false">SUMPRODUCT((Per_Clase="Indirecto")*INDEX(Dot_O,0,MIN(10,AF$17)))*(AF$15+AF$16*P_PreInd)</f>
        <v>17</v>
      </c>
      <c r="AG53" s="36" t="n">
        <f aca="false">SUMPRODUCT((Per_Clase="Indirecto")*INDEX(Dot_O,0,MIN(10,AG$17)))*(AG$15+AG$16*P_PreInd)</f>
        <v>17</v>
      </c>
      <c r="AH53" s="36" t="n">
        <f aca="false">SUMPRODUCT((Per_Clase="Indirecto")*INDEX(Dot_O,0,MIN(10,AH$17)))*(AH$15+AH$16*P_PreInd)</f>
        <v>17</v>
      </c>
      <c r="AI53" s="36" t="n">
        <f aca="false">SUMPRODUCT((Per_Clase="Indirecto")*INDEX(Dot_O,0,MIN(10,AI$17)))*(AI$15+AI$16*P_PreInd)</f>
        <v>17</v>
      </c>
      <c r="AJ53" s="36" t="n">
        <f aca="false">SUMPRODUCT((Per_Clase="Indirecto")*INDEX(Dot_O,0,MIN(10,AJ$17)))*(AJ$15+AJ$16*P_PreInd)</f>
        <v>17</v>
      </c>
      <c r="AK53" s="36" t="n">
        <f aca="false">SUMPRODUCT((Per_Clase="Indirecto")*INDEX(Dot_O,0,MIN(10,AK$17)))*(AK$15+AK$16*P_PreInd)</f>
        <v>17</v>
      </c>
      <c r="AL53" s="36" t="n">
        <f aca="false">SUMPRODUCT((Per_Clase="Indirecto")*INDEX(Dot_O,0,MIN(10,AL$17)))*(AL$15+AL$16*P_PreInd)</f>
        <v>17</v>
      </c>
      <c r="AM53" s="36" t="n">
        <f aca="false">SUMPRODUCT((Per_Clase="Indirecto")*INDEX(Dot_O,0,MIN(10,AM$17)))*(AM$15+AM$16*P_PreInd)</f>
        <v>17</v>
      </c>
      <c r="AN53" s="36" t="n">
        <f aca="false">SUMPRODUCT((Per_Clase="Indirecto")*INDEX(Dot_O,0,MIN(10,AN$17)))*(AN$15+AN$16*P_PreInd)</f>
        <v>17</v>
      </c>
      <c r="AO53" s="36" t="n">
        <f aca="false">SUMPRODUCT((Per_Clase="Indirecto")*INDEX(Dot_O,0,MIN(10,AO$17)))*(AO$15+AO$16*P_PreInd)</f>
        <v>17</v>
      </c>
      <c r="AP53" s="36" t="n">
        <f aca="false">SUMPRODUCT((Per_Clase="Indirecto")*INDEX(Dot_O,0,MIN(10,AP$17)))*(AP$15+AP$16*P_PreInd)</f>
        <v>17</v>
      </c>
      <c r="AQ53" s="36" t="n">
        <f aca="false">SUMPRODUCT((Per_Clase="Indirecto")*INDEX(Dot_O,0,MIN(10,AQ$17)))*(AQ$15+AQ$16*P_PreInd)</f>
        <v>17</v>
      </c>
      <c r="AR53" s="36" t="n">
        <f aca="false">SUMPRODUCT((Per_Clase="Indirecto")*INDEX(Dot_O,0,MIN(10,AR$17)))*(AR$15+AR$16*P_PreInd)</f>
        <v>17</v>
      </c>
      <c r="AS53" s="36" t="n">
        <f aca="false">SUMPRODUCT((Per_Clase="Indirecto")*INDEX(Dot_O,0,MIN(10,AS$17)))*(AS$15+AS$16*P_PreInd)</f>
        <v>17</v>
      </c>
      <c r="AT53" s="36" t="n">
        <f aca="false">SUMPRODUCT((Per_Clase="Indirecto")*INDEX(Dot_O,0,MIN(10,AT$17)))*(AT$15+AT$16*P_PreInd)</f>
        <v>17</v>
      </c>
      <c r="AU53" s="36" t="n">
        <f aca="false">SUMPRODUCT((Per_Clase="Indirecto")*INDEX(Dot_O,0,MIN(10,AU$17)))*(AU$15+AU$16*P_PreInd)</f>
        <v>17</v>
      </c>
      <c r="AV53" s="36" t="n">
        <f aca="false">SUMPRODUCT((Per_Clase="Indirecto")*INDEX(Dot_O,0,MIN(10,AV$17)))*(AV$15+AV$16*P_PreInd)</f>
        <v>17</v>
      </c>
      <c r="AW53" s="36" t="n">
        <f aca="false">SUMPRODUCT((Per_Clase="Indirecto")*INDEX(Dot_O,0,MIN(10,AW$17)))*(AW$15+AW$16*P_PreInd)</f>
        <v>17</v>
      </c>
      <c r="AX53" s="36" t="n">
        <f aca="false">SUMPRODUCT((Per_Clase="Indirecto")*INDEX(Dot_O,0,MIN(10,AX$17)))*(AX$15+AX$16*P_PreInd)</f>
        <v>17</v>
      </c>
      <c r="AY53" s="36" t="n">
        <f aca="false">SUMPRODUCT((Per_Clase="Indirecto")*INDEX(Dot_O,0,MIN(10,AY$17)))*(AY$15+AY$16*P_PreInd)</f>
        <v>17</v>
      </c>
      <c r="AZ53" s="36" t="n">
        <f aca="false">SUMPRODUCT((Per_Clase="Indirecto")*INDEX(Dot_O,0,MIN(10,AZ$17)))*(AZ$15+AZ$16*P_PreInd)</f>
        <v>17</v>
      </c>
      <c r="BA53" s="36" t="n">
        <f aca="false">SUMPRODUCT((Per_Clase="Indirecto")*INDEX(Dot_O,0,MIN(10,BA$17)))*(BA$15+BA$16*P_PreInd)</f>
        <v>17</v>
      </c>
      <c r="BB53" s="36" t="n">
        <f aca="false">SUMPRODUCT((Per_Clase="Indirecto")*INDEX(Dot_O,0,MIN(10,BB$17)))*(BB$15+BB$16*P_PreInd)</f>
        <v>17</v>
      </c>
      <c r="BC53" s="36" t="n">
        <f aca="false">SUMPRODUCT((Per_Clase="Indirecto")*INDEX(Dot_O,0,MIN(10,BC$17)))*(BC$15+BC$16*P_PreInd)</f>
        <v>17</v>
      </c>
      <c r="BD53" s="36" t="n">
        <f aca="false">SUMPRODUCT((Per_Clase="Indirecto")*INDEX(Dot_O,0,MIN(10,BD$17)))*(BD$15+BD$16*P_PreInd)</f>
        <v>17</v>
      </c>
      <c r="BE53" s="36" t="n">
        <f aca="false">SUMPRODUCT((Per_Clase="Indirecto")*INDEX(Dot_O,0,MIN(10,BE$17)))*(BE$15+BE$16*P_PreInd)</f>
        <v>17</v>
      </c>
      <c r="BF53" s="36" t="n">
        <f aca="false">SUMPRODUCT((Per_Clase="Indirecto")*INDEX(Dot_O,0,MIN(10,BF$17)))*(BF$15+BF$16*P_PreInd)</f>
        <v>17</v>
      </c>
      <c r="BG53" s="36" t="n">
        <f aca="false">SUMPRODUCT((Per_Clase="Indirecto")*INDEX(Dot_O,0,MIN(10,BG$17)))*(BG$15+BG$16*P_PreInd)</f>
        <v>17</v>
      </c>
      <c r="BH53" s="36" t="n">
        <f aca="false">SUMPRODUCT((Per_Clase="Indirecto")*INDEX(Dot_O,0,MIN(10,BH$17)))*(BH$15+BH$16*P_PreInd)</f>
        <v>17</v>
      </c>
      <c r="BI53" s="36" t="n">
        <f aca="false">SUMPRODUCT((Per_Clase="Indirecto")*INDEX(Dot_O,0,MIN(10,BI$17)))*(BI$15+BI$16*P_PreInd)</f>
        <v>17</v>
      </c>
      <c r="BJ53" s="36" t="n">
        <f aca="false">SUMPRODUCT((Per_Clase="Indirecto")*INDEX(Dot_O,0,MIN(10,BJ$17)))*(BJ$15+BJ$16*P_PreInd)</f>
        <v>17</v>
      </c>
      <c r="BK53" s="36" t="n">
        <f aca="false">SUMPRODUCT((Per_Clase="Indirecto")*INDEX(Dot_O,0,MIN(10,BK$17)))*(BK$15+BK$16*P_PreInd)</f>
        <v>17</v>
      </c>
      <c r="BL53" s="36" t="n">
        <f aca="false">SUMPRODUCT((Per_Clase="Indirecto")*INDEX(Dot_O,0,MIN(10,BL$17)))*(BL$15+BL$16*P_PreInd)</f>
        <v>17</v>
      </c>
      <c r="BM53" s="36" t="n">
        <f aca="false">SUMPRODUCT((Per_Clase="Indirecto")*INDEX(Dot_O,0,MIN(10,BM$17)))*(BM$15+BM$16*P_PreInd)</f>
        <v>17</v>
      </c>
      <c r="BN53" s="36" t="n">
        <f aca="false">SUMPRODUCT((Per_Clase="Indirecto")*INDEX(Dot_O,0,MIN(10,BN$17)))*(BN$15+BN$16*P_PreInd)</f>
        <v>17</v>
      </c>
      <c r="BO53" s="36" t="n">
        <f aca="false">SUMPRODUCT((Per_Clase="Indirecto")*INDEX(Dot_O,0,MIN(10,BO$17)))*(BO$15+BO$16*P_PreInd)</f>
        <v>17</v>
      </c>
      <c r="BP53" s="36" t="n">
        <f aca="false">SUMPRODUCT((Per_Clase="Indirecto")*INDEX(Dot_O,0,MIN(10,BP$17)))*(BP$15+BP$16*P_PreInd)</f>
        <v>17</v>
      </c>
      <c r="BQ53" s="36" t="n">
        <f aca="false">SUMPRODUCT((Per_Clase="Indirecto")*INDEX(Dot_O,0,MIN(10,BQ$17)))*(BQ$15+BQ$16*P_PreInd)</f>
        <v>17</v>
      </c>
      <c r="BR53" s="36" t="n">
        <f aca="false">SUMPRODUCT((Per_Clase="Indirecto")*INDEX(Dot_O,0,MIN(10,BR$17)))*(BR$15+BR$16*P_PreInd)</f>
        <v>17</v>
      </c>
      <c r="BS53" s="36" t="n">
        <f aca="false">SUMPRODUCT((Per_Clase="Indirecto")*INDEX(Dot_O,0,MIN(10,BS$17)))*(BS$15+BS$16*P_PreInd)</f>
        <v>17</v>
      </c>
      <c r="BT53" s="36" t="n">
        <f aca="false">SUMPRODUCT((Per_Clase="Indirecto")*INDEX(Dot_O,0,MIN(10,BT$17)))*(BT$15+BT$16*P_PreInd)</f>
        <v>17</v>
      </c>
      <c r="BU53" s="36" t="n">
        <f aca="false">SUMPRODUCT((Per_Clase="Indirecto")*INDEX(Dot_O,0,MIN(10,BU$17)))*(BU$15+BU$16*P_PreInd)</f>
        <v>17</v>
      </c>
      <c r="BV53" s="36" t="n">
        <f aca="false">SUMPRODUCT((Per_Clase="Indirecto")*INDEX(Dot_O,0,MIN(10,BV$17)))*(BV$15+BV$16*P_PreInd)</f>
        <v>17</v>
      </c>
      <c r="BW53" s="36" t="n">
        <f aca="false">SUMPRODUCT((Per_Clase="Indirecto")*INDEX(Dot_O,0,MIN(10,BW$17)))*(BW$15+BW$16*P_PreInd)</f>
        <v>17</v>
      </c>
      <c r="BX53" s="36" t="n">
        <f aca="false">SUMPRODUCT((Per_Clase="Indirecto")*INDEX(Dot_O,0,MIN(10,BX$17)))*(BX$15+BX$16*P_PreInd)</f>
        <v>17</v>
      </c>
      <c r="BY53" s="36" t="n">
        <f aca="false">SUMPRODUCT((Per_Clase="Indirecto")*INDEX(Dot_O,0,MIN(10,BY$17)))*(BY$15+BY$16*P_PreInd)</f>
        <v>17</v>
      </c>
      <c r="BZ53" s="36" t="n">
        <f aca="false">SUMPRODUCT((Per_Clase="Indirecto")*INDEX(Dot_O,0,MIN(10,BZ$17)))*(BZ$15+BZ$16*P_PreInd)</f>
        <v>17</v>
      </c>
      <c r="CA53" s="36" t="n">
        <f aca="false">SUMPRODUCT((Per_Clase="Indirecto")*INDEX(Dot_O,0,MIN(10,CA$17)))*(CA$15+CA$16*P_PreInd)</f>
        <v>17</v>
      </c>
      <c r="CB53" s="36" t="n">
        <f aca="false">SUMPRODUCT((Per_Clase="Indirecto")*INDEX(Dot_O,0,MIN(10,CB$17)))*(CB$15+CB$16*P_PreInd)</f>
        <v>17</v>
      </c>
      <c r="CC53" s="36" t="n">
        <f aca="false">SUMPRODUCT((Per_Clase="Indirecto")*INDEX(Dot_O,0,MIN(10,CC$17)))*(CC$15+CC$16*P_PreInd)</f>
        <v>17</v>
      </c>
      <c r="CD53" s="36" t="n">
        <f aca="false">SUMPRODUCT((Per_Clase="Indirecto")*INDEX(Dot_O,0,MIN(10,CD$17)))*(CD$15+CD$16*P_PreInd)</f>
        <v>17</v>
      </c>
      <c r="CE53" s="36" t="n">
        <f aca="false">SUMPRODUCT((Per_Clase="Indirecto")*INDEX(Dot_O,0,MIN(10,CE$17)))*(CE$15+CE$16*P_PreInd)</f>
        <v>17</v>
      </c>
      <c r="CF53" s="36" t="n">
        <f aca="false">SUMPRODUCT((Per_Clase="Indirecto")*INDEX(Dot_O,0,MIN(10,CF$17)))*(CF$15+CF$16*P_PreInd)</f>
        <v>17</v>
      </c>
      <c r="CG53" s="36" t="n">
        <f aca="false">SUMPRODUCT((Per_Clase="Indirecto")*INDEX(Dot_O,0,MIN(10,CG$17)))*(CG$15+CG$16*P_PreInd)</f>
        <v>17</v>
      </c>
      <c r="CH53" s="36" t="n">
        <f aca="false">SUMPRODUCT((Per_Clase="Indirecto")*INDEX(Dot_O,0,MIN(10,CH$17)))*(CH$15+CH$16*P_PreInd)</f>
        <v>17</v>
      </c>
      <c r="CI53" s="36" t="n">
        <f aca="false">SUMPRODUCT((Per_Clase="Indirecto")*INDEX(Dot_O,0,MIN(10,CI$17)))*(CI$15+CI$16*P_PreInd)</f>
        <v>17</v>
      </c>
      <c r="CJ53" s="36" t="n">
        <f aca="false">SUMPRODUCT((Per_Clase="Indirecto")*INDEX(Dot_O,0,MIN(10,CJ$17)))*(CJ$15+CJ$16*P_PreInd)</f>
        <v>17</v>
      </c>
      <c r="CK53" s="36" t="n">
        <f aca="false">SUMPRODUCT((Per_Clase="Indirecto")*INDEX(Dot_O,0,MIN(10,CK$17)))*(CK$15+CK$16*P_PreInd)</f>
        <v>17</v>
      </c>
      <c r="CL53" s="36" t="n">
        <f aca="false">SUMPRODUCT((Per_Clase="Indirecto")*INDEX(Dot_O,0,MIN(10,CL$17)))*(CL$15+CL$16*P_PreInd)</f>
        <v>17</v>
      </c>
      <c r="CM53" s="36" t="n">
        <f aca="false">SUMPRODUCT((Per_Clase="Indirecto")*INDEX(Dot_O,0,MIN(10,CM$17)))*(CM$15+CM$16*P_PreInd)</f>
        <v>17</v>
      </c>
      <c r="CN53" s="36" t="n">
        <f aca="false">SUMPRODUCT((Per_Clase="Indirecto")*INDEX(Dot_O,0,MIN(10,CN$17)))*(CN$15+CN$16*P_PreInd)</f>
        <v>17</v>
      </c>
      <c r="CO53" s="36" t="n">
        <f aca="false">SUMPRODUCT((Per_Clase="Indirecto")*INDEX(Dot_O,0,MIN(10,CO$17)))*(CO$15+CO$16*P_PreInd)</f>
        <v>17</v>
      </c>
      <c r="CP53" s="36" t="n">
        <f aca="false">SUMPRODUCT((Per_Clase="Indirecto")*INDEX(Dot_O,0,MIN(10,CP$17)))*(CP$15+CP$16*P_PreInd)</f>
        <v>17</v>
      </c>
      <c r="CQ53" s="36" t="n">
        <f aca="false">SUMPRODUCT((Per_Clase="Indirecto")*INDEX(Dot_O,0,MIN(10,CQ$17)))*(CQ$15+CQ$16*P_PreInd)</f>
        <v>17</v>
      </c>
      <c r="CR53" s="36" t="n">
        <f aca="false">SUMPRODUCT((Per_Clase="Indirecto")*INDEX(Dot_O,0,MIN(10,CR$17)))*(CR$15+CR$16*P_PreInd)</f>
        <v>17</v>
      </c>
      <c r="CS53" s="36" t="n">
        <f aca="false">SUMPRODUCT((Per_Clase="Indirecto")*INDEX(Dot_O,0,MIN(10,CS$17)))*(CS$15+CS$16*P_PreInd)</f>
        <v>17</v>
      </c>
      <c r="CT53" s="36" t="n">
        <f aca="false">SUMPRODUCT((Per_Clase="Indirecto")*INDEX(Dot_O,0,MIN(10,CT$17)))*(CT$15+CT$16*P_PreInd)</f>
        <v>17</v>
      </c>
      <c r="CU53" s="36" t="n">
        <f aca="false">SUMPRODUCT((Per_Clase="Indirecto")*INDEX(Dot_O,0,MIN(10,CU$17)))*(CU$15+CU$16*P_PreInd)</f>
        <v>17</v>
      </c>
      <c r="CV53" s="36" t="n">
        <f aca="false">SUMPRODUCT((Per_Clase="Indirecto")*INDEX(Dot_O,0,MIN(10,CV$17)))*(CV$15+CV$16*P_PreInd)</f>
        <v>17</v>
      </c>
      <c r="CW53" s="36" t="n">
        <f aca="false">SUMPRODUCT((Per_Clase="Indirecto")*INDEX(Dot_O,0,MIN(10,CW$17)))*(CW$15+CW$16*P_PreInd)</f>
        <v>17</v>
      </c>
      <c r="CX53" s="36" t="n">
        <f aca="false">SUMPRODUCT((Per_Clase="Indirecto")*INDEX(Dot_O,0,MIN(10,CX$17)))*(CX$15+CX$16*P_PreInd)</f>
        <v>17</v>
      </c>
      <c r="CY53" s="36" t="n">
        <f aca="false">SUMPRODUCT((Per_Clase="Indirecto")*INDEX(Dot_O,0,MIN(10,CY$17)))*(CY$15+CY$16*P_PreInd)</f>
        <v>17</v>
      </c>
      <c r="CZ53" s="36" t="n">
        <f aca="false">SUMPRODUCT((Per_Clase="Indirecto")*INDEX(Dot_O,0,MIN(10,CZ$17)))*(CZ$15+CZ$16*P_PreInd)</f>
        <v>17</v>
      </c>
      <c r="DA53" s="36" t="n">
        <f aca="false">SUMPRODUCT((Per_Clase="Indirecto")*INDEX(Dot_O,0,MIN(10,DA$17)))*(DA$15+DA$16*P_PreInd)</f>
        <v>17</v>
      </c>
      <c r="DB53" s="36" t="n">
        <f aca="false">SUMPRODUCT((Per_Clase="Indirecto")*INDEX(Dot_O,0,MIN(10,DB$17)))*(DB$15+DB$16*P_PreInd)</f>
        <v>17</v>
      </c>
      <c r="DC53" s="36" t="n">
        <f aca="false">SUMPRODUCT((Per_Clase="Indirecto")*INDEX(Dot_O,0,MIN(10,DC$17)))*(DC$15+DC$16*P_PreInd)</f>
        <v>17</v>
      </c>
      <c r="DD53" s="36" t="n">
        <f aca="false">SUMPRODUCT((Per_Clase="Indirecto")*INDEX(Dot_O,0,MIN(10,DD$17)))*(DD$15+DD$16*P_PreInd)</f>
        <v>17</v>
      </c>
      <c r="DE53" s="36" t="n">
        <f aca="false">SUMPRODUCT((Per_Clase="Indirecto")*INDEX(Dot_O,0,MIN(10,DE$17)))*(DE$15+DE$16*P_PreInd)</f>
        <v>17</v>
      </c>
      <c r="DF53" s="36" t="n">
        <f aca="false">SUMPRODUCT((Per_Clase="Indirecto")*INDEX(Dot_O,0,MIN(10,DF$17)))*(DF$15+DF$16*P_PreInd)</f>
        <v>17</v>
      </c>
      <c r="DG53" s="36" t="n">
        <f aca="false">SUMPRODUCT((Per_Clase="Indirecto")*INDEX(Dot_O,0,MIN(10,DG$17)))*(DG$15+DG$16*P_PreInd)</f>
        <v>17</v>
      </c>
      <c r="DH53" s="36" t="n">
        <f aca="false">SUMPRODUCT((Per_Clase="Indirecto")*INDEX(Dot_O,0,MIN(10,DH$17)))*(DH$15+DH$16*P_PreInd)</f>
        <v>17</v>
      </c>
      <c r="DI53" s="36" t="n">
        <f aca="false">SUMPRODUCT((Per_Clase="Indirecto")*INDEX(Dot_O,0,MIN(10,DI$17)))*(DI$15+DI$16*P_PreInd)</f>
        <v>17</v>
      </c>
      <c r="DJ53" s="36" t="n">
        <f aca="false">SUMPRODUCT((Per_Clase="Indirecto")*INDEX(Dot_O,0,MIN(10,DJ$17)))*(DJ$15+DJ$16*P_PreInd)</f>
        <v>17</v>
      </c>
      <c r="DK53" s="36" t="n">
        <f aca="false">SUMPRODUCT((Per_Clase="Indirecto")*INDEX(Dot_O,0,MIN(10,DK$17)))*(DK$15+DK$16*P_PreInd)</f>
        <v>17</v>
      </c>
      <c r="DL53" s="36" t="n">
        <f aca="false">SUMPRODUCT((Per_Clase="Indirecto")*INDEX(Dot_O,0,MIN(10,DL$17)))*(DL$15+DL$16*P_PreInd)</f>
        <v>17</v>
      </c>
      <c r="DM53" s="36" t="n">
        <f aca="false">SUMPRODUCT((Per_Clase="Indirecto")*INDEX(Dot_O,0,MIN(10,DM$17)))*(DM$15+DM$16*P_PreInd)</f>
        <v>17</v>
      </c>
      <c r="DN53" s="36" t="n">
        <f aca="false">SUMPRODUCT((Per_Clase="Indirecto")*INDEX(Dot_O,0,MIN(10,DN$17)))*(DN$15+DN$16*P_PreInd)</f>
        <v>17</v>
      </c>
      <c r="DO53" s="36" t="n">
        <f aca="false">SUMPRODUCT((Per_Clase="Indirecto")*INDEX(Dot_O,0,MIN(10,DO$17)))*(DO$15+DO$16*P_PreInd)</f>
        <v>17</v>
      </c>
      <c r="DP53" s="36" t="n">
        <f aca="false">SUMPRODUCT((Per_Clase="Indirecto")*INDEX(Dot_O,0,MIN(10,DP$17)))*(DP$15+DP$16*P_PreInd)</f>
        <v>17</v>
      </c>
      <c r="DQ53" s="36" t="n">
        <f aca="false">SUMPRODUCT((Per_Clase="Indirecto")*INDEX(Dot_O,0,MIN(10,DQ$17)))*(DQ$15+DQ$16*P_PreInd)</f>
        <v>17</v>
      </c>
      <c r="DR53" s="36" t="n">
        <f aca="false">SUMPRODUCT((Per_Clase="Indirecto")*INDEX(Dot_O,0,MIN(10,DR$17)))*(DR$15+DR$16*P_PreInd)</f>
        <v>17</v>
      </c>
      <c r="DS53" s="36" t="n">
        <f aca="false">SUMPRODUCT((Per_Clase="Indirecto")*INDEX(Dot_O,0,MIN(10,DS$17)))*(DS$15+DS$16*P_PreInd)</f>
        <v>17</v>
      </c>
      <c r="DT53" s="36" t="n">
        <f aca="false">SUMPRODUCT((Per_Clase="Indirecto")*INDEX(Dot_O,0,MIN(10,DT$17)))*(DT$15+DT$16*P_PreInd)</f>
        <v>17</v>
      </c>
      <c r="DU53" s="36" t="n">
        <f aca="false">SUMPRODUCT((Per_Clase="Indirecto")*INDEX(Dot_O,0,MIN(10,DU$17)))*(DU$15+DU$16*P_PreInd)</f>
        <v>17</v>
      </c>
      <c r="DV53" s="36" t="n">
        <f aca="false">SUMPRODUCT((Per_Clase="Indirecto")*INDEX(Dot_O,0,MIN(10,DV$17)))*(DV$15+DV$16*P_PreInd)</f>
        <v>0</v>
      </c>
      <c r="DW53" s="36" t="n">
        <f aca="false">SUMPRODUCT((Per_Clase="Indirecto")*INDEX(Dot_O,0,MIN(10,DW$17)))*(DW$15+DW$16*P_PreInd)</f>
        <v>0</v>
      </c>
      <c r="DX53" s="36" t="n">
        <f aca="false">SUMPRODUCT((Per_Clase="Indirecto")*INDEX(Dot_O,0,MIN(10,DX$17)))*(DX$15+DX$16*P_PreInd)</f>
        <v>0</v>
      </c>
      <c r="DY53" s="36" t="n">
        <f aca="false">SUMPRODUCT((Per_Clase="Indirecto")*INDEX(Dot_O,0,MIN(10,DY$17)))*(DY$15+DY$16*P_PreInd)</f>
        <v>0</v>
      </c>
      <c r="DZ53" s="36" t="n">
        <f aca="false">SUMPRODUCT((Per_Clase="Indirecto")*INDEX(Dot_O,0,MIN(10,DZ$17)))*(DZ$15+DZ$16*P_PreInd)</f>
        <v>0</v>
      </c>
      <c r="EA53" s="36" t="n">
        <f aca="false">SUMPRODUCT((Per_Clase="Indirecto")*INDEX(Dot_O,0,MIN(10,EA$17)))*(EA$15+EA$16*P_PreInd)</f>
        <v>0</v>
      </c>
      <c r="EB53" s="36" t="n">
        <f aca="false">SUMPRODUCT((Per_Clase="Indirecto")*INDEX(Dot_O,0,MIN(10,EB$17)))*(EB$15+EB$16*P_PreInd)</f>
        <v>0</v>
      </c>
      <c r="EC53" s="36" t="n">
        <f aca="false">SUMPRODUCT((Per_Clase="Indirecto")*INDEX(Dot_O,0,MIN(10,EC$17)))*(EC$15+EC$16*P_PreInd)</f>
        <v>0</v>
      </c>
      <c r="ED53" s="36" t="n">
        <f aca="false">SUMPRODUCT((Per_Clase="Indirecto")*INDEX(Dot_O,0,MIN(10,ED$17)))*(ED$15+ED$16*P_PreInd)</f>
        <v>0</v>
      </c>
      <c r="EE53" s="36" t="n">
        <f aca="false">SUMPRODUCT((Per_Clase="Indirecto")*INDEX(Dot_O,0,MIN(10,EE$17)))*(EE$15+EE$16*P_PreInd)</f>
        <v>0</v>
      </c>
      <c r="EF53" s="36" t="n">
        <f aca="false">SUMPRODUCT((Per_Clase="Indirecto")*INDEX(Dot_O,0,MIN(10,EF$17)))*(EF$15+EF$16*P_PreInd)</f>
        <v>0</v>
      </c>
      <c r="EG53" s="36" t="n">
        <f aca="false">SUMPRODUCT((Per_Clase="Indirecto")*INDEX(Dot_O,0,MIN(10,EG$17)))*(EG$15+EG$16*P_PreInd)</f>
        <v>0</v>
      </c>
      <c r="EH53" s="36" t="n">
        <f aca="false">SUMPRODUCT((Per_Clase="Indirecto")*INDEX(Dot_O,0,MIN(10,EH$17)))*(EH$15+EH$16*P_PreInd)</f>
        <v>0</v>
      </c>
      <c r="EI53" s="36" t="n">
        <f aca="false">SUMPRODUCT((Per_Clase="Indirecto")*INDEX(Dot_O,0,MIN(10,EI$17)))*(EI$15+EI$16*P_PreInd)</f>
        <v>0</v>
      </c>
      <c r="EJ53" s="36" t="n">
        <f aca="false">SUMPRODUCT((Per_Clase="Indirecto")*INDEX(Dot_O,0,MIN(10,EJ$17)))*(EJ$15+EJ$16*P_PreInd)</f>
        <v>0</v>
      </c>
      <c r="EK53" s="36" t="n">
        <f aca="false">SUMPRODUCT((Per_Clase="Indirecto")*INDEX(Dot_O,0,MIN(10,EK$17)))*(EK$15+EK$16*P_PreInd)</f>
        <v>0</v>
      </c>
      <c r="EL53" s="36" t="n">
        <f aca="false">SUMPRODUCT((Per_Clase="Indirecto")*INDEX(Dot_O,0,MIN(10,EL$17)))*(EL$15+EL$16*P_PreInd)</f>
        <v>0</v>
      </c>
      <c r="EM53" s="36" t="n">
        <f aca="false">SUMPRODUCT((Per_Clase="Indirecto")*INDEX(Dot_O,0,MIN(10,EM$17)))*(EM$15+EM$16*P_PreInd)</f>
        <v>0</v>
      </c>
      <c r="EN53" s="36" t="n">
        <f aca="false">SUMPRODUCT((Per_Clase="Indirecto")*INDEX(Dot_O,0,MIN(10,EN$17)))*(EN$15+EN$16*P_PreInd)</f>
        <v>0</v>
      </c>
      <c r="EO53" s="36" t="n">
        <f aca="false">SUMPRODUCT((Per_Clase="Indirecto")*INDEX(Dot_O,0,MIN(10,EO$17)))*(EO$15+EO$16*P_PreInd)</f>
        <v>0</v>
      </c>
      <c r="EP53" s="36" t="n">
        <f aca="false">SUMPRODUCT((Per_Clase="Indirecto")*INDEX(Dot_O,0,MIN(10,EP$17)))*(EP$15+EP$16*P_PreInd)</f>
        <v>0</v>
      </c>
      <c r="EQ53" s="36" t="n">
        <f aca="false">SUMPRODUCT((Per_Clase="Indirecto")*INDEX(Dot_O,0,MIN(10,EQ$17)))*(EQ$15+EQ$16*P_PreInd)</f>
        <v>0</v>
      </c>
      <c r="ER53" s="36" t="n">
        <f aca="false">SUMPRODUCT((Per_Clase="Indirecto")*INDEX(Dot_O,0,MIN(10,ER$17)))*(ER$15+ER$16*P_PreInd)</f>
        <v>0</v>
      </c>
      <c r="ES53" s="36" t="n">
        <f aca="false">SUMPRODUCT((Per_Clase="Indirecto")*INDEX(Dot_O,0,MIN(10,ES$17)))*(ES$15+ES$16*P_PreInd)</f>
        <v>0</v>
      </c>
    </row>
    <row r="54" customFormat="false" ht="15" hidden="false" customHeight="false" outlineLevel="0" collapsed="false">
      <c r="A54" s="2" t="s">
        <v>600</v>
      </c>
      <c r="B54" s="6" t="s">
        <v>601</v>
      </c>
      <c r="C54" s="6" t="s">
        <v>250</v>
      </c>
      <c r="E54" s="40" t="n">
        <f aca="false">SUM(F54:ES54)</f>
        <v>2451899.38788164</v>
      </c>
      <c r="F54" s="34" t="n">
        <f aca="false">SUMPRODUCT((Per_Clase="Indirecto")*Sal_O*INDEX(Dot_O,0,MIN(10,F$17))*((Per_Mon="PYG")*F$19+(Per_Mon&lt;&gt;"PYG")))*(F$15+F$16*P_PreInd)*INDEX(IdxSal_O,1,MIN(10,F$17))*(1+P_Cargas)+F$53*P_Alim*F$19</f>
        <v>20432.4948990137</v>
      </c>
      <c r="G54" s="34" t="n">
        <f aca="false">SUMPRODUCT((Per_Clase="Indirecto")*Sal_O*INDEX(Dot_O,0,MIN(10,G$17))*((Per_Mon="PYG")*G$19+(Per_Mon&lt;&gt;"PYG")))*(G$15+G$16*P_PreInd)*INDEX(IdxSal_O,1,MIN(10,G$17))*(1+P_Cargas)+G$53*P_Alim*G$19</f>
        <v>20432.4948990137</v>
      </c>
      <c r="H54" s="34" t="n">
        <f aca="false">SUMPRODUCT((Per_Clase="Indirecto")*Sal_O*INDEX(Dot_O,0,MIN(10,H$17))*((Per_Mon="PYG")*H$19+(Per_Mon&lt;&gt;"PYG")))*(H$15+H$16*P_PreInd)*INDEX(IdxSal_O,1,MIN(10,H$17))*(1+P_Cargas)+H$53*P_Alim*H$19</f>
        <v>20432.4948990137</v>
      </c>
      <c r="I54" s="34" t="n">
        <f aca="false">SUMPRODUCT((Per_Clase="Indirecto")*Sal_O*INDEX(Dot_O,0,MIN(10,I$17))*((Per_Mon="PYG")*I$19+(Per_Mon&lt;&gt;"PYG")))*(I$15+I$16*P_PreInd)*INDEX(IdxSal_O,1,MIN(10,I$17))*(1+P_Cargas)+I$53*P_Alim*I$19</f>
        <v>20432.4948990137</v>
      </c>
      <c r="J54" s="34" t="n">
        <f aca="false">SUMPRODUCT((Per_Clase="Indirecto")*Sal_O*INDEX(Dot_O,0,MIN(10,J$17))*((Per_Mon="PYG")*J$19+(Per_Mon&lt;&gt;"PYG")))*(J$15+J$16*P_PreInd)*INDEX(IdxSal_O,1,MIN(10,J$17))*(1+P_Cargas)+J$53*P_Alim*J$19</f>
        <v>20432.4948990137</v>
      </c>
      <c r="K54" s="34" t="n">
        <f aca="false">SUMPRODUCT((Per_Clase="Indirecto")*Sal_O*INDEX(Dot_O,0,MIN(10,K$17))*((Per_Mon="PYG")*K$19+(Per_Mon&lt;&gt;"PYG")))*(K$15+K$16*P_PreInd)*INDEX(IdxSal_O,1,MIN(10,K$17))*(1+P_Cargas)+K$53*P_Alim*K$19</f>
        <v>20432.4948990137</v>
      </c>
      <c r="L54" s="34" t="n">
        <f aca="false">SUMPRODUCT((Per_Clase="Indirecto")*Sal_O*INDEX(Dot_O,0,MIN(10,L$17))*((Per_Mon="PYG")*L$19+(Per_Mon&lt;&gt;"PYG")))*(L$15+L$16*P_PreInd)*INDEX(IdxSal_O,1,MIN(10,L$17))*(1+P_Cargas)+L$53*P_Alim*L$19</f>
        <v>20432.4948990137</v>
      </c>
      <c r="M54" s="34" t="n">
        <f aca="false">SUMPRODUCT((Per_Clase="Indirecto")*Sal_O*INDEX(Dot_O,0,MIN(10,M$17))*((Per_Mon="PYG")*M$19+(Per_Mon&lt;&gt;"PYG")))*(M$15+M$16*P_PreInd)*INDEX(IdxSal_O,1,MIN(10,M$17))*(1+P_Cargas)+M$53*P_Alim*M$19</f>
        <v>20432.4948990137</v>
      </c>
      <c r="N54" s="34" t="n">
        <f aca="false">SUMPRODUCT((Per_Clase="Indirecto")*Sal_O*INDEX(Dot_O,0,MIN(10,N$17))*((Per_Mon="PYG")*N$19+(Per_Mon&lt;&gt;"PYG")))*(N$15+N$16*P_PreInd)*INDEX(IdxSal_O,1,MIN(10,N$17))*(1+P_Cargas)+N$53*P_Alim*N$19</f>
        <v>20432.4948990137</v>
      </c>
      <c r="O54" s="34" t="n">
        <f aca="false">SUMPRODUCT((Per_Clase="Indirecto")*Sal_O*INDEX(Dot_O,0,MIN(10,O$17))*((Per_Mon="PYG")*O$19+(Per_Mon&lt;&gt;"PYG")))*(O$15+O$16*P_PreInd)*INDEX(IdxSal_O,1,MIN(10,O$17))*(1+P_Cargas)+O$53*P_Alim*O$19</f>
        <v>20432.4948990137</v>
      </c>
      <c r="P54" s="34" t="n">
        <f aca="false">SUMPRODUCT((Per_Clase="Indirecto")*Sal_O*INDEX(Dot_O,0,MIN(10,P$17))*((Per_Mon="PYG")*P$19+(Per_Mon&lt;&gt;"PYG")))*(P$15+P$16*P_PreInd)*INDEX(IdxSal_O,1,MIN(10,P$17))*(1+P_Cargas)+P$53*P_Alim*P$19</f>
        <v>20432.4948990137</v>
      </c>
      <c r="Q54" s="34" t="n">
        <f aca="false">SUMPRODUCT((Per_Clase="Indirecto")*Sal_O*INDEX(Dot_O,0,MIN(10,Q$17))*((Per_Mon="PYG")*Q$19+(Per_Mon&lt;&gt;"PYG")))*(Q$15+Q$16*P_PreInd)*INDEX(IdxSal_O,1,MIN(10,Q$17))*(1+P_Cargas)+Q$53*P_Alim*Q$19</f>
        <v>20432.4948990137</v>
      </c>
      <c r="R54" s="34" t="n">
        <f aca="false">SUMPRODUCT((Per_Clase="Indirecto")*Sal_O*INDEX(Dot_O,0,MIN(10,R$17))*((Per_Mon="PYG")*R$19+(Per_Mon&lt;&gt;"PYG")))*(R$15+R$16*P_PreInd)*INDEX(IdxSal_O,1,MIN(10,R$17))*(1+P_Cargas)+R$53*P_Alim*R$19</f>
        <v>20432.4948990137</v>
      </c>
      <c r="S54" s="34" t="n">
        <f aca="false">SUMPRODUCT((Per_Clase="Indirecto")*Sal_O*INDEX(Dot_O,0,MIN(10,S$17))*((Per_Mon="PYG")*S$19+(Per_Mon&lt;&gt;"PYG")))*(S$15+S$16*P_PreInd)*INDEX(IdxSal_O,1,MIN(10,S$17))*(1+P_Cargas)+S$53*P_Alim*S$19</f>
        <v>20432.4948990137</v>
      </c>
      <c r="T54" s="34" t="n">
        <f aca="false">SUMPRODUCT((Per_Clase="Indirecto")*Sal_O*INDEX(Dot_O,0,MIN(10,T$17))*((Per_Mon="PYG")*T$19+(Per_Mon&lt;&gt;"PYG")))*(T$15+T$16*P_PreInd)*INDEX(IdxSal_O,1,MIN(10,T$17))*(1+P_Cargas)+T$53*P_Alim*T$19</f>
        <v>20432.4948990137</v>
      </c>
      <c r="U54" s="34" t="n">
        <f aca="false">SUMPRODUCT((Per_Clase="Indirecto")*Sal_O*INDEX(Dot_O,0,MIN(10,U$17))*((Per_Mon="PYG")*U$19+(Per_Mon&lt;&gt;"PYG")))*(U$15+U$16*P_PreInd)*INDEX(IdxSal_O,1,MIN(10,U$17))*(1+P_Cargas)+U$53*P_Alim*U$19</f>
        <v>20432.4948990137</v>
      </c>
      <c r="V54" s="34" t="n">
        <f aca="false">SUMPRODUCT((Per_Clase="Indirecto")*Sal_O*INDEX(Dot_O,0,MIN(10,V$17))*((Per_Mon="PYG")*V$19+(Per_Mon&lt;&gt;"PYG")))*(V$15+V$16*P_PreInd)*INDEX(IdxSal_O,1,MIN(10,V$17))*(1+P_Cargas)+V$53*P_Alim*V$19</f>
        <v>20432.4948990137</v>
      </c>
      <c r="W54" s="34" t="n">
        <f aca="false">SUMPRODUCT((Per_Clase="Indirecto")*Sal_O*INDEX(Dot_O,0,MIN(10,W$17))*((Per_Mon="PYG")*W$19+(Per_Mon&lt;&gt;"PYG")))*(W$15+W$16*P_PreInd)*INDEX(IdxSal_O,1,MIN(10,W$17))*(1+P_Cargas)+W$53*P_Alim*W$19</f>
        <v>20432.4948990137</v>
      </c>
      <c r="X54" s="34" t="n">
        <f aca="false">SUMPRODUCT((Per_Clase="Indirecto")*Sal_O*INDEX(Dot_O,0,MIN(10,X$17))*((Per_Mon="PYG")*X$19+(Per_Mon&lt;&gt;"PYG")))*(X$15+X$16*P_PreInd)*INDEX(IdxSal_O,1,MIN(10,X$17))*(1+P_Cargas)+X$53*P_Alim*X$19</f>
        <v>20432.4948990137</v>
      </c>
      <c r="Y54" s="34" t="n">
        <f aca="false">SUMPRODUCT((Per_Clase="Indirecto")*Sal_O*INDEX(Dot_O,0,MIN(10,Y$17))*((Per_Mon="PYG")*Y$19+(Per_Mon&lt;&gt;"PYG")))*(Y$15+Y$16*P_PreInd)*INDEX(IdxSal_O,1,MIN(10,Y$17))*(1+P_Cargas)+Y$53*P_Alim*Y$19</f>
        <v>20432.4948990137</v>
      </c>
      <c r="Z54" s="34" t="n">
        <f aca="false">SUMPRODUCT((Per_Clase="Indirecto")*Sal_O*INDEX(Dot_O,0,MIN(10,Z$17))*((Per_Mon="PYG")*Z$19+(Per_Mon&lt;&gt;"PYG")))*(Z$15+Z$16*P_PreInd)*INDEX(IdxSal_O,1,MIN(10,Z$17))*(1+P_Cargas)+Z$53*P_Alim*Z$19</f>
        <v>20432.4948990137</v>
      </c>
      <c r="AA54" s="34" t="n">
        <f aca="false">SUMPRODUCT((Per_Clase="Indirecto")*Sal_O*INDEX(Dot_O,0,MIN(10,AA$17))*((Per_Mon="PYG")*AA$19+(Per_Mon&lt;&gt;"PYG")))*(AA$15+AA$16*P_PreInd)*INDEX(IdxSal_O,1,MIN(10,AA$17))*(1+P_Cargas)+AA$53*P_Alim*AA$19</f>
        <v>20432.4948990137</v>
      </c>
      <c r="AB54" s="34" t="n">
        <f aca="false">SUMPRODUCT((Per_Clase="Indirecto")*Sal_O*INDEX(Dot_O,0,MIN(10,AB$17))*((Per_Mon="PYG")*AB$19+(Per_Mon&lt;&gt;"PYG")))*(AB$15+AB$16*P_PreInd)*INDEX(IdxSal_O,1,MIN(10,AB$17))*(1+P_Cargas)+AB$53*P_Alim*AB$19</f>
        <v>20432.4948990137</v>
      </c>
      <c r="AC54" s="34" t="n">
        <f aca="false">SUMPRODUCT((Per_Clase="Indirecto")*Sal_O*INDEX(Dot_O,0,MIN(10,AC$17))*((Per_Mon="PYG")*AC$19+(Per_Mon&lt;&gt;"PYG")))*(AC$15+AC$16*P_PreInd)*INDEX(IdxSal_O,1,MIN(10,AC$17))*(1+P_Cargas)+AC$53*P_Alim*AC$19</f>
        <v>20432.4948990137</v>
      </c>
      <c r="AD54" s="34" t="n">
        <f aca="false">SUMPRODUCT((Per_Clase="Indirecto")*Sal_O*INDEX(Dot_O,0,MIN(10,AD$17))*((Per_Mon="PYG")*AD$19+(Per_Mon&lt;&gt;"PYG")))*(AD$15+AD$16*P_PreInd)*INDEX(IdxSal_O,1,MIN(10,AD$17))*(1+P_Cargas)+AD$53*P_Alim*AD$19</f>
        <v>20432.4948990137</v>
      </c>
      <c r="AE54" s="34" t="n">
        <f aca="false">SUMPRODUCT((Per_Clase="Indirecto")*Sal_O*INDEX(Dot_O,0,MIN(10,AE$17))*((Per_Mon="PYG")*AE$19+(Per_Mon&lt;&gt;"PYG")))*(AE$15+AE$16*P_PreInd)*INDEX(IdxSal_O,1,MIN(10,AE$17))*(1+P_Cargas)+AE$53*P_Alim*AE$19</f>
        <v>20432.4948990137</v>
      </c>
      <c r="AF54" s="34" t="n">
        <f aca="false">SUMPRODUCT((Per_Clase="Indirecto")*Sal_O*INDEX(Dot_O,0,MIN(10,AF$17))*((Per_Mon="PYG")*AF$19+(Per_Mon&lt;&gt;"PYG")))*(AF$15+AF$16*P_PreInd)*INDEX(IdxSal_O,1,MIN(10,AF$17))*(1+P_Cargas)+AF$53*P_Alim*AF$19</f>
        <v>20432.4948990137</v>
      </c>
      <c r="AG54" s="34" t="n">
        <f aca="false">SUMPRODUCT((Per_Clase="Indirecto")*Sal_O*INDEX(Dot_O,0,MIN(10,AG$17))*((Per_Mon="PYG")*AG$19+(Per_Mon&lt;&gt;"PYG")))*(AG$15+AG$16*P_PreInd)*INDEX(IdxSal_O,1,MIN(10,AG$17))*(1+P_Cargas)+AG$53*P_Alim*AG$19</f>
        <v>20432.4948990137</v>
      </c>
      <c r="AH54" s="34" t="n">
        <f aca="false">SUMPRODUCT((Per_Clase="Indirecto")*Sal_O*INDEX(Dot_O,0,MIN(10,AH$17))*((Per_Mon="PYG")*AH$19+(Per_Mon&lt;&gt;"PYG")))*(AH$15+AH$16*P_PreInd)*INDEX(IdxSal_O,1,MIN(10,AH$17))*(1+P_Cargas)+AH$53*P_Alim*AH$19</f>
        <v>20432.4948990137</v>
      </c>
      <c r="AI54" s="34" t="n">
        <f aca="false">SUMPRODUCT((Per_Clase="Indirecto")*Sal_O*INDEX(Dot_O,0,MIN(10,AI$17))*((Per_Mon="PYG")*AI$19+(Per_Mon&lt;&gt;"PYG")))*(AI$15+AI$16*P_PreInd)*INDEX(IdxSal_O,1,MIN(10,AI$17))*(1+P_Cargas)+AI$53*P_Alim*AI$19</f>
        <v>20432.4948990137</v>
      </c>
      <c r="AJ54" s="34" t="n">
        <f aca="false">SUMPRODUCT((Per_Clase="Indirecto")*Sal_O*INDEX(Dot_O,0,MIN(10,AJ$17))*((Per_Mon="PYG")*AJ$19+(Per_Mon&lt;&gt;"PYG")))*(AJ$15+AJ$16*P_PreInd)*INDEX(IdxSal_O,1,MIN(10,AJ$17))*(1+P_Cargas)+AJ$53*P_Alim*AJ$19</f>
        <v>20432.4948990137</v>
      </c>
      <c r="AK54" s="34" t="n">
        <f aca="false">SUMPRODUCT((Per_Clase="Indirecto")*Sal_O*INDEX(Dot_O,0,MIN(10,AK$17))*((Per_Mon="PYG")*AK$19+(Per_Mon&lt;&gt;"PYG")))*(AK$15+AK$16*P_PreInd)*INDEX(IdxSal_O,1,MIN(10,AK$17))*(1+P_Cargas)+AK$53*P_Alim*AK$19</f>
        <v>20432.4948990137</v>
      </c>
      <c r="AL54" s="34" t="n">
        <f aca="false">SUMPRODUCT((Per_Clase="Indirecto")*Sal_O*INDEX(Dot_O,0,MIN(10,AL$17))*((Per_Mon="PYG")*AL$19+(Per_Mon&lt;&gt;"PYG")))*(AL$15+AL$16*P_PreInd)*INDEX(IdxSal_O,1,MIN(10,AL$17))*(1+P_Cargas)+AL$53*P_Alim*AL$19</f>
        <v>20432.4948990137</v>
      </c>
      <c r="AM54" s="34" t="n">
        <f aca="false">SUMPRODUCT((Per_Clase="Indirecto")*Sal_O*INDEX(Dot_O,0,MIN(10,AM$17))*((Per_Mon="PYG")*AM$19+(Per_Mon&lt;&gt;"PYG")))*(AM$15+AM$16*P_PreInd)*INDEX(IdxSal_O,1,MIN(10,AM$17))*(1+P_Cargas)+AM$53*P_Alim*AM$19</f>
        <v>20432.4948990137</v>
      </c>
      <c r="AN54" s="34" t="n">
        <f aca="false">SUMPRODUCT((Per_Clase="Indirecto")*Sal_O*INDEX(Dot_O,0,MIN(10,AN$17))*((Per_Mon="PYG")*AN$19+(Per_Mon&lt;&gt;"PYG")))*(AN$15+AN$16*P_PreInd)*INDEX(IdxSal_O,1,MIN(10,AN$17))*(1+P_Cargas)+AN$53*P_Alim*AN$19</f>
        <v>20432.4948990137</v>
      </c>
      <c r="AO54" s="34" t="n">
        <f aca="false">SUMPRODUCT((Per_Clase="Indirecto")*Sal_O*INDEX(Dot_O,0,MIN(10,AO$17))*((Per_Mon="PYG")*AO$19+(Per_Mon&lt;&gt;"PYG")))*(AO$15+AO$16*P_PreInd)*INDEX(IdxSal_O,1,MIN(10,AO$17))*(1+P_Cargas)+AO$53*P_Alim*AO$19</f>
        <v>20432.4948990137</v>
      </c>
      <c r="AP54" s="34" t="n">
        <f aca="false">SUMPRODUCT((Per_Clase="Indirecto")*Sal_O*INDEX(Dot_O,0,MIN(10,AP$17))*((Per_Mon="PYG")*AP$19+(Per_Mon&lt;&gt;"PYG")))*(AP$15+AP$16*P_PreInd)*INDEX(IdxSal_O,1,MIN(10,AP$17))*(1+P_Cargas)+AP$53*P_Alim*AP$19</f>
        <v>20432.4948990137</v>
      </c>
      <c r="AQ54" s="34" t="n">
        <f aca="false">SUMPRODUCT((Per_Clase="Indirecto")*Sal_O*INDEX(Dot_O,0,MIN(10,AQ$17))*((Per_Mon="PYG")*AQ$19+(Per_Mon&lt;&gt;"PYG")))*(AQ$15+AQ$16*P_PreInd)*INDEX(IdxSal_O,1,MIN(10,AQ$17))*(1+P_Cargas)+AQ$53*P_Alim*AQ$19</f>
        <v>20432.4948990137</v>
      </c>
      <c r="AR54" s="34" t="n">
        <f aca="false">SUMPRODUCT((Per_Clase="Indirecto")*Sal_O*INDEX(Dot_O,0,MIN(10,AR$17))*((Per_Mon="PYG")*AR$19+(Per_Mon&lt;&gt;"PYG")))*(AR$15+AR$16*P_PreInd)*INDEX(IdxSal_O,1,MIN(10,AR$17))*(1+P_Cargas)+AR$53*P_Alim*AR$19</f>
        <v>20432.4948990137</v>
      </c>
      <c r="AS54" s="34" t="n">
        <f aca="false">SUMPRODUCT((Per_Clase="Indirecto")*Sal_O*INDEX(Dot_O,0,MIN(10,AS$17))*((Per_Mon="PYG")*AS$19+(Per_Mon&lt;&gt;"PYG")))*(AS$15+AS$16*P_PreInd)*INDEX(IdxSal_O,1,MIN(10,AS$17))*(1+P_Cargas)+AS$53*P_Alim*AS$19</f>
        <v>20432.4948990137</v>
      </c>
      <c r="AT54" s="34" t="n">
        <f aca="false">SUMPRODUCT((Per_Clase="Indirecto")*Sal_O*INDEX(Dot_O,0,MIN(10,AT$17))*((Per_Mon="PYG")*AT$19+(Per_Mon&lt;&gt;"PYG")))*(AT$15+AT$16*P_PreInd)*INDEX(IdxSal_O,1,MIN(10,AT$17))*(1+P_Cargas)+AT$53*P_Alim*AT$19</f>
        <v>20432.4948990137</v>
      </c>
      <c r="AU54" s="34" t="n">
        <f aca="false">SUMPRODUCT((Per_Clase="Indirecto")*Sal_O*INDEX(Dot_O,0,MIN(10,AU$17))*((Per_Mon="PYG")*AU$19+(Per_Mon&lt;&gt;"PYG")))*(AU$15+AU$16*P_PreInd)*INDEX(IdxSal_O,1,MIN(10,AU$17))*(1+P_Cargas)+AU$53*P_Alim*AU$19</f>
        <v>20432.4948990137</v>
      </c>
      <c r="AV54" s="34" t="n">
        <f aca="false">SUMPRODUCT((Per_Clase="Indirecto")*Sal_O*INDEX(Dot_O,0,MIN(10,AV$17))*((Per_Mon="PYG")*AV$19+(Per_Mon&lt;&gt;"PYG")))*(AV$15+AV$16*P_PreInd)*INDEX(IdxSal_O,1,MIN(10,AV$17))*(1+P_Cargas)+AV$53*P_Alim*AV$19</f>
        <v>20432.4948990137</v>
      </c>
      <c r="AW54" s="34" t="n">
        <f aca="false">SUMPRODUCT((Per_Clase="Indirecto")*Sal_O*INDEX(Dot_O,0,MIN(10,AW$17))*((Per_Mon="PYG")*AW$19+(Per_Mon&lt;&gt;"PYG")))*(AW$15+AW$16*P_PreInd)*INDEX(IdxSal_O,1,MIN(10,AW$17))*(1+P_Cargas)+AW$53*P_Alim*AW$19</f>
        <v>20432.4948990137</v>
      </c>
      <c r="AX54" s="34" t="n">
        <f aca="false">SUMPRODUCT((Per_Clase="Indirecto")*Sal_O*INDEX(Dot_O,0,MIN(10,AX$17))*((Per_Mon="PYG")*AX$19+(Per_Mon&lt;&gt;"PYG")))*(AX$15+AX$16*P_PreInd)*INDEX(IdxSal_O,1,MIN(10,AX$17))*(1+P_Cargas)+AX$53*P_Alim*AX$19</f>
        <v>20432.4948990137</v>
      </c>
      <c r="AY54" s="34" t="n">
        <f aca="false">SUMPRODUCT((Per_Clase="Indirecto")*Sal_O*INDEX(Dot_O,0,MIN(10,AY$17))*((Per_Mon="PYG")*AY$19+(Per_Mon&lt;&gt;"PYG")))*(AY$15+AY$16*P_PreInd)*INDEX(IdxSal_O,1,MIN(10,AY$17))*(1+P_Cargas)+AY$53*P_Alim*AY$19</f>
        <v>20432.4948990137</v>
      </c>
      <c r="AZ54" s="34" t="n">
        <f aca="false">SUMPRODUCT((Per_Clase="Indirecto")*Sal_O*INDEX(Dot_O,0,MIN(10,AZ$17))*((Per_Mon="PYG")*AZ$19+(Per_Mon&lt;&gt;"PYG")))*(AZ$15+AZ$16*P_PreInd)*INDEX(IdxSal_O,1,MIN(10,AZ$17))*(1+P_Cargas)+AZ$53*P_Alim*AZ$19</f>
        <v>20432.4948990137</v>
      </c>
      <c r="BA54" s="34" t="n">
        <f aca="false">SUMPRODUCT((Per_Clase="Indirecto")*Sal_O*INDEX(Dot_O,0,MIN(10,BA$17))*((Per_Mon="PYG")*BA$19+(Per_Mon&lt;&gt;"PYG")))*(BA$15+BA$16*P_PreInd)*INDEX(IdxSal_O,1,MIN(10,BA$17))*(1+P_Cargas)+BA$53*P_Alim*BA$19</f>
        <v>20432.4948990137</v>
      </c>
      <c r="BB54" s="34" t="n">
        <f aca="false">SUMPRODUCT((Per_Clase="Indirecto")*Sal_O*INDEX(Dot_O,0,MIN(10,BB$17))*((Per_Mon="PYG")*BB$19+(Per_Mon&lt;&gt;"PYG")))*(BB$15+BB$16*P_PreInd)*INDEX(IdxSal_O,1,MIN(10,BB$17))*(1+P_Cargas)+BB$53*P_Alim*BB$19</f>
        <v>20432.4948990137</v>
      </c>
      <c r="BC54" s="34" t="n">
        <f aca="false">SUMPRODUCT((Per_Clase="Indirecto")*Sal_O*INDEX(Dot_O,0,MIN(10,BC$17))*((Per_Mon="PYG")*BC$19+(Per_Mon&lt;&gt;"PYG")))*(BC$15+BC$16*P_PreInd)*INDEX(IdxSal_O,1,MIN(10,BC$17))*(1+P_Cargas)+BC$53*P_Alim*BC$19</f>
        <v>20432.4948990137</v>
      </c>
      <c r="BD54" s="34" t="n">
        <f aca="false">SUMPRODUCT((Per_Clase="Indirecto")*Sal_O*INDEX(Dot_O,0,MIN(10,BD$17))*((Per_Mon="PYG")*BD$19+(Per_Mon&lt;&gt;"PYG")))*(BD$15+BD$16*P_PreInd)*INDEX(IdxSal_O,1,MIN(10,BD$17))*(1+P_Cargas)+BD$53*P_Alim*BD$19</f>
        <v>20432.4948990137</v>
      </c>
      <c r="BE54" s="34" t="n">
        <f aca="false">SUMPRODUCT((Per_Clase="Indirecto")*Sal_O*INDEX(Dot_O,0,MIN(10,BE$17))*((Per_Mon="PYG")*BE$19+(Per_Mon&lt;&gt;"PYG")))*(BE$15+BE$16*P_PreInd)*INDEX(IdxSal_O,1,MIN(10,BE$17))*(1+P_Cargas)+BE$53*P_Alim*BE$19</f>
        <v>20432.4948990137</v>
      </c>
      <c r="BF54" s="34" t="n">
        <f aca="false">SUMPRODUCT((Per_Clase="Indirecto")*Sal_O*INDEX(Dot_O,0,MIN(10,BF$17))*((Per_Mon="PYG")*BF$19+(Per_Mon&lt;&gt;"PYG")))*(BF$15+BF$16*P_PreInd)*INDEX(IdxSal_O,1,MIN(10,BF$17))*(1+P_Cargas)+BF$53*P_Alim*BF$19</f>
        <v>20432.4948990137</v>
      </c>
      <c r="BG54" s="34" t="n">
        <f aca="false">SUMPRODUCT((Per_Clase="Indirecto")*Sal_O*INDEX(Dot_O,0,MIN(10,BG$17))*((Per_Mon="PYG")*BG$19+(Per_Mon&lt;&gt;"PYG")))*(BG$15+BG$16*P_PreInd)*INDEX(IdxSal_O,1,MIN(10,BG$17))*(1+P_Cargas)+BG$53*P_Alim*BG$19</f>
        <v>20432.4948990137</v>
      </c>
      <c r="BH54" s="34" t="n">
        <f aca="false">SUMPRODUCT((Per_Clase="Indirecto")*Sal_O*INDEX(Dot_O,0,MIN(10,BH$17))*((Per_Mon="PYG")*BH$19+(Per_Mon&lt;&gt;"PYG")))*(BH$15+BH$16*P_PreInd)*INDEX(IdxSal_O,1,MIN(10,BH$17))*(1+P_Cargas)+BH$53*P_Alim*BH$19</f>
        <v>20432.4948990137</v>
      </c>
      <c r="BI54" s="34" t="n">
        <f aca="false">SUMPRODUCT((Per_Clase="Indirecto")*Sal_O*INDEX(Dot_O,0,MIN(10,BI$17))*((Per_Mon="PYG")*BI$19+(Per_Mon&lt;&gt;"PYG")))*(BI$15+BI$16*P_PreInd)*INDEX(IdxSal_O,1,MIN(10,BI$17))*(1+P_Cargas)+BI$53*P_Alim*BI$19</f>
        <v>20432.4948990137</v>
      </c>
      <c r="BJ54" s="34" t="n">
        <f aca="false">SUMPRODUCT((Per_Clase="Indirecto")*Sal_O*INDEX(Dot_O,0,MIN(10,BJ$17))*((Per_Mon="PYG")*BJ$19+(Per_Mon&lt;&gt;"PYG")))*(BJ$15+BJ$16*P_PreInd)*INDEX(IdxSal_O,1,MIN(10,BJ$17))*(1+P_Cargas)+BJ$53*P_Alim*BJ$19</f>
        <v>20432.4948990137</v>
      </c>
      <c r="BK54" s="34" t="n">
        <f aca="false">SUMPRODUCT((Per_Clase="Indirecto")*Sal_O*INDEX(Dot_O,0,MIN(10,BK$17))*((Per_Mon="PYG")*BK$19+(Per_Mon&lt;&gt;"PYG")))*(BK$15+BK$16*P_PreInd)*INDEX(IdxSal_O,1,MIN(10,BK$17))*(1+P_Cargas)+BK$53*P_Alim*BK$19</f>
        <v>20432.4948990137</v>
      </c>
      <c r="BL54" s="34" t="n">
        <f aca="false">SUMPRODUCT((Per_Clase="Indirecto")*Sal_O*INDEX(Dot_O,0,MIN(10,BL$17))*((Per_Mon="PYG")*BL$19+(Per_Mon&lt;&gt;"PYG")))*(BL$15+BL$16*P_PreInd)*INDEX(IdxSal_O,1,MIN(10,BL$17))*(1+P_Cargas)+BL$53*P_Alim*BL$19</f>
        <v>20432.4948990137</v>
      </c>
      <c r="BM54" s="34" t="n">
        <f aca="false">SUMPRODUCT((Per_Clase="Indirecto")*Sal_O*INDEX(Dot_O,0,MIN(10,BM$17))*((Per_Mon="PYG")*BM$19+(Per_Mon&lt;&gt;"PYG")))*(BM$15+BM$16*P_PreInd)*INDEX(IdxSal_O,1,MIN(10,BM$17))*(1+P_Cargas)+BM$53*P_Alim*BM$19</f>
        <v>20432.4948990137</v>
      </c>
      <c r="BN54" s="34" t="n">
        <f aca="false">SUMPRODUCT((Per_Clase="Indirecto")*Sal_O*INDEX(Dot_O,0,MIN(10,BN$17))*((Per_Mon="PYG")*BN$19+(Per_Mon&lt;&gt;"PYG")))*(BN$15+BN$16*P_PreInd)*INDEX(IdxSal_O,1,MIN(10,BN$17))*(1+P_Cargas)+BN$53*P_Alim*BN$19</f>
        <v>20432.4948990137</v>
      </c>
      <c r="BO54" s="34" t="n">
        <f aca="false">SUMPRODUCT((Per_Clase="Indirecto")*Sal_O*INDEX(Dot_O,0,MIN(10,BO$17))*((Per_Mon="PYG")*BO$19+(Per_Mon&lt;&gt;"PYG")))*(BO$15+BO$16*P_PreInd)*INDEX(IdxSal_O,1,MIN(10,BO$17))*(1+P_Cargas)+BO$53*P_Alim*BO$19</f>
        <v>20432.4948990137</v>
      </c>
      <c r="BP54" s="34" t="n">
        <f aca="false">SUMPRODUCT((Per_Clase="Indirecto")*Sal_O*INDEX(Dot_O,0,MIN(10,BP$17))*((Per_Mon="PYG")*BP$19+(Per_Mon&lt;&gt;"PYG")))*(BP$15+BP$16*P_PreInd)*INDEX(IdxSal_O,1,MIN(10,BP$17))*(1+P_Cargas)+BP$53*P_Alim*BP$19</f>
        <v>20432.4948990137</v>
      </c>
      <c r="BQ54" s="34" t="n">
        <f aca="false">SUMPRODUCT((Per_Clase="Indirecto")*Sal_O*INDEX(Dot_O,0,MIN(10,BQ$17))*((Per_Mon="PYG")*BQ$19+(Per_Mon&lt;&gt;"PYG")))*(BQ$15+BQ$16*P_PreInd)*INDEX(IdxSal_O,1,MIN(10,BQ$17))*(1+P_Cargas)+BQ$53*P_Alim*BQ$19</f>
        <v>20432.4948990137</v>
      </c>
      <c r="BR54" s="34" t="n">
        <f aca="false">SUMPRODUCT((Per_Clase="Indirecto")*Sal_O*INDEX(Dot_O,0,MIN(10,BR$17))*((Per_Mon="PYG")*BR$19+(Per_Mon&lt;&gt;"PYG")))*(BR$15+BR$16*P_PreInd)*INDEX(IdxSal_O,1,MIN(10,BR$17))*(1+P_Cargas)+BR$53*P_Alim*BR$19</f>
        <v>20432.4948990137</v>
      </c>
      <c r="BS54" s="34" t="n">
        <f aca="false">SUMPRODUCT((Per_Clase="Indirecto")*Sal_O*INDEX(Dot_O,0,MIN(10,BS$17))*((Per_Mon="PYG")*BS$19+(Per_Mon&lt;&gt;"PYG")))*(BS$15+BS$16*P_PreInd)*INDEX(IdxSal_O,1,MIN(10,BS$17))*(1+P_Cargas)+BS$53*P_Alim*BS$19</f>
        <v>20432.4948990137</v>
      </c>
      <c r="BT54" s="34" t="n">
        <f aca="false">SUMPRODUCT((Per_Clase="Indirecto")*Sal_O*INDEX(Dot_O,0,MIN(10,BT$17))*((Per_Mon="PYG")*BT$19+(Per_Mon&lt;&gt;"PYG")))*(BT$15+BT$16*P_PreInd)*INDEX(IdxSal_O,1,MIN(10,BT$17))*(1+P_Cargas)+BT$53*P_Alim*BT$19</f>
        <v>20432.4948990137</v>
      </c>
      <c r="BU54" s="34" t="n">
        <f aca="false">SUMPRODUCT((Per_Clase="Indirecto")*Sal_O*INDEX(Dot_O,0,MIN(10,BU$17))*((Per_Mon="PYG")*BU$19+(Per_Mon&lt;&gt;"PYG")))*(BU$15+BU$16*P_PreInd)*INDEX(IdxSal_O,1,MIN(10,BU$17))*(1+P_Cargas)+BU$53*P_Alim*BU$19</f>
        <v>20432.4948990137</v>
      </c>
      <c r="BV54" s="34" t="n">
        <f aca="false">SUMPRODUCT((Per_Clase="Indirecto")*Sal_O*INDEX(Dot_O,0,MIN(10,BV$17))*((Per_Mon="PYG")*BV$19+(Per_Mon&lt;&gt;"PYG")))*(BV$15+BV$16*P_PreInd)*INDEX(IdxSal_O,1,MIN(10,BV$17))*(1+P_Cargas)+BV$53*P_Alim*BV$19</f>
        <v>20432.4948990137</v>
      </c>
      <c r="BW54" s="34" t="n">
        <f aca="false">SUMPRODUCT((Per_Clase="Indirecto")*Sal_O*INDEX(Dot_O,0,MIN(10,BW$17))*((Per_Mon="PYG")*BW$19+(Per_Mon&lt;&gt;"PYG")))*(BW$15+BW$16*P_PreInd)*INDEX(IdxSal_O,1,MIN(10,BW$17))*(1+P_Cargas)+BW$53*P_Alim*BW$19</f>
        <v>20432.4948990137</v>
      </c>
      <c r="BX54" s="34" t="n">
        <f aca="false">SUMPRODUCT((Per_Clase="Indirecto")*Sal_O*INDEX(Dot_O,0,MIN(10,BX$17))*((Per_Mon="PYG")*BX$19+(Per_Mon&lt;&gt;"PYG")))*(BX$15+BX$16*P_PreInd)*INDEX(IdxSal_O,1,MIN(10,BX$17))*(1+P_Cargas)+BX$53*P_Alim*BX$19</f>
        <v>20432.4948990137</v>
      </c>
      <c r="BY54" s="34" t="n">
        <f aca="false">SUMPRODUCT((Per_Clase="Indirecto")*Sal_O*INDEX(Dot_O,0,MIN(10,BY$17))*((Per_Mon="PYG")*BY$19+(Per_Mon&lt;&gt;"PYG")))*(BY$15+BY$16*P_PreInd)*INDEX(IdxSal_O,1,MIN(10,BY$17))*(1+P_Cargas)+BY$53*P_Alim*BY$19</f>
        <v>20432.4948990137</v>
      </c>
      <c r="BZ54" s="34" t="n">
        <f aca="false">SUMPRODUCT((Per_Clase="Indirecto")*Sal_O*INDEX(Dot_O,0,MIN(10,BZ$17))*((Per_Mon="PYG")*BZ$19+(Per_Mon&lt;&gt;"PYG")))*(BZ$15+BZ$16*P_PreInd)*INDEX(IdxSal_O,1,MIN(10,BZ$17))*(1+P_Cargas)+BZ$53*P_Alim*BZ$19</f>
        <v>20432.4948990137</v>
      </c>
      <c r="CA54" s="34" t="n">
        <f aca="false">SUMPRODUCT((Per_Clase="Indirecto")*Sal_O*INDEX(Dot_O,0,MIN(10,CA$17))*((Per_Mon="PYG")*CA$19+(Per_Mon&lt;&gt;"PYG")))*(CA$15+CA$16*P_PreInd)*INDEX(IdxSal_O,1,MIN(10,CA$17))*(1+P_Cargas)+CA$53*P_Alim*CA$19</f>
        <v>20432.4948990137</v>
      </c>
      <c r="CB54" s="34" t="n">
        <f aca="false">SUMPRODUCT((Per_Clase="Indirecto")*Sal_O*INDEX(Dot_O,0,MIN(10,CB$17))*((Per_Mon="PYG")*CB$19+(Per_Mon&lt;&gt;"PYG")))*(CB$15+CB$16*P_PreInd)*INDEX(IdxSal_O,1,MIN(10,CB$17))*(1+P_Cargas)+CB$53*P_Alim*CB$19</f>
        <v>20432.4948990137</v>
      </c>
      <c r="CC54" s="34" t="n">
        <f aca="false">SUMPRODUCT((Per_Clase="Indirecto")*Sal_O*INDEX(Dot_O,0,MIN(10,CC$17))*((Per_Mon="PYG")*CC$19+(Per_Mon&lt;&gt;"PYG")))*(CC$15+CC$16*P_PreInd)*INDEX(IdxSal_O,1,MIN(10,CC$17))*(1+P_Cargas)+CC$53*P_Alim*CC$19</f>
        <v>20432.4948990137</v>
      </c>
      <c r="CD54" s="34" t="n">
        <f aca="false">SUMPRODUCT((Per_Clase="Indirecto")*Sal_O*INDEX(Dot_O,0,MIN(10,CD$17))*((Per_Mon="PYG")*CD$19+(Per_Mon&lt;&gt;"PYG")))*(CD$15+CD$16*P_PreInd)*INDEX(IdxSal_O,1,MIN(10,CD$17))*(1+P_Cargas)+CD$53*P_Alim*CD$19</f>
        <v>20432.4948990137</v>
      </c>
      <c r="CE54" s="34" t="n">
        <f aca="false">SUMPRODUCT((Per_Clase="Indirecto")*Sal_O*INDEX(Dot_O,0,MIN(10,CE$17))*((Per_Mon="PYG")*CE$19+(Per_Mon&lt;&gt;"PYG")))*(CE$15+CE$16*P_PreInd)*INDEX(IdxSal_O,1,MIN(10,CE$17))*(1+P_Cargas)+CE$53*P_Alim*CE$19</f>
        <v>20432.4948990137</v>
      </c>
      <c r="CF54" s="34" t="n">
        <f aca="false">SUMPRODUCT((Per_Clase="Indirecto")*Sal_O*INDEX(Dot_O,0,MIN(10,CF$17))*((Per_Mon="PYG")*CF$19+(Per_Mon&lt;&gt;"PYG")))*(CF$15+CF$16*P_PreInd)*INDEX(IdxSal_O,1,MIN(10,CF$17))*(1+P_Cargas)+CF$53*P_Alim*CF$19</f>
        <v>20432.4948990137</v>
      </c>
      <c r="CG54" s="34" t="n">
        <f aca="false">SUMPRODUCT((Per_Clase="Indirecto")*Sal_O*INDEX(Dot_O,0,MIN(10,CG$17))*((Per_Mon="PYG")*CG$19+(Per_Mon&lt;&gt;"PYG")))*(CG$15+CG$16*P_PreInd)*INDEX(IdxSal_O,1,MIN(10,CG$17))*(1+P_Cargas)+CG$53*P_Alim*CG$19</f>
        <v>20432.4948990137</v>
      </c>
      <c r="CH54" s="34" t="n">
        <f aca="false">SUMPRODUCT((Per_Clase="Indirecto")*Sal_O*INDEX(Dot_O,0,MIN(10,CH$17))*((Per_Mon="PYG")*CH$19+(Per_Mon&lt;&gt;"PYG")))*(CH$15+CH$16*P_PreInd)*INDEX(IdxSal_O,1,MIN(10,CH$17))*(1+P_Cargas)+CH$53*P_Alim*CH$19</f>
        <v>20432.4948990137</v>
      </c>
      <c r="CI54" s="34" t="n">
        <f aca="false">SUMPRODUCT((Per_Clase="Indirecto")*Sal_O*INDEX(Dot_O,0,MIN(10,CI$17))*((Per_Mon="PYG")*CI$19+(Per_Mon&lt;&gt;"PYG")))*(CI$15+CI$16*P_PreInd)*INDEX(IdxSal_O,1,MIN(10,CI$17))*(1+P_Cargas)+CI$53*P_Alim*CI$19</f>
        <v>20432.4948990137</v>
      </c>
      <c r="CJ54" s="34" t="n">
        <f aca="false">SUMPRODUCT((Per_Clase="Indirecto")*Sal_O*INDEX(Dot_O,0,MIN(10,CJ$17))*((Per_Mon="PYG")*CJ$19+(Per_Mon&lt;&gt;"PYG")))*(CJ$15+CJ$16*P_PreInd)*INDEX(IdxSal_O,1,MIN(10,CJ$17))*(1+P_Cargas)+CJ$53*P_Alim*CJ$19</f>
        <v>20432.4948990137</v>
      </c>
      <c r="CK54" s="34" t="n">
        <f aca="false">SUMPRODUCT((Per_Clase="Indirecto")*Sal_O*INDEX(Dot_O,0,MIN(10,CK$17))*((Per_Mon="PYG")*CK$19+(Per_Mon&lt;&gt;"PYG")))*(CK$15+CK$16*P_PreInd)*INDEX(IdxSal_O,1,MIN(10,CK$17))*(1+P_Cargas)+CK$53*P_Alim*CK$19</f>
        <v>20432.4948990137</v>
      </c>
      <c r="CL54" s="34" t="n">
        <f aca="false">SUMPRODUCT((Per_Clase="Indirecto")*Sal_O*INDEX(Dot_O,0,MIN(10,CL$17))*((Per_Mon="PYG")*CL$19+(Per_Mon&lt;&gt;"PYG")))*(CL$15+CL$16*P_PreInd)*INDEX(IdxSal_O,1,MIN(10,CL$17))*(1+P_Cargas)+CL$53*P_Alim*CL$19</f>
        <v>20432.4948990137</v>
      </c>
      <c r="CM54" s="34" t="n">
        <f aca="false">SUMPRODUCT((Per_Clase="Indirecto")*Sal_O*INDEX(Dot_O,0,MIN(10,CM$17))*((Per_Mon="PYG")*CM$19+(Per_Mon&lt;&gt;"PYG")))*(CM$15+CM$16*P_PreInd)*INDEX(IdxSal_O,1,MIN(10,CM$17))*(1+P_Cargas)+CM$53*P_Alim*CM$19</f>
        <v>20432.4948990137</v>
      </c>
      <c r="CN54" s="34" t="n">
        <f aca="false">SUMPRODUCT((Per_Clase="Indirecto")*Sal_O*INDEX(Dot_O,0,MIN(10,CN$17))*((Per_Mon="PYG")*CN$19+(Per_Mon&lt;&gt;"PYG")))*(CN$15+CN$16*P_PreInd)*INDEX(IdxSal_O,1,MIN(10,CN$17))*(1+P_Cargas)+CN$53*P_Alim*CN$19</f>
        <v>20432.4948990137</v>
      </c>
      <c r="CO54" s="34" t="n">
        <f aca="false">SUMPRODUCT((Per_Clase="Indirecto")*Sal_O*INDEX(Dot_O,0,MIN(10,CO$17))*((Per_Mon="PYG")*CO$19+(Per_Mon&lt;&gt;"PYG")))*(CO$15+CO$16*P_PreInd)*INDEX(IdxSal_O,1,MIN(10,CO$17))*(1+P_Cargas)+CO$53*P_Alim*CO$19</f>
        <v>20432.4948990137</v>
      </c>
      <c r="CP54" s="34" t="n">
        <f aca="false">SUMPRODUCT((Per_Clase="Indirecto")*Sal_O*INDEX(Dot_O,0,MIN(10,CP$17))*((Per_Mon="PYG")*CP$19+(Per_Mon&lt;&gt;"PYG")))*(CP$15+CP$16*P_PreInd)*INDEX(IdxSal_O,1,MIN(10,CP$17))*(1+P_Cargas)+CP$53*P_Alim*CP$19</f>
        <v>20432.4948990137</v>
      </c>
      <c r="CQ54" s="34" t="n">
        <f aca="false">SUMPRODUCT((Per_Clase="Indirecto")*Sal_O*INDEX(Dot_O,0,MIN(10,CQ$17))*((Per_Mon="PYG")*CQ$19+(Per_Mon&lt;&gt;"PYG")))*(CQ$15+CQ$16*P_PreInd)*INDEX(IdxSal_O,1,MIN(10,CQ$17))*(1+P_Cargas)+CQ$53*P_Alim*CQ$19</f>
        <v>20432.4948990137</v>
      </c>
      <c r="CR54" s="34" t="n">
        <f aca="false">SUMPRODUCT((Per_Clase="Indirecto")*Sal_O*INDEX(Dot_O,0,MIN(10,CR$17))*((Per_Mon="PYG")*CR$19+(Per_Mon&lt;&gt;"PYG")))*(CR$15+CR$16*P_PreInd)*INDEX(IdxSal_O,1,MIN(10,CR$17))*(1+P_Cargas)+CR$53*P_Alim*CR$19</f>
        <v>20432.4948990137</v>
      </c>
      <c r="CS54" s="34" t="n">
        <f aca="false">SUMPRODUCT((Per_Clase="Indirecto")*Sal_O*INDEX(Dot_O,0,MIN(10,CS$17))*((Per_Mon="PYG")*CS$19+(Per_Mon&lt;&gt;"PYG")))*(CS$15+CS$16*P_PreInd)*INDEX(IdxSal_O,1,MIN(10,CS$17))*(1+P_Cargas)+CS$53*P_Alim*CS$19</f>
        <v>20432.4948990137</v>
      </c>
      <c r="CT54" s="34" t="n">
        <f aca="false">SUMPRODUCT((Per_Clase="Indirecto")*Sal_O*INDEX(Dot_O,0,MIN(10,CT$17))*((Per_Mon="PYG")*CT$19+(Per_Mon&lt;&gt;"PYG")))*(CT$15+CT$16*P_PreInd)*INDEX(IdxSal_O,1,MIN(10,CT$17))*(1+P_Cargas)+CT$53*P_Alim*CT$19</f>
        <v>20432.4948990137</v>
      </c>
      <c r="CU54" s="34" t="n">
        <f aca="false">SUMPRODUCT((Per_Clase="Indirecto")*Sal_O*INDEX(Dot_O,0,MIN(10,CU$17))*((Per_Mon="PYG")*CU$19+(Per_Mon&lt;&gt;"PYG")))*(CU$15+CU$16*P_PreInd)*INDEX(IdxSal_O,1,MIN(10,CU$17))*(1+P_Cargas)+CU$53*P_Alim*CU$19</f>
        <v>20432.4948990137</v>
      </c>
      <c r="CV54" s="34" t="n">
        <f aca="false">SUMPRODUCT((Per_Clase="Indirecto")*Sal_O*INDEX(Dot_O,0,MIN(10,CV$17))*((Per_Mon="PYG")*CV$19+(Per_Mon&lt;&gt;"PYG")))*(CV$15+CV$16*P_PreInd)*INDEX(IdxSal_O,1,MIN(10,CV$17))*(1+P_Cargas)+CV$53*P_Alim*CV$19</f>
        <v>20432.4948990137</v>
      </c>
      <c r="CW54" s="34" t="n">
        <f aca="false">SUMPRODUCT((Per_Clase="Indirecto")*Sal_O*INDEX(Dot_O,0,MIN(10,CW$17))*((Per_Mon="PYG")*CW$19+(Per_Mon&lt;&gt;"PYG")))*(CW$15+CW$16*P_PreInd)*INDEX(IdxSal_O,1,MIN(10,CW$17))*(1+P_Cargas)+CW$53*P_Alim*CW$19</f>
        <v>20432.4948990137</v>
      </c>
      <c r="CX54" s="34" t="n">
        <f aca="false">SUMPRODUCT((Per_Clase="Indirecto")*Sal_O*INDEX(Dot_O,0,MIN(10,CX$17))*((Per_Mon="PYG")*CX$19+(Per_Mon&lt;&gt;"PYG")))*(CX$15+CX$16*P_PreInd)*INDEX(IdxSal_O,1,MIN(10,CX$17))*(1+P_Cargas)+CX$53*P_Alim*CX$19</f>
        <v>20432.4948990137</v>
      </c>
      <c r="CY54" s="34" t="n">
        <f aca="false">SUMPRODUCT((Per_Clase="Indirecto")*Sal_O*INDEX(Dot_O,0,MIN(10,CY$17))*((Per_Mon="PYG")*CY$19+(Per_Mon&lt;&gt;"PYG")))*(CY$15+CY$16*P_PreInd)*INDEX(IdxSal_O,1,MIN(10,CY$17))*(1+P_Cargas)+CY$53*P_Alim*CY$19</f>
        <v>20432.4948990137</v>
      </c>
      <c r="CZ54" s="34" t="n">
        <f aca="false">SUMPRODUCT((Per_Clase="Indirecto")*Sal_O*INDEX(Dot_O,0,MIN(10,CZ$17))*((Per_Mon="PYG")*CZ$19+(Per_Mon&lt;&gt;"PYG")))*(CZ$15+CZ$16*P_PreInd)*INDEX(IdxSal_O,1,MIN(10,CZ$17))*(1+P_Cargas)+CZ$53*P_Alim*CZ$19</f>
        <v>20432.4948990137</v>
      </c>
      <c r="DA54" s="34" t="n">
        <f aca="false">SUMPRODUCT((Per_Clase="Indirecto")*Sal_O*INDEX(Dot_O,0,MIN(10,DA$17))*((Per_Mon="PYG")*DA$19+(Per_Mon&lt;&gt;"PYG")))*(DA$15+DA$16*P_PreInd)*INDEX(IdxSal_O,1,MIN(10,DA$17))*(1+P_Cargas)+DA$53*P_Alim*DA$19</f>
        <v>20432.4948990137</v>
      </c>
      <c r="DB54" s="34" t="n">
        <f aca="false">SUMPRODUCT((Per_Clase="Indirecto")*Sal_O*INDEX(Dot_O,0,MIN(10,DB$17))*((Per_Mon="PYG")*DB$19+(Per_Mon&lt;&gt;"PYG")))*(DB$15+DB$16*P_PreInd)*INDEX(IdxSal_O,1,MIN(10,DB$17))*(1+P_Cargas)+DB$53*P_Alim*DB$19</f>
        <v>20432.4948990137</v>
      </c>
      <c r="DC54" s="34" t="n">
        <f aca="false">SUMPRODUCT((Per_Clase="Indirecto")*Sal_O*INDEX(Dot_O,0,MIN(10,DC$17))*((Per_Mon="PYG")*DC$19+(Per_Mon&lt;&gt;"PYG")))*(DC$15+DC$16*P_PreInd)*INDEX(IdxSal_O,1,MIN(10,DC$17))*(1+P_Cargas)+DC$53*P_Alim*DC$19</f>
        <v>20432.4948990137</v>
      </c>
      <c r="DD54" s="34" t="n">
        <f aca="false">SUMPRODUCT((Per_Clase="Indirecto")*Sal_O*INDEX(Dot_O,0,MIN(10,DD$17))*((Per_Mon="PYG")*DD$19+(Per_Mon&lt;&gt;"PYG")))*(DD$15+DD$16*P_PreInd)*INDEX(IdxSal_O,1,MIN(10,DD$17))*(1+P_Cargas)+DD$53*P_Alim*DD$19</f>
        <v>20432.4948990137</v>
      </c>
      <c r="DE54" s="34" t="n">
        <f aca="false">SUMPRODUCT((Per_Clase="Indirecto")*Sal_O*INDEX(Dot_O,0,MIN(10,DE$17))*((Per_Mon="PYG")*DE$19+(Per_Mon&lt;&gt;"PYG")))*(DE$15+DE$16*P_PreInd)*INDEX(IdxSal_O,1,MIN(10,DE$17))*(1+P_Cargas)+DE$53*P_Alim*DE$19</f>
        <v>20432.4948990137</v>
      </c>
      <c r="DF54" s="34" t="n">
        <f aca="false">SUMPRODUCT((Per_Clase="Indirecto")*Sal_O*INDEX(Dot_O,0,MIN(10,DF$17))*((Per_Mon="PYG")*DF$19+(Per_Mon&lt;&gt;"PYG")))*(DF$15+DF$16*P_PreInd)*INDEX(IdxSal_O,1,MIN(10,DF$17))*(1+P_Cargas)+DF$53*P_Alim*DF$19</f>
        <v>20432.4948990137</v>
      </c>
      <c r="DG54" s="34" t="n">
        <f aca="false">SUMPRODUCT((Per_Clase="Indirecto")*Sal_O*INDEX(Dot_O,0,MIN(10,DG$17))*((Per_Mon="PYG")*DG$19+(Per_Mon&lt;&gt;"PYG")))*(DG$15+DG$16*P_PreInd)*INDEX(IdxSal_O,1,MIN(10,DG$17))*(1+P_Cargas)+DG$53*P_Alim*DG$19</f>
        <v>20432.4948990137</v>
      </c>
      <c r="DH54" s="34" t="n">
        <f aca="false">SUMPRODUCT((Per_Clase="Indirecto")*Sal_O*INDEX(Dot_O,0,MIN(10,DH$17))*((Per_Mon="PYG")*DH$19+(Per_Mon&lt;&gt;"PYG")))*(DH$15+DH$16*P_PreInd)*INDEX(IdxSal_O,1,MIN(10,DH$17))*(1+P_Cargas)+DH$53*P_Alim*DH$19</f>
        <v>20432.4948990137</v>
      </c>
      <c r="DI54" s="34" t="n">
        <f aca="false">SUMPRODUCT((Per_Clase="Indirecto")*Sal_O*INDEX(Dot_O,0,MIN(10,DI$17))*((Per_Mon="PYG")*DI$19+(Per_Mon&lt;&gt;"PYG")))*(DI$15+DI$16*P_PreInd)*INDEX(IdxSal_O,1,MIN(10,DI$17))*(1+P_Cargas)+DI$53*P_Alim*DI$19</f>
        <v>20432.4948990137</v>
      </c>
      <c r="DJ54" s="34" t="n">
        <f aca="false">SUMPRODUCT((Per_Clase="Indirecto")*Sal_O*INDEX(Dot_O,0,MIN(10,DJ$17))*((Per_Mon="PYG")*DJ$19+(Per_Mon&lt;&gt;"PYG")))*(DJ$15+DJ$16*P_PreInd)*INDEX(IdxSal_O,1,MIN(10,DJ$17))*(1+P_Cargas)+DJ$53*P_Alim*DJ$19</f>
        <v>20432.4948990137</v>
      </c>
      <c r="DK54" s="34" t="n">
        <f aca="false">SUMPRODUCT((Per_Clase="Indirecto")*Sal_O*INDEX(Dot_O,0,MIN(10,DK$17))*((Per_Mon="PYG")*DK$19+(Per_Mon&lt;&gt;"PYG")))*(DK$15+DK$16*P_PreInd)*INDEX(IdxSal_O,1,MIN(10,DK$17))*(1+P_Cargas)+DK$53*P_Alim*DK$19</f>
        <v>20432.4948990137</v>
      </c>
      <c r="DL54" s="34" t="n">
        <f aca="false">SUMPRODUCT((Per_Clase="Indirecto")*Sal_O*INDEX(Dot_O,0,MIN(10,DL$17))*((Per_Mon="PYG")*DL$19+(Per_Mon&lt;&gt;"PYG")))*(DL$15+DL$16*P_PreInd)*INDEX(IdxSal_O,1,MIN(10,DL$17))*(1+P_Cargas)+DL$53*P_Alim*DL$19</f>
        <v>20432.4948990137</v>
      </c>
      <c r="DM54" s="34" t="n">
        <f aca="false">SUMPRODUCT((Per_Clase="Indirecto")*Sal_O*INDEX(Dot_O,0,MIN(10,DM$17))*((Per_Mon="PYG")*DM$19+(Per_Mon&lt;&gt;"PYG")))*(DM$15+DM$16*P_PreInd)*INDEX(IdxSal_O,1,MIN(10,DM$17))*(1+P_Cargas)+DM$53*P_Alim*DM$19</f>
        <v>20432.4948990137</v>
      </c>
      <c r="DN54" s="34" t="n">
        <f aca="false">SUMPRODUCT((Per_Clase="Indirecto")*Sal_O*INDEX(Dot_O,0,MIN(10,DN$17))*((Per_Mon="PYG")*DN$19+(Per_Mon&lt;&gt;"PYG")))*(DN$15+DN$16*P_PreInd)*INDEX(IdxSal_O,1,MIN(10,DN$17))*(1+P_Cargas)+DN$53*P_Alim*DN$19</f>
        <v>20432.4948990137</v>
      </c>
      <c r="DO54" s="34" t="n">
        <f aca="false">SUMPRODUCT((Per_Clase="Indirecto")*Sal_O*INDEX(Dot_O,0,MIN(10,DO$17))*((Per_Mon="PYG")*DO$19+(Per_Mon&lt;&gt;"PYG")))*(DO$15+DO$16*P_PreInd)*INDEX(IdxSal_O,1,MIN(10,DO$17))*(1+P_Cargas)+DO$53*P_Alim*DO$19</f>
        <v>20432.4948990137</v>
      </c>
      <c r="DP54" s="34" t="n">
        <f aca="false">SUMPRODUCT((Per_Clase="Indirecto")*Sal_O*INDEX(Dot_O,0,MIN(10,DP$17))*((Per_Mon="PYG")*DP$19+(Per_Mon&lt;&gt;"PYG")))*(DP$15+DP$16*P_PreInd)*INDEX(IdxSal_O,1,MIN(10,DP$17))*(1+P_Cargas)+DP$53*P_Alim*DP$19</f>
        <v>20432.4948990137</v>
      </c>
      <c r="DQ54" s="34" t="n">
        <f aca="false">SUMPRODUCT((Per_Clase="Indirecto")*Sal_O*INDEX(Dot_O,0,MIN(10,DQ$17))*((Per_Mon="PYG")*DQ$19+(Per_Mon&lt;&gt;"PYG")))*(DQ$15+DQ$16*P_PreInd)*INDEX(IdxSal_O,1,MIN(10,DQ$17))*(1+P_Cargas)+DQ$53*P_Alim*DQ$19</f>
        <v>20432.4948990137</v>
      </c>
      <c r="DR54" s="34" t="n">
        <f aca="false">SUMPRODUCT((Per_Clase="Indirecto")*Sal_O*INDEX(Dot_O,0,MIN(10,DR$17))*((Per_Mon="PYG")*DR$19+(Per_Mon&lt;&gt;"PYG")))*(DR$15+DR$16*P_PreInd)*INDEX(IdxSal_O,1,MIN(10,DR$17))*(1+P_Cargas)+DR$53*P_Alim*DR$19</f>
        <v>20432.4948990137</v>
      </c>
      <c r="DS54" s="34" t="n">
        <f aca="false">SUMPRODUCT((Per_Clase="Indirecto")*Sal_O*INDEX(Dot_O,0,MIN(10,DS$17))*((Per_Mon="PYG")*DS$19+(Per_Mon&lt;&gt;"PYG")))*(DS$15+DS$16*P_PreInd)*INDEX(IdxSal_O,1,MIN(10,DS$17))*(1+P_Cargas)+DS$53*P_Alim*DS$19</f>
        <v>20432.4948990137</v>
      </c>
      <c r="DT54" s="34" t="n">
        <f aca="false">SUMPRODUCT((Per_Clase="Indirecto")*Sal_O*INDEX(Dot_O,0,MIN(10,DT$17))*((Per_Mon="PYG")*DT$19+(Per_Mon&lt;&gt;"PYG")))*(DT$15+DT$16*P_PreInd)*INDEX(IdxSal_O,1,MIN(10,DT$17))*(1+P_Cargas)+DT$53*P_Alim*DT$19</f>
        <v>20432.4948990137</v>
      </c>
      <c r="DU54" s="34" t="n">
        <f aca="false">SUMPRODUCT((Per_Clase="Indirecto")*Sal_O*INDEX(Dot_O,0,MIN(10,DU$17))*((Per_Mon="PYG")*DU$19+(Per_Mon&lt;&gt;"PYG")))*(DU$15+DU$16*P_PreInd)*INDEX(IdxSal_O,1,MIN(10,DU$17))*(1+P_Cargas)+DU$53*P_Alim*DU$19</f>
        <v>20432.4948990137</v>
      </c>
      <c r="DV54" s="34" t="n">
        <f aca="false">SUMPRODUCT((Per_Clase="Indirecto")*Sal_O*INDEX(Dot_O,0,MIN(10,DV$17))*((Per_Mon="PYG")*DV$19+(Per_Mon&lt;&gt;"PYG")))*(DV$15+DV$16*P_PreInd)*INDEX(IdxSal_O,1,MIN(10,DV$17))*(1+P_Cargas)+DV$53*P_Alim*DV$19</f>
        <v>0</v>
      </c>
      <c r="DW54" s="34" t="n">
        <f aca="false">SUMPRODUCT((Per_Clase="Indirecto")*Sal_O*INDEX(Dot_O,0,MIN(10,DW$17))*((Per_Mon="PYG")*DW$19+(Per_Mon&lt;&gt;"PYG")))*(DW$15+DW$16*P_PreInd)*INDEX(IdxSal_O,1,MIN(10,DW$17))*(1+P_Cargas)+DW$53*P_Alim*DW$19</f>
        <v>0</v>
      </c>
      <c r="DX54" s="34" t="n">
        <f aca="false">SUMPRODUCT((Per_Clase="Indirecto")*Sal_O*INDEX(Dot_O,0,MIN(10,DX$17))*((Per_Mon="PYG")*DX$19+(Per_Mon&lt;&gt;"PYG")))*(DX$15+DX$16*P_PreInd)*INDEX(IdxSal_O,1,MIN(10,DX$17))*(1+P_Cargas)+DX$53*P_Alim*DX$19</f>
        <v>0</v>
      </c>
      <c r="DY54" s="34" t="n">
        <f aca="false">SUMPRODUCT((Per_Clase="Indirecto")*Sal_O*INDEX(Dot_O,0,MIN(10,DY$17))*((Per_Mon="PYG")*DY$19+(Per_Mon&lt;&gt;"PYG")))*(DY$15+DY$16*P_PreInd)*INDEX(IdxSal_O,1,MIN(10,DY$17))*(1+P_Cargas)+DY$53*P_Alim*DY$19</f>
        <v>0</v>
      </c>
      <c r="DZ54" s="34" t="n">
        <f aca="false">SUMPRODUCT((Per_Clase="Indirecto")*Sal_O*INDEX(Dot_O,0,MIN(10,DZ$17))*((Per_Mon="PYG")*DZ$19+(Per_Mon&lt;&gt;"PYG")))*(DZ$15+DZ$16*P_PreInd)*INDEX(IdxSal_O,1,MIN(10,DZ$17))*(1+P_Cargas)+DZ$53*P_Alim*DZ$19</f>
        <v>0</v>
      </c>
      <c r="EA54" s="34" t="n">
        <f aca="false">SUMPRODUCT((Per_Clase="Indirecto")*Sal_O*INDEX(Dot_O,0,MIN(10,EA$17))*((Per_Mon="PYG")*EA$19+(Per_Mon&lt;&gt;"PYG")))*(EA$15+EA$16*P_PreInd)*INDEX(IdxSal_O,1,MIN(10,EA$17))*(1+P_Cargas)+EA$53*P_Alim*EA$19</f>
        <v>0</v>
      </c>
      <c r="EB54" s="34" t="n">
        <f aca="false">SUMPRODUCT((Per_Clase="Indirecto")*Sal_O*INDEX(Dot_O,0,MIN(10,EB$17))*((Per_Mon="PYG")*EB$19+(Per_Mon&lt;&gt;"PYG")))*(EB$15+EB$16*P_PreInd)*INDEX(IdxSal_O,1,MIN(10,EB$17))*(1+P_Cargas)+EB$53*P_Alim*EB$19</f>
        <v>0</v>
      </c>
      <c r="EC54" s="34" t="n">
        <f aca="false">SUMPRODUCT((Per_Clase="Indirecto")*Sal_O*INDEX(Dot_O,0,MIN(10,EC$17))*((Per_Mon="PYG")*EC$19+(Per_Mon&lt;&gt;"PYG")))*(EC$15+EC$16*P_PreInd)*INDEX(IdxSal_O,1,MIN(10,EC$17))*(1+P_Cargas)+EC$53*P_Alim*EC$19</f>
        <v>0</v>
      </c>
      <c r="ED54" s="34" t="n">
        <f aca="false">SUMPRODUCT((Per_Clase="Indirecto")*Sal_O*INDEX(Dot_O,0,MIN(10,ED$17))*((Per_Mon="PYG")*ED$19+(Per_Mon&lt;&gt;"PYG")))*(ED$15+ED$16*P_PreInd)*INDEX(IdxSal_O,1,MIN(10,ED$17))*(1+P_Cargas)+ED$53*P_Alim*ED$19</f>
        <v>0</v>
      </c>
      <c r="EE54" s="34" t="n">
        <f aca="false">SUMPRODUCT((Per_Clase="Indirecto")*Sal_O*INDEX(Dot_O,0,MIN(10,EE$17))*((Per_Mon="PYG")*EE$19+(Per_Mon&lt;&gt;"PYG")))*(EE$15+EE$16*P_PreInd)*INDEX(IdxSal_O,1,MIN(10,EE$17))*(1+P_Cargas)+EE$53*P_Alim*EE$19</f>
        <v>0</v>
      </c>
      <c r="EF54" s="34" t="n">
        <f aca="false">SUMPRODUCT((Per_Clase="Indirecto")*Sal_O*INDEX(Dot_O,0,MIN(10,EF$17))*((Per_Mon="PYG")*EF$19+(Per_Mon&lt;&gt;"PYG")))*(EF$15+EF$16*P_PreInd)*INDEX(IdxSal_O,1,MIN(10,EF$17))*(1+P_Cargas)+EF$53*P_Alim*EF$19</f>
        <v>0</v>
      </c>
      <c r="EG54" s="34" t="n">
        <f aca="false">SUMPRODUCT((Per_Clase="Indirecto")*Sal_O*INDEX(Dot_O,0,MIN(10,EG$17))*((Per_Mon="PYG")*EG$19+(Per_Mon&lt;&gt;"PYG")))*(EG$15+EG$16*P_PreInd)*INDEX(IdxSal_O,1,MIN(10,EG$17))*(1+P_Cargas)+EG$53*P_Alim*EG$19</f>
        <v>0</v>
      </c>
      <c r="EH54" s="34" t="n">
        <f aca="false">SUMPRODUCT((Per_Clase="Indirecto")*Sal_O*INDEX(Dot_O,0,MIN(10,EH$17))*((Per_Mon="PYG")*EH$19+(Per_Mon&lt;&gt;"PYG")))*(EH$15+EH$16*P_PreInd)*INDEX(IdxSal_O,1,MIN(10,EH$17))*(1+P_Cargas)+EH$53*P_Alim*EH$19</f>
        <v>0</v>
      </c>
      <c r="EI54" s="34" t="n">
        <f aca="false">SUMPRODUCT((Per_Clase="Indirecto")*Sal_O*INDEX(Dot_O,0,MIN(10,EI$17))*((Per_Mon="PYG")*EI$19+(Per_Mon&lt;&gt;"PYG")))*(EI$15+EI$16*P_PreInd)*INDEX(IdxSal_O,1,MIN(10,EI$17))*(1+P_Cargas)+EI$53*P_Alim*EI$19</f>
        <v>0</v>
      </c>
      <c r="EJ54" s="34" t="n">
        <f aca="false">SUMPRODUCT((Per_Clase="Indirecto")*Sal_O*INDEX(Dot_O,0,MIN(10,EJ$17))*((Per_Mon="PYG")*EJ$19+(Per_Mon&lt;&gt;"PYG")))*(EJ$15+EJ$16*P_PreInd)*INDEX(IdxSal_O,1,MIN(10,EJ$17))*(1+P_Cargas)+EJ$53*P_Alim*EJ$19</f>
        <v>0</v>
      </c>
      <c r="EK54" s="34" t="n">
        <f aca="false">SUMPRODUCT((Per_Clase="Indirecto")*Sal_O*INDEX(Dot_O,0,MIN(10,EK$17))*((Per_Mon="PYG")*EK$19+(Per_Mon&lt;&gt;"PYG")))*(EK$15+EK$16*P_PreInd)*INDEX(IdxSal_O,1,MIN(10,EK$17))*(1+P_Cargas)+EK$53*P_Alim*EK$19</f>
        <v>0</v>
      </c>
      <c r="EL54" s="34" t="n">
        <f aca="false">SUMPRODUCT((Per_Clase="Indirecto")*Sal_O*INDEX(Dot_O,0,MIN(10,EL$17))*((Per_Mon="PYG")*EL$19+(Per_Mon&lt;&gt;"PYG")))*(EL$15+EL$16*P_PreInd)*INDEX(IdxSal_O,1,MIN(10,EL$17))*(1+P_Cargas)+EL$53*P_Alim*EL$19</f>
        <v>0</v>
      </c>
      <c r="EM54" s="34" t="n">
        <f aca="false">SUMPRODUCT((Per_Clase="Indirecto")*Sal_O*INDEX(Dot_O,0,MIN(10,EM$17))*((Per_Mon="PYG")*EM$19+(Per_Mon&lt;&gt;"PYG")))*(EM$15+EM$16*P_PreInd)*INDEX(IdxSal_O,1,MIN(10,EM$17))*(1+P_Cargas)+EM$53*P_Alim*EM$19</f>
        <v>0</v>
      </c>
      <c r="EN54" s="34" t="n">
        <f aca="false">SUMPRODUCT((Per_Clase="Indirecto")*Sal_O*INDEX(Dot_O,0,MIN(10,EN$17))*((Per_Mon="PYG")*EN$19+(Per_Mon&lt;&gt;"PYG")))*(EN$15+EN$16*P_PreInd)*INDEX(IdxSal_O,1,MIN(10,EN$17))*(1+P_Cargas)+EN$53*P_Alim*EN$19</f>
        <v>0</v>
      </c>
      <c r="EO54" s="34" t="n">
        <f aca="false">SUMPRODUCT((Per_Clase="Indirecto")*Sal_O*INDEX(Dot_O,0,MIN(10,EO$17))*((Per_Mon="PYG")*EO$19+(Per_Mon&lt;&gt;"PYG")))*(EO$15+EO$16*P_PreInd)*INDEX(IdxSal_O,1,MIN(10,EO$17))*(1+P_Cargas)+EO$53*P_Alim*EO$19</f>
        <v>0</v>
      </c>
      <c r="EP54" s="34" t="n">
        <f aca="false">SUMPRODUCT((Per_Clase="Indirecto")*Sal_O*INDEX(Dot_O,0,MIN(10,EP$17))*((Per_Mon="PYG")*EP$19+(Per_Mon&lt;&gt;"PYG")))*(EP$15+EP$16*P_PreInd)*INDEX(IdxSal_O,1,MIN(10,EP$17))*(1+P_Cargas)+EP$53*P_Alim*EP$19</f>
        <v>0</v>
      </c>
      <c r="EQ54" s="34" t="n">
        <f aca="false">SUMPRODUCT((Per_Clase="Indirecto")*Sal_O*INDEX(Dot_O,0,MIN(10,EQ$17))*((Per_Mon="PYG")*EQ$19+(Per_Mon&lt;&gt;"PYG")))*(EQ$15+EQ$16*P_PreInd)*INDEX(IdxSal_O,1,MIN(10,EQ$17))*(1+P_Cargas)+EQ$53*P_Alim*EQ$19</f>
        <v>0</v>
      </c>
      <c r="ER54" s="34" t="n">
        <f aca="false">SUMPRODUCT((Per_Clase="Indirecto")*Sal_O*INDEX(Dot_O,0,MIN(10,ER$17))*((Per_Mon="PYG")*ER$19+(Per_Mon&lt;&gt;"PYG")))*(ER$15+ER$16*P_PreInd)*INDEX(IdxSal_O,1,MIN(10,ER$17))*(1+P_Cargas)+ER$53*P_Alim*ER$19</f>
        <v>0</v>
      </c>
      <c r="ES54" s="34" t="n">
        <f aca="false">SUMPRODUCT((Per_Clase="Indirecto")*Sal_O*INDEX(Dot_O,0,MIN(10,ES$17))*((Per_Mon="PYG")*ES$19+(Per_Mon&lt;&gt;"PYG")))*(ES$15+ES$16*P_PreInd)*INDEX(IdxSal_O,1,MIN(10,ES$17))*(1+P_Cargas)+ES$53*P_Alim*ES$19</f>
        <v>0</v>
      </c>
    </row>
    <row r="55" customFormat="false" ht="15" hidden="false" customHeight="false" outlineLevel="0" collapsed="false">
      <c r="A55" s="2" t="s">
        <v>602</v>
      </c>
      <c r="B55" s="6" t="s">
        <v>603</v>
      </c>
      <c r="C55" s="6" t="s">
        <v>595</v>
      </c>
      <c r="F55" s="36" t="n">
        <f aca="false">SUMPRODUCT((Per_Clase="Administración")*INDEX(Dot_O,0,MIN(10,F$17)))*(F$15+F$16*P_PreInd)</f>
        <v>5</v>
      </c>
      <c r="G55" s="36" t="n">
        <f aca="false">SUMPRODUCT((Per_Clase="Administración")*INDEX(Dot_O,0,MIN(10,G$17)))*(G$15+G$16*P_PreInd)</f>
        <v>5</v>
      </c>
      <c r="H55" s="36" t="n">
        <f aca="false">SUMPRODUCT((Per_Clase="Administración")*INDEX(Dot_O,0,MIN(10,H$17)))*(H$15+H$16*P_PreInd)</f>
        <v>5</v>
      </c>
      <c r="I55" s="36" t="n">
        <f aca="false">SUMPRODUCT((Per_Clase="Administración")*INDEX(Dot_O,0,MIN(10,I$17)))*(I$15+I$16*P_PreInd)</f>
        <v>5</v>
      </c>
      <c r="J55" s="36" t="n">
        <f aca="false">SUMPRODUCT((Per_Clase="Administración")*INDEX(Dot_O,0,MIN(10,J$17)))*(J$15+J$16*P_PreInd)</f>
        <v>5</v>
      </c>
      <c r="K55" s="36" t="n">
        <f aca="false">SUMPRODUCT((Per_Clase="Administración")*INDEX(Dot_O,0,MIN(10,K$17)))*(K$15+K$16*P_PreInd)</f>
        <v>5</v>
      </c>
      <c r="L55" s="36" t="n">
        <f aca="false">SUMPRODUCT((Per_Clase="Administración")*INDEX(Dot_O,0,MIN(10,L$17)))*(L$15+L$16*P_PreInd)</f>
        <v>5</v>
      </c>
      <c r="M55" s="36" t="n">
        <f aca="false">SUMPRODUCT((Per_Clase="Administración")*INDEX(Dot_O,0,MIN(10,M$17)))*(M$15+M$16*P_PreInd)</f>
        <v>5</v>
      </c>
      <c r="N55" s="36" t="n">
        <f aca="false">SUMPRODUCT((Per_Clase="Administración")*INDEX(Dot_O,0,MIN(10,N$17)))*(N$15+N$16*P_PreInd)</f>
        <v>5</v>
      </c>
      <c r="O55" s="36" t="n">
        <f aca="false">SUMPRODUCT((Per_Clase="Administración")*INDEX(Dot_O,0,MIN(10,O$17)))*(O$15+O$16*P_PreInd)</f>
        <v>5</v>
      </c>
      <c r="P55" s="36" t="n">
        <f aca="false">SUMPRODUCT((Per_Clase="Administración")*INDEX(Dot_O,0,MIN(10,P$17)))*(P$15+P$16*P_PreInd)</f>
        <v>5</v>
      </c>
      <c r="Q55" s="36" t="n">
        <f aca="false">SUMPRODUCT((Per_Clase="Administración")*INDEX(Dot_O,0,MIN(10,Q$17)))*(Q$15+Q$16*P_PreInd)</f>
        <v>5</v>
      </c>
      <c r="R55" s="36" t="n">
        <f aca="false">SUMPRODUCT((Per_Clase="Administración")*INDEX(Dot_O,0,MIN(10,R$17)))*(R$15+R$16*P_PreInd)</f>
        <v>5</v>
      </c>
      <c r="S55" s="36" t="n">
        <f aca="false">SUMPRODUCT((Per_Clase="Administración")*INDEX(Dot_O,0,MIN(10,S$17)))*(S$15+S$16*P_PreInd)</f>
        <v>5</v>
      </c>
      <c r="T55" s="36" t="n">
        <f aca="false">SUMPRODUCT((Per_Clase="Administración")*INDEX(Dot_O,0,MIN(10,T$17)))*(T$15+T$16*P_PreInd)</f>
        <v>5</v>
      </c>
      <c r="U55" s="36" t="n">
        <f aca="false">SUMPRODUCT((Per_Clase="Administración")*INDEX(Dot_O,0,MIN(10,U$17)))*(U$15+U$16*P_PreInd)</f>
        <v>5</v>
      </c>
      <c r="V55" s="36" t="n">
        <f aca="false">SUMPRODUCT((Per_Clase="Administración")*INDEX(Dot_O,0,MIN(10,V$17)))*(V$15+V$16*P_PreInd)</f>
        <v>5</v>
      </c>
      <c r="W55" s="36" t="n">
        <f aca="false">SUMPRODUCT((Per_Clase="Administración")*INDEX(Dot_O,0,MIN(10,W$17)))*(W$15+W$16*P_PreInd)</f>
        <v>5</v>
      </c>
      <c r="X55" s="36" t="n">
        <f aca="false">SUMPRODUCT((Per_Clase="Administración")*INDEX(Dot_O,0,MIN(10,X$17)))*(X$15+X$16*P_PreInd)</f>
        <v>5</v>
      </c>
      <c r="Y55" s="36" t="n">
        <f aca="false">SUMPRODUCT((Per_Clase="Administración")*INDEX(Dot_O,0,MIN(10,Y$17)))*(Y$15+Y$16*P_PreInd)</f>
        <v>5</v>
      </c>
      <c r="Z55" s="36" t="n">
        <f aca="false">SUMPRODUCT((Per_Clase="Administración")*INDEX(Dot_O,0,MIN(10,Z$17)))*(Z$15+Z$16*P_PreInd)</f>
        <v>5</v>
      </c>
      <c r="AA55" s="36" t="n">
        <f aca="false">SUMPRODUCT((Per_Clase="Administración")*INDEX(Dot_O,0,MIN(10,AA$17)))*(AA$15+AA$16*P_PreInd)</f>
        <v>5</v>
      </c>
      <c r="AB55" s="36" t="n">
        <f aca="false">SUMPRODUCT((Per_Clase="Administración")*INDEX(Dot_O,0,MIN(10,AB$17)))*(AB$15+AB$16*P_PreInd)</f>
        <v>5</v>
      </c>
      <c r="AC55" s="36" t="n">
        <f aca="false">SUMPRODUCT((Per_Clase="Administración")*INDEX(Dot_O,0,MIN(10,AC$17)))*(AC$15+AC$16*P_PreInd)</f>
        <v>5</v>
      </c>
      <c r="AD55" s="36" t="n">
        <f aca="false">SUMPRODUCT((Per_Clase="Administración")*INDEX(Dot_O,0,MIN(10,AD$17)))*(AD$15+AD$16*P_PreInd)</f>
        <v>5</v>
      </c>
      <c r="AE55" s="36" t="n">
        <f aca="false">SUMPRODUCT((Per_Clase="Administración")*INDEX(Dot_O,0,MIN(10,AE$17)))*(AE$15+AE$16*P_PreInd)</f>
        <v>5</v>
      </c>
      <c r="AF55" s="36" t="n">
        <f aca="false">SUMPRODUCT((Per_Clase="Administración")*INDEX(Dot_O,0,MIN(10,AF$17)))*(AF$15+AF$16*P_PreInd)</f>
        <v>5</v>
      </c>
      <c r="AG55" s="36" t="n">
        <f aca="false">SUMPRODUCT((Per_Clase="Administración")*INDEX(Dot_O,0,MIN(10,AG$17)))*(AG$15+AG$16*P_PreInd)</f>
        <v>5</v>
      </c>
      <c r="AH55" s="36" t="n">
        <f aca="false">SUMPRODUCT((Per_Clase="Administración")*INDEX(Dot_O,0,MIN(10,AH$17)))*(AH$15+AH$16*P_PreInd)</f>
        <v>5</v>
      </c>
      <c r="AI55" s="36" t="n">
        <f aca="false">SUMPRODUCT((Per_Clase="Administración")*INDEX(Dot_O,0,MIN(10,AI$17)))*(AI$15+AI$16*P_PreInd)</f>
        <v>5</v>
      </c>
      <c r="AJ55" s="36" t="n">
        <f aca="false">SUMPRODUCT((Per_Clase="Administración")*INDEX(Dot_O,0,MIN(10,AJ$17)))*(AJ$15+AJ$16*P_PreInd)</f>
        <v>5</v>
      </c>
      <c r="AK55" s="36" t="n">
        <f aca="false">SUMPRODUCT((Per_Clase="Administración")*INDEX(Dot_O,0,MIN(10,AK$17)))*(AK$15+AK$16*P_PreInd)</f>
        <v>5</v>
      </c>
      <c r="AL55" s="36" t="n">
        <f aca="false">SUMPRODUCT((Per_Clase="Administración")*INDEX(Dot_O,0,MIN(10,AL$17)))*(AL$15+AL$16*P_PreInd)</f>
        <v>5</v>
      </c>
      <c r="AM55" s="36" t="n">
        <f aca="false">SUMPRODUCT((Per_Clase="Administración")*INDEX(Dot_O,0,MIN(10,AM$17)))*(AM$15+AM$16*P_PreInd)</f>
        <v>5</v>
      </c>
      <c r="AN55" s="36" t="n">
        <f aca="false">SUMPRODUCT((Per_Clase="Administración")*INDEX(Dot_O,0,MIN(10,AN$17)))*(AN$15+AN$16*P_PreInd)</f>
        <v>5</v>
      </c>
      <c r="AO55" s="36" t="n">
        <f aca="false">SUMPRODUCT((Per_Clase="Administración")*INDEX(Dot_O,0,MIN(10,AO$17)))*(AO$15+AO$16*P_PreInd)</f>
        <v>5</v>
      </c>
      <c r="AP55" s="36" t="n">
        <f aca="false">SUMPRODUCT((Per_Clase="Administración")*INDEX(Dot_O,0,MIN(10,AP$17)))*(AP$15+AP$16*P_PreInd)</f>
        <v>5</v>
      </c>
      <c r="AQ55" s="36" t="n">
        <f aca="false">SUMPRODUCT((Per_Clase="Administración")*INDEX(Dot_O,0,MIN(10,AQ$17)))*(AQ$15+AQ$16*P_PreInd)</f>
        <v>5</v>
      </c>
      <c r="AR55" s="36" t="n">
        <f aca="false">SUMPRODUCT((Per_Clase="Administración")*INDEX(Dot_O,0,MIN(10,AR$17)))*(AR$15+AR$16*P_PreInd)</f>
        <v>5</v>
      </c>
      <c r="AS55" s="36" t="n">
        <f aca="false">SUMPRODUCT((Per_Clase="Administración")*INDEX(Dot_O,0,MIN(10,AS$17)))*(AS$15+AS$16*P_PreInd)</f>
        <v>5</v>
      </c>
      <c r="AT55" s="36" t="n">
        <f aca="false">SUMPRODUCT((Per_Clase="Administración")*INDEX(Dot_O,0,MIN(10,AT$17)))*(AT$15+AT$16*P_PreInd)</f>
        <v>5</v>
      </c>
      <c r="AU55" s="36" t="n">
        <f aca="false">SUMPRODUCT((Per_Clase="Administración")*INDEX(Dot_O,0,MIN(10,AU$17)))*(AU$15+AU$16*P_PreInd)</f>
        <v>5</v>
      </c>
      <c r="AV55" s="36" t="n">
        <f aca="false">SUMPRODUCT((Per_Clase="Administración")*INDEX(Dot_O,0,MIN(10,AV$17)))*(AV$15+AV$16*P_PreInd)</f>
        <v>5</v>
      </c>
      <c r="AW55" s="36" t="n">
        <f aca="false">SUMPRODUCT((Per_Clase="Administración")*INDEX(Dot_O,0,MIN(10,AW$17)))*(AW$15+AW$16*P_PreInd)</f>
        <v>5</v>
      </c>
      <c r="AX55" s="36" t="n">
        <f aca="false">SUMPRODUCT((Per_Clase="Administración")*INDEX(Dot_O,0,MIN(10,AX$17)))*(AX$15+AX$16*P_PreInd)</f>
        <v>5</v>
      </c>
      <c r="AY55" s="36" t="n">
        <f aca="false">SUMPRODUCT((Per_Clase="Administración")*INDEX(Dot_O,0,MIN(10,AY$17)))*(AY$15+AY$16*P_PreInd)</f>
        <v>5</v>
      </c>
      <c r="AZ55" s="36" t="n">
        <f aca="false">SUMPRODUCT((Per_Clase="Administración")*INDEX(Dot_O,0,MIN(10,AZ$17)))*(AZ$15+AZ$16*P_PreInd)</f>
        <v>5</v>
      </c>
      <c r="BA55" s="36" t="n">
        <f aca="false">SUMPRODUCT((Per_Clase="Administración")*INDEX(Dot_O,0,MIN(10,BA$17)))*(BA$15+BA$16*P_PreInd)</f>
        <v>5</v>
      </c>
      <c r="BB55" s="36" t="n">
        <f aca="false">SUMPRODUCT((Per_Clase="Administración")*INDEX(Dot_O,0,MIN(10,BB$17)))*(BB$15+BB$16*P_PreInd)</f>
        <v>5</v>
      </c>
      <c r="BC55" s="36" t="n">
        <f aca="false">SUMPRODUCT((Per_Clase="Administración")*INDEX(Dot_O,0,MIN(10,BC$17)))*(BC$15+BC$16*P_PreInd)</f>
        <v>5</v>
      </c>
      <c r="BD55" s="36" t="n">
        <f aca="false">SUMPRODUCT((Per_Clase="Administración")*INDEX(Dot_O,0,MIN(10,BD$17)))*(BD$15+BD$16*P_PreInd)</f>
        <v>5</v>
      </c>
      <c r="BE55" s="36" t="n">
        <f aca="false">SUMPRODUCT((Per_Clase="Administración")*INDEX(Dot_O,0,MIN(10,BE$17)))*(BE$15+BE$16*P_PreInd)</f>
        <v>5</v>
      </c>
      <c r="BF55" s="36" t="n">
        <f aca="false">SUMPRODUCT((Per_Clase="Administración")*INDEX(Dot_O,0,MIN(10,BF$17)))*(BF$15+BF$16*P_PreInd)</f>
        <v>5</v>
      </c>
      <c r="BG55" s="36" t="n">
        <f aca="false">SUMPRODUCT((Per_Clase="Administración")*INDEX(Dot_O,0,MIN(10,BG$17)))*(BG$15+BG$16*P_PreInd)</f>
        <v>5</v>
      </c>
      <c r="BH55" s="36" t="n">
        <f aca="false">SUMPRODUCT((Per_Clase="Administración")*INDEX(Dot_O,0,MIN(10,BH$17)))*(BH$15+BH$16*P_PreInd)</f>
        <v>5</v>
      </c>
      <c r="BI55" s="36" t="n">
        <f aca="false">SUMPRODUCT((Per_Clase="Administración")*INDEX(Dot_O,0,MIN(10,BI$17)))*(BI$15+BI$16*P_PreInd)</f>
        <v>5</v>
      </c>
      <c r="BJ55" s="36" t="n">
        <f aca="false">SUMPRODUCT((Per_Clase="Administración")*INDEX(Dot_O,0,MIN(10,BJ$17)))*(BJ$15+BJ$16*P_PreInd)</f>
        <v>5</v>
      </c>
      <c r="BK55" s="36" t="n">
        <f aca="false">SUMPRODUCT((Per_Clase="Administración")*INDEX(Dot_O,0,MIN(10,BK$17)))*(BK$15+BK$16*P_PreInd)</f>
        <v>5</v>
      </c>
      <c r="BL55" s="36" t="n">
        <f aca="false">SUMPRODUCT((Per_Clase="Administración")*INDEX(Dot_O,0,MIN(10,BL$17)))*(BL$15+BL$16*P_PreInd)</f>
        <v>5</v>
      </c>
      <c r="BM55" s="36" t="n">
        <f aca="false">SUMPRODUCT((Per_Clase="Administración")*INDEX(Dot_O,0,MIN(10,BM$17)))*(BM$15+BM$16*P_PreInd)</f>
        <v>5</v>
      </c>
      <c r="BN55" s="36" t="n">
        <f aca="false">SUMPRODUCT((Per_Clase="Administración")*INDEX(Dot_O,0,MIN(10,BN$17)))*(BN$15+BN$16*P_PreInd)</f>
        <v>5</v>
      </c>
      <c r="BO55" s="36" t="n">
        <f aca="false">SUMPRODUCT((Per_Clase="Administración")*INDEX(Dot_O,0,MIN(10,BO$17)))*(BO$15+BO$16*P_PreInd)</f>
        <v>5</v>
      </c>
      <c r="BP55" s="36" t="n">
        <f aca="false">SUMPRODUCT((Per_Clase="Administración")*INDEX(Dot_O,0,MIN(10,BP$17)))*(BP$15+BP$16*P_PreInd)</f>
        <v>5</v>
      </c>
      <c r="BQ55" s="36" t="n">
        <f aca="false">SUMPRODUCT((Per_Clase="Administración")*INDEX(Dot_O,0,MIN(10,BQ$17)))*(BQ$15+BQ$16*P_PreInd)</f>
        <v>5</v>
      </c>
      <c r="BR55" s="36" t="n">
        <f aca="false">SUMPRODUCT((Per_Clase="Administración")*INDEX(Dot_O,0,MIN(10,BR$17)))*(BR$15+BR$16*P_PreInd)</f>
        <v>5</v>
      </c>
      <c r="BS55" s="36" t="n">
        <f aca="false">SUMPRODUCT((Per_Clase="Administración")*INDEX(Dot_O,0,MIN(10,BS$17)))*(BS$15+BS$16*P_PreInd)</f>
        <v>5</v>
      </c>
      <c r="BT55" s="36" t="n">
        <f aca="false">SUMPRODUCT((Per_Clase="Administración")*INDEX(Dot_O,0,MIN(10,BT$17)))*(BT$15+BT$16*P_PreInd)</f>
        <v>5</v>
      </c>
      <c r="BU55" s="36" t="n">
        <f aca="false">SUMPRODUCT((Per_Clase="Administración")*INDEX(Dot_O,0,MIN(10,BU$17)))*(BU$15+BU$16*P_PreInd)</f>
        <v>5</v>
      </c>
      <c r="BV55" s="36" t="n">
        <f aca="false">SUMPRODUCT((Per_Clase="Administración")*INDEX(Dot_O,0,MIN(10,BV$17)))*(BV$15+BV$16*P_PreInd)</f>
        <v>5</v>
      </c>
      <c r="BW55" s="36" t="n">
        <f aca="false">SUMPRODUCT((Per_Clase="Administración")*INDEX(Dot_O,0,MIN(10,BW$17)))*(BW$15+BW$16*P_PreInd)</f>
        <v>5</v>
      </c>
      <c r="BX55" s="36" t="n">
        <f aca="false">SUMPRODUCT((Per_Clase="Administración")*INDEX(Dot_O,0,MIN(10,BX$17)))*(BX$15+BX$16*P_PreInd)</f>
        <v>5</v>
      </c>
      <c r="BY55" s="36" t="n">
        <f aca="false">SUMPRODUCT((Per_Clase="Administración")*INDEX(Dot_O,0,MIN(10,BY$17)))*(BY$15+BY$16*P_PreInd)</f>
        <v>5</v>
      </c>
      <c r="BZ55" s="36" t="n">
        <f aca="false">SUMPRODUCT((Per_Clase="Administración")*INDEX(Dot_O,0,MIN(10,BZ$17)))*(BZ$15+BZ$16*P_PreInd)</f>
        <v>5</v>
      </c>
      <c r="CA55" s="36" t="n">
        <f aca="false">SUMPRODUCT((Per_Clase="Administración")*INDEX(Dot_O,0,MIN(10,CA$17)))*(CA$15+CA$16*P_PreInd)</f>
        <v>5</v>
      </c>
      <c r="CB55" s="36" t="n">
        <f aca="false">SUMPRODUCT((Per_Clase="Administración")*INDEX(Dot_O,0,MIN(10,CB$17)))*(CB$15+CB$16*P_PreInd)</f>
        <v>5</v>
      </c>
      <c r="CC55" s="36" t="n">
        <f aca="false">SUMPRODUCT((Per_Clase="Administración")*INDEX(Dot_O,0,MIN(10,CC$17)))*(CC$15+CC$16*P_PreInd)</f>
        <v>5</v>
      </c>
      <c r="CD55" s="36" t="n">
        <f aca="false">SUMPRODUCT((Per_Clase="Administración")*INDEX(Dot_O,0,MIN(10,CD$17)))*(CD$15+CD$16*P_PreInd)</f>
        <v>5</v>
      </c>
      <c r="CE55" s="36" t="n">
        <f aca="false">SUMPRODUCT((Per_Clase="Administración")*INDEX(Dot_O,0,MIN(10,CE$17)))*(CE$15+CE$16*P_PreInd)</f>
        <v>5</v>
      </c>
      <c r="CF55" s="36" t="n">
        <f aca="false">SUMPRODUCT((Per_Clase="Administración")*INDEX(Dot_O,0,MIN(10,CF$17)))*(CF$15+CF$16*P_PreInd)</f>
        <v>5</v>
      </c>
      <c r="CG55" s="36" t="n">
        <f aca="false">SUMPRODUCT((Per_Clase="Administración")*INDEX(Dot_O,0,MIN(10,CG$17)))*(CG$15+CG$16*P_PreInd)</f>
        <v>5</v>
      </c>
      <c r="CH55" s="36" t="n">
        <f aca="false">SUMPRODUCT((Per_Clase="Administración")*INDEX(Dot_O,0,MIN(10,CH$17)))*(CH$15+CH$16*P_PreInd)</f>
        <v>5</v>
      </c>
      <c r="CI55" s="36" t="n">
        <f aca="false">SUMPRODUCT((Per_Clase="Administración")*INDEX(Dot_O,0,MIN(10,CI$17)))*(CI$15+CI$16*P_PreInd)</f>
        <v>5</v>
      </c>
      <c r="CJ55" s="36" t="n">
        <f aca="false">SUMPRODUCT((Per_Clase="Administración")*INDEX(Dot_O,0,MIN(10,CJ$17)))*(CJ$15+CJ$16*P_PreInd)</f>
        <v>5</v>
      </c>
      <c r="CK55" s="36" t="n">
        <f aca="false">SUMPRODUCT((Per_Clase="Administración")*INDEX(Dot_O,0,MIN(10,CK$17)))*(CK$15+CK$16*P_PreInd)</f>
        <v>5</v>
      </c>
      <c r="CL55" s="36" t="n">
        <f aca="false">SUMPRODUCT((Per_Clase="Administración")*INDEX(Dot_O,0,MIN(10,CL$17)))*(CL$15+CL$16*P_PreInd)</f>
        <v>5</v>
      </c>
      <c r="CM55" s="36" t="n">
        <f aca="false">SUMPRODUCT((Per_Clase="Administración")*INDEX(Dot_O,0,MIN(10,CM$17)))*(CM$15+CM$16*P_PreInd)</f>
        <v>5</v>
      </c>
      <c r="CN55" s="36" t="n">
        <f aca="false">SUMPRODUCT((Per_Clase="Administración")*INDEX(Dot_O,0,MIN(10,CN$17)))*(CN$15+CN$16*P_PreInd)</f>
        <v>5</v>
      </c>
      <c r="CO55" s="36" t="n">
        <f aca="false">SUMPRODUCT((Per_Clase="Administración")*INDEX(Dot_O,0,MIN(10,CO$17)))*(CO$15+CO$16*P_PreInd)</f>
        <v>5</v>
      </c>
      <c r="CP55" s="36" t="n">
        <f aca="false">SUMPRODUCT((Per_Clase="Administración")*INDEX(Dot_O,0,MIN(10,CP$17)))*(CP$15+CP$16*P_PreInd)</f>
        <v>5</v>
      </c>
      <c r="CQ55" s="36" t="n">
        <f aca="false">SUMPRODUCT((Per_Clase="Administración")*INDEX(Dot_O,0,MIN(10,CQ$17)))*(CQ$15+CQ$16*P_PreInd)</f>
        <v>5</v>
      </c>
      <c r="CR55" s="36" t="n">
        <f aca="false">SUMPRODUCT((Per_Clase="Administración")*INDEX(Dot_O,0,MIN(10,CR$17)))*(CR$15+CR$16*P_PreInd)</f>
        <v>5</v>
      </c>
      <c r="CS55" s="36" t="n">
        <f aca="false">SUMPRODUCT((Per_Clase="Administración")*INDEX(Dot_O,0,MIN(10,CS$17)))*(CS$15+CS$16*P_PreInd)</f>
        <v>5</v>
      </c>
      <c r="CT55" s="36" t="n">
        <f aca="false">SUMPRODUCT((Per_Clase="Administración")*INDEX(Dot_O,0,MIN(10,CT$17)))*(CT$15+CT$16*P_PreInd)</f>
        <v>5</v>
      </c>
      <c r="CU55" s="36" t="n">
        <f aca="false">SUMPRODUCT((Per_Clase="Administración")*INDEX(Dot_O,0,MIN(10,CU$17)))*(CU$15+CU$16*P_PreInd)</f>
        <v>5</v>
      </c>
      <c r="CV55" s="36" t="n">
        <f aca="false">SUMPRODUCT((Per_Clase="Administración")*INDEX(Dot_O,0,MIN(10,CV$17)))*(CV$15+CV$16*P_PreInd)</f>
        <v>5</v>
      </c>
      <c r="CW55" s="36" t="n">
        <f aca="false">SUMPRODUCT((Per_Clase="Administración")*INDEX(Dot_O,0,MIN(10,CW$17)))*(CW$15+CW$16*P_PreInd)</f>
        <v>5</v>
      </c>
      <c r="CX55" s="36" t="n">
        <f aca="false">SUMPRODUCT((Per_Clase="Administración")*INDEX(Dot_O,0,MIN(10,CX$17)))*(CX$15+CX$16*P_PreInd)</f>
        <v>5</v>
      </c>
      <c r="CY55" s="36" t="n">
        <f aca="false">SUMPRODUCT((Per_Clase="Administración")*INDEX(Dot_O,0,MIN(10,CY$17)))*(CY$15+CY$16*P_PreInd)</f>
        <v>5</v>
      </c>
      <c r="CZ55" s="36" t="n">
        <f aca="false">SUMPRODUCT((Per_Clase="Administración")*INDEX(Dot_O,0,MIN(10,CZ$17)))*(CZ$15+CZ$16*P_PreInd)</f>
        <v>5</v>
      </c>
      <c r="DA55" s="36" t="n">
        <f aca="false">SUMPRODUCT((Per_Clase="Administración")*INDEX(Dot_O,0,MIN(10,DA$17)))*(DA$15+DA$16*P_PreInd)</f>
        <v>5</v>
      </c>
      <c r="DB55" s="36" t="n">
        <f aca="false">SUMPRODUCT((Per_Clase="Administración")*INDEX(Dot_O,0,MIN(10,DB$17)))*(DB$15+DB$16*P_PreInd)</f>
        <v>5</v>
      </c>
      <c r="DC55" s="36" t="n">
        <f aca="false">SUMPRODUCT((Per_Clase="Administración")*INDEX(Dot_O,0,MIN(10,DC$17)))*(DC$15+DC$16*P_PreInd)</f>
        <v>5</v>
      </c>
      <c r="DD55" s="36" t="n">
        <f aca="false">SUMPRODUCT((Per_Clase="Administración")*INDEX(Dot_O,0,MIN(10,DD$17)))*(DD$15+DD$16*P_PreInd)</f>
        <v>5</v>
      </c>
      <c r="DE55" s="36" t="n">
        <f aca="false">SUMPRODUCT((Per_Clase="Administración")*INDEX(Dot_O,0,MIN(10,DE$17)))*(DE$15+DE$16*P_PreInd)</f>
        <v>5</v>
      </c>
      <c r="DF55" s="36" t="n">
        <f aca="false">SUMPRODUCT((Per_Clase="Administración")*INDEX(Dot_O,0,MIN(10,DF$17)))*(DF$15+DF$16*P_PreInd)</f>
        <v>5</v>
      </c>
      <c r="DG55" s="36" t="n">
        <f aca="false">SUMPRODUCT((Per_Clase="Administración")*INDEX(Dot_O,0,MIN(10,DG$17)))*(DG$15+DG$16*P_PreInd)</f>
        <v>5</v>
      </c>
      <c r="DH55" s="36" t="n">
        <f aca="false">SUMPRODUCT((Per_Clase="Administración")*INDEX(Dot_O,0,MIN(10,DH$17)))*(DH$15+DH$16*P_PreInd)</f>
        <v>5</v>
      </c>
      <c r="DI55" s="36" t="n">
        <f aca="false">SUMPRODUCT((Per_Clase="Administración")*INDEX(Dot_O,0,MIN(10,DI$17)))*(DI$15+DI$16*P_PreInd)</f>
        <v>5</v>
      </c>
      <c r="DJ55" s="36" t="n">
        <f aca="false">SUMPRODUCT((Per_Clase="Administración")*INDEX(Dot_O,0,MIN(10,DJ$17)))*(DJ$15+DJ$16*P_PreInd)</f>
        <v>5</v>
      </c>
      <c r="DK55" s="36" t="n">
        <f aca="false">SUMPRODUCT((Per_Clase="Administración")*INDEX(Dot_O,0,MIN(10,DK$17)))*(DK$15+DK$16*P_PreInd)</f>
        <v>5</v>
      </c>
      <c r="DL55" s="36" t="n">
        <f aca="false">SUMPRODUCT((Per_Clase="Administración")*INDEX(Dot_O,0,MIN(10,DL$17)))*(DL$15+DL$16*P_PreInd)</f>
        <v>5</v>
      </c>
      <c r="DM55" s="36" t="n">
        <f aca="false">SUMPRODUCT((Per_Clase="Administración")*INDEX(Dot_O,0,MIN(10,DM$17)))*(DM$15+DM$16*P_PreInd)</f>
        <v>5</v>
      </c>
      <c r="DN55" s="36" t="n">
        <f aca="false">SUMPRODUCT((Per_Clase="Administración")*INDEX(Dot_O,0,MIN(10,DN$17)))*(DN$15+DN$16*P_PreInd)</f>
        <v>5</v>
      </c>
      <c r="DO55" s="36" t="n">
        <f aca="false">SUMPRODUCT((Per_Clase="Administración")*INDEX(Dot_O,0,MIN(10,DO$17)))*(DO$15+DO$16*P_PreInd)</f>
        <v>5</v>
      </c>
      <c r="DP55" s="36" t="n">
        <f aca="false">SUMPRODUCT((Per_Clase="Administración")*INDEX(Dot_O,0,MIN(10,DP$17)))*(DP$15+DP$16*P_PreInd)</f>
        <v>5</v>
      </c>
      <c r="DQ55" s="36" t="n">
        <f aca="false">SUMPRODUCT((Per_Clase="Administración")*INDEX(Dot_O,0,MIN(10,DQ$17)))*(DQ$15+DQ$16*P_PreInd)</f>
        <v>5</v>
      </c>
      <c r="DR55" s="36" t="n">
        <f aca="false">SUMPRODUCT((Per_Clase="Administración")*INDEX(Dot_O,0,MIN(10,DR$17)))*(DR$15+DR$16*P_PreInd)</f>
        <v>5</v>
      </c>
      <c r="DS55" s="36" t="n">
        <f aca="false">SUMPRODUCT((Per_Clase="Administración")*INDEX(Dot_O,0,MIN(10,DS$17)))*(DS$15+DS$16*P_PreInd)</f>
        <v>5</v>
      </c>
      <c r="DT55" s="36" t="n">
        <f aca="false">SUMPRODUCT((Per_Clase="Administración")*INDEX(Dot_O,0,MIN(10,DT$17)))*(DT$15+DT$16*P_PreInd)</f>
        <v>5</v>
      </c>
      <c r="DU55" s="36" t="n">
        <f aca="false">SUMPRODUCT((Per_Clase="Administración")*INDEX(Dot_O,0,MIN(10,DU$17)))*(DU$15+DU$16*P_PreInd)</f>
        <v>5</v>
      </c>
      <c r="DV55" s="36" t="n">
        <f aca="false">SUMPRODUCT((Per_Clase="Administración")*INDEX(Dot_O,0,MIN(10,DV$17)))*(DV$15+DV$16*P_PreInd)</f>
        <v>0</v>
      </c>
      <c r="DW55" s="36" t="n">
        <f aca="false">SUMPRODUCT((Per_Clase="Administración")*INDEX(Dot_O,0,MIN(10,DW$17)))*(DW$15+DW$16*P_PreInd)</f>
        <v>0</v>
      </c>
      <c r="DX55" s="36" t="n">
        <f aca="false">SUMPRODUCT((Per_Clase="Administración")*INDEX(Dot_O,0,MIN(10,DX$17)))*(DX$15+DX$16*P_PreInd)</f>
        <v>0</v>
      </c>
      <c r="DY55" s="36" t="n">
        <f aca="false">SUMPRODUCT((Per_Clase="Administración")*INDEX(Dot_O,0,MIN(10,DY$17)))*(DY$15+DY$16*P_PreInd)</f>
        <v>0</v>
      </c>
      <c r="DZ55" s="36" t="n">
        <f aca="false">SUMPRODUCT((Per_Clase="Administración")*INDEX(Dot_O,0,MIN(10,DZ$17)))*(DZ$15+DZ$16*P_PreInd)</f>
        <v>0</v>
      </c>
      <c r="EA55" s="36" t="n">
        <f aca="false">SUMPRODUCT((Per_Clase="Administración")*INDEX(Dot_O,0,MIN(10,EA$17)))*(EA$15+EA$16*P_PreInd)</f>
        <v>0</v>
      </c>
      <c r="EB55" s="36" t="n">
        <f aca="false">SUMPRODUCT((Per_Clase="Administración")*INDEX(Dot_O,0,MIN(10,EB$17)))*(EB$15+EB$16*P_PreInd)</f>
        <v>0</v>
      </c>
      <c r="EC55" s="36" t="n">
        <f aca="false">SUMPRODUCT((Per_Clase="Administración")*INDEX(Dot_O,0,MIN(10,EC$17)))*(EC$15+EC$16*P_PreInd)</f>
        <v>0</v>
      </c>
      <c r="ED55" s="36" t="n">
        <f aca="false">SUMPRODUCT((Per_Clase="Administración")*INDEX(Dot_O,0,MIN(10,ED$17)))*(ED$15+ED$16*P_PreInd)</f>
        <v>0</v>
      </c>
      <c r="EE55" s="36" t="n">
        <f aca="false">SUMPRODUCT((Per_Clase="Administración")*INDEX(Dot_O,0,MIN(10,EE$17)))*(EE$15+EE$16*P_PreInd)</f>
        <v>0</v>
      </c>
      <c r="EF55" s="36" t="n">
        <f aca="false">SUMPRODUCT((Per_Clase="Administración")*INDEX(Dot_O,0,MIN(10,EF$17)))*(EF$15+EF$16*P_PreInd)</f>
        <v>0</v>
      </c>
      <c r="EG55" s="36" t="n">
        <f aca="false">SUMPRODUCT((Per_Clase="Administración")*INDEX(Dot_O,0,MIN(10,EG$17)))*(EG$15+EG$16*P_PreInd)</f>
        <v>0</v>
      </c>
      <c r="EH55" s="36" t="n">
        <f aca="false">SUMPRODUCT((Per_Clase="Administración")*INDEX(Dot_O,0,MIN(10,EH$17)))*(EH$15+EH$16*P_PreInd)</f>
        <v>0</v>
      </c>
      <c r="EI55" s="36" t="n">
        <f aca="false">SUMPRODUCT((Per_Clase="Administración")*INDEX(Dot_O,0,MIN(10,EI$17)))*(EI$15+EI$16*P_PreInd)</f>
        <v>0</v>
      </c>
      <c r="EJ55" s="36" t="n">
        <f aca="false">SUMPRODUCT((Per_Clase="Administración")*INDEX(Dot_O,0,MIN(10,EJ$17)))*(EJ$15+EJ$16*P_PreInd)</f>
        <v>0</v>
      </c>
      <c r="EK55" s="36" t="n">
        <f aca="false">SUMPRODUCT((Per_Clase="Administración")*INDEX(Dot_O,0,MIN(10,EK$17)))*(EK$15+EK$16*P_PreInd)</f>
        <v>0</v>
      </c>
      <c r="EL55" s="36" t="n">
        <f aca="false">SUMPRODUCT((Per_Clase="Administración")*INDEX(Dot_O,0,MIN(10,EL$17)))*(EL$15+EL$16*P_PreInd)</f>
        <v>0</v>
      </c>
      <c r="EM55" s="36" t="n">
        <f aca="false">SUMPRODUCT((Per_Clase="Administración")*INDEX(Dot_O,0,MIN(10,EM$17)))*(EM$15+EM$16*P_PreInd)</f>
        <v>0</v>
      </c>
      <c r="EN55" s="36" t="n">
        <f aca="false">SUMPRODUCT((Per_Clase="Administración")*INDEX(Dot_O,0,MIN(10,EN$17)))*(EN$15+EN$16*P_PreInd)</f>
        <v>0</v>
      </c>
      <c r="EO55" s="36" t="n">
        <f aca="false">SUMPRODUCT((Per_Clase="Administración")*INDEX(Dot_O,0,MIN(10,EO$17)))*(EO$15+EO$16*P_PreInd)</f>
        <v>0</v>
      </c>
      <c r="EP55" s="36" t="n">
        <f aca="false">SUMPRODUCT((Per_Clase="Administración")*INDEX(Dot_O,0,MIN(10,EP$17)))*(EP$15+EP$16*P_PreInd)</f>
        <v>0</v>
      </c>
      <c r="EQ55" s="36" t="n">
        <f aca="false">SUMPRODUCT((Per_Clase="Administración")*INDEX(Dot_O,0,MIN(10,EQ$17)))*(EQ$15+EQ$16*P_PreInd)</f>
        <v>0</v>
      </c>
      <c r="ER55" s="36" t="n">
        <f aca="false">SUMPRODUCT((Per_Clase="Administración")*INDEX(Dot_O,0,MIN(10,ER$17)))*(ER$15+ER$16*P_PreInd)</f>
        <v>0</v>
      </c>
      <c r="ES55" s="36" t="n">
        <f aca="false">SUMPRODUCT((Per_Clase="Administración")*INDEX(Dot_O,0,MIN(10,ES$17)))*(ES$15+ES$16*P_PreInd)</f>
        <v>0</v>
      </c>
    </row>
    <row r="56" customFormat="false" ht="15" hidden="false" customHeight="false" outlineLevel="0" collapsed="false">
      <c r="A56" s="2" t="s">
        <v>604</v>
      </c>
      <c r="B56" s="6" t="s">
        <v>605</v>
      </c>
      <c r="C56" s="6" t="s">
        <v>250</v>
      </c>
      <c r="E56" s="40" t="n">
        <f aca="false">SUM(F56:ES56)</f>
        <v>1075198.52627014</v>
      </c>
      <c r="F56" s="34" t="n">
        <f aca="false">SUMPRODUCT((Per_Clase="Administración")*Sal_O*INDEX(Dot_O,0,MIN(10,F$17))*((Per_Mon="PYG")*F$19+(Per_Mon&lt;&gt;"PYG")))*(F$15+F$16*P_PreInd)*INDEX(IdxSal_O,1,MIN(10,F$17))*(1+P_Cargas)+F$55*P_Alim*F$19</f>
        <v>8959.98771891781</v>
      </c>
      <c r="G56" s="34" t="n">
        <f aca="false">SUMPRODUCT((Per_Clase="Administración")*Sal_O*INDEX(Dot_O,0,MIN(10,G$17))*((Per_Mon="PYG")*G$19+(Per_Mon&lt;&gt;"PYG")))*(G$15+G$16*P_PreInd)*INDEX(IdxSal_O,1,MIN(10,G$17))*(1+P_Cargas)+G$55*P_Alim*G$19</f>
        <v>8959.98771891781</v>
      </c>
      <c r="H56" s="34" t="n">
        <f aca="false">SUMPRODUCT((Per_Clase="Administración")*Sal_O*INDEX(Dot_O,0,MIN(10,H$17))*((Per_Mon="PYG")*H$19+(Per_Mon&lt;&gt;"PYG")))*(H$15+H$16*P_PreInd)*INDEX(IdxSal_O,1,MIN(10,H$17))*(1+P_Cargas)+H$55*P_Alim*H$19</f>
        <v>8959.98771891781</v>
      </c>
      <c r="I56" s="34" t="n">
        <f aca="false">SUMPRODUCT((Per_Clase="Administración")*Sal_O*INDEX(Dot_O,0,MIN(10,I$17))*((Per_Mon="PYG")*I$19+(Per_Mon&lt;&gt;"PYG")))*(I$15+I$16*P_PreInd)*INDEX(IdxSal_O,1,MIN(10,I$17))*(1+P_Cargas)+I$55*P_Alim*I$19</f>
        <v>8959.98771891781</v>
      </c>
      <c r="J56" s="34" t="n">
        <f aca="false">SUMPRODUCT((Per_Clase="Administración")*Sal_O*INDEX(Dot_O,0,MIN(10,J$17))*((Per_Mon="PYG")*J$19+(Per_Mon&lt;&gt;"PYG")))*(J$15+J$16*P_PreInd)*INDEX(IdxSal_O,1,MIN(10,J$17))*(1+P_Cargas)+J$55*P_Alim*J$19</f>
        <v>8959.98771891781</v>
      </c>
      <c r="K56" s="34" t="n">
        <f aca="false">SUMPRODUCT((Per_Clase="Administración")*Sal_O*INDEX(Dot_O,0,MIN(10,K$17))*((Per_Mon="PYG")*K$19+(Per_Mon&lt;&gt;"PYG")))*(K$15+K$16*P_PreInd)*INDEX(IdxSal_O,1,MIN(10,K$17))*(1+P_Cargas)+K$55*P_Alim*K$19</f>
        <v>8959.98771891781</v>
      </c>
      <c r="L56" s="34" t="n">
        <f aca="false">SUMPRODUCT((Per_Clase="Administración")*Sal_O*INDEX(Dot_O,0,MIN(10,L$17))*((Per_Mon="PYG")*L$19+(Per_Mon&lt;&gt;"PYG")))*(L$15+L$16*P_PreInd)*INDEX(IdxSal_O,1,MIN(10,L$17))*(1+P_Cargas)+L$55*P_Alim*L$19</f>
        <v>8959.98771891781</v>
      </c>
      <c r="M56" s="34" t="n">
        <f aca="false">SUMPRODUCT((Per_Clase="Administración")*Sal_O*INDEX(Dot_O,0,MIN(10,M$17))*((Per_Mon="PYG")*M$19+(Per_Mon&lt;&gt;"PYG")))*(M$15+M$16*P_PreInd)*INDEX(IdxSal_O,1,MIN(10,M$17))*(1+P_Cargas)+M$55*P_Alim*M$19</f>
        <v>8959.98771891781</v>
      </c>
      <c r="N56" s="34" t="n">
        <f aca="false">SUMPRODUCT((Per_Clase="Administración")*Sal_O*INDEX(Dot_O,0,MIN(10,N$17))*((Per_Mon="PYG")*N$19+(Per_Mon&lt;&gt;"PYG")))*(N$15+N$16*P_PreInd)*INDEX(IdxSal_O,1,MIN(10,N$17))*(1+P_Cargas)+N$55*P_Alim*N$19</f>
        <v>8959.98771891781</v>
      </c>
      <c r="O56" s="34" t="n">
        <f aca="false">SUMPRODUCT((Per_Clase="Administración")*Sal_O*INDEX(Dot_O,0,MIN(10,O$17))*((Per_Mon="PYG")*O$19+(Per_Mon&lt;&gt;"PYG")))*(O$15+O$16*P_PreInd)*INDEX(IdxSal_O,1,MIN(10,O$17))*(1+P_Cargas)+O$55*P_Alim*O$19</f>
        <v>8959.98771891781</v>
      </c>
      <c r="P56" s="34" t="n">
        <f aca="false">SUMPRODUCT((Per_Clase="Administración")*Sal_O*INDEX(Dot_O,0,MIN(10,P$17))*((Per_Mon="PYG")*P$19+(Per_Mon&lt;&gt;"PYG")))*(P$15+P$16*P_PreInd)*INDEX(IdxSal_O,1,MIN(10,P$17))*(1+P_Cargas)+P$55*P_Alim*P$19</f>
        <v>8959.98771891781</v>
      </c>
      <c r="Q56" s="34" t="n">
        <f aca="false">SUMPRODUCT((Per_Clase="Administración")*Sal_O*INDEX(Dot_O,0,MIN(10,Q$17))*((Per_Mon="PYG")*Q$19+(Per_Mon&lt;&gt;"PYG")))*(Q$15+Q$16*P_PreInd)*INDEX(IdxSal_O,1,MIN(10,Q$17))*(1+P_Cargas)+Q$55*P_Alim*Q$19</f>
        <v>8959.98771891781</v>
      </c>
      <c r="R56" s="34" t="n">
        <f aca="false">SUMPRODUCT((Per_Clase="Administración")*Sal_O*INDEX(Dot_O,0,MIN(10,R$17))*((Per_Mon="PYG")*R$19+(Per_Mon&lt;&gt;"PYG")))*(R$15+R$16*P_PreInd)*INDEX(IdxSal_O,1,MIN(10,R$17))*(1+P_Cargas)+R$55*P_Alim*R$19</f>
        <v>8959.98771891781</v>
      </c>
      <c r="S56" s="34" t="n">
        <f aca="false">SUMPRODUCT((Per_Clase="Administración")*Sal_O*INDEX(Dot_O,0,MIN(10,S$17))*((Per_Mon="PYG")*S$19+(Per_Mon&lt;&gt;"PYG")))*(S$15+S$16*P_PreInd)*INDEX(IdxSal_O,1,MIN(10,S$17))*(1+P_Cargas)+S$55*P_Alim*S$19</f>
        <v>8959.98771891781</v>
      </c>
      <c r="T56" s="34" t="n">
        <f aca="false">SUMPRODUCT((Per_Clase="Administración")*Sal_O*INDEX(Dot_O,0,MIN(10,T$17))*((Per_Mon="PYG")*T$19+(Per_Mon&lt;&gt;"PYG")))*(T$15+T$16*P_PreInd)*INDEX(IdxSal_O,1,MIN(10,T$17))*(1+P_Cargas)+T$55*P_Alim*T$19</f>
        <v>8959.98771891781</v>
      </c>
      <c r="U56" s="34" t="n">
        <f aca="false">SUMPRODUCT((Per_Clase="Administración")*Sal_O*INDEX(Dot_O,0,MIN(10,U$17))*((Per_Mon="PYG")*U$19+(Per_Mon&lt;&gt;"PYG")))*(U$15+U$16*P_PreInd)*INDEX(IdxSal_O,1,MIN(10,U$17))*(1+P_Cargas)+U$55*P_Alim*U$19</f>
        <v>8959.98771891781</v>
      </c>
      <c r="V56" s="34" t="n">
        <f aca="false">SUMPRODUCT((Per_Clase="Administración")*Sal_O*INDEX(Dot_O,0,MIN(10,V$17))*((Per_Mon="PYG")*V$19+(Per_Mon&lt;&gt;"PYG")))*(V$15+V$16*P_PreInd)*INDEX(IdxSal_O,1,MIN(10,V$17))*(1+P_Cargas)+V$55*P_Alim*V$19</f>
        <v>8959.98771891781</v>
      </c>
      <c r="W56" s="34" t="n">
        <f aca="false">SUMPRODUCT((Per_Clase="Administración")*Sal_O*INDEX(Dot_O,0,MIN(10,W$17))*((Per_Mon="PYG")*W$19+(Per_Mon&lt;&gt;"PYG")))*(W$15+W$16*P_PreInd)*INDEX(IdxSal_O,1,MIN(10,W$17))*(1+P_Cargas)+W$55*P_Alim*W$19</f>
        <v>8959.98771891781</v>
      </c>
      <c r="X56" s="34" t="n">
        <f aca="false">SUMPRODUCT((Per_Clase="Administración")*Sal_O*INDEX(Dot_O,0,MIN(10,X$17))*((Per_Mon="PYG")*X$19+(Per_Mon&lt;&gt;"PYG")))*(X$15+X$16*P_PreInd)*INDEX(IdxSal_O,1,MIN(10,X$17))*(1+P_Cargas)+X$55*P_Alim*X$19</f>
        <v>8959.98771891781</v>
      </c>
      <c r="Y56" s="34" t="n">
        <f aca="false">SUMPRODUCT((Per_Clase="Administración")*Sal_O*INDEX(Dot_O,0,MIN(10,Y$17))*((Per_Mon="PYG")*Y$19+(Per_Mon&lt;&gt;"PYG")))*(Y$15+Y$16*P_PreInd)*INDEX(IdxSal_O,1,MIN(10,Y$17))*(1+P_Cargas)+Y$55*P_Alim*Y$19</f>
        <v>8959.98771891781</v>
      </c>
      <c r="Z56" s="34" t="n">
        <f aca="false">SUMPRODUCT((Per_Clase="Administración")*Sal_O*INDEX(Dot_O,0,MIN(10,Z$17))*((Per_Mon="PYG")*Z$19+(Per_Mon&lt;&gt;"PYG")))*(Z$15+Z$16*P_PreInd)*INDEX(IdxSal_O,1,MIN(10,Z$17))*(1+P_Cargas)+Z$55*P_Alim*Z$19</f>
        <v>8959.98771891781</v>
      </c>
      <c r="AA56" s="34" t="n">
        <f aca="false">SUMPRODUCT((Per_Clase="Administración")*Sal_O*INDEX(Dot_O,0,MIN(10,AA$17))*((Per_Mon="PYG")*AA$19+(Per_Mon&lt;&gt;"PYG")))*(AA$15+AA$16*P_PreInd)*INDEX(IdxSal_O,1,MIN(10,AA$17))*(1+P_Cargas)+AA$55*P_Alim*AA$19</f>
        <v>8959.98771891781</v>
      </c>
      <c r="AB56" s="34" t="n">
        <f aca="false">SUMPRODUCT((Per_Clase="Administración")*Sal_O*INDEX(Dot_O,0,MIN(10,AB$17))*((Per_Mon="PYG")*AB$19+(Per_Mon&lt;&gt;"PYG")))*(AB$15+AB$16*P_PreInd)*INDEX(IdxSal_O,1,MIN(10,AB$17))*(1+P_Cargas)+AB$55*P_Alim*AB$19</f>
        <v>8959.98771891781</v>
      </c>
      <c r="AC56" s="34" t="n">
        <f aca="false">SUMPRODUCT((Per_Clase="Administración")*Sal_O*INDEX(Dot_O,0,MIN(10,AC$17))*((Per_Mon="PYG")*AC$19+(Per_Mon&lt;&gt;"PYG")))*(AC$15+AC$16*P_PreInd)*INDEX(IdxSal_O,1,MIN(10,AC$17))*(1+P_Cargas)+AC$55*P_Alim*AC$19</f>
        <v>8959.98771891781</v>
      </c>
      <c r="AD56" s="34" t="n">
        <f aca="false">SUMPRODUCT((Per_Clase="Administración")*Sal_O*INDEX(Dot_O,0,MIN(10,AD$17))*((Per_Mon="PYG")*AD$19+(Per_Mon&lt;&gt;"PYG")))*(AD$15+AD$16*P_PreInd)*INDEX(IdxSal_O,1,MIN(10,AD$17))*(1+P_Cargas)+AD$55*P_Alim*AD$19</f>
        <v>8959.98771891781</v>
      </c>
      <c r="AE56" s="34" t="n">
        <f aca="false">SUMPRODUCT((Per_Clase="Administración")*Sal_O*INDEX(Dot_O,0,MIN(10,AE$17))*((Per_Mon="PYG")*AE$19+(Per_Mon&lt;&gt;"PYG")))*(AE$15+AE$16*P_PreInd)*INDEX(IdxSal_O,1,MIN(10,AE$17))*(1+P_Cargas)+AE$55*P_Alim*AE$19</f>
        <v>8959.98771891781</v>
      </c>
      <c r="AF56" s="34" t="n">
        <f aca="false">SUMPRODUCT((Per_Clase="Administración")*Sal_O*INDEX(Dot_O,0,MIN(10,AF$17))*((Per_Mon="PYG")*AF$19+(Per_Mon&lt;&gt;"PYG")))*(AF$15+AF$16*P_PreInd)*INDEX(IdxSal_O,1,MIN(10,AF$17))*(1+P_Cargas)+AF$55*P_Alim*AF$19</f>
        <v>8959.98771891781</v>
      </c>
      <c r="AG56" s="34" t="n">
        <f aca="false">SUMPRODUCT((Per_Clase="Administración")*Sal_O*INDEX(Dot_O,0,MIN(10,AG$17))*((Per_Mon="PYG")*AG$19+(Per_Mon&lt;&gt;"PYG")))*(AG$15+AG$16*P_PreInd)*INDEX(IdxSal_O,1,MIN(10,AG$17))*(1+P_Cargas)+AG$55*P_Alim*AG$19</f>
        <v>8959.98771891781</v>
      </c>
      <c r="AH56" s="34" t="n">
        <f aca="false">SUMPRODUCT((Per_Clase="Administración")*Sal_O*INDEX(Dot_O,0,MIN(10,AH$17))*((Per_Mon="PYG")*AH$19+(Per_Mon&lt;&gt;"PYG")))*(AH$15+AH$16*P_PreInd)*INDEX(IdxSal_O,1,MIN(10,AH$17))*(1+P_Cargas)+AH$55*P_Alim*AH$19</f>
        <v>8959.98771891781</v>
      </c>
      <c r="AI56" s="34" t="n">
        <f aca="false">SUMPRODUCT((Per_Clase="Administración")*Sal_O*INDEX(Dot_O,0,MIN(10,AI$17))*((Per_Mon="PYG")*AI$19+(Per_Mon&lt;&gt;"PYG")))*(AI$15+AI$16*P_PreInd)*INDEX(IdxSal_O,1,MIN(10,AI$17))*(1+P_Cargas)+AI$55*P_Alim*AI$19</f>
        <v>8959.98771891781</v>
      </c>
      <c r="AJ56" s="34" t="n">
        <f aca="false">SUMPRODUCT((Per_Clase="Administración")*Sal_O*INDEX(Dot_O,0,MIN(10,AJ$17))*((Per_Mon="PYG")*AJ$19+(Per_Mon&lt;&gt;"PYG")))*(AJ$15+AJ$16*P_PreInd)*INDEX(IdxSal_O,1,MIN(10,AJ$17))*(1+P_Cargas)+AJ$55*P_Alim*AJ$19</f>
        <v>8959.98771891781</v>
      </c>
      <c r="AK56" s="34" t="n">
        <f aca="false">SUMPRODUCT((Per_Clase="Administración")*Sal_O*INDEX(Dot_O,0,MIN(10,AK$17))*((Per_Mon="PYG")*AK$19+(Per_Mon&lt;&gt;"PYG")))*(AK$15+AK$16*P_PreInd)*INDEX(IdxSal_O,1,MIN(10,AK$17))*(1+P_Cargas)+AK$55*P_Alim*AK$19</f>
        <v>8959.98771891781</v>
      </c>
      <c r="AL56" s="34" t="n">
        <f aca="false">SUMPRODUCT((Per_Clase="Administración")*Sal_O*INDEX(Dot_O,0,MIN(10,AL$17))*((Per_Mon="PYG")*AL$19+(Per_Mon&lt;&gt;"PYG")))*(AL$15+AL$16*P_PreInd)*INDEX(IdxSal_O,1,MIN(10,AL$17))*(1+P_Cargas)+AL$55*P_Alim*AL$19</f>
        <v>8959.98771891781</v>
      </c>
      <c r="AM56" s="34" t="n">
        <f aca="false">SUMPRODUCT((Per_Clase="Administración")*Sal_O*INDEX(Dot_O,0,MIN(10,AM$17))*((Per_Mon="PYG")*AM$19+(Per_Mon&lt;&gt;"PYG")))*(AM$15+AM$16*P_PreInd)*INDEX(IdxSal_O,1,MIN(10,AM$17))*(1+P_Cargas)+AM$55*P_Alim*AM$19</f>
        <v>8959.98771891781</v>
      </c>
      <c r="AN56" s="34" t="n">
        <f aca="false">SUMPRODUCT((Per_Clase="Administración")*Sal_O*INDEX(Dot_O,0,MIN(10,AN$17))*((Per_Mon="PYG")*AN$19+(Per_Mon&lt;&gt;"PYG")))*(AN$15+AN$16*P_PreInd)*INDEX(IdxSal_O,1,MIN(10,AN$17))*(1+P_Cargas)+AN$55*P_Alim*AN$19</f>
        <v>8959.98771891781</v>
      </c>
      <c r="AO56" s="34" t="n">
        <f aca="false">SUMPRODUCT((Per_Clase="Administración")*Sal_O*INDEX(Dot_O,0,MIN(10,AO$17))*((Per_Mon="PYG")*AO$19+(Per_Mon&lt;&gt;"PYG")))*(AO$15+AO$16*P_PreInd)*INDEX(IdxSal_O,1,MIN(10,AO$17))*(1+P_Cargas)+AO$55*P_Alim*AO$19</f>
        <v>8959.98771891781</v>
      </c>
      <c r="AP56" s="34" t="n">
        <f aca="false">SUMPRODUCT((Per_Clase="Administración")*Sal_O*INDEX(Dot_O,0,MIN(10,AP$17))*((Per_Mon="PYG")*AP$19+(Per_Mon&lt;&gt;"PYG")))*(AP$15+AP$16*P_PreInd)*INDEX(IdxSal_O,1,MIN(10,AP$17))*(1+P_Cargas)+AP$55*P_Alim*AP$19</f>
        <v>8959.98771891781</v>
      </c>
      <c r="AQ56" s="34" t="n">
        <f aca="false">SUMPRODUCT((Per_Clase="Administración")*Sal_O*INDEX(Dot_O,0,MIN(10,AQ$17))*((Per_Mon="PYG")*AQ$19+(Per_Mon&lt;&gt;"PYG")))*(AQ$15+AQ$16*P_PreInd)*INDEX(IdxSal_O,1,MIN(10,AQ$17))*(1+P_Cargas)+AQ$55*P_Alim*AQ$19</f>
        <v>8959.98771891781</v>
      </c>
      <c r="AR56" s="34" t="n">
        <f aca="false">SUMPRODUCT((Per_Clase="Administración")*Sal_O*INDEX(Dot_O,0,MIN(10,AR$17))*((Per_Mon="PYG")*AR$19+(Per_Mon&lt;&gt;"PYG")))*(AR$15+AR$16*P_PreInd)*INDEX(IdxSal_O,1,MIN(10,AR$17))*(1+P_Cargas)+AR$55*P_Alim*AR$19</f>
        <v>8959.98771891781</v>
      </c>
      <c r="AS56" s="34" t="n">
        <f aca="false">SUMPRODUCT((Per_Clase="Administración")*Sal_O*INDEX(Dot_O,0,MIN(10,AS$17))*((Per_Mon="PYG")*AS$19+(Per_Mon&lt;&gt;"PYG")))*(AS$15+AS$16*P_PreInd)*INDEX(IdxSal_O,1,MIN(10,AS$17))*(1+P_Cargas)+AS$55*P_Alim*AS$19</f>
        <v>8959.98771891781</v>
      </c>
      <c r="AT56" s="34" t="n">
        <f aca="false">SUMPRODUCT((Per_Clase="Administración")*Sal_O*INDEX(Dot_O,0,MIN(10,AT$17))*((Per_Mon="PYG")*AT$19+(Per_Mon&lt;&gt;"PYG")))*(AT$15+AT$16*P_PreInd)*INDEX(IdxSal_O,1,MIN(10,AT$17))*(1+P_Cargas)+AT$55*P_Alim*AT$19</f>
        <v>8959.98771891781</v>
      </c>
      <c r="AU56" s="34" t="n">
        <f aca="false">SUMPRODUCT((Per_Clase="Administración")*Sal_O*INDEX(Dot_O,0,MIN(10,AU$17))*((Per_Mon="PYG")*AU$19+(Per_Mon&lt;&gt;"PYG")))*(AU$15+AU$16*P_PreInd)*INDEX(IdxSal_O,1,MIN(10,AU$17))*(1+P_Cargas)+AU$55*P_Alim*AU$19</f>
        <v>8959.98771891781</v>
      </c>
      <c r="AV56" s="34" t="n">
        <f aca="false">SUMPRODUCT((Per_Clase="Administración")*Sal_O*INDEX(Dot_O,0,MIN(10,AV$17))*((Per_Mon="PYG")*AV$19+(Per_Mon&lt;&gt;"PYG")))*(AV$15+AV$16*P_PreInd)*INDEX(IdxSal_O,1,MIN(10,AV$17))*(1+P_Cargas)+AV$55*P_Alim*AV$19</f>
        <v>8959.98771891781</v>
      </c>
      <c r="AW56" s="34" t="n">
        <f aca="false">SUMPRODUCT((Per_Clase="Administración")*Sal_O*INDEX(Dot_O,0,MIN(10,AW$17))*((Per_Mon="PYG")*AW$19+(Per_Mon&lt;&gt;"PYG")))*(AW$15+AW$16*P_PreInd)*INDEX(IdxSal_O,1,MIN(10,AW$17))*(1+P_Cargas)+AW$55*P_Alim*AW$19</f>
        <v>8959.98771891781</v>
      </c>
      <c r="AX56" s="34" t="n">
        <f aca="false">SUMPRODUCT((Per_Clase="Administración")*Sal_O*INDEX(Dot_O,0,MIN(10,AX$17))*((Per_Mon="PYG")*AX$19+(Per_Mon&lt;&gt;"PYG")))*(AX$15+AX$16*P_PreInd)*INDEX(IdxSal_O,1,MIN(10,AX$17))*(1+P_Cargas)+AX$55*P_Alim*AX$19</f>
        <v>8959.98771891781</v>
      </c>
      <c r="AY56" s="34" t="n">
        <f aca="false">SUMPRODUCT((Per_Clase="Administración")*Sal_O*INDEX(Dot_O,0,MIN(10,AY$17))*((Per_Mon="PYG")*AY$19+(Per_Mon&lt;&gt;"PYG")))*(AY$15+AY$16*P_PreInd)*INDEX(IdxSal_O,1,MIN(10,AY$17))*(1+P_Cargas)+AY$55*P_Alim*AY$19</f>
        <v>8959.98771891781</v>
      </c>
      <c r="AZ56" s="34" t="n">
        <f aca="false">SUMPRODUCT((Per_Clase="Administración")*Sal_O*INDEX(Dot_O,0,MIN(10,AZ$17))*((Per_Mon="PYG")*AZ$19+(Per_Mon&lt;&gt;"PYG")))*(AZ$15+AZ$16*P_PreInd)*INDEX(IdxSal_O,1,MIN(10,AZ$17))*(1+P_Cargas)+AZ$55*P_Alim*AZ$19</f>
        <v>8959.98771891781</v>
      </c>
      <c r="BA56" s="34" t="n">
        <f aca="false">SUMPRODUCT((Per_Clase="Administración")*Sal_O*INDEX(Dot_O,0,MIN(10,BA$17))*((Per_Mon="PYG")*BA$19+(Per_Mon&lt;&gt;"PYG")))*(BA$15+BA$16*P_PreInd)*INDEX(IdxSal_O,1,MIN(10,BA$17))*(1+P_Cargas)+BA$55*P_Alim*BA$19</f>
        <v>8959.98771891781</v>
      </c>
      <c r="BB56" s="34" t="n">
        <f aca="false">SUMPRODUCT((Per_Clase="Administración")*Sal_O*INDEX(Dot_O,0,MIN(10,BB$17))*((Per_Mon="PYG")*BB$19+(Per_Mon&lt;&gt;"PYG")))*(BB$15+BB$16*P_PreInd)*INDEX(IdxSal_O,1,MIN(10,BB$17))*(1+P_Cargas)+BB$55*P_Alim*BB$19</f>
        <v>8959.98771891781</v>
      </c>
      <c r="BC56" s="34" t="n">
        <f aca="false">SUMPRODUCT((Per_Clase="Administración")*Sal_O*INDEX(Dot_O,0,MIN(10,BC$17))*((Per_Mon="PYG")*BC$19+(Per_Mon&lt;&gt;"PYG")))*(BC$15+BC$16*P_PreInd)*INDEX(IdxSal_O,1,MIN(10,BC$17))*(1+P_Cargas)+BC$55*P_Alim*BC$19</f>
        <v>8959.98771891781</v>
      </c>
      <c r="BD56" s="34" t="n">
        <f aca="false">SUMPRODUCT((Per_Clase="Administración")*Sal_O*INDEX(Dot_O,0,MIN(10,BD$17))*((Per_Mon="PYG")*BD$19+(Per_Mon&lt;&gt;"PYG")))*(BD$15+BD$16*P_PreInd)*INDEX(IdxSal_O,1,MIN(10,BD$17))*(1+P_Cargas)+BD$55*P_Alim*BD$19</f>
        <v>8959.98771891781</v>
      </c>
      <c r="BE56" s="34" t="n">
        <f aca="false">SUMPRODUCT((Per_Clase="Administración")*Sal_O*INDEX(Dot_O,0,MIN(10,BE$17))*((Per_Mon="PYG")*BE$19+(Per_Mon&lt;&gt;"PYG")))*(BE$15+BE$16*P_PreInd)*INDEX(IdxSal_O,1,MIN(10,BE$17))*(1+P_Cargas)+BE$55*P_Alim*BE$19</f>
        <v>8959.98771891781</v>
      </c>
      <c r="BF56" s="34" t="n">
        <f aca="false">SUMPRODUCT((Per_Clase="Administración")*Sal_O*INDEX(Dot_O,0,MIN(10,BF$17))*((Per_Mon="PYG")*BF$19+(Per_Mon&lt;&gt;"PYG")))*(BF$15+BF$16*P_PreInd)*INDEX(IdxSal_O,1,MIN(10,BF$17))*(1+P_Cargas)+BF$55*P_Alim*BF$19</f>
        <v>8959.98771891781</v>
      </c>
      <c r="BG56" s="34" t="n">
        <f aca="false">SUMPRODUCT((Per_Clase="Administración")*Sal_O*INDEX(Dot_O,0,MIN(10,BG$17))*((Per_Mon="PYG")*BG$19+(Per_Mon&lt;&gt;"PYG")))*(BG$15+BG$16*P_PreInd)*INDEX(IdxSal_O,1,MIN(10,BG$17))*(1+P_Cargas)+BG$55*P_Alim*BG$19</f>
        <v>8959.98771891781</v>
      </c>
      <c r="BH56" s="34" t="n">
        <f aca="false">SUMPRODUCT((Per_Clase="Administración")*Sal_O*INDEX(Dot_O,0,MIN(10,BH$17))*((Per_Mon="PYG")*BH$19+(Per_Mon&lt;&gt;"PYG")))*(BH$15+BH$16*P_PreInd)*INDEX(IdxSal_O,1,MIN(10,BH$17))*(1+P_Cargas)+BH$55*P_Alim*BH$19</f>
        <v>8959.98771891781</v>
      </c>
      <c r="BI56" s="34" t="n">
        <f aca="false">SUMPRODUCT((Per_Clase="Administración")*Sal_O*INDEX(Dot_O,0,MIN(10,BI$17))*((Per_Mon="PYG")*BI$19+(Per_Mon&lt;&gt;"PYG")))*(BI$15+BI$16*P_PreInd)*INDEX(IdxSal_O,1,MIN(10,BI$17))*(1+P_Cargas)+BI$55*P_Alim*BI$19</f>
        <v>8959.98771891781</v>
      </c>
      <c r="BJ56" s="34" t="n">
        <f aca="false">SUMPRODUCT((Per_Clase="Administración")*Sal_O*INDEX(Dot_O,0,MIN(10,BJ$17))*((Per_Mon="PYG")*BJ$19+(Per_Mon&lt;&gt;"PYG")))*(BJ$15+BJ$16*P_PreInd)*INDEX(IdxSal_O,1,MIN(10,BJ$17))*(1+P_Cargas)+BJ$55*P_Alim*BJ$19</f>
        <v>8959.98771891781</v>
      </c>
      <c r="BK56" s="34" t="n">
        <f aca="false">SUMPRODUCT((Per_Clase="Administración")*Sal_O*INDEX(Dot_O,0,MIN(10,BK$17))*((Per_Mon="PYG")*BK$19+(Per_Mon&lt;&gt;"PYG")))*(BK$15+BK$16*P_PreInd)*INDEX(IdxSal_O,1,MIN(10,BK$17))*(1+P_Cargas)+BK$55*P_Alim*BK$19</f>
        <v>8959.98771891781</v>
      </c>
      <c r="BL56" s="34" t="n">
        <f aca="false">SUMPRODUCT((Per_Clase="Administración")*Sal_O*INDEX(Dot_O,0,MIN(10,BL$17))*((Per_Mon="PYG")*BL$19+(Per_Mon&lt;&gt;"PYG")))*(BL$15+BL$16*P_PreInd)*INDEX(IdxSal_O,1,MIN(10,BL$17))*(1+P_Cargas)+BL$55*P_Alim*BL$19</f>
        <v>8959.98771891781</v>
      </c>
      <c r="BM56" s="34" t="n">
        <f aca="false">SUMPRODUCT((Per_Clase="Administración")*Sal_O*INDEX(Dot_O,0,MIN(10,BM$17))*((Per_Mon="PYG")*BM$19+(Per_Mon&lt;&gt;"PYG")))*(BM$15+BM$16*P_PreInd)*INDEX(IdxSal_O,1,MIN(10,BM$17))*(1+P_Cargas)+BM$55*P_Alim*BM$19</f>
        <v>8959.98771891781</v>
      </c>
      <c r="BN56" s="34" t="n">
        <f aca="false">SUMPRODUCT((Per_Clase="Administración")*Sal_O*INDEX(Dot_O,0,MIN(10,BN$17))*((Per_Mon="PYG")*BN$19+(Per_Mon&lt;&gt;"PYG")))*(BN$15+BN$16*P_PreInd)*INDEX(IdxSal_O,1,MIN(10,BN$17))*(1+P_Cargas)+BN$55*P_Alim*BN$19</f>
        <v>8959.98771891781</v>
      </c>
      <c r="BO56" s="34" t="n">
        <f aca="false">SUMPRODUCT((Per_Clase="Administración")*Sal_O*INDEX(Dot_O,0,MIN(10,BO$17))*((Per_Mon="PYG")*BO$19+(Per_Mon&lt;&gt;"PYG")))*(BO$15+BO$16*P_PreInd)*INDEX(IdxSal_O,1,MIN(10,BO$17))*(1+P_Cargas)+BO$55*P_Alim*BO$19</f>
        <v>8959.98771891781</v>
      </c>
      <c r="BP56" s="34" t="n">
        <f aca="false">SUMPRODUCT((Per_Clase="Administración")*Sal_O*INDEX(Dot_O,0,MIN(10,BP$17))*((Per_Mon="PYG")*BP$19+(Per_Mon&lt;&gt;"PYG")))*(BP$15+BP$16*P_PreInd)*INDEX(IdxSal_O,1,MIN(10,BP$17))*(1+P_Cargas)+BP$55*P_Alim*BP$19</f>
        <v>8959.98771891781</v>
      </c>
      <c r="BQ56" s="34" t="n">
        <f aca="false">SUMPRODUCT((Per_Clase="Administración")*Sal_O*INDEX(Dot_O,0,MIN(10,BQ$17))*((Per_Mon="PYG")*BQ$19+(Per_Mon&lt;&gt;"PYG")))*(BQ$15+BQ$16*P_PreInd)*INDEX(IdxSal_O,1,MIN(10,BQ$17))*(1+P_Cargas)+BQ$55*P_Alim*BQ$19</f>
        <v>8959.98771891781</v>
      </c>
      <c r="BR56" s="34" t="n">
        <f aca="false">SUMPRODUCT((Per_Clase="Administración")*Sal_O*INDEX(Dot_O,0,MIN(10,BR$17))*((Per_Mon="PYG")*BR$19+(Per_Mon&lt;&gt;"PYG")))*(BR$15+BR$16*P_PreInd)*INDEX(IdxSal_O,1,MIN(10,BR$17))*(1+P_Cargas)+BR$55*P_Alim*BR$19</f>
        <v>8959.98771891781</v>
      </c>
      <c r="BS56" s="34" t="n">
        <f aca="false">SUMPRODUCT((Per_Clase="Administración")*Sal_O*INDEX(Dot_O,0,MIN(10,BS$17))*((Per_Mon="PYG")*BS$19+(Per_Mon&lt;&gt;"PYG")))*(BS$15+BS$16*P_PreInd)*INDEX(IdxSal_O,1,MIN(10,BS$17))*(1+P_Cargas)+BS$55*P_Alim*BS$19</f>
        <v>8959.98771891781</v>
      </c>
      <c r="BT56" s="34" t="n">
        <f aca="false">SUMPRODUCT((Per_Clase="Administración")*Sal_O*INDEX(Dot_O,0,MIN(10,BT$17))*((Per_Mon="PYG")*BT$19+(Per_Mon&lt;&gt;"PYG")))*(BT$15+BT$16*P_PreInd)*INDEX(IdxSal_O,1,MIN(10,BT$17))*(1+P_Cargas)+BT$55*P_Alim*BT$19</f>
        <v>8959.98771891781</v>
      </c>
      <c r="BU56" s="34" t="n">
        <f aca="false">SUMPRODUCT((Per_Clase="Administración")*Sal_O*INDEX(Dot_O,0,MIN(10,BU$17))*((Per_Mon="PYG")*BU$19+(Per_Mon&lt;&gt;"PYG")))*(BU$15+BU$16*P_PreInd)*INDEX(IdxSal_O,1,MIN(10,BU$17))*(1+P_Cargas)+BU$55*P_Alim*BU$19</f>
        <v>8959.98771891781</v>
      </c>
      <c r="BV56" s="34" t="n">
        <f aca="false">SUMPRODUCT((Per_Clase="Administración")*Sal_O*INDEX(Dot_O,0,MIN(10,BV$17))*((Per_Mon="PYG")*BV$19+(Per_Mon&lt;&gt;"PYG")))*(BV$15+BV$16*P_PreInd)*INDEX(IdxSal_O,1,MIN(10,BV$17))*(1+P_Cargas)+BV$55*P_Alim*BV$19</f>
        <v>8959.98771891781</v>
      </c>
      <c r="BW56" s="34" t="n">
        <f aca="false">SUMPRODUCT((Per_Clase="Administración")*Sal_O*INDEX(Dot_O,0,MIN(10,BW$17))*((Per_Mon="PYG")*BW$19+(Per_Mon&lt;&gt;"PYG")))*(BW$15+BW$16*P_PreInd)*INDEX(IdxSal_O,1,MIN(10,BW$17))*(1+P_Cargas)+BW$55*P_Alim*BW$19</f>
        <v>8959.98771891781</v>
      </c>
      <c r="BX56" s="34" t="n">
        <f aca="false">SUMPRODUCT((Per_Clase="Administración")*Sal_O*INDEX(Dot_O,0,MIN(10,BX$17))*((Per_Mon="PYG")*BX$19+(Per_Mon&lt;&gt;"PYG")))*(BX$15+BX$16*P_PreInd)*INDEX(IdxSal_O,1,MIN(10,BX$17))*(1+P_Cargas)+BX$55*P_Alim*BX$19</f>
        <v>8959.98771891781</v>
      </c>
      <c r="BY56" s="34" t="n">
        <f aca="false">SUMPRODUCT((Per_Clase="Administración")*Sal_O*INDEX(Dot_O,0,MIN(10,BY$17))*((Per_Mon="PYG")*BY$19+(Per_Mon&lt;&gt;"PYG")))*(BY$15+BY$16*P_PreInd)*INDEX(IdxSal_O,1,MIN(10,BY$17))*(1+P_Cargas)+BY$55*P_Alim*BY$19</f>
        <v>8959.98771891781</v>
      </c>
      <c r="BZ56" s="34" t="n">
        <f aca="false">SUMPRODUCT((Per_Clase="Administración")*Sal_O*INDEX(Dot_O,0,MIN(10,BZ$17))*((Per_Mon="PYG")*BZ$19+(Per_Mon&lt;&gt;"PYG")))*(BZ$15+BZ$16*P_PreInd)*INDEX(IdxSal_O,1,MIN(10,BZ$17))*(1+P_Cargas)+BZ$55*P_Alim*BZ$19</f>
        <v>8959.98771891781</v>
      </c>
      <c r="CA56" s="34" t="n">
        <f aca="false">SUMPRODUCT((Per_Clase="Administración")*Sal_O*INDEX(Dot_O,0,MIN(10,CA$17))*((Per_Mon="PYG")*CA$19+(Per_Mon&lt;&gt;"PYG")))*(CA$15+CA$16*P_PreInd)*INDEX(IdxSal_O,1,MIN(10,CA$17))*(1+P_Cargas)+CA$55*P_Alim*CA$19</f>
        <v>8959.98771891781</v>
      </c>
      <c r="CB56" s="34" t="n">
        <f aca="false">SUMPRODUCT((Per_Clase="Administración")*Sal_O*INDEX(Dot_O,0,MIN(10,CB$17))*((Per_Mon="PYG")*CB$19+(Per_Mon&lt;&gt;"PYG")))*(CB$15+CB$16*P_PreInd)*INDEX(IdxSal_O,1,MIN(10,CB$17))*(1+P_Cargas)+CB$55*P_Alim*CB$19</f>
        <v>8959.98771891781</v>
      </c>
      <c r="CC56" s="34" t="n">
        <f aca="false">SUMPRODUCT((Per_Clase="Administración")*Sal_O*INDEX(Dot_O,0,MIN(10,CC$17))*((Per_Mon="PYG")*CC$19+(Per_Mon&lt;&gt;"PYG")))*(CC$15+CC$16*P_PreInd)*INDEX(IdxSal_O,1,MIN(10,CC$17))*(1+P_Cargas)+CC$55*P_Alim*CC$19</f>
        <v>8959.98771891781</v>
      </c>
      <c r="CD56" s="34" t="n">
        <f aca="false">SUMPRODUCT((Per_Clase="Administración")*Sal_O*INDEX(Dot_O,0,MIN(10,CD$17))*((Per_Mon="PYG")*CD$19+(Per_Mon&lt;&gt;"PYG")))*(CD$15+CD$16*P_PreInd)*INDEX(IdxSal_O,1,MIN(10,CD$17))*(1+P_Cargas)+CD$55*P_Alim*CD$19</f>
        <v>8959.98771891781</v>
      </c>
      <c r="CE56" s="34" t="n">
        <f aca="false">SUMPRODUCT((Per_Clase="Administración")*Sal_O*INDEX(Dot_O,0,MIN(10,CE$17))*((Per_Mon="PYG")*CE$19+(Per_Mon&lt;&gt;"PYG")))*(CE$15+CE$16*P_PreInd)*INDEX(IdxSal_O,1,MIN(10,CE$17))*(1+P_Cargas)+CE$55*P_Alim*CE$19</f>
        <v>8959.98771891781</v>
      </c>
      <c r="CF56" s="34" t="n">
        <f aca="false">SUMPRODUCT((Per_Clase="Administración")*Sal_O*INDEX(Dot_O,0,MIN(10,CF$17))*((Per_Mon="PYG")*CF$19+(Per_Mon&lt;&gt;"PYG")))*(CF$15+CF$16*P_PreInd)*INDEX(IdxSal_O,1,MIN(10,CF$17))*(1+P_Cargas)+CF$55*P_Alim*CF$19</f>
        <v>8959.98771891781</v>
      </c>
      <c r="CG56" s="34" t="n">
        <f aca="false">SUMPRODUCT((Per_Clase="Administración")*Sal_O*INDEX(Dot_O,0,MIN(10,CG$17))*((Per_Mon="PYG")*CG$19+(Per_Mon&lt;&gt;"PYG")))*(CG$15+CG$16*P_PreInd)*INDEX(IdxSal_O,1,MIN(10,CG$17))*(1+P_Cargas)+CG$55*P_Alim*CG$19</f>
        <v>8959.98771891781</v>
      </c>
      <c r="CH56" s="34" t="n">
        <f aca="false">SUMPRODUCT((Per_Clase="Administración")*Sal_O*INDEX(Dot_O,0,MIN(10,CH$17))*((Per_Mon="PYG")*CH$19+(Per_Mon&lt;&gt;"PYG")))*(CH$15+CH$16*P_PreInd)*INDEX(IdxSal_O,1,MIN(10,CH$17))*(1+P_Cargas)+CH$55*P_Alim*CH$19</f>
        <v>8959.98771891781</v>
      </c>
      <c r="CI56" s="34" t="n">
        <f aca="false">SUMPRODUCT((Per_Clase="Administración")*Sal_O*INDEX(Dot_O,0,MIN(10,CI$17))*((Per_Mon="PYG")*CI$19+(Per_Mon&lt;&gt;"PYG")))*(CI$15+CI$16*P_PreInd)*INDEX(IdxSal_O,1,MIN(10,CI$17))*(1+P_Cargas)+CI$55*P_Alim*CI$19</f>
        <v>8959.98771891781</v>
      </c>
      <c r="CJ56" s="34" t="n">
        <f aca="false">SUMPRODUCT((Per_Clase="Administración")*Sal_O*INDEX(Dot_O,0,MIN(10,CJ$17))*((Per_Mon="PYG")*CJ$19+(Per_Mon&lt;&gt;"PYG")))*(CJ$15+CJ$16*P_PreInd)*INDEX(IdxSal_O,1,MIN(10,CJ$17))*(1+P_Cargas)+CJ$55*P_Alim*CJ$19</f>
        <v>8959.98771891781</v>
      </c>
      <c r="CK56" s="34" t="n">
        <f aca="false">SUMPRODUCT((Per_Clase="Administración")*Sal_O*INDEX(Dot_O,0,MIN(10,CK$17))*((Per_Mon="PYG")*CK$19+(Per_Mon&lt;&gt;"PYG")))*(CK$15+CK$16*P_PreInd)*INDEX(IdxSal_O,1,MIN(10,CK$17))*(1+P_Cargas)+CK$55*P_Alim*CK$19</f>
        <v>8959.98771891781</v>
      </c>
      <c r="CL56" s="34" t="n">
        <f aca="false">SUMPRODUCT((Per_Clase="Administración")*Sal_O*INDEX(Dot_O,0,MIN(10,CL$17))*((Per_Mon="PYG")*CL$19+(Per_Mon&lt;&gt;"PYG")))*(CL$15+CL$16*P_PreInd)*INDEX(IdxSal_O,1,MIN(10,CL$17))*(1+P_Cargas)+CL$55*P_Alim*CL$19</f>
        <v>8959.98771891781</v>
      </c>
      <c r="CM56" s="34" t="n">
        <f aca="false">SUMPRODUCT((Per_Clase="Administración")*Sal_O*INDEX(Dot_O,0,MIN(10,CM$17))*((Per_Mon="PYG")*CM$19+(Per_Mon&lt;&gt;"PYG")))*(CM$15+CM$16*P_PreInd)*INDEX(IdxSal_O,1,MIN(10,CM$17))*(1+P_Cargas)+CM$55*P_Alim*CM$19</f>
        <v>8959.98771891781</v>
      </c>
      <c r="CN56" s="34" t="n">
        <f aca="false">SUMPRODUCT((Per_Clase="Administración")*Sal_O*INDEX(Dot_O,0,MIN(10,CN$17))*((Per_Mon="PYG")*CN$19+(Per_Mon&lt;&gt;"PYG")))*(CN$15+CN$16*P_PreInd)*INDEX(IdxSal_O,1,MIN(10,CN$17))*(1+P_Cargas)+CN$55*P_Alim*CN$19</f>
        <v>8959.98771891781</v>
      </c>
      <c r="CO56" s="34" t="n">
        <f aca="false">SUMPRODUCT((Per_Clase="Administración")*Sal_O*INDEX(Dot_O,0,MIN(10,CO$17))*((Per_Mon="PYG")*CO$19+(Per_Mon&lt;&gt;"PYG")))*(CO$15+CO$16*P_PreInd)*INDEX(IdxSal_O,1,MIN(10,CO$17))*(1+P_Cargas)+CO$55*P_Alim*CO$19</f>
        <v>8959.98771891781</v>
      </c>
      <c r="CP56" s="34" t="n">
        <f aca="false">SUMPRODUCT((Per_Clase="Administración")*Sal_O*INDEX(Dot_O,0,MIN(10,CP$17))*((Per_Mon="PYG")*CP$19+(Per_Mon&lt;&gt;"PYG")))*(CP$15+CP$16*P_PreInd)*INDEX(IdxSal_O,1,MIN(10,CP$17))*(1+P_Cargas)+CP$55*P_Alim*CP$19</f>
        <v>8959.98771891781</v>
      </c>
      <c r="CQ56" s="34" t="n">
        <f aca="false">SUMPRODUCT((Per_Clase="Administración")*Sal_O*INDEX(Dot_O,0,MIN(10,CQ$17))*((Per_Mon="PYG")*CQ$19+(Per_Mon&lt;&gt;"PYG")))*(CQ$15+CQ$16*P_PreInd)*INDEX(IdxSal_O,1,MIN(10,CQ$17))*(1+P_Cargas)+CQ$55*P_Alim*CQ$19</f>
        <v>8959.98771891781</v>
      </c>
      <c r="CR56" s="34" t="n">
        <f aca="false">SUMPRODUCT((Per_Clase="Administración")*Sal_O*INDEX(Dot_O,0,MIN(10,CR$17))*((Per_Mon="PYG")*CR$19+(Per_Mon&lt;&gt;"PYG")))*(CR$15+CR$16*P_PreInd)*INDEX(IdxSal_O,1,MIN(10,CR$17))*(1+P_Cargas)+CR$55*P_Alim*CR$19</f>
        <v>8959.98771891781</v>
      </c>
      <c r="CS56" s="34" t="n">
        <f aca="false">SUMPRODUCT((Per_Clase="Administración")*Sal_O*INDEX(Dot_O,0,MIN(10,CS$17))*((Per_Mon="PYG")*CS$19+(Per_Mon&lt;&gt;"PYG")))*(CS$15+CS$16*P_PreInd)*INDEX(IdxSal_O,1,MIN(10,CS$17))*(1+P_Cargas)+CS$55*P_Alim*CS$19</f>
        <v>8959.98771891781</v>
      </c>
      <c r="CT56" s="34" t="n">
        <f aca="false">SUMPRODUCT((Per_Clase="Administración")*Sal_O*INDEX(Dot_O,0,MIN(10,CT$17))*((Per_Mon="PYG")*CT$19+(Per_Mon&lt;&gt;"PYG")))*(CT$15+CT$16*P_PreInd)*INDEX(IdxSal_O,1,MIN(10,CT$17))*(1+P_Cargas)+CT$55*P_Alim*CT$19</f>
        <v>8959.98771891781</v>
      </c>
      <c r="CU56" s="34" t="n">
        <f aca="false">SUMPRODUCT((Per_Clase="Administración")*Sal_O*INDEX(Dot_O,0,MIN(10,CU$17))*((Per_Mon="PYG")*CU$19+(Per_Mon&lt;&gt;"PYG")))*(CU$15+CU$16*P_PreInd)*INDEX(IdxSal_O,1,MIN(10,CU$17))*(1+P_Cargas)+CU$55*P_Alim*CU$19</f>
        <v>8959.98771891781</v>
      </c>
      <c r="CV56" s="34" t="n">
        <f aca="false">SUMPRODUCT((Per_Clase="Administración")*Sal_O*INDEX(Dot_O,0,MIN(10,CV$17))*((Per_Mon="PYG")*CV$19+(Per_Mon&lt;&gt;"PYG")))*(CV$15+CV$16*P_PreInd)*INDEX(IdxSal_O,1,MIN(10,CV$17))*(1+P_Cargas)+CV$55*P_Alim*CV$19</f>
        <v>8959.98771891781</v>
      </c>
      <c r="CW56" s="34" t="n">
        <f aca="false">SUMPRODUCT((Per_Clase="Administración")*Sal_O*INDEX(Dot_O,0,MIN(10,CW$17))*((Per_Mon="PYG")*CW$19+(Per_Mon&lt;&gt;"PYG")))*(CW$15+CW$16*P_PreInd)*INDEX(IdxSal_O,1,MIN(10,CW$17))*(1+P_Cargas)+CW$55*P_Alim*CW$19</f>
        <v>8959.98771891781</v>
      </c>
      <c r="CX56" s="34" t="n">
        <f aca="false">SUMPRODUCT((Per_Clase="Administración")*Sal_O*INDEX(Dot_O,0,MIN(10,CX$17))*((Per_Mon="PYG")*CX$19+(Per_Mon&lt;&gt;"PYG")))*(CX$15+CX$16*P_PreInd)*INDEX(IdxSal_O,1,MIN(10,CX$17))*(1+P_Cargas)+CX$55*P_Alim*CX$19</f>
        <v>8959.98771891781</v>
      </c>
      <c r="CY56" s="34" t="n">
        <f aca="false">SUMPRODUCT((Per_Clase="Administración")*Sal_O*INDEX(Dot_O,0,MIN(10,CY$17))*((Per_Mon="PYG")*CY$19+(Per_Mon&lt;&gt;"PYG")))*(CY$15+CY$16*P_PreInd)*INDEX(IdxSal_O,1,MIN(10,CY$17))*(1+P_Cargas)+CY$55*P_Alim*CY$19</f>
        <v>8959.98771891781</v>
      </c>
      <c r="CZ56" s="34" t="n">
        <f aca="false">SUMPRODUCT((Per_Clase="Administración")*Sal_O*INDEX(Dot_O,0,MIN(10,CZ$17))*((Per_Mon="PYG")*CZ$19+(Per_Mon&lt;&gt;"PYG")))*(CZ$15+CZ$16*P_PreInd)*INDEX(IdxSal_O,1,MIN(10,CZ$17))*(1+P_Cargas)+CZ$55*P_Alim*CZ$19</f>
        <v>8959.98771891781</v>
      </c>
      <c r="DA56" s="34" t="n">
        <f aca="false">SUMPRODUCT((Per_Clase="Administración")*Sal_O*INDEX(Dot_O,0,MIN(10,DA$17))*((Per_Mon="PYG")*DA$19+(Per_Mon&lt;&gt;"PYG")))*(DA$15+DA$16*P_PreInd)*INDEX(IdxSal_O,1,MIN(10,DA$17))*(1+P_Cargas)+DA$55*P_Alim*DA$19</f>
        <v>8959.98771891781</v>
      </c>
      <c r="DB56" s="34" t="n">
        <f aca="false">SUMPRODUCT((Per_Clase="Administración")*Sal_O*INDEX(Dot_O,0,MIN(10,DB$17))*((Per_Mon="PYG")*DB$19+(Per_Mon&lt;&gt;"PYG")))*(DB$15+DB$16*P_PreInd)*INDEX(IdxSal_O,1,MIN(10,DB$17))*(1+P_Cargas)+DB$55*P_Alim*DB$19</f>
        <v>8959.98771891781</v>
      </c>
      <c r="DC56" s="34" t="n">
        <f aca="false">SUMPRODUCT((Per_Clase="Administración")*Sal_O*INDEX(Dot_O,0,MIN(10,DC$17))*((Per_Mon="PYG")*DC$19+(Per_Mon&lt;&gt;"PYG")))*(DC$15+DC$16*P_PreInd)*INDEX(IdxSal_O,1,MIN(10,DC$17))*(1+P_Cargas)+DC$55*P_Alim*DC$19</f>
        <v>8959.98771891781</v>
      </c>
      <c r="DD56" s="34" t="n">
        <f aca="false">SUMPRODUCT((Per_Clase="Administración")*Sal_O*INDEX(Dot_O,0,MIN(10,DD$17))*((Per_Mon="PYG")*DD$19+(Per_Mon&lt;&gt;"PYG")))*(DD$15+DD$16*P_PreInd)*INDEX(IdxSal_O,1,MIN(10,DD$17))*(1+P_Cargas)+DD$55*P_Alim*DD$19</f>
        <v>8959.98771891781</v>
      </c>
      <c r="DE56" s="34" t="n">
        <f aca="false">SUMPRODUCT((Per_Clase="Administración")*Sal_O*INDEX(Dot_O,0,MIN(10,DE$17))*((Per_Mon="PYG")*DE$19+(Per_Mon&lt;&gt;"PYG")))*(DE$15+DE$16*P_PreInd)*INDEX(IdxSal_O,1,MIN(10,DE$17))*(1+P_Cargas)+DE$55*P_Alim*DE$19</f>
        <v>8959.98771891781</v>
      </c>
      <c r="DF56" s="34" t="n">
        <f aca="false">SUMPRODUCT((Per_Clase="Administración")*Sal_O*INDEX(Dot_O,0,MIN(10,DF$17))*((Per_Mon="PYG")*DF$19+(Per_Mon&lt;&gt;"PYG")))*(DF$15+DF$16*P_PreInd)*INDEX(IdxSal_O,1,MIN(10,DF$17))*(1+P_Cargas)+DF$55*P_Alim*DF$19</f>
        <v>8959.98771891781</v>
      </c>
      <c r="DG56" s="34" t="n">
        <f aca="false">SUMPRODUCT((Per_Clase="Administración")*Sal_O*INDEX(Dot_O,0,MIN(10,DG$17))*((Per_Mon="PYG")*DG$19+(Per_Mon&lt;&gt;"PYG")))*(DG$15+DG$16*P_PreInd)*INDEX(IdxSal_O,1,MIN(10,DG$17))*(1+P_Cargas)+DG$55*P_Alim*DG$19</f>
        <v>8959.98771891781</v>
      </c>
      <c r="DH56" s="34" t="n">
        <f aca="false">SUMPRODUCT((Per_Clase="Administración")*Sal_O*INDEX(Dot_O,0,MIN(10,DH$17))*((Per_Mon="PYG")*DH$19+(Per_Mon&lt;&gt;"PYG")))*(DH$15+DH$16*P_PreInd)*INDEX(IdxSal_O,1,MIN(10,DH$17))*(1+P_Cargas)+DH$55*P_Alim*DH$19</f>
        <v>8959.98771891781</v>
      </c>
      <c r="DI56" s="34" t="n">
        <f aca="false">SUMPRODUCT((Per_Clase="Administración")*Sal_O*INDEX(Dot_O,0,MIN(10,DI$17))*((Per_Mon="PYG")*DI$19+(Per_Mon&lt;&gt;"PYG")))*(DI$15+DI$16*P_PreInd)*INDEX(IdxSal_O,1,MIN(10,DI$17))*(1+P_Cargas)+DI$55*P_Alim*DI$19</f>
        <v>8959.98771891781</v>
      </c>
      <c r="DJ56" s="34" t="n">
        <f aca="false">SUMPRODUCT((Per_Clase="Administración")*Sal_O*INDEX(Dot_O,0,MIN(10,DJ$17))*((Per_Mon="PYG")*DJ$19+(Per_Mon&lt;&gt;"PYG")))*(DJ$15+DJ$16*P_PreInd)*INDEX(IdxSal_O,1,MIN(10,DJ$17))*(1+P_Cargas)+DJ$55*P_Alim*DJ$19</f>
        <v>8959.98771891781</v>
      </c>
      <c r="DK56" s="34" t="n">
        <f aca="false">SUMPRODUCT((Per_Clase="Administración")*Sal_O*INDEX(Dot_O,0,MIN(10,DK$17))*((Per_Mon="PYG")*DK$19+(Per_Mon&lt;&gt;"PYG")))*(DK$15+DK$16*P_PreInd)*INDEX(IdxSal_O,1,MIN(10,DK$17))*(1+P_Cargas)+DK$55*P_Alim*DK$19</f>
        <v>8959.98771891781</v>
      </c>
      <c r="DL56" s="34" t="n">
        <f aca="false">SUMPRODUCT((Per_Clase="Administración")*Sal_O*INDEX(Dot_O,0,MIN(10,DL$17))*((Per_Mon="PYG")*DL$19+(Per_Mon&lt;&gt;"PYG")))*(DL$15+DL$16*P_PreInd)*INDEX(IdxSal_O,1,MIN(10,DL$17))*(1+P_Cargas)+DL$55*P_Alim*DL$19</f>
        <v>8959.98771891781</v>
      </c>
      <c r="DM56" s="34" t="n">
        <f aca="false">SUMPRODUCT((Per_Clase="Administración")*Sal_O*INDEX(Dot_O,0,MIN(10,DM$17))*((Per_Mon="PYG")*DM$19+(Per_Mon&lt;&gt;"PYG")))*(DM$15+DM$16*P_PreInd)*INDEX(IdxSal_O,1,MIN(10,DM$17))*(1+P_Cargas)+DM$55*P_Alim*DM$19</f>
        <v>8959.98771891781</v>
      </c>
      <c r="DN56" s="34" t="n">
        <f aca="false">SUMPRODUCT((Per_Clase="Administración")*Sal_O*INDEX(Dot_O,0,MIN(10,DN$17))*((Per_Mon="PYG")*DN$19+(Per_Mon&lt;&gt;"PYG")))*(DN$15+DN$16*P_PreInd)*INDEX(IdxSal_O,1,MIN(10,DN$17))*(1+P_Cargas)+DN$55*P_Alim*DN$19</f>
        <v>8959.98771891781</v>
      </c>
      <c r="DO56" s="34" t="n">
        <f aca="false">SUMPRODUCT((Per_Clase="Administración")*Sal_O*INDEX(Dot_O,0,MIN(10,DO$17))*((Per_Mon="PYG")*DO$19+(Per_Mon&lt;&gt;"PYG")))*(DO$15+DO$16*P_PreInd)*INDEX(IdxSal_O,1,MIN(10,DO$17))*(1+P_Cargas)+DO$55*P_Alim*DO$19</f>
        <v>8959.98771891781</v>
      </c>
      <c r="DP56" s="34" t="n">
        <f aca="false">SUMPRODUCT((Per_Clase="Administración")*Sal_O*INDEX(Dot_O,0,MIN(10,DP$17))*((Per_Mon="PYG")*DP$19+(Per_Mon&lt;&gt;"PYG")))*(DP$15+DP$16*P_PreInd)*INDEX(IdxSal_O,1,MIN(10,DP$17))*(1+P_Cargas)+DP$55*P_Alim*DP$19</f>
        <v>8959.98771891781</v>
      </c>
      <c r="DQ56" s="34" t="n">
        <f aca="false">SUMPRODUCT((Per_Clase="Administración")*Sal_O*INDEX(Dot_O,0,MIN(10,DQ$17))*((Per_Mon="PYG")*DQ$19+(Per_Mon&lt;&gt;"PYG")))*(DQ$15+DQ$16*P_PreInd)*INDEX(IdxSal_O,1,MIN(10,DQ$17))*(1+P_Cargas)+DQ$55*P_Alim*DQ$19</f>
        <v>8959.98771891781</v>
      </c>
      <c r="DR56" s="34" t="n">
        <f aca="false">SUMPRODUCT((Per_Clase="Administración")*Sal_O*INDEX(Dot_O,0,MIN(10,DR$17))*((Per_Mon="PYG")*DR$19+(Per_Mon&lt;&gt;"PYG")))*(DR$15+DR$16*P_PreInd)*INDEX(IdxSal_O,1,MIN(10,DR$17))*(1+P_Cargas)+DR$55*P_Alim*DR$19</f>
        <v>8959.98771891781</v>
      </c>
      <c r="DS56" s="34" t="n">
        <f aca="false">SUMPRODUCT((Per_Clase="Administración")*Sal_O*INDEX(Dot_O,0,MIN(10,DS$17))*((Per_Mon="PYG")*DS$19+(Per_Mon&lt;&gt;"PYG")))*(DS$15+DS$16*P_PreInd)*INDEX(IdxSal_O,1,MIN(10,DS$17))*(1+P_Cargas)+DS$55*P_Alim*DS$19</f>
        <v>8959.98771891781</v>
      </c>
      <c r="DT56" s="34" t="n">
        <f aca="false">SUMPRODUCT((Per_Clase="Administración")*Sal_O*INDEX(Dot_O,0,MIN(10,DT$17))*((Per_Mon="PYG")*DT$19+(Per_Mon&lt;&gt;"PYG")))*(DT$15+DT$16*P_PreInd)*INDEX(IdxSal_O,1,MIN(10,DT$17))*(1+P_Cargas)+DT$55*P_Alim*DT$19</f>
        <v>8959.98771891781</v>
      </c>
      <c r="DU56" s="34" t="n">
        <f aca="false">SUMPRODUCT((Per_Clase="Administración")*Sal_O*INDEX(Dot_O,0,MIN(10,DU$17))*((Per_Mon="PYG")*DU$19+(Per_Mon&lt;&gt;"PYG")))*(DU$15+DU$16*P_PreInd)*INDEX(IdxSal_O,1,MIN(10,DU$17))*(1+P_Cargas)+DU$55*P_Alim*DU$19</f>
        <v>8959.98771891781</v>
      </c>
      <c r="DV56" s="34" t="n">
        <f aca="false">SUMPRODUCT((Per_Clase="Administración")*Sal_O*INDEX(Dot_O,0,MIN(10,DV$17))*((Per_Mon="PYG")*DV$19+(Per_Mon&lt;&gt;"PYG")))*(DV$15+DV$16*P_PreInd)*INDEX(IdxSal_O,1,MIN(10,DV$17))*(1+P_Cargas)+DV$55*P_Alim*DV$19</f>
        <v>0</v>
      </c>
      <c r="DW56" s="34" t="n">
        <f aca="false">SUMPRODUCT((Per_Clase="Administración")*Sal_O*INDEX(Dot_O,0,MIN(10,DW$17))*((Per_Mon="PYG")*DW$19+(Per_Mon&lt;&gt;"PYG")))*(DW$15+DW$16*P_PreInd)*INDEX(IdxSal_O,1,MIN(10,DW$17))*(1+P_Cargas)+DW$55*P_Alim*DW$19</f>
        <v>0</v>
      </c>
      <c r="DX56" s="34" t="n">
        <f aca="false">SUMPRODUCT((Per_Clase="Administración")*Sal_O*INDEX(Dot_O,0,MIN(10,DX$17))*((Per_Mon="PYG")*DX$19+(Per_Mon&lt;&gt;"PYG")))*(DX$15+DX$16*P_PreInd)*INDEX(IdxSal_O,1,MIN(10,DX$17))*(1+P_Cargas)+DX$55*P_Alim*DX$19</f>
        <v>0</v>
      </c>
      <c r="DY56" s="34" t="n">
        <f aca="false">SUMPRODUCT((Per_Clase="Administración")*Sal_O*INDEX(Dot_O,0,MIN(10,DY$17))*((Per_Mon="PYG")*DY$19+(Per_Mon&lt;&gt;"PYG")))*(DY$15+DY$16*P_PreInd)*INDEX(IdxSal_O,1,MIN(10,DY$17))*(1+P_Cargas)+DY$55*P_Alim*DY$19</f>
        <v>0</v>
      </c>
      <c r="DZ56" s="34" t="n">
        <f aca="false">SUMPRODUCT((Per_Clase="Administración")*Sal_O*INDEX(Dot_O,0,MIN(10,DZ$17))*((Per_Mon="PYG")*DZ$19+(Per_Mon&lt;&gt;"PYG")))*(DZ$15+DZ$16*P_PreInd)*INDEX(IdxSal_O,1,MIN(10,DZ$17))*(1+P_Cargas)+DZ$55*P_Alim*DZ$19</f>
        <v>0</v>
      </c>
      <c r="EA56" s="34" t="n">
        <f aca="false">SUMPRODUCT((Per_Clase="Administración")*Sal_O*INDEX(Dot_O,0,MIN(10,EA$17))*((Per_Mon="PYG")*EA$19+(Per_Mon&lt;&gt;"PYG")))*(EA$15+EA$16*P_PreInd)*INDEX(IdxSal_O,1,MIN(10,EA$17))*(1+P_Cargas)+EA$55*P_Alim*EA$19</f>
        <v>0</v>
      </c>
      <c r="EB56" s="34" t="n">
        <f aca="false">SUMPRODUCT((Per_Clase="Administración")*Sal_O*INDEX(Dot_O,0,MIN(10,EB$17))*((Per_Mon="PYG")*EB$19+(Per_Mon&lt;&gt;"PYG")))*(EB$15+EB$16*P_PreInd)*INDEX(IdxSal_O,1,MIN(10,EB$17))*(1+P_Cargas)+EB$55*P_Alim*EB$19</f>
        <v>0</v>
      </c>
      <c r="EC56" s="34" t="n">
        <f aca="false">SUMPRODUCT((Per_Clase="Administración")*Sal_O*INDEX(Dot_O,0,MIN(10,EC$17))*((Per_Mon="PYG")*EC$19+(Per_Mon&lt;&gt;"PYG")))*(EC$15+EC$16*P_PreInd)*INDEX(IdxSal_O,1,MIN(10,EC$17))*(1+P_Cargas)+EC$55*P_Alim*EC$19</f>
        <v>0</v>
      </c>
      <c r="ED56" s="34" t="n">
        <f aca="false">SUMPRODUCT((Per_Clase="Administración")*Sal_O*INDEX(Dot_O,0,MIN(10,ED$17))*((Per_Mon="PYG")*ED$19+(Per_Mon&lt;&gt;"PYG")))*(ED$15+ED$16*P_PreInd)*INDEX(IdxSal_O,1,MIN(10,ED$17))*(1+P_Cargas)+ED$55*P_Alim*ED$19</f>
        <v>0</v>
      </c>
      <c r="EE56" s="34" t="n">
        <f aca="false">SUMPRODUCT((Per_Clase="Administración")*Sal_O*INDEX(Dot_O,0,MIN(10,EE$17))*((Per_Mon="PYG")*EE$19+(Per_Mon&lt;&gt;"PYG")))*(EE$15+EE$16*P_PreInd)*INDEX(IdxSal_O,1,MIN(10,EE$17))*(1+P_Cargas)+EE$55*P_Alim*EE$19</f>
        <v>0</v>
      </c>
      <c r="EF56" s="34" t="n">
        <f aca="false">SUMPRODUCT((Per_Clase="Administración")*Sal_O*INDEX(Dot_O,0,MIN(10,EF$17))*((Per_Mon="PYG")*EF$19+(Per_Mon&lt;&gt;"PYG")))*(EF$15+EF$16*P_PreInd)*INDEX(IdxSal_O,1,MIN(10,EF$17))*(1+P_Cargas)+EF$55*P_Alim*EF$19</f>
        <v>0</v>
      </c>
      <c r="EG56" s="34" t="n">
        <f aca="false">SUMPRODUCT((Per_Clase="Administración")*Sal_O*INDEX(Dot_O,0,MIN(10,EG$17))*((Per_Mon="PYG")*EG$19+(Per_Mon&lt;&gt;"PYG")))*(EG$15+EG$16*P_PreInd)*INDEX(IdxSal_O,1,MIN(10,EG$17))*(1+P_Cargas)+EG$55*P_Alim*EG$19</f>
        <v>0</v>
      </c>
      <c r="EH56" s="34" t="n">
        <f aca="false">SUMPRODUCT((Per_Clase="Administración")*Sal_O*INDEX(Dot_O,0,MIN(10,EH$17))*((Per_Mon="PYG")*EH$19+(Per_Mon&lt;&gt;"PYG")))*(EH$15+EH$16*P_PreInd)*INDEX(IdxSal_O,1,MIN(10,EH$17))*(1+P_Cargas)+EH$55*P_Alim*EH$19</f>
        <v>0</v>
      </c>
      <c r="EI56" s="34" t="n">
        <f aca="false">SUMPRODUCT((Per_Clase="Administración")*Sal_O*INDEX(Dot_O,0,MIN(10,EI$17))*((Per_Mon="PYG")*EI$19+(Per_Mon&lt;&gt;"PYG")))*(EI$15+EI$16*P_PreInd)*INDEX(IdxSal_O,1,MIN(10,EI$17))*(1+P_Cargas)+EI$55*P_Alim*EI$19</f>
        <v>0</v>
      </c>
      <c r="EJ56" s="34" t="n">
        <f aca="false">SUMPRODUCT((Per_Clase="Administración")*Sal_O*INDEX(Dot_O,0,MIN(10,EJ$17))*((Per_Mon="PYG")*EJ$19+(Per_Mon&lt;&gt;"PYG")))*(EJ$15+EJ$16*P_PreInd)*INDEX(IdxSal_O,1,MIN(10,EJ$17))*(1+P_Cargas)+EJ$55*P_Alim*EJ$19</f>
        <v>0</v>
      </c>
      <c r="EK56" s="34" t="n">
        <f aca="false">SUMPRODUCT((Per_Clase="Administración")*Sal_O*INDEX(Dot_O,0,MIN(10,EK$17))*((Per_Mon="PYG")*EK$19+(Per_Mon&lt;&gt;"PYG")))*(EK$15+EK$16*P_PreInd)*INDEX(IdxSal_O,1,MIN(10,EK$17))*(1+P_Cargas)+EK$55*P_Alim*EK$19</f>
        <v>0</v>
      </c>
      <c r="EL56" s="34" t="n">
        <f aca="false">SUMPRODUCT((Per_Clase="Administración")*Sal_O*INDEX(Dot_O,0,MIN(10,EL$17))*((Per_Mon="PYG")*EL$19+(Per_Mon&lt;&gt;"PYG")))*(EL$15+EL$16*P_PreInd)*INDEX(IdxSal_O,1,MIN(10,EL$17))*(1+P_Cargas)+EL$55*P_Alim*EL$19</f>
        <v>0</v>
      </c>
      <c r="EM56" s="34" t="n">
        <f aca="false">SUMPRODUCT((Per_Clase="Administración")*Sal_O*INDEX(Dot_O,0,MIN(10,EM$17))*((Per_Mon="PYG")*EM$19+(Per_Mon&lt;&gt;"PYG")))*(EM$15+EM$16*P_PreInd)*INDEX(IdxSal_O,1,MIN(10,EM$17))*(1+P_Cargas)+EM$55*P_Alim*EM$19</f>
        <v>0</v>
      </c>
      <c r="EN56" s="34" t="n">
        <f aca="false">SUMPRODUCT((Per_Clase="Administración")*Sal_O*INDEX(Dot_O,0,MIN(10,EN$17))*((Per_Mon="PYG")*EN$19+(Per_Mon&lt;&gt;"PYG")))*(EN$15+EN$16*P_PreInd)*INDEX(IdxSal_O,1,MIN(10,EN$17))*(1+P_Cargas)+EN$55*P_Alim*EN$19</f>
        <v>0</v>
      </c>
      <c r="EO56" s="34" t="n">
        <f aca="false">SUMPRODUCT((Per_Clase="Administración")*Sal_O*INDEX(Dot_O,0,MIN(10,EO$17))*((Per_Mon="PYG")*EO$19+(Per_Mon&lt;&gt;"PYG")))*(EO$15+EO$16*P_PreInd)*INDEX(IdxSal_O,1,MIN(10,EO$17))*(1+P_Cargas)+EO$55*P_Alim*EO$19</f>
        <v>0</v>
      </c>
      <c r="EP56" s="34" t="n">
        <f aca="false">SUMPRODUCT((Per_Clase="Administración")*Sal_O*INDEX(Dot_O,0,MIN(10,EP$17))*((Per_Mon="PYG")*EP$19+(Per_Mon&lt;&gt;"PYG")))*(EP$15+EP$16*P_PreInd)*INDEX(IdxSal_O,1,MIN(10,EP$17))*(1+P_Cargas)+EP$55*P_Alim*EP$19</f>
        <v>0</v>
      </c>
      <c r="EQ56" s="34" t="n">
        <f aca="false">SUMPRODUCT((Per_Clase="Administración")*Sal_O*INDEX(Dot_O,0,MIN(10,EQ$17))*((Per_Mon="PYG")*EQ$19+(Per_Mon&lt;&gt;"PYG")))*(EQ$15+EQ$16*P_PreInd)*INDEX(IdxSal_O,1,MIN(10,EQ$17))*(1+P_Cargas)+EQ$55*P_Alim*EQ$19</f>
        <v>0</v>
      </c>
      <c r="ER56" s="34" t="n">
        <f aca="false">SUMPRODUCT((Per_Clase="Administración")*Sal_O*INDEX(Dot_O,0,MIN(10,ER$17))*((Per_Mon="PYG")*ER$19+(Per_Mon&lt;&gt;"PYG")))*(ER$15+ER$16*P_PreInd)*INDEX(IdxSal_O,1,MIN(10,ER$17))*(1+P_Cargas)+ER$55*P_Alim*ER$19</f>
        <v>0</v>
      </c>
      <c r="ES56" s="34" t="n">
        <f aca="false">SUMPRODUCT((Per_Clase="Administración")*Sal_O*INDEX(Dot_O,0,MIN(10,ES$17))*((Per_Mon="PYG")*ES$19+(Per_Mon&lt;&gt;"PYG")))*(ES$15+ES$16*P_PreInd)*INDEX(IdxSal_O,1,MIN(10,ES$17))*(1+P_Cargas)+ES$55*P_Alim*ES$19</f>
        <v>0</v>
      </c>
    </row>
    <row r="57" customFormat="false" ht="15" hidden="false" customHeight="false" outlineLevel="0" collapsed="false">
      <c r="A57" s="2" t="s">
        <v>606</v>
      </c>
      <c r="B57" s="6" t="s">
        <v>607</v>
      </c>
      <c r="C57" s="6" t="s">
        <v>250</v>
      </c>
      <c r="E57" s="40" t="n">
        <f aca="false">SUM(F57:ES57)</f>
        <v>522395.342346116</v>
      </c>
      <c r="F57" s="34" t="n">
        <f aca="false">P_Pkg*(F$47+F$48+F$49+F$52)</f>
        <v>2756.29058797123</v>
      </c>
      <c r="G57" s="34" t="n">
        <f aca="false">P_Pkg*(G$47+G$48+G$49+G$52)</f>
        <v>2756.29058797123</v>
      </c>
      <c r="H57" s="34" t="n">
        <f aca="false">P_Pkg*(H$47+H$48+H$49+H$52)</f>
        <v>2756.29058797123</v>
      </c>
      <c r="I57" s="34" t="n">
        <f aca="false">P_Pkg*(I$47+I$48+I$49+I$52)</f>
        <v>2756.29058797123</v>
      </c>
      <c r="J57" s="34" t="n">
        <f aca="false">P_Pkg*(J$47+J$48+J$49+J$52)</f>
        <v>2756.29058797123</v>
      </c>
      <c r="K57" s="34" t="n">
        <f aca="false">P_Pkg*(K$47+K$48+K$49+K$52)</f>
        <v>2756.29058797123</v>
      </c>
      <c r="L57" s="34" t="n">
        <f aca="false">P_Pkg*(L$47+L$48+L$49+L$52)</f>
        <v>2756.29058797123</v>
      </c>
      <c r="M57" s="34" t="n">
        <f aca="false">P_Pkg*(M$47+M$48+M$49+M$52)</f>
        <v>2756.29058797123</v>
      </c>
      <c r="N57" s="34" t="n">
        <f aca="false">P_Pkg*(N$47+N$48+N$49+N$52)</f>
        <v>2756.29058797123</v>
      </c>
      <c r="O57" s="34" t="n">
        <f aca="false">P_Pkg*(O$47+O$48+O$49+O$52)</f>
        <v>2756.29058797123</v>
      </c>
      <c r="P57" s="34" t="n">
        <f aca="false">P_Pkg*(P$47+P$48+P$49+P$52)</f>
        <v>2756.29058797123</v>
      </c>
      <c r="Q57" s="34" t="n">
        <f aca="false">P_Pkg*(Q$47+Q$48+Q$49+Q$52)</f>
        <v>2756.29058797123</v>
      </c>
      <c r="R57" s="34" t="n">
        <f aca="false">P_Pkg*(R$47+R$48+R$49+R$52)</f>
        <v>3410.92767047123</v>
      </c>
      <c r="S57" s="34" t="n">
        <f aca="false">P_Pkg*(S$47+S$48+S$49+S$52)</f>
        <v>3410.92767047123</v>
      </c>
      <c r="T57" s="34" t="n">
        <f aca="false">P_Pkg*(T$47+T$48+T$49+T$52)</f>
        <v>3410.92767047123</v>
      </c>
      <c r="U57" s="34" t="n">
        <f aca="false">P_Pkg*(U$47+U$48+U$49+U$52)</f>
        <v>3410.92767047123</v>
      </c>
      <c r="V57" s="34" t="n">
        <f aca="false">P_Pkg*(V$47+V$48+V$49+V$52)</f>
        <v>3410.92767047123</v>
      </c>
      <c r="W57" s="34" t="n">
        <f aca="false">P_Pkg*(W$47+W$48+W$49+W$52)</f>
        <v>3410.92767047123</v>
      </c>
      <c r="X57" s="34" t="n">
        <f aca="false">P_Pkg*(X$47+X$48+X$49+X$52)</f>
        <v>3410.92767047123</v>
      </c>
      <c r="Y57" s="34" t="n">
        <f aca="false">P_Pkg*(Y$47+Y$48+Y$49+Y$52)</f>
        <v>3410.92767047123</v>
      </c>
      <c r="Z57" s="34" t="n">
        <f aca="false">P_Pkg*(Z$47+Z$48+Z$49+Z$52)</f>
        <v>3410.92767047123</v>
      </c>
      <c r="AA57" s="34" t="n">
        <f aca="false">P_Pkg*(AA$47+AA$48+AA$49+AA$52)</f>
        <v>3410.92767047123</v>
      </c>
      <c r="AB57" s="34" t="n">
        <f aca="false">P_Pkg*(AB$47+AB$48+AB$49+AB$52)</f>
        <v>3410.92767047123</v>
      </c>
      <c r="AC57" s="34" t="n">
        <f aca="false">P_Pkg*(AC$47+AC$48+AC$49+AC$52)</f>
        <v>3410.92767047123</v>
      </c>
      <c r="AD57" s="34" t="n">
        <f aca="false">P_Pkg*(AD$47+AD$48+AD$49+AD$52)</f>
        <v>4098.81333140891</v>
      </c>
      <c r="AE57" s="34" t="n">
        <f aca="false">P_Pkg*(AE$47+AE$48+AE$49+AE$52)</f>
        <v>4098.81333140891</v>
      </c>
      <c r="AF57" s="34" t="n">
        <f aca="false">P_Pkg*(AF$47+AF$48+AF$49+AF$52)</f>
        <v>4098.81333140891</v>
      </c>
      <c r="AG57" s="34" t="n">
        <f aca="false">P_Pkg*(AG$47+AG$48+AG$49+AG$52)</f>
        <v>4098.81333140891</v>
      </c>
      <c r="AH57" s="34" t="n">
        <f aca="false">P_Pkg*(AH$47+AH$48+AH$49+AH$52)</f>
        <v>4098.81333140891</v>
      </c>
      <c r="AI57" s="34" t="n">
        <f aca="false">P_Pkg*(AI$47+AI$48+AI$49+AI$52)</f>
        <v>4098.81333140891</v>
      </c>
      <c r="AJ57" s="34" t="n">
        <f aca="false">P_Pkg*(AJ$47+AJ$48+AJ$49+AJ$52)</f>
        <v>4098.81333140891</v>
      </c>
      <c r="AK57" s="34" t="n">
        <f aca="false">P_Pkg*(AK$47+AK$48+AK$49+AK$52)</f>
        <v>4098.81333140891</v>
      </c>
      <c r="AL57" s="34" t="n">
        <f aca="false">P_Pkg*(AL$47+AL$48+AL$49+AL$52)</f>
        <v>4098.81333140891</v>
      </c>
      <c r="AM57" s="34" t="n">
        <f aca="false">P_Pkg*(AM$47+AM$48+AM$49+AM$52)</f>
        <v>4098.81333140891</v>
      </c>
      <c r="AN57" s="34" t="n">
        <f aca="false">P_Pkg*(AN$47+AN$48+AN$49+AN$52)</f>
        <v>4098.81333140891</v>
      </c>
      <c r="AO57" s="34" t="n">
        <f aca="false">P_Pkg*(AO$47+AO$48+AO$49+AO$52)</f>
        <v>4098.81333140891</v>
      </c>
      <c r="AP57" s="34" t="n">
        <f aca="false">P_Pkg*(AP$47+AP$48+AP$49+AP$52)</f>
        <v>4661.52810532788</v>
      </c>
      <c r="AQ57" s="34" t="n">
        <f aca="false">P_Pkg*(AQ$47+AQ$48+AQ$49+AQ$52)</f>
        <v>4661.52810532788</v>
      </c>
      <c r="AR57" s="34" t="n">
        <f aca="false">P_Pkg*(AR$47+AR$48+AR$49+AR$52)</f>
        <v>4661.52810532788</v>
      </c>
      <c r="AS57" s="34" t="n">
        <f aca="false">P_Pkg*(AS$47+AS$48+AS$49+AS$52)</f>
        <v>4661.52810532788</v>
      </c>
      <c r="AT57" s="34" t="n">
        <f aca="false">P_Pkg*(AT$47+AT$48+AT$49+AT$52)</f>
        <v>4661.52810532788</v>
      </c>
      <c r="AU57" s="34" t="n">
        <f aca="false">P_Pkg*(AU$47+AU$48+AU$49+AU$52)</f>
        <v>4661.52810532788</v>
      </c>
      <c r="AV57" s="34" t="n">
        <f aca="false">P_Pkg*(AV$47+AV$48+AV$49+AV$52)</f>
        <v>4661.52810532788</v>
      </c>
      <c r="AW57" s="34" t="n">
        <f aca="false">P_Pkg*(AW$47+AW$48+AW$49+AW$52)</f>
        <v>4661.52810532788</v>
      </c>
      <c r="AX57" s="34" t="n">
        <f aca="false">P_Pkg*(AX$47+AX$48+AX$49+AX$52)</f>
        <v>4661.52810532788</v>
      </c>
      <c r="AY57" s="34" t="n">
        <f aca="false">P_Pkg*(AY$47+AY$48+AY$49+AY$52)</f>
        <v>4661.52810532788</v>
      </c>
      <c r="AZ57" s="34" t="n">
        <f aca="false">P_Pkg*(AZ$47+AZ$48+AZ$49+AZ$52)</f>
        <v>4661.52810532788</v>
      </c>
      <c r="BA57" s="34" t="n">
        <f aca="false">P_Pkg*(BA$47+BA$48+BA$49+BA$52)</f>
        <v>4661.52810532788</v>
      </c>
      <c r="BB57" s="34" t="n">
        <f aca="false">P_Pkg*(BB$47+BB$48+BB$49+BB$52)</f>
        <v>4709.89502646909</v>
      </c>
      <c r="BC57" s="34" t="n">
        <f aca="false">P_Pkg*(BC$47+BC$48+BC$49+BC$52)</f>
        <v>4709.89502646909</v>
      </c>
      <c r="BD57" s="34" t="n">
        <f aca="false">P_Pkg*(BD$47+BD$48+BD$49+BD$52)</f>
        <v>4709.89502646909</v>
      </c>
      <c r="BE57" s="34" t="n">
        <f aca="false">P_Pkg*(BE$47+BE$48+BE$49+BE$52)</f>
        <v>4709.89502646909</v>
      </c>
      <c r="BF57" s="34" t="n">
        <f aca="false">P_Pkg*(BF$47+BF$48+BF$49+BF$52)</f>
        <v>4709.89502646909</v>
      </c>
      <c r="BG57" s="34" t="n">
        <f aca="false">P_Pkg*(BG$47+BG$48+BG$49+BG$52)</f>
        <v>4709.89502646909</v>
      </c>
      <c r="BH57" s="34" t="n">
        <f aca="false">P_Pkg*(BH$47+BH$48+BH$49+BH$52)</f>
        <v>4709.89502646909</v>
      </c>
      <c r="BI57" s="34" t="n">
        <f aca="false">P_Pkg*(BI$47+BI$48+BI$49+BI$52)</f>
        <v>4709.89502646909</v>
      </c>
      <c r="BJ57" s="34" t="n">
        <f aca="false">P_Pkg*(BJ$47+BJ$48+BJ$49+BJ$52)</f>
        <v>4709.89502646909</v>
      </c>
      <c r="BK57" s="34" t="n">
        <f aca="false">P_Pkg*(BK$47+BK$48+BK$49+BK$52)</f>
        <v>4709.89502646909</v>
      </c>
      <c r="BL57" s="34" t="n">
        <f aca="false">P_Pkg*(BL$47+BL$48+BL$49+BL$52)</f>
        <v>4709.89502646909</v>
      </c>
      <c r="BM57" s="34" t="n">
        <f aca="false">P_Pkg*(BM$47+BM$48+BM$49+BM$52)</f>
        <v>4709.89502646909</v>
      </c>
      <c r="BN57" s="34" t="n">
        <f aca="false">P_Pkg*(BN$47+BN$48+BN$49+BN$52)</f>
        <v>4732.65693843283</v>
      </c>
      <c r="BO57" s="34" t="n">
        <f aca="false">P_Pkg*(BO$47+BO$48+BO$49+BO$52)</f>
        <v>4732.65693843283</v>
      </c>
      <c r="BP57" s="34" t="n">
        <f aca="false">P_Pkg*(BP$47+BP$48+BP$49+BP$52)</f>
        <v>4732.65693843283</v>
      </c>
      <c r="BQ57" s="34" t="n">
        <f aca="false">P_Pkg*(BQ$47+BQ$48+BQ$49+BQ$52)</f>
        <v>4732.65693843283</v>
      </c>
      <c r="BR57" s="34" t="n">
        <f aca="false">P_Pkg*(BR$47+BR$48+BR$49+BR$52)</f>
        <v>4732.65693843283</v>
      </c>
      <c r="BS57" s="34" t="n">
        <f aca="false">P_Pkg*(BS$47+BS$48+BS$49+BS$52)</f>
        <v>4732.65693843283</v>
      </c>
      <c r="BT57" s="34" t="n">
        <f aca="false">P_Pkg*(BT$47+BT$48+BT$49+BT$52)</f>
        <v>4732.65693843283</v>
      </c>
      <c r="BU57" s="34" t="n">
        <f aca="false">P_Pkg*(BU$47+BU$48+BU$49+BU$52)</f>
        <v>4732.65693843283</v>
      </c>
      <c r="BV57" s="34" t="n">
        <f aca="false">P_Pkg*(BV$47+BV$48+BV$49+BV$52)</f>
        <v>4732.65693843283</v>
      </c>
      <c r="BW57" s="34" t="n">
        <f aca="false">P_Pkg*(BW$47+BW$48+BW$49+BW$52)</f>
        <v>4732.65693843283</v>
      </c>
      <c r="BX57" s="34" t="n">
        <f aca="false">P_Pkg*(BX$47+BX$48+BX$49+BX$52)</f>
        <v>4732.65693843283</v>
      </c>
      <c r="BY57" s="34" t="n">
        <f aca="false">P_Pkg*(BY$47+BY$48+BY$49+BY$52)</f>
        <v>4732.65693843283</v>
      </c>
      <c r="BZ57" s="34" t="n">
        <f aca="false">P_Pkg*(BZ$47+BZ$48+BZ$49+BZ$52)</f>
        <v>4755.64646951621</v>
      </c>
      <c r="CA57" s="34" t="n">
        <f aca="false">P_Pkg*(CA$47+CA$48+CA$49+CA$52)</f>
        <v>4755.64646951621</v>
      </c>
      <c r="CB57" s="34" t="n">
        <f aca="false">P_Pkg*(CB$47+CB$48+CB$49+CB$52)</f>
        <v>4755.64646951621</v>
      </c>
      <c r="CC57" s="34" t="n">
        <f aca="false">P_Pkg*(CC$47+CC$48+CC$49+CC$52)</f>
        <v>4755.64646951621</v>
      </c>
      <c r="CD57" s="34" t="n">
        <f aca="false">P_Pkg*(CD$47+CD$48+CD$49+CD$52)</f>
        <v>4755.64646951621</v>
      </c>
      <c r="CE57" s="34" t="n">
        <f aca="false">P_Pkg*(CE$47+CE$48+CE$49+CE$52)</f>
        <v>4755.64646951621</v>
      </c>
      <c r="CF57" s="34" t="n">
        <f aca="false">P_Pkg*(CF$47+CF$48+CF$49+CF$52)</f>
        <v>4755.64646951621</v>
      </c>
      <c r="CG57" s="34" t="n">
        <f aca="false">P_Pkg*(CG$47+CG$48+CG$49+CG$52)</f>
        <v>4755.64646951621</v>
      </c>
      <c r="CH57" s="34" t="n">
        <f aca="false">P_Pkg*(CH$47+CH$48+CH$49+CH$52)</f>
        <v>4755.64646951621</v>
      </c>
      <c r="CI57" s="34" t="n">
        <f aca="false">P_Pkg*(CI$47+CI$48+CI$49+CI$52)</f>
        <v>4755.64646951621</v>
      </c>
      <c r="CJ57" s="34" t="n">
        <f aca="false">P_Pkg*(CJ$47+CJ$48+CJ$49+CJ$52)</f>
        <v>4755.64646951621</v>
      </c>
      <c r="CK57" s="34" t="n">
        <f aca="false">P_Pkg*(CK$47+CK$48+CK$49+CK$52)</f>
        <v>4755.64646951621</v>
      </c>
      <c r="CL57" s="34" t="n">
        <f aca="false">P_Pkg*(CL$47+CL$48+CL$49+CL$52)</f>
        <v>4778.86589591041</v>
      </c>
      <c r="CM57" s="34" t="n">
        <f aca="false">P_Pkg*(CM$47+CM$48+CM$49+CM$52)</f>
        <v>4778.86589591041</v>
      </c>
      <c r="CN57" s="34" t="n">
        <f aca="false">P_Pkg*(CN$47+CN$48+CN$49+CN$52)</f>
        <v>4778.86589591041</v>
      </c>
      <c r="CO57" s="34" t="n">
        <f aca="false">P_Pkg*(CO$47+CO$48+CO$49+CO$52)</f>
        <v>4778.86589591041</v>
      </c>
      <c r="CP57" s="34" t="n">
        <f aca="false">P_Pkg*(CP$47+CP$48+CP$49+CP$52)</f>
        <v>4778.86589591041</v>
      </c>
      <c r="CQ57" s="34" t="n">
        <f aca="false">P_Pkg*(CQ$47+CQ$48+CQ$49+CQ$52)</f>
        <v>4778.86589591041</v>
      </c>
      <c r="CR57" s="34" t="n">
        <f aca="false">P_Pkg*(CR$47+CR$48+CR$49+CR$52)</f>
        <v>4778.86589591041</v>
      </c>
      <c r="CS57" s="34" t="n">
        <f aca="false">P_Pkg*(CS$47+CS$48+CS$49+CS$52)</f>
        <v>4778.86589591041</v>
      </c>
      <c r="CT57" s="34" t="n">
        <f aca="false">P_Pkg*(CT$47+CT$48+CT$49+CT$52)</f>
        <v>4778.86589591041</v>
      </c>
      <c r="CU57" s="34" t="n">
        <f aca="false">P_Pkg*(CU$47+CU$48+CU$49+CU$52)</f>
        <v>4778.86589591041</v>
      </c>
      <c r="CV57" s="34" t="n">
        <f aca="false">P_Pkg*(CV$47+CV$48+CV$49+CV$52)</f>
        <v>4778.86589591041</v>
      </c>
      <c r="CW57" s="34" t="n">
        <f aca="false">P_Pkg*(CW$47+CW$48+CW$49+CW$52)</f>
        <v>4778.86589591041</v>
      </c>
      <c r="CX57" s="34" t="n">
        <f aca="false">P_Pkg*(CX$47+CX$48+CX$49+CX$52)</f>
        <v>4802.31751656856</v>
      </c>
      <c r="CY57" s="34" t="n">
        <f aca="false">P_Pkg*(CY$47+CY$48+CY$49+CY$52)</f>
        <v>4802.31751656856</v>
      </c>
      <c r="CZ57" s="34" t="n">
        <f aca="false">P_Pkg*(CZ$47+CZ$48+CZ$49+CZ$52)</f>
        <v>4802.31751656856</v>
      </c>
      <c r="DA57" s="34" t="n">
        <f aca="false">P_Pkg*(DA$47+DA$48+DA$49+DA$52)</f>
        <v>4802.31751656856</v>
      </c>
      <c r="DB57" s="34" t="n">
        <f aca="false">P_Pkg*(DB$47+DB$48+DB$49+DB$52)</f>
        <v>4802.31751656856</v>
      </c>
      <c r="DC57" s="34" t="n">
        <f aca="false">P_Pkg*(DC$47+DC$48+DC$49+DC$52)</f>
        <v>4802.31751656856</v>
      </c>
      <c r="DD57" s="34" t="n">
        <f aca="false">P_Pkg*(DD$47+DD$48+DD$49+DD$52)</f>
        <v>4802.31751656856</v>
      </c>
      <c r="DE57" s="34" t="n">
        <f aca="false">P_Pkg*(DE$47+DE$48+DE$49+DE$52)</f>
        <v>4802.31751656856</v>
      </c>
      <c r="DF57" s="34" t="n">
        <f aca="false">P_Pkg*(DF$47+DF$48+DF$49+DF$52)</f>
        <v>4802.31751656856</v>
      </c>
      <c r="DG57" s="34" t="n">
        <f aca="false">P_Pkg*(DG$47+DG$48+DG$49+DG$52)</f>
        <v>4802.31751656856</v>
      </c>
      <c r="DH57" s="34" t="n">
        <f aca="false">P_Pkg*(DH$47+DH$48+DH$49+DH$52)</f>
        <v>4802.31751656856</v>
      </c>
      <c r="DI57" s="34" t="n">
        <f aca="false">P_Pkg*(DI$47+DI$48+DI$49+DI$52)</f>
        <v>4802.31751656856</v>
      </c>
      <c r="DJ57" s="34" t="n">
        <f aca="false">P_Pkg*(DJ$47+DJ$48+DJ$49+DJ$52)</f>
        <v>4826.0036534333</v>
      </c>
      <c r="DK57" s="34" t="n">
        <f aca="false">P_Pkg*(DK$47+DK$48+DK$49+DK$52)</f>
        <v>4826.0036534333</v>
      </c>
      <c r="DL57" s="34" t="n">
        <f aca="false">P_Pkg*(DL$47+DL$48+DL$49+DL$52)</f>
        <v>4826.0036534333</v>
      </c>
      <c r="DM57" s="34" t="n">
        <f aca="false">P_Pkg*(DM$47+DM$48+DM$49+DM$52)</f>
        <v>4826.0036534333</v>
      </c>
      <c r="DN57" s="34" t="n">
        <f aca="false">P_Pkg*(DN$47+DN$48+DN$49+DN$52)</f>
        <v>4826.0036534333</v>
      </c>
      <c r="DO57" s="34" t="n">
        <f aca="false">P_Pkg*(DO$47+DO$48+DO$49+DO$52)</f>
        <v>4826.0036534333</v>
      </c>
      <c r="DP57" s="34" t="n">
        <f aca="false">P_Pkg*(DP$47+DP$48+DP$49+DP$52)</f>
        <v>4826.0036534333</v>
      </c>
      <c r="DQ57" s="34" t="n">
        <f aca="false">P_Pkg*(DQ$47+DQ$48+DQ$49+DQ$52)</f>
        <v>4826.0036534333</v>
      </c>
      <c r="DR57" s="34" t="n">
        <f aca="false">P_Pkg*(DR$47+DR$48+DR$49+DR$52)</f>
        <v>4826.0036534333</v>
      </c>
      <c r="DS57" s="34" t="n">
        <f aca="false">P_Pkg*(DS$47+DS$48+DS$49+DS$52)</f>
        <v>4826.0036534333</v>
      </c>
      <c r="DT57" s="34" t="n">
        <f aca="false">P_Pkg*(DT$47+DT$48+DT$49+DT$52)</f>
        <v>4826.0036534333</v>
      </c>
      <c r="DU57" s="34" t="n">
        <f aca="false">P_Pkg*(DU$47+DU$48+DU$49+DU$52)</f>
        <v>4826.0036534333</v>
      </c>
      <c r="DV57" s="34" t="n">
        <f aca="false">P_Pkg*(DV$47+DV$48+DV$49+DV$52)</f>
        <v>0</v>
      </c>
      <c r="DW57" s="34" t="n">
        <f aca="false">P_Pkg*(DW$47+DW$48+DW$49+DW$52)</f>
        <v>0</v>
      </c>
      <c r="DX57" s="34" t="n">
        <f aca="false">P_Pkg*(DX$47+DX$48+DX$49+DX$52)</f>
        <v>0</v>
      </c>
      <c r="DY57" s="34" t="n">
        <f aca="false">P_Pkg*(DY$47+DY$48+DY$49+DY$52)</f>
        <v>0</v>
      </c>
      <c r="DZ57" s="34" t="n">
        <f aca="false">P_Pkg*(DZ$47+DZ$48+DZ$49+DZ$52)</f>
        <v>0</v>
      </c>
      <c r="EA57" s="34" t="n">
        <f aca="false">P_Pkg*(EA$47+EA$48+EA$49+EA$52)</f>
        <v>0</v>
      </c>
      <c r="EB57" s="34" t="n">
        <f aca="false">P_Pkg*(EB$47+EB$48+EB$49+EB$52)</f>
        <v>0</v>
      </c>
      <c r="EC57" s="34" t="n">
        <f aca="false">P_Pkg*(EC$47+EC$48+EC$49+EC$52)</f>
        <v>0</v>
      </c>
      <c r="ED57" s="34" t="n">
        <f aca="false">P_Pkg*(ED$47+ED$48+ED$49+ED$52)</f>
        <v>0</v>
      </c>
      <c r="EE57" s="34" t="n">
        <f aca="false">P_Pkg*(EE$47+EE$48+EE$49+EE$52)</f>
        <v>0</v>
      </c>
      <c r="EF57" s="34" t="n">
        <f aca="false">P_Pkg*(EF$47+EF$48+EF$49+EF$52)</f>
        <v>0</v>
      </c>
      <c r="EG57" s="34" t="n">
        <f aca="false">P_Pkg*(EG$47+EG$48+EG$49+EG$52)</f>
        <v>0</v>
      </c>
      <c r="EH57" s="34" t="n">
        <f aca="false">P_Pkg*(EH$47+EH$48+EH$49+EH$52)</f>
        <v>0</v>
      </c>
      <c r="EI57" s="34" t="n">
        <f aca="false">P_Pkg*(EI$47+EI$48+EI$49+EI$52)</f>
        <v>0</v>
      </c>
      <c r="EJ57" s="34" t="n">
        <f aca="false">P_Pkg*(EJ$47+EJ$48+EJ$49+EJ$52)</f>
        <v>0</v>
      </c>
      <c r="EK57" s="34" t="n">
        <f aca="false">P_Pkg*(EK$47+EK$48+EK$49+EK$52)</f>
        <v>0</v>
      </c>
      <c r="EL57" s="34" t="n">
        <f aca="false">P_Pkg*(EL$47+EL$48+EL$49+EL$52)</f>
        <v>0</v>
      </c>
      <c r="EM57" s="34" t="n">
        <f aca="false">P_Pkg*(EM$47+EM$48+EM$49+EM$52)</f>
        <v>0</v>
      </c>
      <c r="EN57" s="34" t="n">
        <f aca="false">P_Pkg*(EN$47+EN$48+EN$49+EN$52)</f>
        <v>0</v>
      </c>
      <c r="EO57" s="34" t="n">
        <f aca="false">P_Pkg*(EO$47+EO$48+EO$49+EO$52)</f>
        <v>0</v>
      </c>
      <c r="EP57" s="34" t="n">
        <f aca="false">P_Pkg*(EP$47+EP$48+EP$49+EP$52)</f>
        <v>0</v>
      </c>
      <c r="EQ57" s="34" t="n">
        <f aca="false">P_Pkg*(EQ$47+EQ$48+EQ$49+EQ$52)</f>
        <v>0</v>
      </c>
      <c r="ER57" s="34" t="n">
        <f aca="false">P_Pkg*(ER$47+ER$48+ER$49+ER$52)</f>
        <v>0</v>
      </c>
      <c r="ES57" s="34" t="n">
        <f aca="false">P_Pkg*(ES$47+ES$48+ES$49+ES$52)</f>
        <v>0</v>
      </c>
    </row>
    <row r="58" customFormat="false" ht="15" hidden="false" customHeight="false" outlineLevel="0" collapsed="false">
      <c r="A58" s="2" t="s">
        <v>608</v>
      </c>
      <c r="B58" s="6" t="s">
        <v>609</v>
      </c>
      <c r="C58" s="6" t="s">
        <v>250</v>
      </c>
      <c r="E58" s="40" t="n">
        <f aca="false">SUM(F58:ES58)</f>
        <v>81222.4477216454</v>
      </c>
      <c r="F58" s="34" t="n">
        <f aca="false">(P_SegV+P_ComV)*F$45</f>
        <v>404.166666666667</v>
      </c>
      <c r="G58" s="34" t="n">
        <f aca="false">(P_SegV+P_ComV)*G$45</f>
        <v>404.166666666667</v>
      </c>
      <c r="H58" s="34" t="n">
        <f aca="false">(P_SegV+P_ComV)*H$45</f>
        <v>404.166666666667</v>
      </c>
      <c r="I58" s="34" t="n">
        <f aca="false">(P_SegV+P_ComV)*I$45</f>
        <v>404.166666666667</v>
      </c>
      <c r="J58" s="34" t="n">
        <f aca="false">(P_SegV+P_ComV)*J$45</f>
        <v>404.166666666667</v>
      </c>
      <c r="K58" s="34" t="n">
        <f aca="false">(P_SegV+P_ComV)*K$45</f>
        <v>404.166666666667</v>
      </c>
      <c r="L58" s="34" t="n">
        <f aca="false">(P_SegV+P_ComV)*L$45</f>
        <v>404.166666666667</v>
      </c>
      <c r="M58" s="34" t="n">
        <f aca="false">(P_SegV+P_ComV)*M$45</f>
        <v>404.166666666667</v>
      </c>
      <c r="N58" s="34" t="n">
        <f aca="false">(P_SegV+P_ComV)*N$45</f>
        <v>404.166666666667</v>
      </c>
      <c r="O58" s="34" t="n">
        <f aca="false">(P_SegV+P_ComV)*O$45</f>
        <v>404.166666666667</v>
      </c>
      <c r="P58" s="34" t="n">
        <f aca="false">(P_SegV+P_ComV)*P$45</f>
        <v>404.166666666667</v>
      </c>
      <c r="Q58" s="34" t="n">
        <f aca="false">(P_SegV+P_ComV)*Q$45</f>
        <v>404.166666666667</v>
      </c>
      <c r="R58" s="34" t="n">
        <f aca="false">(P_SegV+P_ComV)*R$45</f>
        <v>515.1</v>
      </c>
      <c r="S58" s="34" t="n">
        <f aca="false">(P_SegV+P_ComV)*S$45</f>
        <v>515.1</v>
      </c>
      <c r="T58" s="34" t="n">
        <f aca="false">(P_SegV+P_ComV)*T$45</f>
        <v>515.1</v>
      </c>
      <c r="U58" s="34" t="n">
        <f aca="false">(P_SegV+P_ComV)*U$45</f>
        <v>515.1</v>
      </c>
      <c r="V58" s="34" t="n">
        <f aca="false">(P_SegV+P_ComV)*V$45</f>
        <v>515.1</v>
      </c>
      <c r="W58" s="34" t="n">
        <f aca="false">(P_SegV+P_ComV)*W$45</f>
        <v>515.1</v>
      </c>
      <c r="X58" s="34" t="n">
        <f aca="false">(P_SegV+P_ComV)*X$45</f>
        <v>515.1</v>
      </c>
      <c r="Y58" s="34" t="n">
        <f aca="false">(P_SegV+P_ComV)*Y$45</f>
        <v>515.1</v>
      </c>
      <c r="Z58" s="34" t="n">
        <f aca="false">(P_SegV+P_ComV)*Z$45</f>
        <v>515.1</v>
      </c>
      <c r="AA58" s="34" t="n">
        <f aca="false">(P_SegV+P_ComV)*AA$45</f>
        <v>515.1</v>
      </c>
      <c r="AB58" s="34" t="n">
        <f aca="false">(P_SegV+P_ComV)*AB$45</f>
        <v>515.1</v>
      </c>
      <c r="AC58" s="34" t="n">
        <f aca="false">(P_SegV+P_ComV)*AC$45</f>
        <v>515.1</v>
      </c>
      <c r="AD58" s="34" t="n">
        <f aca="false">(P_SegV+P_ComV)*AD$45</f>
        <v>628.211583333333</v>
      </c>
      <c r="AE58" s="34" t="n">
        <f aca="false">(P_SegV+P_ComV)*AE$45</f>
        <v>628.211583333333</v>
      </c>
      <c r="AF58" s="34" t="n">
        <f aca="false">(P_SegV+P_ComV)*AF$45</f>
        <v>628.211583333333</v>
      </c>
      <c r="AG58" s="34" t="n">
        <f aca="false">(P_SegV+P_ComV)*AG$45</f>
        <v>628.211583333333</v>
      </c>
      <c r="AH58" s="34" t="n">
        <f aca="false">(P_SegV+P_ComV)*AH$45</f>
        <v>628.211583333333</v>
      </c>
      <c r="AI58" s="34" t="n">
        <f aca="false">(P_SegV+P_ComV)*AI$45</f>
        <v>628.211583333333</v>
      </c>
      <c r="AJ58" s="34" t="n">
        <f aca="false">(P_SegV+P_ComV)*AJ$45</f>
        <v>628.211583333333</v>
      </c>
      <c r="AK58" s="34" t="n">
        <f aca="false">(P_SegV+P_ComV)*AK$45</f>
        <v>628.211583333333</v>
      </c>
      <c r="AL58" s="34" t="n">
        <f aca="false">(P_SegV+P_ComV)*AL$45</f>
        <v>628.211583333333</v>
      </c>
      <c r="AM58" s="34" t="n">
        <f aca="false">(P_SegV+P_ComV)*AM$45</f>
        <v>628.211583333333</v>
      </c>
      <c r="AN58" s="34" t="n">
        <f aca="false">(P_SegV+P_ComV)*AN$45</f>
        <v>628.211583333333</v>
      </c>
      <c r="AO58" s="34" t="n">
        <f aca="false">(P_SegV+P_ComV)*AO$45</f>
        <v>628.211583333333</v>
      </c>
      <c r="AP58" s="34" t="n">
        <f aca="false">(P_SegV+P_ComV)*AP$45</f>
        <v>723.7864525</v>
      </c>
      <c r="AQ58" s="34" t="n">
        <f aca="false">(P_SegV+P_ComV)*AQ$45</f>
        <v>723.7864525</v>
      </c>
      <c r="AR58" s="34" t="n">
        <f aca="false">(P_SegV+P_ComV)*AR$45</f>
        <v>723.7864525</v>
      </c>
      <c r="AS58" s="34" t="n">
        <f aca="false">(P_SegV+P_ComV)*AS$45</f>
        <v>723.7864525</v>
      </c>
      <c r="AT58" s="34" t="n">
        <f aca="false">(P_SegV+P_ComV)*AT$45</f>
        <v>723.7864525</v>
      </c>
      <c r="AU58" s="34" t="n">
        <f aca="false">(P_SegV+P_ComV)*AU$45</f>
        <v>723.7864525</v>
      </c>
      <c r="AV58" s="34" t="n">
        <f aca="false">(P_SegV+P_ComV)*AV$45</f>
        <v>723.7864525</v>
      </c>
      <c r="AW58" s="34" t="n">
        <f aca="false">(P_SegV+P_ComV)*AW$45</f>
        <v>723.7864525</v>
      </c>
      <c r="AX58" s="34" t="n">
        <f aca="false">(P_SegV+P_ComV)*AX$45</f>
        <v>723.7864525</v>
      </c>
      <c r="AY58" s="34" t="n">
        <f aca="false">(P_SegV+P_ComV)*AY$45</f>
        <v>723.7864525</v>
      </c>
      <c r="AZ58" s="34" t="n">
        <f aca="false">(P_SegV+P_ComV)*AZ$45</f>
        <v>723.7864525</v>
      </c>
      <c r="BA58" s="34" t="n">
        <f aca="false">(P_SegV+P_ComV)*BA$45</f>
        <v>723.7864525</v>
      </c>
      <c r="BB58" s="34" t="n">
        <f aca="false">(P_SegV+P_ComV)*BB$45</f>
        <v>731.024317025</v>
      </c>
      <c r="BC58" s="34" t="n">
        <f aca="false">(P_SegV+P_ComV)*BC$45</f>
        <v>731.024317025</v>
      </c>
      <c r="BD58" s="34" t="n">
        <f aca="false">(P_SegV+P_ComV)*BD$45</f>
        <v>731.024317025</v>
      </c>
      <c r="BE58" s="34" t="n">
        <f aca="false">(P_SegV+P_ComV)*BE$45</f>
        <v>731.024317025</v>
      </c>
      <c r="BF58" s="34" t="n">
        <f aca="false">(P_SegV+P_ComV)*BF$45</f>
        <v>731.024317025</v>
      </c>
      <c r="BG58" s="34" t="n">
        <f aca="false">(P_SegV+P_ComV)*BG$45</f>
        <v>731.024317025</v>
      </c>
      <c r="BH58" s="34" t="n">
        <f aca="false">(P_SegV+P_ComV)*BH$45</f>
        <v>731.024317025</v>
      </c>
      <c r="BI58" s="34" t="n">
        <f aca="false">(P_SegV+P_ComV)*BI$45</f>
        <v>731.024317025</v>
      </c>
      <c r="BJ58" s="34" t="n">
        <f aca="false">(P_SegV+P_ComV)*BJ$45</f>
        <v>731.024317025</v>
      </c>
      <c r="BK58" s="34" t="n">
        <f aca="false">(P_SegV+P_ComV)*BK$45</f>
        <v>731.024317025</v>
      </c>
      <c r="BL58" s="34" t="n">
        <f aca="false">(P_SegV+P_ComV)*BL$45</f>
        <v>731.024317025</v>
      </c>
      <c r="BM58" s="34" t="n">
        <f aca="false">(P_SegV+P_ComV)*BM$45</f>
        <v>731.024317025</v>
      </c>
      <c r="BN58" s="34" t="n">
        <f aca="false">(P_SegV+P_ComV)*BN$45</f>
        <v>738.33456019525</v>
      </c>
      <c r="BO58" s="34" t="n">
        <f aca="false">(P_SegV+P_ComV)*BO$45</f>
        <v>738.33456019525</v>
      </c>
      <c r="BP58" s="34" t="n">
        <f aca="false">(P_SegV+P_ComV)*BP$45</f>
        <v>738.33456019525</v>
      </c>
      <c r="BQ58" s="34" t="n">
        <f aca="false">(P_SegV+P_ComV)*BQ$45</f>
        <v>738.33456019525</v>
      </c>
      <c r="BR58" s="34" t="n">
        <f aca="false">(P_SegV+P_ComV)*BR$45</f>
        <v>738.33456019525</v>
      </c>
      <c r="BS58" s="34" t="n">
        <f aca="false">(P_SegV+P_ComV)*BS$45</f>
        <v>738.33456019525</v>
      </c>
      <c r="BT58" s="34" t="n">
        <f aca="false">(P_SegV+P_ComV)*BT$45</f>
        <v>738.33456019525</v>
      </c>
      <c r="BU58" s="34" t="n">
        <f aca="false">(P_SegV+P_ComV)*BU$45</f>
        <v>738.33456019525</v>
      </c>
      <c r="BV58" s="34" t="n">
        <f aca="false">(P_SegV+P_ComV)*BV$45</f>
        <v>738.33456019525</v>
      </c>
      <c r="BW58" s="34" t="n">
        <f aca="false">(P_SegV+P_ComV)*BW$45</f>
        <v>738.33456019525</v>
      </c>
      <c r="BX58" s="34" t="n">
        <f aca="false">(P_SegV+P_ComV)*BX$45</f>
        <v>738.33456019525</v>
      </c>
      <c r="BY58" s="34" t="n">
        <f aca="false">(P_SegV+P_ComV)*BY$45</f>
        <v>738.33456019525</v>
      </c>
      <c r="BZ58" s="34" t="n">
        <f aca="false">(P_SegV+P_ComV)*BZ$45</f>
        <v>745.717905797202</v>
      </c>
      <c r="CA58" s="34" t="n">
        <f aca="false">(P_SegV+P_ComV)*CA$45</f>
        <v>745.717905797202</v>
      </c>
      <c r="CB58" s="34" t="n">
        <f aca="false">(P_SegV+P_ComV)*CB$45</f>
        <v>745.717905797202</v>
      </c>
      <c r="CC58" s="34" t="n">
        <f aca="false">(P_SegV+P_ComV)*CC$45</f>
        <v>745.717905797202</v>
      </c>
      <c r="CD58" s="34" t="n">
        <f aca="false">(P_SegV+P_ComV)*CD$45</f>
        <v>745.717905797202</v>
      </c>
      <c r="CE58" s="34" t="n">
        <f aca="false">(P_SegV+P_ComV)*CE$45</f>
        <v>745.717905797202</v>
      </c>
      <c r="CF58" s="34" t="n">
        <f aca="false">(P_SegV+P_ComV)*CF$45</f>
        <v>745.717905797202</v>
      </c>
      <c r="CG58" s="34" t="n">
        <f aca="false">(P_SegV+P_ComV)*CG$45</f>
        <v>745.717905797202</v>
      </c>
      <c r="CH58" s="34" t="n">
        <f aca="false">(P_SegV+P_ComV)*CH$45</f>
        <v>745.717905797202</v>
      </c>
      <c r="CI58" s="34" t="n">
        <f aca="false">(P_SegV+P_ComV)*CI$45</f>
        <v>745.717905797202</v>
      </c>
      <c r="CJ58" s="34" t="n">
        <f aca="false">(P_SegV+P_ComV)*CJ$45</f>
        <v>745.717905797202</v>
      </c>
      <c r="CK58" s="34" t="n">
        <f aca="false">(P_SegV+P_ComV)*CK$45</f>
        <v>745.717905797202</v>
      </c>
      <c r="CL58" s="34" t="n">
        <f aca="false">(P_SegV+P_ComV)*CL$45</f>
        <v>753.175084855174</v>
      </c>
      <c r="CM58" s="34" t="n">
        <f aca="false">(P_SegV+P_ComV)*CM$45</f>
        <v>753.175084855174</v>
      </c>
      <c r="CN58" s="34" t="n">
        <f aca="false">(P_SegV+P_ComV)*CN$45</f>
        <v>753.175084855174</v>
      </c>
      <c r="CO58" s="34" t="n">
        <f aca="false">(P_SegV+P_ComV)*CO$45</f>
        <v>753.175084855174</v>
      </c>
      <c r="CP58" s="34" t="n">
        <f aca="false">(P_SegV+P_ComV)*CP$45</f>
        <v>753.175084855174</v>
      </c>
      <c r="CQ58" s="34" t="n">
        <f aca="false">(P_SegV+P_ComV)*CQ$45</f>
        <v>753.175084855174</v>
      </c>
      <c r="CR58" s="34" t="n">
        <f aca="false">(P_SegV+P_ComV)*CR$45</f>
        <v>753.175084855174</v>
      </c>
      <c r="CS58" s="34" t="n">
        <f aca="false">(P_SegV+P_ComV)*CS$45</f>
        <v>753.175084855174</v>
      </c>
      <c r="CT58" s="34" t="n">
        <f aca="false">(P_SegV+P_ComV)*CT$45</f>
        <v>753.175084855174</v>
      </c>
      <c r="CU58" s="34" t="n">
        <f aca="false">(P_SegV+P_ComV)*CU$45</f>
        <v>753.175084855174</v>
      </c>
      <c r="CV58" s="34" t="n">
        <f aca="false">(P_SegV+P_ComV)*CV$45</f>
        <v>753.175084855174</v>
      </c>
      <c r="CW58" s="34" t="n">
        <f aca="false">(P_SegV+P_ComV)*CW$45</f>
        <v>753.175084855174</v>
      </c>
      <c r="CX58" s="34" t="n">
        <f aca="false">(P_SegV+P_ComV)*CX$45</f>
        <v>760.706835703726</v>
      </c>
      <c r="CY58" s="34" t="n">
        <f aca="false">(P_SegV+P_ComV)*CY$45</f>
        <v>760.706835703726</v>
      </c>
      <c r="CZ58" s="34" t="n">
        <f aca="false">(P_SegV+P_ComV)*CZ$45</f>
        <v>760.706835703726</v>
      </c>
      <c r="DA58" s="34" t="n">
        <f aca="false">(P_SegV+P_ComV)*DA$45</f>
        <v>760.706835703726</v>
      </c>
      <c r="DB58" s="34" t="n">
        <f aca="false">(P_SegV+P_ComV)*DB$45</f>
        <v>760.706835703726</v>
      </c>
      <c r="DC58" s="34" t="n">
        <f aca="false">(P_SegV+P_ComV)*DC$45</f>
        <v>760.706835703726</v>
      </c>
      <c r="DD58" s="34" t="n">
        <f aca="false">(P_SegV+P_ComV)*DD$45</f>
        <v>760.706835703726</v>
      </c>
      <c r="DE58" s="34" t="n">
        <f aca="false">(P_SegV+P_ComV)*DE$45</f>
        <v>760.706835703726</v>
      </c>
      <c r="DF58" s="34" t="n">
        <f aca="false">(P_SegV+P_ComV)*DF$45</f>
        <v>760.706835703726</v>
      </c>
      <c r="DG58" s="34" t="n">
        <f aca="false">(P_SegV+P_ComV)*DG$45</f>
        <v>760.706835703726</v>
      </c>
      <c r="DH58" s="34" t="n">
        <f aca="false">(P_SegV+P_ComV)*DH$45</f>
        <v>760.706835703726</v>
      </c>
      <c r="DI58" s="34" t="n">
        <f aca="false">(P_SegV+P_ComV)*DI$45</f>
        <v>760.706835703726</v>
      </c>
      <c r="DJ58" s="34" t="n">
        <f aca="false">(P_SegV+P_ComV)*DJ$45</f>
        <v>768.313904060764</v>
      </c>
      <c r="DK58" s="34" t="n">
        <f aca="false">(P_SegV+P_ComV)*DK$45</f>
        <v>768.313904060764</v>
      </c>
      <c r="DL58" s="34" t="n">
        <f aca="false">(P_SegV+P_ComV)*DL$45</f>
        <v>768.313904060764</v>
      </c>
      <c r="DM58" s="34" t="n">
        <f aca="false">(P_SegV+P_ComV)*DM$45</f>
        <v>768.313904060764</v>
      </c>
      <c r="DN58" s="34" t="n">
        <f aca="false">(P_SegV+P_ComV)*DN$45</f>
        <v>768.313904060764</v>
      </c>
      <c r="DO58" s="34" t="n">
        <f aca="false">(P_SegV+P_ComV)*DO$45</f>
        <v>768.313904060764</v>
      </c>
      <c r="DP58" s="34" t="n">
        <f aca="false">(P_SegV+P_ComV)*DP$45</f>
        <v>768.313904060764</v>
      </c>
      <c r="DQ58" s="34" t="n">
        <f aca="false">(P_SegV+P_ComV)*DQ$45</f>
        <v>768.313904060764</v>
      </c>
      <c r="DR58" s="34" t="n">
        <f aca="false">(P_SegV+P_ComV)*DR$45</f>
        <v>768.313904060764</v>
      </c>
      <c r="DS58" s="34" t="n">
        <f aca="false">(P_SegV+P_ComV)*DS$45</f>
        <v>768.313904060764</v>
      </c>
      <c r="DT58" s="34" t="n">
        <f aca="false">(P_SegV+P_ComV)*DT$45</f>
        <v>768.313904060764</v>
      </c>
      <c r="DU58" s="34" t="n">
        <f aca="false">(P_SegV+P_ComV)*DU$45</f>
        <v>768.313904060764</v>
      </c>
      <c r="DV58" s="34" t="n">
        <f aca="false">(P_SegV+P_ComV)*DV$45</f>
        <v>0</v>
      </c>
      <c r="DW58" s="34" t="n">
        <f aca="false">(P_SegV+P_ComV)*DW$45</f>
        <v>0</v>
      </c>
      <c r="DX58" s="34" t="n">
        <f aca="false">(P_SegV+P_ComV)*DX$45</f>
        <v>0</v>
      </c>
      <c r="DY58" s="34" t="n">
        <f aca="false">(P_SegV+P_ComV)*DY$45</f>
        <v>0</v>
      </c>
      <c r="DZ58" s="34" t="n">
        <f aca="false">(P_SegV+P_ComV)*DZ$45</f>
        <v>0</v>
      </c>
      <c r="EA58" s="34" t="n">
        <f aca="false">(P_SegV+P_ComV)*EA$45</f>
        <v>0</v>
      </c>
      <c r="EB58" s="34" t="n">
        <f aca="false">(P_SegV+P_ComV)*EB$45</f>
        <v>0</v>
      </c>
      <c r="EC58" s="34" t="n">
        <f aca="false">(P_SegV+P_ComV)*EC$45</f>
        <v>0</v>
      </c>
      <c r="ED58" s="34" t="n">
        <f aca="false">(P_SegV+P_ComV)*ED$45</f>
        <v>0</v>
      </c>
      <c r="EE58" s="34" t="n">
        <f aca="false">(P_SegV+P_ComV)*EE$45</f>
        <v>0</v>
      </c>
      <c r="EF58" s="34" t="n">
        <f aca="false">(P_SegV+P_ComV)*EF$45</f>
        <v>0</v>
      </c>
      <c r="EG58" s="34" t="n">
        <f aca="false">(P_SegV+P_ComV)*EG$45</f>
        <v>0</v>
      </c>
      <c r="EH58" s="34" t="n">
        <f aca="false">(P_SegV+P_ComV)*EH$45</f>
        <v>0</v>
      </c>
      <c r="EI58" s="34" t="n">
        <f aca="false">(P_SegV+P_ComV)*EI$45</f>
        <v>0</v>
      </c>
      <c r="EJ58" s="34" t="n">
        <f aca="false">(P_SegV+P_ComV)*EJ$45</f>
        <v>0</v>
      </c>
      <c r="EK58" s="34" t="n">
        <f aca="false">(P_SegV+P_ComV)*EK$45</f>
        <v>0</v>
      </c>
      <c r="EL58" s="34" t="n">
        <f aca="false">(P_SegV+P_ComV)*EL$45</f>
        <v>0</v>
      </c>
      <c r="EM58" s="34" t="n">
        <f aca="false">(P_SegV+P_ComV)*EM$45</f>
        <v>0</v>
      </c>
      <c r="EN58" s="34" t="n">
        <f aca="false">(P_SegV+P_ComV)*EN$45</f>
        <v>0</v>
      </c>
      <c r="EO58" s="34" t="n">
        <f aca="false">(P_SegV+P_ComV)*EO$45</f>
        <v>0</v>
      </c>
      <c r="EP58" s="34" t="n">
        <f aca="false">(P_SegV+P_ComV)*EP$45</f>
        <v>0</v>
      </c>
      <c r="EQ58" s="34" t="n">
        <f aca="false">(P_SegV+P_ComV)*EQ$45</f>
        <v>0</v>
      </c>
      <c r="ER58" s="34" t="n">
        <f aca="false">(P_SegV+P_ComV)*ER$45</f>
        <v>0</v>
      </c>
      <c r="ES58" s="34" t="n">
        <f aca="false">(P_SegV+P_ComV)*ES$45</f>
        <v>0</v>
      </c>
    </row>
    <row r="59" customFormat="false" ht="15" hidden="false" customHeight="false" outlineLevel="0" collapsed="false">
      <c r="A59" s="2" t="s">
        <v>610</v>
      </c>
      <c r="B59" s="6" t="s">
        <v>503</v>
      </c>
      <c r="C59" s="6" t="s">
        <v>250</v>
      </c>
      <c r="E59" s="40" t="n">
        <f aca="false">SUM(F59:ES59)</f>
        <v>812224.477216454</v>
      </c>
      <c r="F59" s="34" t="n">
        <f aca="false">P_Trib*F$45</f>
        <v>4041.66666666667</v>
      </c>
      <c r="G59" s="34" t="n">
        <f aca="false">P_Trib*G$45</f>
        <v>4041.66666666667</v>
      </c>
      <c r="H59" s="34" t="n">
        <f aca="false">P_Trib*H$45</f>
        <v>4041.66666666667</v>
      </c>
      <c r="I59" s="34" t="n">
        <f aca="false">P_Trib*I$45</f>
        <v>4041.66666666667</v>
      </c>
      <c r="J59" s="34" t="n">
        <f aca="false">P_Trib*J$45</f>
        <v>4041.66666666667</v>
      </c>
      <c r="K59" s="34" t="n">
        <f aca="false">P_Trib*K$45</f>
        <v>4041.66666666667</v>
      </c>
      <c r="L59" s="34" t="n">
        <f aca="false">P_Trib*L$45</f>
        <v>4041.66666666667</v>
      </c>
      <c r="M59" s="34" t="n">
        <f aca="false">P_Trib*M$45</f>
        <v>4041.66666666667</v>
      </c>
      <c r="N59" s="34" t="n">
        <f aca="false">P_Trib*N$45</f>
        <v>4041.66666666667</v>
      </c>
      <c r="O59" s="34" t="n">
        <f aca="false">P_Trib*O$45</f>
        <v>4041.66666666667</v>
      </c>
      <c r="P59" s="34" t="n">
        <f aca="false">P_Trib*P$45</f>
        <v>4041.66666666667</v>
      </c>
      <c r="Q59" s="34" t="n">
        <f aca="false">P_Trib*Q$45</f>
        <v>4041.66666666667</v>
      </c>
      <c r="R59" s="34" t="n">
        <f aca="false">P_Trib*R$45</f>
        <v>5151</v>
      </c>
      <c r="S59" s="34" t="n">
        <f aca="false">P_Trib*S$45</f>
        <v>5151</v>
      </c>
      <c r="T59" s="34" t="n">
        <f aca="false">P_Trib*T$45</f>
        <v>5151</v>
      </c>
      <c r="U59" s="34" t="n">
        <f aca="false">P_Trib*U$45</f>
        <v>5151</v>
      </c>
      <c r="V59" s="34" t="n">
        <f aca="false">P_Trib*V$45</f>
        <v>5151</v>
      </c>
      <c r="W59" s="34" t="n">
        <f aca="false">P_Trib*W$45</f>
        <v>5151</v>
      </c>
      <c r="X59" s="34" t="n">
        <f aca="false">P_Trib*X$45</f>
        <v>5151</v>
      </c>
      <c r="Y59" s="34" t="n">
        <f aca="false">P_Trib*Y$45</f>
        <v>5151</v>
      </c>
      <c r="Z59" s="34" t="n">
        <f aca="false">P_Trib*Z$45</f>
        <v>5151</v>
      </c>
      <c r="AA59" s="34" t="n">
        <f aca="false">P_Trib*AA$45</f>
        <v>5151</v>
      </c>
      <c r="AB59" s="34" t="n">
        <f aca="false">P_Trib*AB$45</f>
        <v>5151</v>
      </c>
      <c r="AC59" s="34" t="n">
        <f aca="false">P_Trib*AC$45</f>
        <v>5151</v>
      </c>
      <c r="AD59" s="34" t="n">
        <f aca="false">P_Trib*AD$45</f>
        <v>6282.11583333333</v>
      </c>
      <c r="AE59" s="34" t="n">
        <f aca="false">P_Trib*AE$45</f>
        <v>6282.11583333333</v>
      </c>
      <c r="AF59" s="34" t="n">
        <f aca="false">P_Trib*AF$45</f>
        <v>6282.11583333333</v>
      </c>
      <c r="AG59" s="34" t="n">
        <f aca="false">P_Trib*AG$45</f>
        <v>6282.11583333333</v>
      </c>
      <c r="AH59" s="34" t="n">
        <f aca="false">P_Trib*AH$45</f>
        <v>6282.11583333333</v>
      </c>
      <c r="AI59" s="34" t="n">
        <f aca="false">P_Trib*AI$45</f>
        <v>6282.11583333333</v>
      </c>
      <c r="AJ59" s="34" t="n">
        <f aca="false">P_Trib*AJ$45</f>
        <v>6282.11583333333</v>
      </c>
      <c r="AK59" s="34" t="n">
        <f aca="false">P_Trib*AK$45</f>
        <v>6282.11583333333</v>
      </c>
      <c r="AL59" s="34" t="n">
        <f aca="false">P_Trib*AL$45</f>
        <v>6282.11583333333</v>
      </c>
      <c r="AM59" s="34" t="n">
        <f aca="false">P_Trib*AM$45</f>
        <v>6282.11583333333</v>
      </c>
      <c r="AN59" s="34" t="n">
        <f aca="false">P_Trib*AN$45</f>
        <v>6282.11583333333</v>
      </c>
      <c r="AO59" s="34" t="n">
        <f aca="false">P_Trib*AO$45</f>
        <v>6282.11583333333</v>
      </c>
      <c r="AP59" s="34" t="n">
        <f aca="false">P_Trib*AP$45</f>
        <v>7237.864525</v>
      </c>
      <c r="AQ59" s="34" t="n">
        <f aca="false">P_Trib*AQ$45</f>
        <v>7237.864525</v>
      </c>
      <c r="AR59" s="34" t="n">
        <f aca="false">P_Trib*AR$45</f>
        <v>7237.864525</v>
      </c>
      <c r="AS59" s="34" t="n">
        <f aca="false">P_Trib*AS$45</f>
        <v>7237.864525</v>
      </c>
      <c r="AT59" s="34" t="n">
        <f aca="false">P_Trib*AT$45</f>
        <v>7237.864525</v>
      </c>
      <c r="AU59" s="34" t="n">
        <f aca="false">P_Trib*AU$45</f>
        <v>7237.864525</v>
      </c>
      <c r="AV59" s="34" t="n">
        <f aca="false">P_Trib*AV$45</f>
        <v>7237.864525</v>
      </c>
      <c r="AW59" s="34" t="n">
        <f aca="false">P_Trib*AW$45</f>
        <v>7237.864525</v>
      </c>
      <c r="AX59" s="34" t="n">
        <f aca="false">P_Trib*AX$45</f>
        <v>7237.864525</v>
      </c>
      <c r="AY59" s="34" t="n">
        <f aca="false">P_Trib*AY$45</f>
        <v>7237.864525</v>
      </c>
      <c r="AZ59" s="34" t="n">
        <f aca="false">P_Trib*AZ$45</f>
        <v>7237.864525</v>
      </c>
      <c r="BA59" s="34" t="n">
        <f aca="false">P_Trib*BA$45</f>
        <v>7237.864525</v>
      </c>
      <c r="BB59" s="34" t="n">
        <f aca="false">P_Trib*BB$45</f>
        <v>7310.24317025</v>
      </c>
      <c r="BC59" s="34" t="n">
        <f aca="false">P_Trib*BC$45</f>
        <v>7310.24317025</v>
      </c>
      <c r="BD59" s="34" t="n">
        <f aca="false">P_Trib*BD$45</f>
        <v>7310.24317025</v>
      </c>
      <c r="BE59" s="34" t="n">
        <f aca="false">P_Trib*BE$45</f>
        <v>7310.24317025</v>
      </c>
      <c r="BF59" s="34" t="n">
        <f aca="false">P_Trib*BF$45</f>
        <v>7310.24317025</v>
      </c>
      <c r="BG59" s="34" t="n">
        <f aca="false">P_Trib*BG$45</f>
        <v>7310.24317025</v>
      </c>
      <c r="BH59" s="34" t="n">
        <f aca="false">P_Trib*BH$45</f>
        <v>7310.24317025</v>
      </c>
      <c r="BI59" s="34" t="n">
        <f aca="false">P_Trib*BI$45</f>
        <v>7310.24317025</v>
      </c>
      <c r="BJ59" s="34" t="n">
        <f aca="false">P_Trib*BJ$45</f>
        <v>7310.24317025</v>
      </c>
      <c r="BK59" s="34" t="n">
        <f aca="false">P_Trib*BK$45</f>
        <v>7310.24317025</v>
      </c>
      <c r="BL59" s="34" t="n">
        <f aca="false">P_Trib*BL$45</f>
        <v>7310.24317025</v>
      </c>
      <c r="BM59" s="34" t="n">
        <f aca="false">P_Trib*BM$45</f>
        <v>7310.24317025</v>
      </c>
      <c r="BN59" s="34" t="n">
        <f aca="false">P_Trib*BN$45</f>
        <v>7383.3456019525</v>
      </c>
      <c r="BO59" s="34" t="n">
        <f aca="false">P_Trib*BO$45</f>
        <v>7383.3456019525</v>
      </c>
      <c r="BP59" s="34" t="n">
        <f aca="false">P_Trib*BP$45</f>
        <v>7383.3456019525</v>
      </c>
      <c r="BQ59" s="34" t="n">
        <f aca="false">P_Trib*BQ$45</f>
        <v>7383.3456019525</v>
      </c>
      <c r="BR59" s="34" t="n">
        <f aca="false">P_Trib*BR$45</f>
        <v>7383.3456019525</v>
      </c>
      <c r="BS59" s="34" t="n">
        <f aca="false">P_Trib*BS$45</f>
        <v>7383.3456019525</v>
      </c>
      <c r="BT59" s="34" t="n">
        <f aca="false">P_Trib*BT$45</f>
        <v>7383.3456019525</v>
      </c>
      <c r="BU59" s="34" t="n">
        <f aca="false">P_Trib*BU$45</f>
        <v>7383.3456019525</v>
      </c>
      <c r="BV59" s="34" t="n">
        <f aca="false">P_Trib*BV$45</f>
        <v>7383.3456019525</v>
      </c>
      <c r="BW59" s="34" t="n">
        <f aca="false">P_Trib*BW$45</f>
        <v>7383.3456019525</v>
      </c>
      <c r="BX59" s="34" t="n">
        <f aca="false">P_Trib*BX$45</f>
        <v>7383.3456019525</v>
      </c>
      <c r="BY59" s="34" t="n">
        <f aca="false">P_Trib*BY$45</f>
        <v>7383.3456019525</v>
      </c>
      <c r="BZ59" s="34" t="n">
        <f aca="false">P_Trib*BZ$45</f>
        <v>7457.17905797202</v>
      </c>
      <c r="CA59" s="34" t="n">
        <f aca="false">P_Trib*CA$45</f>
        <v>7457.17905797202</v>
      </c>
      <c r="CB59" s="34" t="n">
        <f aca="false">P_Trib*CB$45</f>
        <v>7457.17905797202</v>
      </c>
      <c r="CC59" s="34" t="n">
        <f aca="false">P_Trib*CC$45</f>
        <v>7457.17905797202</v>
      </c>
      <c r="CD59" s="34" t="n">
        <f aca="false">P_Trib*CD$45</f>
        <v>7457.17905797202</v>
      </c>
      <c r="CE59" s="34" t="n">
        <f aca="false">P_Trib*CE$45</f>
        <v>7457.17905797202</v>
      </c>
      <c r="CF59" s="34" t="n">
        <f aca="false">P_Trib*CF$45</f>
        <v>7457.17905797202</v>
      </c>
      <c r="CG59" s="34" t="n">
        <f aca="false">P_Trib*CG$45</f>
        <v>7457.17905797202</v>
      </c>
      <c r="CH59" s="34" t="n">
        <f aca="false">P_Trib*CH$45</f>
        <v>7457.17905797202</v>
      </c>
      <c r="CI59" s="34" t="n">
        <f aca="false">P_Trib*CI$45</f>
        <v>7457.17905797202</v>
      </c>
      <c r="CJ59" s="34" t="n">
        <f aca="false">P_Trib*CJ$45</f>
        <v>7457.17905797202</v>
      </c>
      <c r="CK59" s="34" t="n">
        <f aca="false">P_Trib*CK$45</f>
        <v>7457.17905797202</v>
      </c>
      <c r="CL59" s="34" t="n">
        <f aca="false">P_Trib*CL$45</f>
        <v>7531.75084855175</v>
      </c>
      <c r="CM59" s="34" t="n">
        <f aca="false">P_Trib*CM$45</f>
        <v>7531.75084855175</v>
      </c>
      <c r="CN59" s="34" t="n">
        <f aca="false">P_Trib*CN$45</f>
        <v>7531.75084855175</v>
      </c>
      <c r="CO59" s="34" t="n">
        <f aca="false">P_Trib*CO$45</f>
        <v>7531.75084855175</v>
      </c>
      <c r="CP59" s="34" t="n">
        <f aca="false">P_Trib*CP$45</f>
        <v>7531.75084855175</v>
      </c>
      <c r="CQ59" s="34" t="n">
        <f aca="false">P_Trib*CQ$45</f>
        <v>7531.75084855175</v>
      </c>
      <c r="CR59" s="34" t="n">
        <f aca="false">P_Trib*CR$45</f>
        <v>7531.75084855175</v>
      </c>
      <c r="CS59" s="34" t="n">
        <f aca="false">P_Trib*CS$45</f>
        <v>7531.75084855175</v>
      </c>
      <c r="CT59" s="34" t="n">
        <f aca="false">P_Trib*CT$45</f>
        <v>7531.75084855175</v>
      </c>
      <c r="CU59" s="34" t="n">
        <f aca="false">P_Trib*CU$45</f>
        <v>7531.75084855175</v>
      </c>
      <c r="CV59" s="34" t="n">
        <f aca="false">P_Trib*CV$45</f>
        <v>7531.75084855175</v>
      </c>
      <c r="CW59" s="34" t="n">
        <f aca="false">P_Trib*CW$45</f>
        <v>7531.75084855175</v>
      </c>
      <c r="CX59" s="34" t="n">
        <f aca="false">P_Trib*CX$45</f>
        <v>7607.06835703726</v>
      </c>
      <c r="CY59" s="34" t="n">
        <f aca="false">P_Trib*CY$45</f>
        <v>7607.06835703726</v>
      </c>
      <c r="CZ59" s="34" t="n">
        <f aca="false">P_Trib*CZ$45</f>
        <v>7607.06835703726</v>
      </c>
      <c r="DA59" s="34" t="n">
        <f aca="false">P_Trib*DA$45</f>
        <v>7607.06835703726</v>
      </c>
      <c r="DB59" s="34" t="n">
        <f aca="false">P_Trib*DB$45</f>
        <v>7607.06835703726</v>
      </c>
      <c r="DC59" s="34" t="n">
        <f aca="false">P_Trib*DC$45</f>
        <v>7607.06835703726</v>
      </c>
      <c r="DD59" s="34" t="n">
        <f aca="false">P_Trib*DD$45</f>
        <v>7607.06835703726</v>
      </c>
      <c r="DE59" s="34" t="n">
        <f aca="false">P_Trib*DE$45</f>
        <v>7607.06835703726</v>
      </c>
      <c r="DF59" s="34" t="n">
        <f aca="false">P_Trib*DF$45</f>
        <v>7607.06835703726</v>
      </c>
      <c r="DG59" s="34" t="n">
        <f aca="false">P_Trib*DG$45</f>
        <v>7607.06835703726</v>
      </c>
      <c r="DH59" s="34" t="n">
        <f aca="false">P_Trib*DH$45</f>
        <v>7607.06835703726</v>
      </c>
      <c r="DI59" s="34" t="n">
        <f aca="false">P_Trib*DI$45</f>
        <v>7607.06835703726</v>
      </c>
      <c r="DJ59" s="34" t="n">
        <f aca="false">P_Trib*DJ$45</f>
        <v>7683.13904060764</v>
      </c>
      <c r="DK59" s="34" t="n">
        <f aca="false">P_Trib*DK$45</f>
        <v>7683.13904060764</v>
      </c>
      <c r="DL59" s="34" t="n">
        <f aca="false">P_Trib*DL$45</f>
        <v>7683.13904060764</v>
      </c>
      <c r="DM59" s="34" t="n">
        <f aca="false">P_Trib*DM$45</f>
        <v>7683.13904060764</v>
      </c>
      <c r="DN59" s="34" t="n">
        <f aca="false">P_Trib*DN$45</f>
        <v>7683.13904060764</v>
      </c>
      <c r="DO59" s="34" t="n">
        <f aca="false">P_Trib*DO$45</f>
        <v>7683.13904060764</v>
      </c>
      <c r="DP59" s="34" t="n">
        <f aca="false">P_Trib*DP$45</f>
        <v>7683.13904060764</v>
      </c>
      <c r="DQ59" s="34" t="n">
        <f aca="false">P_Trib*DQ$45</f>
        <v>7683.13904060764</v>
      </c>
      <c r="DR59" s="34" t="n">
        <f aca="false">P_Trib*DR$45</f>
        <v>7683.13904060764</v>
      </c>
      <c r="DS59" s="34" t="n">
        <f aca="false">P_Trib*DS$45</f>
        <v>7683.13904060764</v>
      </c>
      <c r="DT59" s="34" t="n">
        <f aca="false">P_Trib*DT$45</f>
        <v>7683.13904060764</v>
      </c>
      <c r="DU59" s="34" t="n">
        <f aca="false">P_Trib*DU$45</f>
        <v>7683.13904060764</v>
      </c>
      <c r="DV59" s="34" t="n">
        <f aca="false">P_Trib*DV$45</f>
        <v>0</v>
      </c>
      <c r="DW59" s="34" t="n">
        <f aca="false">P_Trib*DW$45</f>
        <v>0</v>
      </c>
      <c r="DX59" s="34" t="n">
        <f aca="false">P_Trib*DX$45</f>
        <v>0</v>
      </c>
      <c r="DY59" s="34" t="n">
        <f aca="false">P_Trib*DY$45</f>
        <v>0</v>
      </c>
      <c r="DZ59" s="34" t="n">
        <f aca="false">P_Trib*DZ$45</f>
        <v>0</v>
      </c>
      <c r="EA59" s="34" t="n">
        <f aca="false">P_Trib*EA$45</f>
        <v>0</v>
      </c>
      <c r="EB59" s="34" t="n">
        <f aca="false">P_Trib*EB$45</f>
        <v>0</v>
      </c>
      <c r="EC59" s="34" t="n">
        <f aca="false">P_Trib*EC$45</f>
        <v>0</v>
      </c>
      <c r="ED59" s="34" t="n">
        <f aca="false">P_Trib*ED$45</f>
        <v>0</v>
      </c>
      <c r="EE59" s="34" t="n">
        <f aca="false">P_Trib*EE$45</f>
        <v>0</v>
      </c>
      <c r="EF59" s="34" t="n">
        <f aca="false">P_Trib*EF$45</f>
        <v>0</v>
      </c>
      <c r="EG59" s="34" t="n">
        <f aca="false">P_Trib*EG$45</f>
        <v>0</v>
      </c>
      <c r="EH59" s="34" t="n">
        <f aca="false">P_Trib*EH$45</f>
        <v>0</v>
      </c>
      <c r="EI59" s="34" t="n">
        <f aca="false">P_Trib*EI$45</f>
        <v>0</v>
      </c>
      <c r="EJ59" s="34" t="n">
        <f aca="false">P_Trib*EJ$45</f>
        <v>0</v>
      </c>
      <c r="EK59" s="34" t="n">
        <f aca="false">P_Trib*EK$45</f>
        <v>0</v>
      </c>
      <c r="EL59" s="34" t="n">
        <f aca="false">P_Trib*EL$45</f>
        <v>0</v>
      </c>
      <c r="EM59" s="34" t="n">
        <f aca="false">P_Trib*EM$45</f>
        <v>0</v>
      </c>
      <c r="EN59" s="34" t="n">
        <f aca="false">P_Trib*EN$45</f>
        <v>0</v>
      </c>
      <c r="EO59" s="34" t="n">
        <f aca="false">P_Trib*EO$45</f>
        <v>0</v>
      </c>
      <c r="EP59" s="34" t="n">
        <f aca="false">P_Trib*EP$45</f>
        <v>0</v>
      </c>
      <c r="EQ59" s="34" t="n">
        <f aca="false">P_Trib*EQ$45</f>
        <v>0</v>
      </c>
      <c r="ER59" s="34" t="n">
        <f aca="false">P_Trib*ER$45</f>
        <v>0</v>
      </c>
      <c r="ES59" s="34" t="n">
        <f aca="false">P_Trib*ES$45</f>
        <v>0</v>
      </c>
    </row>
    <row r="60" customFormat="false" ht="15" hidden="false" customHeight="false" outlineLevel="0" collapsed="false">
      <c r="A60" s="2" t="s">
        <v>611</v>
      </c>
      <c r="B60" s="6" t="s">
        <v>612</v>
      </c>
      <c r="C60" s="6" t="s">
        <v>250</v>
      </c>
      <c r="E60" s="40" t="n">
        <f aca="false">SUM(F60:ES60)</f>
        <v>555431.735750422</v>
      </c>
      <c r="F60" s="34" t="n">
        <f aca="false">SUMPRODUCT((FC_Clase="Producción")*FC_O*((FC_Mon="PYG")*F$19+(FC_Mon&lt;&gt;"PYG"))*(1+FC_g)^(F$17-1)*((FC_Desde=0)*(F$16+F$15)+(FC_Desde&gt;=1)*(F$14&gt;=FC_Desde)*F$15))</f>
        <v>4393.47821917808</v>
      </c>
      <c r="G60" s="34" t="n">
        <f aca="false">SUMPRODUCT((FC_Clase="Producción")*FC_O*((FC_Mon="PYG")*G$19+(FC_Mon&lt;&gt;"PYG"))*(1+FC_g)^(G$17-1)*((FC_Desde=0)*(G$16+G$15)+(FC_Desde&gt;=1)*(G$14&gt;=FC_Desde)*G$15))</f>
        <v>4393.47821917808</v>
      </c>
      <c r="H60" s="34" t="n">
        <f aca="false">SUMPRODUCT((FC_Clase="Producción")*FC_O*((FC_Mon="PYG")*H$19+(FC_Mon&lt;&gt;"PYG"))*(1+FC_g)^(H$17-1)*((FC_Desde=0)*(H$16+H$15)+(FC_Desde&gt;=1)*(H$14&gt;=FC_Desde)*H$15))</f>
        <v>4393.47821917808</v>
      </c>
      <c r="I60" s="34" t="n">
        <f aca="false">SUMPRODUCT((FC_Clase="Producción")*FC_O*((FC_Mon="PYG")*I$19+(FC_Mon&lt;&gt;"PYG"))*(1+FC_g)^(I$17-1)*((FC_Desde=0)*(I$16+I$15)+(FC_Desde&gt;=1)*(I$14&gt;=FC_Desde)*I$15))</f>
        <v>4393.47821917808</v>
      </c>
      <c r="J60" s="34" t="n">
        <f aca="false">SUMPRODUCT((FC_Clase="Producción")*FC_O*((FC_Mon="PYG")*J$19+(FC_Mon&lt;&gt;"PYG"))*(1+FC_g)^(J$17-1)*((FC_Desde=0)*(J$16+J$15)+(FC_Desde&gt;=1)*(J$14&gt;=FC_Desde)*J$15))</f>
        <v>4393.47821917808</v>
      </c>
      <c r="K60" s="34" t="n">
        <f aca="false">SUMPRODUCT((FC_Clase="Producción")*FC_O*((FC_Mon="PYG")*K$19+(FC_Mon&lt;&gt;"PYG"))*(1+FC_g)^(K$17-1)*((FC_Desde=0)*(K$16+K$15)+(FC_Desde&gt;=1)*(K$14&gt;=FC_Desde)*K$15))</f>
        <v>4393.47821917808</v>
      </c>
      <c r="L60" s="34" t="n">
        <f aca="false">SUMPRODUCT((FC_Clase="Producción")*FC_O*((FC_Mon="PYG")*L$19+(FC_Mon&lt;&gt;"PYG"))*(1+FC_g)^(L$17-1)*((FC_Desde=0)*(L$16+L$15)+(FC_Desde&gt;=1)*(L$14&gt;=FC_Desde)*L$15))</f>
        <v>4393.47821917808</v>
      </c>
      <c r="M60" s="34" t="n">
        <f aca="false">SUMPRODUCT((FC_Clase="Producción")*FC_O*((FC_Mon="PYG")*M$19+(FC_Mon&lt;&gt;"PYG"))*(1+FC_g)^(M$17-1)*((FC_Desde=0)*(M$16+M$15)+(FC_Desde&gt;=1)*(M$14&gt;=FC_Desde)*M$15))</f>
        <v>4393.47821917808</v>
      </c>
      <c r="N60" s="34" t="n">
        <f aca="false">SUMPRODUCT((FC_Clase="Producción")*FC_O*((FC_Mon="PYG")*N$19+(FC_Mon&lt;&gt;"PYG"))*(1+FC_g)^(N$17-1)*((FC_Desde=0)*(N$16+N$15)+(FC_Desde&gt;=1)*(N$14&gt;=FC_Desde)*N$15))</f>
        <v>4393.47821917808</v>
      </c>
      <c r="O60" s="34" t="n">
        <f aca="false">SUMPRODUCT((FC_Clase="Producción")*FC_O*((FC_Mon="PYG")*O$19+(FC_Mon&lt;&gt;"PYG"))*(1+FC_g)^(O$17-1)*((FC_Desde=0)*(O$16+O$15)+(FC_Desde&gt;=1)*(O$14&gt;=FC_Desde)*O$15))</f>
        <v>4393.47821917808</v>
      </c>
      <c r="P60" s="34" t="n">
        <f aca="false">SUMPRODUCT((FC_Clase="Producción")*FC_O*((FC_Mon="PYG")*P$19+(FC_Mon&lt;&gt;"PYG"))*(1+FC_g)^(P$17-1)*((FC_Desde=0)*(P$16+P$15)+(FC_Desde&gt;=1)*(P$14&gt;=FC_Desde)*P$15))</f>
        <v>4393.47821917808</v>
      </c>
      <c r="Q60" s="34" t="n">
        <f aca="false">SUMPRODUCT((FC_Clase="Producción")*FC_O*((FC_Mon="PYG")*Q$19+(FC_Mon&lt;&gt;"PYG"))*(1+FC_g)^(Q$17-1)*((FC_Desde=0)*(Q$16+Q$15)+(FC_Desde&gt;=1)*(Q$14&gt;=FC_Desde)*Q$15))</f>
        <v>4393.47821917808</v>
      </c>
      <c r="R60" s="34" t="n">
        <f aca="false">SUMPRODUCT((FC_Clase="Producción")*FC_O*((FC_Mon="PYG")*R$19+(FC_Mon&lt;&gt;"PYG"))*(1+FC_g)^(R$17-1)*((FC_Desde=0)*(R$16+R$15)+(FC_Desde&gt;=1)*(R$14&gt;=FC_Desde)*R$15))</f>
        <v>4442.99161917808</v>
      </c>
      <c r="S60" s="34" t="n">
        <f aca="false">SUMPRODUCT((FC_Clase="Producción")*FC_O*((FC_Mon="PYG")*S$19+(FC_Mon&lt;&gt;"PYG"))*(1+FC_g)^(S$17-1)*((FC_Desde=0)*(S$16+S$15)+(FC_Desde&gt;=1)*(S$14&gt;=FC_Desde)*S$15))</f>
        <v>4442.99161917808</v>
      </c>
      <c r="T60" s="34" t="n">
        <f aca="false">SUMPRODUCT((FC_Clase="Producción")*FC_O*((FC_Mon="PYG")*T$19+(FC_Mon&lt;&gt;"PYG"))*(1+FC_g)^(T$17-1)*((FC_Desde=0)*(T$16+T$15)+(FC_Desde&gt;=1)*(T$14&gt;=FC_Desde)*T$15))</f>
        <v>4442.99161917808</v>
      </c>
      <c r="U60" s="34" t="n">
        <f aca="false">SUMPRODUCT((FC_Clase="Producción")*FC_O*((FC_Mon="PYG")*U$19+(FC_Mon&lt;&gt;"PYG"))*(1+FC_g)^(U$17-1)*((FC_Desde=0)*(U$16+U$15)+(FC_Desde&gt;=1)*(U$14&gt;=FC_Desde)*U$15))</f>
        <v>4442.99161917808</v>
      </c>
      <c r="V60" s="34" t="n">
        <f aca="false">SUMPRODUCT((FC_Clase="Producción")*FC_O*((FC_Mon="PYG")*V$19+(FC_Mon&lt;&gt;"PYG"))*(1+FC_g)^(V$17-1)*((FC_Desde=0)*(V$16+V$15)+(FC_Desde&gt;=1)*(V$14&gt;=FC_Desde)*V$15))</f>
        <v>4442.99161917808</v>
      </c>
      <c r="W60" s="34" t="n">
        <f aca="false">SUMPRODUCT((FC_Clase="Producción")*FC_O*((FC_Mon="PYG")*W$19+(FC_Mon&lt;&gt;"PYG"))*(1+FC_g)^(W$17-1)*((FC_Desde=0)*(W$16+W$15)+(FC_Desde&gt;=1)*(W$14&gt;=FC_Desde)*W$15))</f>
        <v>4442.99161917808</v>
      </c>
      <c r="X60" s="34" t="n">
        <f aca="false">SUMPRODUCT((FC_Clase="Producción")*FC_O*((FC_Mon="PYG")*X$19+(FC_Mon&lt;&gt;"PYG"))*(1+FC_g)^(X$17-1)*((FC_Desde=0)*(X$16+X$15)+(FC_Desde&gt;=1)*(X$14&gt;=FC_Desde)*X$15))</f>
        <v>4442.99161917808</v>
      </c>
      <c r="Y60" s="34" t="n">
        <f aca="false">SUMPRODUCT((FC_Clase="Producción")*FC_O*((FC_Mon="PYG")*Y$19+(FC_Mon&lt;&gt;"PYG"))*(1+FC_g)^(Y$17-1)*((FC_Desde=0)*(Y$16+Y$15)+(FC_Desde&gt;=1)*(Y$14&gt;=FC_Desde)*Y$15))</f>
        <v>4442.99161917808</v>
      </c>
      <c r="Z60" s="34" t="n">
        <f aca="false">SUMPRODUCT((FC_Clase="Producción")*FC_O*((FC_Mon="PYG")*Z$19+(FC_Mon&lt;&gt;"PYG"))*(1+FC_g)^(Z$17-1)*((FC_Desde=0)*(Z$16+Z$15)+(FC_Desde&gt;=1)*(Z$14&gt;=FC_Desde)*Z$15))</f>
        <v>4442.99161917808</v>
      </c>
      <c r="AA60" s="34" t="n">
        <f aca="false">SUMPRODUCT((FC_Clase="Producción")*FC_O*((FC_Mon="PYG")*AA$19+(FC_Mon&lt;&gt;"PYG"))*(1+FC_g)^(AA$17-1)*((FC_Desde=0)*(AA$16+AA$15)+(FC_Desde&gt;=1)*(AA$14&gt;=FC_Desde)*AA$15))</f>
        <v>4442.99161917808</v>
      </c>
      <c r="AB60" s="34" t="n">
        <f aca="false">SUMPRODUCT((FC_Clase="Producción")*FC_O*((FC_Mon="PYG")*AB$19+(FC_Mon&lt;&gt;"PYG"))*(1+FC_g)^(AB$17-1)*((FC_Desde=0)*(AB$16+AB$15)+(FC_Desde&gt;=1)*(AB$14&gt;=FC_Desde)*AB$15))</f>
        <v>4442.99161917808</v>
      </c>
      <c r="AC60" s="34" t="n">
        <f aca="false">SUMPRODUCT((FC_Clase="Producción")*FC_O*((FC_Mon="PYG")*AC$19+(FC_Mon&lt;&gt;"PYG"))*(1+FC_g)^(AC$17-1)*((FC_Desde=0)*(AC$16+AC$15)+(FC_Desde&gt;=1)*(AC$14&gt;=FC_Desde)*AC$15))</f>
        <v>4442.99161917808</v>
      </c>
      <c r="AD60" s="34" t="n">
        <f aca="false">SUMPRODUCT((FC_Clase="Producción")*FC_O*((FC_Mon="PYG")*AD$19+(FC_Mon&lt;&gt;"PYG"))*(1+FC_g)^(AD$17-1)*((FC_Desde=0)*(AD$16+AD$15)+(FC_Desde&gt;=1)*(AD$14&gt;=FC_Desde)*AD$15))</f>
        <v>4493.49528717808</v>
      </c>
      <c r="AE60" s="34" t="n">
        <f aca="false">SUMPRODUCT((FC_Clase="Producción")*FC_O*((FC_Mon="PYG")*AE$19+(FC_Mon&lt;&gt;"PYG"))*(1+FC_g)^(AE$17-1)*((FC_Desde=0)*(AE$16+AE$15)+(FC_Desde&gt;=1)*(AE$14&gt;=FC_Desde)*AE$15))</f>
        <v>4493.49528717808</v>
      </c>
      <c r="AF60" s="34" t="n">
        <f aca="false">SUMPRODUCT((FC_Clase="Producción")*FC_O*((FC_Mon="PYG")*AF$19+(FC_Mon&lt;&gt;"PYG"))*(1+FC_g)^(AF$17-1)*((FC_Desde=0)*(AF$16+AF$15)+(FC_Desde&gt;=1)*(AF$14&gt;=FC_Desde)*AF$15))</f>
        <v>4493.49528717808</v>
      </c>
      <c r="AG60" s="34" t="n">
        <f aca="false">SUMPRODUCT((FC_Clase="Producción")*FC_O*((FC_Mon="PYG")*AG$19+(FC_Mon&lt;&gt;"PYG"))*(1+FC_g)^(AG$17-1)*((FC_Desde=0)*(AG$16+AG$15)+(FC_Desde&gt;=1)*(AG$14&gt;=FC_Desde)*AG$15))</f>
        <v>4493.49528717808</v>
      </c>
      <c r="AH60" s="34" t="n">
        <f aca="false">SUMPRODUCT((FC_Clase="Producción")*FC_O*((FC_Mon="PYG")*AH$19+(FC_Mon&lt;&gt;"PYG"))*(1+FC_g)^(AH$17-1)*((FC_Desde=0)*(AH$16+AH$15)+(FC_Desde&gt;=1)*(AH$14&gt;=FC_Desde)*AH$15))</f>
        <v>4493.49528717808</v>
      </c>
      <c r="AI60" s="34" t="n">
        <f aca="false">SUMPRODUCT((FC_Clase="Producción")*FC_O*((FC_Mon="PYG")*AI$19+(FC_Mon&lt;&gt;"PYG"))*(1+FC_g)^(AI$17-1)*((FC_Desde=0)*(AI$16+AI$15)+(FC_Desde&gt;=1)*(AI$14&gt;=FC_Desde)*AI$15))</f>
        <v>4493.49528717808</v>
      </c>
      <c r="AJ60" s="34" t="n">
        <f aca="false">SUMPRODUCT((FC_Clase="Producción")*FC_O*((FC_Mon="PYG")*AJ$19+(FC_Mon&lt;&gt;"PYG"))*(1+FC_g)^(AJ$17-1)*((FC_Desde=0)*(AJ$16+AJ$15)+(FC_Desde&gt;=1)*(AJ$14&gt;=FC_Desde)*AJ$15))</f>
        <v>4493.49528717808</v>
      </c>
      <c r="AK60" s="34" t="n">
        <f aca="false">SUMPRODUCT((FC_Clase="Producción")*FC_O*((FC_Mon="PYG")*AK$19+(FC_Mon&lt;&gt;"PYG"))*(1+FC_g)^(AK$17-1)*((FC_Desde=0)*(AK$16+AK$15)+(FC_Desde&gt;=1)*(AK$14&gt;=FC_Desde)*AK$15))</f>
        <v>4493.49528717808</v>
      </c>
      <c r="AL60" s="34" t="n">
        <f aca="false">SUMPRODUCT((FC_Clase="Producción")*FC_O*((FC_Mon="PYG")*AL$19+(FC_Mon&lt;&gt;"PYG"))*(1+FC_g)^(AL$17-1)*((FC_Desde=0)*(AL$16+AL$15)+(FC_Desde&gt;=1)*(AL$14&gt;=FC_Desde)*AL$15))</f>
        <v>4493.49528717808</v>
      </c>
      <c r="AM60" s="34" t="n">
        <f aca="false">SUMPRODUCT((FC_Clase="Producción")*FC_O*((FC_Mon="PYG")*AM$19+(FC_Mon&lt;&gt;"PYG"))*(1+FC_g)^(AM$17-1)*((FC_Desde=0)*(AM$16+AM$15)+(FC_Desde&gt;=1)*(AM$14&gt;=FC_Desde)*AM$15))</f>
        <v>4493.49528717808</v>
      </c>
      <c r="AN60" s="34" t="n">
        <f aca="false">SUMPRODUCT((FC_Clase="Producción")*FC_O*((FC_Mon="PYG")*AN$19+(FC_Mon&lt;&gt;"PYG"))*(1+FC_g)^(AN$17-1)*((FC_Desde=0)*(AN$16+AN$15)+(FC_Desde&gt;=1)*(AN$14&gt;=FC_Desde)*AN$15))</f>
        <v>4493.49528717808</v>
      </c>
      <c r="AO60" s="34" t="n">
        <f aca="false">SUMPRODUCT((FC_Clase="Producción")*FC_O*((FC_Mon="PYG")*AO$19+(FC_Mon&lt;&gt;"PYG"))*(1+FC_g)^(AO$17-1)*((FC_Desde=0)*(AO$16+AO$15)+(FC_Desde&gt;=1)*(AO$14&gt;=FC_Desde)*AO$15))</f>
        <v>4493.49528717808</v>
      </c>
      <c r="AP60" s="34" t="n">
        <f aca="false">SUMPRODUCT((FC_Clase="Producción")*FC_O*((FC_Mon="PYG")*AP$19+(FC_Mon&lt;&gt;"PYG"))*(1+FC_g)^(AP$17-1)*((FC_Desde=0)*(AP$16+AP$15)+(FC_Desde&gt;=1)*(AP$14&gt;=FC_Desde)*AP$15))</f>
        <v>4545.00902853808</v>
      </c>
      <c r="AQ60" s="34" t="n">
        <f aca="false">SUMPRODUCT((FC_Clase="Producción")*FC_O*((FC_Mon="PYG")*AQ$19+(FC_Mon&lt;&gt;"PYG"))*(1+FC_g)^(AQ$17-1)*((FC_Desde=0)*(AQ$16+AQ$15)+(FC_Desde&gt;=1)*(AQ$14&gt;=FC_Desde)*AQ$15))</f>
        <v>4545.00902853808</v>
      </c>
      <c r="AR60" s="34" t="n">
        <f aca="false">SUMPRODUCT((FC_Clase="Producción")*FC_O*((FC_Mon="PYG")*AR$19+(FC_Mon&lt;&gt;"PYG"))*(1+FC_g)^(AR$17-1)*((FC_Desde=0)*(AR$16+AR$15)+(FC_Desde&gt;=1)*(AR$14&gt;=FC_Desde)*AR$15))</f>
        <v>4545.00902853808</v>
      </c>
      <c r="AS60" s="34" t="n">
        <f aca="false">SUMPRODUCT((FC_Clase="Producción")*FC_O*((FC_Mon="PYG")*AS$19+(FC_Mon&lt;&gt;"PYG"))*(1+FC_g)^(AS$17-1)*((FC_Desde=0)*(AS$16+AS$15)+(FC_Desde&gt;=1)*(AS$14&gt;=FC_Desde)*AS$15))</f>
        <v>4545.00902853808</v>
      </c>
      <c r="AT60" s="34" t="n">
        <f aca="false">SUMPRODUCT((FC_Clase="Producción")*FC_O*((FC_Mon="PYG")*AT$19+(FC_Mon&lt;&gt;"PYG"))*(1+FC_g)^(AT$17-1)*((FC_Desde=0)*(AT$16+AT$15)+(FC_Desde&gt;=1)*(AT$14&gt;=FC_Desde)*AT$15))</f>
        <v>4545.00902853808</v>
      </c>
      <c r="AU60" s="34" t="n">
        <f aca="false">SUMPRODUCT((FC_Clase="Producción")*FC_O*((FC_Mon="PYG")*AU$19+(FC_Mon&lt;&gt;"PYG"))*(1+FC_g)^(AU$17-1)*((FC_Desde=0)*(AU$16+AU$15)+(FC_Desde&gt;=1)*(AU$14&gt;=FC_Desde)*AU$15))</f>
        <v>4545.00902853808</v>
      </c>
      <c r="AV60" s="34" t="n">
        <f aca="false">SUMPRODUCT((FC_Clase="Producción")*FC_O*((FC_Mon="PYG")*AV$19+(FC_Mon&lt;&gt;"PYG"))*(1+FC_g)^(AV$17-1)*((FC_Desde=0)*(AV$16+AV$15)+(FC_Desde&gt;=1)*(AV$14&gt;=FC_Desde)*AV$15))</f>
        <v>4545.00902853808</v>
      </c>
      <c r="AW60" s="34" t="n">
        <f aca="false">SUMPRODUCT((FC_Clase="Producción")*FC_O*((FC_Mon="PYG")*AW$19+(FC_Mon&lt;&gt;"PYG"))*(1+FC_g)^(AW$17-1)*((FC_Desde=0)*(AW$16+AW$15)+(FC_Desde&gt;=1)*(AW$14&gt;=FC_Desde)*AW$15))</f>
        <v>4545.00902853808</v>
      </c>
      <c r="AX60" s="34" t="n">
        <f aca="false">SUMPRODUCT((FC_Clase="Producción")*FC_O*((FC_Mon="PYG")*AX$19+(FC_Mon&lt;&gt;"PYG"))*(1+FC_g)^(AX$17-1)*((FC_Desde=0)*(AX$16+AX$15)+(FC_Desde&gt;=1)*(AX$14&gt;=FC_Desde)*AX$15))</f>
        <v>4545.00902853808</v>
      </c>
      <c r="AY60" s="34" t="n">
        <f aca="false">SUMPRODUCT((FC_Clase="Producción")*FC_O*((FC_Mon="PYG")*AY$19+(FC_Mon&lt;&gt;"PYG"))*(1+FC_g)^(AY$17-1)*((FC_Desde=0)*(AY$16+AY$15)+(FC_Desde&gt;=1)*(AY$14&gt;=FC_Desde)*AY$15))</f>
        <v>4545.00902853808</v>
      </c>
      <c r="AZ60" s="34" t="n">
        <f aca="false">SUMPRODUCT((FC_Clase="Producción")*FC_O*((FC_Mon="PYG")*AZ$19+(FC_Mon&lt;&gt;"PYG"))*(1+FC_g)^(AZ$17-1)*((FC_Desde=0)*(AZ$16+AZ$15)+(FC_Desde&gt;=1)*(AZ$14&gt;=FC_Desde)*AZ$15))</f>
        <v>4545.00902853808</v>
      </c>
      <c r="BA60" s="34" t="n">
        <f aca="false">SUMPRODUCT((FC_Clase="Producción")*FC_O*((FC_Mon="PYG")*BA$19+(FC_Mon&lt;&gt;"PYG"))*(1+FC_g)^(BA$17-1)*((FC_Desde=0)*(BA$16+BA$15)+(FC_Desde&gt;=1)*(BA$14&gt;=FC_Desde)*BA$15))</f>
        <v>4545.00902853808</v>
      </c>
      <c r="BB60" s="34" t="n">
        <f aca="false">SUMPRODUCT((FC_Clase="Producción")*FC_O*((FC_Mon="PYG")*BB$19+(FC_Mon&lt;&gt;"PYG"))*(1+FC_g)^(BB$17-1)*((FC_Desde=0)*(BB$16+BB$15)+(FC_Desde&gt;=1)*(BB$14&gt;=FC_Desde)*BB$15))</f>
        <v>4597.55304472528</v>
      </c>
      <c r="BC60" s="34" t="n">
        <f aca="false">SUMPRODUCT((FC_Clase="Producción")*FC_O*((FC_Mon="PYG")*BC$19+(FC_Mon&lt;&gt;"PYG"))*(1+FC_g)^(BC$17-1)*((FC_Desde=0)*(BC$16+BC$15)+(FC_Desde&gt;=1)*(BC$14&gt;=FC_Desde)*BC$15))</f>
        <v>4597.55304472528</v>
      </c>
      <c r="BD60" s="34" t="n">
        <f aca="false">SUMPRODUCT((FC_Clase="Producción")*FC_O*((FC_Mon="PYG")*BD$19+(FC_Mon&lt;&gt;"PYG"))*(1+FC_g)^(BD$17-1)*((FC_Desde=0)*(BD$16+BD$15)+(FC_Desde&gt;=1)*(BD$14&gt;=FC_Desde)*BD$15))</f>
        <v>4597.55304472528</v>
      </c>
      <c r="BE60" s="34" t="n">
        <f aca="false">SUMPRODUCT((FC_Clase="Producción")*FC_O*((FC_Mon="PYG")*BE$19+(FC_Mon&lt;&gt;"PYG"))*(1+FC_g)^(BE$17-1)*((FC_Desde=0)*(BE$16+BE$15)+(FC_Desde&gt;=1)*(BE$14&gt;=FC_Desde)*BE$15))</f>
        <v>4597.55304472528</v>
      </c>
      <c r="BF60" s="34" t="n">
        <f aca="false">SUMPRODUCT((FC_Clase="Producción")*FC_O*((FC_Mon="PYG")*BF$19+(FC_Mon&lt;&gt;"PYG"))*(1+FC_g)^(BF$17-1)*((FC_Desde=0)*(BF$16+BF$15)+(FC_Desde&gt;=1)*(BF$14&gt;=FC_Desde)*BF$15))</f>
        <v>4597.55304472528</v>
      </c>
      <c r="BG60" s="34" t="n">
        <f aca="false">SUMPRODUCT((FC_Clase="Producción")*FC_O*((FC_Mon="PYG")*BG$19+(FC_Mon&lt;&gt;"PYG"))*(1+FC_g)^(BG$17-1)*((FC_Desde=0)*(BG$16+BG$15)+(FC_Desde&gt;=1)*(BG$14&gt;=FC_Desde)*BG$15))</f>
        <v>4597.55304472528</v>
      </c>
      <c r="BH60" s="34" t="n">
        <f aca="false">SUMPRODUCT((FC_Clase="Producción")*FC_O*((FC_Mon="PYG")*BH$19+(FC_Mon&lt;&gt;"PYG"))*(1+FC_g)^(BH$17-1)*((FC_Desde=0)*(BH$16+BH$15)+(FC_Desde&gt;=1)*(BH$14&gt;=FC_Desde)*BH$15))</f>
        <v>4597.55304472528</v>
      </c>
      <c r="BI60" s="34" t="n">
        <f aca="false">SUMPRODUCT((FC_Clase="Producción")*FC_O*((FC_Mon="PYG")*BI$19+(FC_Mon&lt;&gt;"PYG"))*(1+FC_g)^(BI$17-1)*((FC_Desde=0)*(BI$16+BI$15)+(FC_Desde&gt;=1)*(BI$14&gt;=FC_Desde)*BI$15))</f>
        <v>4597.55304472528</v>
      </c>
      <c r="BJ60" s="34" t="n">
        <f aca="false">SUMPRODUCT((FC_Clase="Producción")*FC_O*((FC_Mon="PYG")*BJ$19+(FC_Mon&lt;&gt;"PYG"))*(1+FC_g)^(BJ$17-1)*((FC_Desde=0)*(BJ$16+BJ$15)+(FC_Desde&gt;=1)*(BJ$14&gt;=FC_Desde)*BJ$15))</f>
        <v>4597.55304472528</v>
      </c>
      <c r="BK60" s="34" t="n">
        <f aca="false">SUMPRODUCT((FC_Clase="Producción")*FC_O*((FC_Mon="PYG")*BK$19+(FC_Mon&lt;&gt;"PYG"))*(1+FC_g)^(BK$17-1)*((FC_Desde=0)*(BK$16+BK$15)+(FC_Desde&gt;=1)*(BK$14&gt;=FC_Desde)*BK$15))</f>
        <v>4597.55304472528</v>
      </c>
      <c r="BL60" s="34" t="n">
        <f aca="false">SUMPRODUCT((FC_Clase="Producción")*FC_O*((FC_Mon="PYG")*BL$19+(FC_Mon&lt;&gt;"PYG"))*(1+FC_g)^(BL$17-1)*((FC_Desde=0)*(BL$16+BL$15)+(FC_Desde&gt;=1)*(BL$14&gt;=FC_Desde)*BL$15))</f>
        <v>4597.55304472528</v>
      </c>
      <c r="BM60" s="34" t="n">
        <f aca="false">SUMPRODUCT((FC_Clase="Producción")*FC_O*((FC_Mon="PYG")*BM$19+(FC_Mon&lt;&gt;"PYG"))*(1+FC_g)^(BM$17-1)*((FC_Desde=0)*(BM$16+BM$15)+(FC_Desde&gt;=1)*(BM$14&gt;=FC_Desde)*BM$15))</f>
        <v>4597.55304472528</v>
      </c>
      <c r="BN60" s="34" t="n">
        <f aca="false">SUMPRODUCT((FC_Clase="Producción")*FC_O*((FC_Mon="PYG")*BN$19+(FC_Mon&lt;&gt;"PYG"))*(1+FC_g)^(BN$17-1)*((FC_Desde=0)*(BN$16+BN$15)+(FC_Desde&gt;=1)*(BN$14&gt;=FC_Desde)*BN$15))</f>
        <v>4651.14794123623</v>
      </c>
      <c r="BO60" s="34" t="n">
        <f aca="false">SUMPRODUCT((FC_Clase="Producción")*FC_O*((FC_Mon="PYG")*BO$19+(FC_Mon&lt;&gt;"PYG"))*(1+FC_g)^(BO$17-1)*((FC_Desde=0)*(BO$16+BO$15)+(FC_Desde&gt;=1)*(BO$14&gt;=FC_Desde)*BO$15))</f>
        <v>4651.14794123623</v>
      </c>
      <c r="BP60" s="34" t="n">
        <f aca="false">SUMPRODUCT((FC_Clase="Producción")*FC_O*((FC_Mon="PYG")*BP$19+(FC_Mon&lt;&gt;"PYG"))*(1+FC_g)^(BP$17-1)*((FC_Desde=0)*(BP$16+BP$15)+(FC_Desde&gt;=1)*(BP$14&gt;=FC_Desde)*BP$15))</f>
        <v>4651.14794123623</v>
      </c>
      <c r="BQ60" s="34" t="n">
        <f aca="false">SUMPRODUCT((FC_Clase="Producción")*FC_O*((FC_Mon="PYG")*BQ$19+(FC_Mon&lt;&gt;"PYG"))*(1+FC_g)^(BQ$17-1)*((FC_Desde=0)*(BQ$16+BQ$15)+(FC_Desde&gt;=1)*(BQ$14&gt;=FC_Desde)*BQ$15))</f>
        <v>4651.14794123623</v>
      </c>
      <c r="BR60" s="34" t="n">
        <f aca="false">SUMPRODUCT((FC_Clase="Producción")*FC_O*((FC_Mon="PYG")*BR$19+(FC_Mon&lt;&gt;"PYG"))*(1+FC_g)^(BR$17-1)*((FC_Desde=0)*(BR$16+BR$15)+(FC_Desde&gt;=1)*(BR$14&gt;=FC_Desde)*BR$15))</f>
        <v>4651.14794123623</v>
      </c>
      <c r="BS60" s="34" t="n">
        <f aca="false">SUMPRODUCT((FC_Clase="Producción")*FC_O*((FC_Mon="PYG")*BS$19+(FC_Mon&lt;&gt;"PYG"))*(1+FC_g)^(BS$17-1)*((FC_Desde=0)*(BS$16+BS$15)+(FC_Desde&gt;=1)*(BS$14&gt;=FC_Desde)*BS$15))</f>
        <v>4651.14794123623</v>
      </c>
      <c r="BT60" s="34" t="n">
        <f aca="false">SUMPRODUCT((FC_Clase="Producción")*FC_O*((FC_Mon="PYG")*BT$19+(FC_Mon&lt;&gt;"PYG"))*(1+FC_g)^(BT$17-1)*((FC_Desde=0)*(BT$16+BT$15)+(FC_Desde&gt;=1)*(BT$14&gt;=FC_Desde)*BT$15))</f>
        <v>4651.14794123623</v>
      </c>
      <c r="BU60" s="34" t="n">
        <f aca="false">SUMPRODUCT((FC_Clase="Producción")*FC_O*((FC_Mon="PYG")*BU$19+(FC_Mon&lt;&gt;"PYG"))*(1+FC_g)^(BU$17-1)*((FC_Desde=0)*(BU$16+BU$15)+(FC_Desde&gt;=1)*(BU$14&gt;=FC_Desde)*BU$15))</f>
        <v>4651.14794123623</v>
      </c>
      <c r="BV60" s="34" t="n">
        <f aca="false">SUMPRODUCT((FC_Clase="Producción")*FC_O*((FC_Mon="PYG")*BV$19+(FC_Mon&lt;&gt;"PYG"))*(1+FC_g)^(BV$17-1)*((FC_Desde=0)*(BV$16+BV$15)+(FC_Desde&gt;=1)*(BV$14&gt;=FC_Desde)*BV$15))</f>
        <v>4651.14794123623</v>
      </c>
      <c r="BW60" s="34" t="n">
        <f aca="false">SUMPRODUCT((FC_Clase="Producción")*FC_O*((FC_Mon="PYG")*BW$19+(FC_Mon&lt;&gt;"PYG"))*(1+FC_g)^(BW$17-1)*((FC_Desde=0)*(BW$16+BW$15)+(FC_Desde&gt;=1)*(BW$14&gt;=FC_Desde)*BW$15))</f>
        <v>4651.14794123623</v>
      </c>
      <c r="BX60" s="34" t="n">
        <f aca="false">SUMPRODUCT((FC_Clase="Producción")*FC_O*((FC_Mon="PYG")*BX$19+(FC_Mon&lt;&gt;"PYG"))*(1+FC_g)^(BX$17-1)*((FC_Desde=0)*(BX$16+BX$15)+(FC_Desde&gt;=1)*(BX$14&gt;=FC_Desde)*BX$15))</f>
        <v>4651.14794123623</v>
      </c>
      <c r="BY60" s="34" t="n">
        <f aca="false">SUMPRODUCT((FC_Clase="Producción")*FC_O*((FC_Mon="PYG")*BY$19+(FC_Mon&lt;&gt;"PYG"))*(1+FC_g)^(BY$17-1)*((FC_Desde=0)*(BY$16+BY$15)+(FC_Desde&gt;=1)*(BY$14&gt;=FC_Desde)*BY$15))</f>
        <v>4651.14794123623</v>
      </c>
      <c r="BZ60" s="34" t="n">
        <f aca="false">SUMPRODUCT((FC_Clase="Producción")*FC_O*((FC_Mon="PYG")*BZ$19+(FC_Mon&lt;&gt;"PYG"))*(1+FC_g)^(BZ$17-1)*((FC_Desde=0)*(BZ$16+BZ$15)+(FC_Desde&gt;=1)*(BZ$14&gt;=FC_Desde)*BZ$15))</f>
        <v>4705.81473567739</v>
      </c>
      <c r="CA60" s="34" t="n">
        <f aca="false">SUMPRODUCT((FC_Clase="Producción")*FC_O*((FC_Mon="PYG")*CA$19+(FC_Mon&lt;&gt;"PYG"))*(1+FC_g)^(CA$17-1)*((FC_Desde=0)*(CA$16+CA$15)+(FC_Desde&gt;=1)*(CA$14&gt;=FC_Desde)*CA$15))</f>
        <v>4705.81473567739</v>
      </c>
      <c r="CB60" s="34" t="n">
        <f aca="false">SUMPRODUCT((FC_Clase="Producción")*FC_O*((FC_Mon="PYG")*CB$19+(FC_Mon&lt;&gt;"PYG"))*(1+FC_g)^(CB$17-1)*((FC_Desde=0)*(CB$16+CB$15)+(FC_Desde&gt;=1)*(CB$14&gt;=FC_Desde)*CB$15))</f>
        <v>4705.81473567739</v>
      </c>
      <c r="CC60" s="34" t="n">
        <f aca="false">SUMPRODUCT((FC_Clase="Producción")*FC_O*((FC_Mon="PYG")*CC$19+(FC_Mon&lt;&gt;"PYG"))*(1+FC_g)^(CC$17-1)*((FC_Desde=0)*(CC$16+CC$15)+(FC_Desde&gt;=1)*(CC$14&gt;=FC_Desde)*CC$15))</f>
        <v>4705.81473567739</v>
      </c>
      <c r="CD60" s="34" t="n">
        <f aca="false">SUMPRODUCT((FC_Clase="Producción")*FC_O*((FC_Mon="PYG")*CD$19+(FC_Mon&lt;&gt;"PYG"))*(1+FC_g)^(CD$17-1)*((FC_Desde=0)*(CD$16+CD$15)+(FC_Desde&gt;=1)*(CD$14&gt;=FC_Desde)*CD$15))</f>
        <v>4705.81473567739</v>
      </c>
      <c r="CE60" s="34" t="n">
        <f aca="false">SUMPRODUCT((FC_Clase="Producción")*FC_O*((FC_Mon="PYG")*CE$19+(FC_Mon&lt;&gt;"PYG"))*(1+FC_g)^(CE$17-1)*((FC_Desde=0)*(CE$16+CE$15)+(FC_Desde&gt;=1)*(CE$14&gt;=FC_Desde)*CE$15))</f>
        <v>4705.81473567739</v>
      </c>
      <c r="CF60" s="34" t="n">
        <f aca="false">SUMPRODUCT((FC_Clase="Producción")*FC_O*((FC_Mon="PYG")*CF$19+(FC_Mon&lt;&gt;"PYG"))*(1+FC_g)^(CF$17-1)*((FC_Desde=0)*(CF$16+CF$15)+(FC_Desde&gt;=1)*(CF$14&gt;=FC_Desde)*CF$15))</f>
        <v>4705.81473567739</v>
      </c>
      <c r="CG60" s="34" t="n">
        <f aca="false">SUMPRODUCT((FC_Clase="Producción")*FC_O*((FC_Mon="PYG")*CG$19+(FC_Mon&lt;&gt;"PYG"))*(1+FC_g)^(CG$17-1)*((FC_Desde=0)*(CG$16+CG$15)+(FC_Desde&gt;=1)*(CG$14&gt;=FC_Desde)*CG$15))</f>
        <v>4705.81473567739</v>
      </c>
      <c r="CH60" s="34" t="n">
        <f aca="false">SUMPRODUCT((FC_Clase="Producción")*FC_O*((FC_Mon="PYG")*CH$19+(FC_Mon&lt;&gt;"PYG"))*(1+FC_g)^(CH$17-1)*((FC_Desde=0)*(CH$16+CH$15)+(FC_Desde&gt;=1)*(CH$14&gt;=FC_Desde)*CH$15))</f>
        <v>4705.81473567739</v>
      </c>
      <c r="CI60" s="34" t="n">
        <f aca="false">SUMPRODUCT((FC_Clase="Producción")*FC_O*((FC_Mon="PYG")*CI$19+(FC_Mon&lt;&gt;"PYG"))*(1+FC_g)^(CI$17-1)*((FC_Desde=0)*(CI$16+CI$15)+(FC_Desde&gt;=1)*(CI$14&gt;=FC_Desde)*CI$15))</f>
        <v>4705.81473567739</v>
      </c>
      <c r="CJ60" s="34" t="n">
        <f aca="false">SUMPRODUCT((FC_Clase="Producción")*FC_O*((FC_Mon="PYG")*CJ$19+(FC_Mon&lt;&gt;"PYG"))*(1+FC_g)^(CJ$17-1)*((FC_Desde=0)*(CJ$16+CJ$15)+(FC_Desde&gt;=1)*(CJ$14&gt;=FC_Desde)*CJ$15))</f>
        <v>4705.81473567739</v>
      </c>
      <c r="CK60" s="34" t="n">
        <f aca="false">SUMPRODUCT((FC_Clase="Producción")*FC_O*((FC_Mon="PYG")*CK$19+(FC_Mon&lt;&gt;"PYG"))*(1+FC_g)^(CK$17-1)*((FC_Desde=0)*(CK$16+CK$15)+(FC_Desde&gt;=1)*(CK$14&gt;=FC_Desde)*CK$15))</f>
        <v>4705.81473567739</v>
      </c>
      <c r="CL60" s="34" t="n">
        <f aca="false">SUMPRODUCT((FC_Clase="Producción")*FC_O*((FC_Mon="PYG")*CL$19+(FC_Mon&lt;&gt;"PYG"))*(1+FC_g)^(CL$17-1)*((FC_Desde=0)*(CL$16+CL$15)+(FC_Desde&gt;=1)*(CL$14&gt;=FC_Desde)*CL$15))</f>
        <v>4761.57486600738</v>
      </c>
      <c r="CM60" s="34" t="n">
        <f aca="false">SUMPRODUCT((FC_Clase="Producción")*FC_O*((FC_Mon="PYG")*CM$19+(FC_Mon&lt;&gt;"PYG"))*(1+FC_g)^(CM$17-1)*((FC_Desde=0)*(CM$16+CM$15)+(FC_Desde&gt;=1)*(CM$14&gt;=FC_Desde)*CM$15))</f>
        <v>4761.57486600738</v>
      </c>
      <c r="CN60" s="34" t="n">
        <f aca="false">SUMPRODUCT((FC_Clase="Producción")*FC_O*((FC_Mon="PYG")*CN$19+(FC_Mon&lt;&gt;"PYG"))*(1+FC_g)^(CN$17-1)*((FC_Desde=0)*(CN$16+CN$15)+(FC_Desde&gt;=1)*(CN$14&gt;=FC_Desde)*CN$15))</f>
        <v>4761.57486600738</v>
      </c>
      <c r="CO60" s="34" t="n">
        <f aca="false">SUMPRODUCT((FC_Clase="Producción")*FC_O*((FC_Mon="PYG")*CO$19+(FC_Mon&lt;&gt;"PYG"))*(1+FC_g)^(CO$17-1)*((FC_Desde=0)*(CO$16+CO$15)+(FC_Desde&gt;=1)*(CO$14&gt;=FC_Desde)*CO$15))</f>
        <v>4761.57486600738</v>
      </c>
      <c r="CP60" s="34" t="n">
        <f aca="false">SUMPRODUCT((FC_Clase="Producción")*FC_O*((FC_Mon="PYG")*CP$19+(FC_Mon&lt;&gt;"PYG"))*(1+FC_g)^(CP$17-1)*((FC_Desde=0)*(CP$16+CP$15)+(FC_Desde&gt;=1)*(CP$14&gt;=FC_Desde)*CP$15))</f>
        <v>4761.57486600738</v>
      </c>
      <c r="CQ60" s="34" t="n">
        <f aca="false">SUMPRODUCT((FC_Clase="Producción")*FC_O*((FC_Mon="PYG")*CQ$19+(FC_Mon&lt;&gt;"PYG"))*(1+FC_g)^(CQ$17-1)*((FC_Desde=0)*(CQ$16+CQ$15)+(FC_Desde&gt;=1)*(CQ$14&gt;=FC_Desde)*CQ$15))</f>
        <v>4761.57486600738</v>
      </c>
      <c r="CR60" s="34" t="n">
        <f aca="false">SUMPRODUCT((FC_Clase="Producción")*FC_O*((FC_Mon="PYG")*CR$19+(FC_Mon&lt;&gt;"PYG"))*(1+FC_g)^(CR$17-1)*((FC_Desde=0)*(CR$16+CR$15)+(FC_Desde&gt;=1)*(CR$14&gt;=FC_Desde)*CR$15))</f>
        <v>4761.57486600738</v>
      </c>
      <c r="CS60" s="34" t="n">
        <f aca="false">SUMPRODUCT((FC_Clase="Producción")*FC_O*((FC_Mon="PYG")*CS$19+(FC_Mon&lt;&gt;"PYG"))*(1+FC_g)^(CS$17-1)*((FC_Desde=0)*(CS$16+CS$15)+(FC_Desde&gt;=1)*(CS$14&gt;=FC_Desde)*CS$15))</f>
        <v>4761.57486600738</v>
      </c>
      <c r="CT60" s="34" t="n">
        <f aca="false">SUMPRODUCT((FC_Clase="Producción")*FC_O*((FC_Mon="PYG")*CT$19+(FC_Mon&lt;&gt;"PYG"))*(1+FC_g)^(CT$17-1)*((FC_Desde=0)*(CT$16+CT$15)+(FC_Desde&gt;=1)*(CT$14&gt;=FC_Desde)*CT$15))</f>
        <v>4761.57486600738</v>
      </c>
      <c r="CU60" s="34" t="n">
        <f aca="false">SUMPRODUCT((FC_Clase="Producción")*FC_O*((FC_Mon="PYG")*CU$19+(FC_Mon&lt;&gt;"PYG"))*(1+FC_g)^(CU$17-1)*((FC_Desde=0)*(CU$16+CU$15)+(FC_Desde&gt;=1)*(CU$14&gt;=FC_Desde)*CU$15))</f>
        <v>4761.57486600738</v>
      </c>
      <c r="CV60" s="34" t="n">
        <f aca="false">SUMPRODUCT((FC_Clase="Producción")*FC_O*((FC_Mon="PYG")*CV$19+(FC_Mon&lt;&gt;"PYG"))*(1+FC_g)^(CV$17-1)*((FC_Desde=0)*(CV$16+CV$15)+(FC_Desde&gt;=1)*(CV$14&gt;=FC_Desde)*CV$15))</f>
        <v>4761.57486600738</v>
      </c>
      <c r="CW60" s="34" t="n">
        <f aca="false">SUMPRODUCT((FC_Clase="Producción")*FC_O*((FC_Mon="PYG")*CW$19+(FC_Mon&lt;&gt;"PYG"))*(1+FC_g)^(CW$17-1)*((FC_Desde=0)*(CW$16+CW$15)+(FC_Desde&gt;=1)*(CW$14&gt;=FC_Desde)*CW$15))</f>
        <v>4761.57486600738</v>
      </c>
      <c r="CX60" s="34" t="n">
        <f aca="false">SUMPRODUCT((FC_Clase="Producción")*FC_O*((FC_Mon="PYG")*CX$19+(FC_Mon&lt;&gt;"PYG"))*(1+FC_g)^(CX$17-1)*((FC_Desde=0)*(CX$16+CX$15)+(FC_Desde&gt;=1)*(CX$14&gt;=FC_Desde)*CX$15))</f>
        <v>4818.45019894396</v>
      </c>
      <c r="CY60" s="34" t="n">
        <f aca="false">SUMPRODUCT((FC_Clase="Producción")*FC_O*((FC_Mon="PYG")*CY$19+(FC_Mon&lt;&gt;"PYG"))*(1+FC_g)^(CY$17-1)*((FC_Desde=0)*(CY$16+CY$15)+(FC_Desde&gt;=1)*(CY$14&gt;=FC_Desde)*CY$15))</f>
        <v>4818.45019894396</v>
      </c>
      <c r="CZ60" s="34" t="n">
        <f aca="false">SUMPRODUCT((FC_Clase="Producción")*FC_O*((FC_Mon="PYG")*CZ$19+(FC_Mon&lt;&gt;"PYG"))*(1+FC_g)^(CZ$17-1)*((FC_Desde=0)*(CZ$16+CZ$15)+(FC_Desde&gt;=1)*(CZ$14&gt;=FC_Desde)*CZ$15))</f>
        <v>4818.45019894396</v>
      </c>
      <c r="DA60" s="34" t="n">
        <f aca="false">SUMPRODUCT((FC_Clase="Producción")*FC_O*((FC_Mon="PYG")*DA$19+(FC_Mon&lt;&gt;"PYG"))*(1+FC_g)^(DA$17-1)*((FC_Desde=0)*(DA$16+DA$15)+(FC_Desde&gt;=1)*(DA$14&gt;=FC_Desde)*DA$15))</f>
        <v>4818.45019894396</v>
      </c>
      <c r="DB60" s="34" t="n">
        <f aca="false">SUMPRODUCT((FC_Clase="Producción")*FC_O*((FC_Mon="PYG")*DB$19+(FC_Mon&lt;&gt;"PYG"))*(1+FC_g)^(DB$17-1)*((FC_Desde=0)*(DB$16+DB$15)+(FC_Desde&gt;=1)*(DB$14&gt;=FC_Desde)*DB$15))</f>
        <v>4818.45019894396</v>
      </c>
      <c r="DC60" s="34" t="n">
        <f aca="false">SUMPRODUCT((FC_Clase="Producción")*FC_O*((FC_Mon="PYG")*DC$19+(FC_Mon&lt;&gt;"PYG"))*(1+FC_g)^(DC$17-1)*((FC_Desde=0)*(DC$16+DC$15)+(FC_Desde&gt;=1)*(DC$14&gt;=FC_Desde)*DC$15))</f>
        <v>4818.45019894396</v>
      </c>
      <c r="DD60" s="34" t="n">
        <f aca="false">SUMPRODUCT((FC_Clase="Producción")*FC_O*((FC_Mon="PYG")*DD$19+(FC_Mon&lt;&gt;"PYG"))*(1+FC_g)^(DD$17-1)*((FC_Desde=0)*(DD$16+DD$15)+(FC_Desde&gt;=1)*(DD$14&gt;=FC_Desde)*DD$15))</f>
        <v>4818.45019894396</v>
      </c>
      <c r="DE60" s="34" t="n">
        <f aca="false">SUMPRODUCT((FC_Clase="Producción")*FC_O*((FC_Mon="PYG")*DE$19+(FC_Mon&lt;&gt;"PYG"))*(1+FC_g)^(DE$17-1)*((FC_Desde=0)*(DE$16+DE$15)+(FC_Desde&gt;=1)*(DE$14&gt;=FC_Desde)*DE$15))</f>
        <v>4818.45019894396</v>
      </c>
      <c r="DF60" s="34" t="n">
        <f aca="false">SUMPRODUCT((FC_Clase="Producción")*FC_O*((FC_Mon="PYG")*DF$19+(FC_Mon&lt;&gt;"PYG"))*(1+FC_g)^(DF$17-1)*((FC_Desde=0)*(DF$16+DF$15)+(FC_Desde&gt;=1)*(DF$14&gt;=FC_Desde)*DF$15))</f>
        <v>4818.45019894396</v>
      </c>
      <c r="DG60" s="34" t="n">
        <f aca="false">SUMPRODUCT((FC_Clase="Producción")*FC_O*((FC_Mon="PYG")*DG$19+(FC_Mon&lt;&gt;"PYG"))*(1+FC_g)^(DG$17-1)*((FC_Desde=0)*(DG$16+DG$15)+(FC_Desde&gt;=1)*(DG$14&gt;=FC_Desde)*DG$15))</f>
        <v>4818.45019894396</v>
      </c>
      <c r="DH60" s="34" t="n">
        <f aca="false">SUMPRODUCT((FC_Clase="Producción")*FC_O*((FC_Mon="PYG")*DH$19+(FC_Mon&lt;&gt;"PYG"))*(1+FC_g)^(DH$17-1)*((FC_Desde=0)*(DH$16+DH$15)+(FC_Desde&gt;=1)*(DH$14&gt;=FC_Desde)*DH$15))</f>
        <v>4818.45019894396</v>
      </c>
      <c r="DI60" s="34" t="n">
        <f aca="false">SUMPRODUCT((FC_Clase="Producción")*FC_O*((FC_Mon="PYG")*DI$19+(FC_Mon&lt;&gt;"PYG"))*(1+FC_g)^(DI$17-1)*((FC_Desde=0)*(DI$16+DI$15)+(FC_Desde&gt;=1)*(DI$14&gt;=FC_Desde)*DI$15))</f>
        <v>4818.45019894396</v>
      </c>
      <c r="DJ60" s="34" t="n">
        <f aca="false">SUMPRODUCT((FC_Clase="Producción")*FC_O*((FC_Mon="PYG")*DJ$19+(FC_Mon&lt;&gt;"PYG"))*(1+FC_g)^(DJ$17-1)*((FC_Desde=0)*(DJ$16+DJ$15)+(FC_Desde&gt;=1)*(DJ$14&gt;=FC_Desde)*DJ$15))</f>
        <v>4876.46303853928</v>
      </c>
      <c r="DK60" s="34" t="n">
        <f aca="false">SUMPRODUCT((FC_Clase="Producción")*FC_O*((FC_Mon="PYG")*DK$19+(FC_Mon&lt;&gt;"PYG"))*(1+FC_g)^(DK$17-1)*((FC_Desde=0)*(DK$16+DK$15)+(FC_Desde&gt;=1)*(DK$14&gt;=FC_Desde)*DK$15))</f>
        <v>4876.46303853928</v>
      </c>
      <c r="DL60" s="34" t="n">
        <f aca="false">SUMPRODUCT((FC_Clase="Producción")*FC_O*((FC_Mon="PYG")*DL$19+(FC_Mon&lt;&gt;"PYG"))*(1+FC_g)^(DL$17-1)*((FC_Desde=0)*(DL$16+DL$15)+(FC_Desde&gt;=1)*(DL$14&gt;=FC_Desde)*DL$15))</f>
        <v>4876.46303853928</v>
      </c>
      <c r="DM60" s="34" t="n">
        <f aca="false">SUMPRODUCT((FC_Clase="Producción")*FC_O*((FC_Mon="PYG")*DM$19+(FC_Mon&lt;&gt;"PYG"))*(1+FC_g)^(DM$17-1)*((FC_Desde=0)*(DM$16+DM$15)+(FC_Desde&gt;=1)*(DM$14&gt;=FC_Desde)*DM$15))</f>
        <v>4876.46303853928</v>
      </c>
      <c r="DN60" s="34" t="n">
        <f aca="false">SUMPRODUCT((FC_Clase="Producción")*FC_O*((FC_Mon="PYG")*DN$19+(FC_Mon&lt;&gt;"PYG"))*(1+FC_g)^(DN$17-1)*((FC_Desde=0)*(DN$16+DN$15)+(FC_Desde&gt;=1)*(DN$14&gt;=FC_Desde)*DN$15))</f>
        <v>4876.46303853928</v>
      </c>
      <c r="DO60" s="34" t="n">
        <f aca="false">SUMPRODUCT((FC_Clase="Producción")*FC_O*((FC_Mon="PYG")*DO$19+(FC_Mon&lt;&gt;"PYG"))*(1+FC_g)^(DO$17-1)*((FC_Desde=0)*(DO$16+DO$15)+(FC_Desde&gt;=1)*(DO$14&gt;=FC_Desde)*DO$15))</f>
        <v>4876.46303853928</v>
      </c>
      <c r="DP60" s="34" t="n">
        <f aca="false">SUMPRODUCT((FC_Clase="Producción")*FC_O*((FC_Mon="PYG")*DP$19+(FC_Mon&lt;&gt;"PYG"))*(1+FC_g)^(DP$17-1)*((FC_Desde=0)*(DP$16+DP$15)+(FC_Desde&gt;=1)*(DP$14&gt;=FC_Desde)*DP$15))</f>
        <v>4876.46303853928</v>
      </c>
      <c r="DQ60" s="34" t="n">
        <f aca="false">SUMPRODUCT((FC_Clase="Producción")*FC_O*((FC_Mon="PYG")*DQ$19+(FC_Mon&lt;&gt;"PYG"))*(1+FC_g)^(DQ$17-1)*((FC_Desde=0)*(DQ$16+DQ$15)+(FC_Desde&gt;=1)*(DQ$14&gt;=FC_Desde)*DQ$15))</f>
        <v>4876.46303853928</v>
      </c>
      <c r="DR60" s="34" t="n">
        <f aca="false">SUMPRODUCT((FC_Clase="Producción")*FC_O*((FC_Mon="PYG")*DR$19+(FC_Mon&lt;&gt;"PYG"))*(1+FC_g)^(DR$17-1)*((FC_Desde=0)*(DR$16+DR$15)+(FC_Desde&gt;=1)*(DR$14&gt;=FC_Desde)*DR$15))</f>
        <v>4876.46303853928</v>
      </c>
      <c r="DS60" s="34" t="n">
        <f aca="false">SUMPRODUCT((FC_Clase="Producción")*FC_O*((FC_Mon="PYG")*DS$19+(FC_Mon&lt;&gt;"PYG"))*(1+FC_g)^(DS$17-1)*((FC_Desde=0)*(DS$16+DS$15)+(FC_Desde&gt;=1)*(DS$14&gt;=FC_Desde)*DS$15))</f>
        <v>4876.46303853928</v>
      </c>
      <c r="DT60" s="34" t="n">
        <f aca="false">SUMPRODUCT((FC_Clase="Producción")*FC_O*((FC_Mon="PYG")*DT$19+(FC_Mon&lt;&gt;"PYG"))*(1+FC_g)^(DT$17-1)*((FC_Desde=0)*(DT$16+DT$15)+(FC_Desde&gt;=1)*(DT$14&gt;=FC_Desde)*DT$15))</f>
        <v>4876.46303853928</v>
      </c>
      <c r="DU60" s="34" t="n">
        <f aca="false">SUMPRODUCT((FC_Clase="Producción")*FC_O*((FC_Mon="PYG")*DU$19+(FC_Mon&lt;&gt;"PYG"))*(1+FC_g)^(DU$17-1)*((FC_Desde=0)*(DU$16+DU$15)+(FC_Desde&gt;=1)*(DU$14&gt;=FC_Desde)*DU$15))</f>
        <v>4876.46303853928</v>
      </c>
      <c r="DV60" s="34" t="n">
        <f aca="false">SUMPRODUCT((FC_Clase="Producción")*FC_O*((FC_Mon="PYG")*DV$19+(FC_Mon&lt;&gt;"PYG"))*(1+FC_g)^(DV$17-1)*((FC_Desde=0)*(DV$16+DV$15)+(FC_Desde&gt;=1)*(DV$14&gt;=FC_Desde)*DV$15))</f>
        <v>0</v>
      </c>
      <c r="DW60" s="34" t="n">
        <f aca="false">SUMPRODUCT((FC_Clase="Producción")*FC_O*((FC_Mon="PYG")*DW$19+(FC_Mon&lt;&gt;"PYG"))*(1+FC_g)^(DW$17-1)*((FC_Desde=0)*(DW$16+DW$15)+(FC_Desde&gt;=1)*(DW$14&gt;=FC_Desde)*DW$15))</f>
        <v>0</v>
      </c>
      <c r="DX60" s="34" t="n">
        <f aca="false">SUMPRODUCT((FC_Clase="Producción")*FC_O*((FC_Mon="PYG")*DX$19+(FC_Mon&lt;&gt;"PYG"))*(1+FC_g)^(DX$17-1)*((FC_Desde=0)*(DX$16+DX$15)+(FC_Desde&gt;=1)*(DX$14&gt;=FC_Desde)*DX$15))</f>
        <v>0</v>
      </c>
      <c r="DY60" s="34" t="n">
        <f aca="false">SUMPRODUCT((FC_Clase="Producción")*FC_O*((FC_Mon="PYG")*DY$19+(FC_Mon&lt;&gt;"PYG"))*(1+FC_g)^(DY$17-1)*((FC_Desde=0)*(DY$16+DY$15)+(FC_Desde&gt;=1)*(DY$14&gt;=FC_Desde)*DY$15))</f>
        <v>0</v>
      </c>
      <c r="DZ60" s="34" t="n">
        <f aca="false">SUMPRODUCT((FC_Clase="Producción")*FC_O*((FC_Mon="PYG")*DZ$19+(FC_Mon&lt;&gt;"PYG"))*(1+FC_g)^(DZ$17-1)*((FC_Desde=0)*(DZ$16+DZ$15)+(FC_Desde&gt;=1)*(DZ$14&gt;=FC_Desde)*DZ$15))</f>
        <v>0</v>
      </c>
      <c r="EA60" s="34" t="n">
        <f aca="false">SUMPRODUCT((FC_Clase="Producción")*FC_O*((FC_Mon="PYG")*EA$19+(FC_Mon&lt;&gt;"PYG"))*(1+FC_g)^(EA$17-1)*((FC_Desde=0)*(EA$16+EA$15)+(FC_Desde&gt;=1)*(EA$14&gt;=FC_Desde)*EA$15))</f>
        <v>0</v>
      </c>
      <c r="EB60" s="34" t="n">
        <f aca="false">SUMPRODUCT((FC_Clase="Producción")*FC_O*((FC_Mon="PYG")*EB$19+(FC_Mon&lt;&gt;"PYG"))*(1+FC_g)^(EB$17-1)*((FC_Desde=0)*(EB$16+EB$15)+(FC_Desde&gt;=1)*(EB$14&gt;=FC_Desde)*EB$15))</f>
        <v>0</v>
      </c>
      <c r="EC60" s="34" t="n">
        <f aca="false">SUMPRODUCT((FC_Clase="Producción")*FC_O*((FC_Mon="PYG")*EC$19+(FC_Mon&lt;&gt;"PYG"))*(1+FC_g)^(EC$17-1)*((FC_Desde=0)*(EC$16+EC$15)+(FC_Desde&gt;=1)*(EC$14&gt;=FC_Desde)*EC$15))</f>
        <v>0</v>
      </c>
      <c r="ED60" s="34" t="n">
        <f aca="false">SUMPRODUCT((FC_Clase="Producción")*FC_O*((FC_Mon="PYG")*ED$19+(FC_Mon&lt;&gt;"PYG"))*(1+FC_g)^(ED$17-1)*((FC_Desde=0)*(ED$16+ED$15)+(FC_Desde&gt;=1)*(ED$14&gt;=FC_Desde)*ED$15))</f>
        <v>0</v>
      </c>
      <c r="EE60" s="34" t="n">
        <f aca="false">SUMPRODUCT((FC_Clase="Producción")*FC_O*((FC_Mon="PYG")*EE$19+(FC_Mon&lt;&gt;"PYG"))*(1+FC_g)^(EE$17-1)*((FC_Desde=0)*(EE$16+EE$15)+(FC_Desde&gt;=1)*(EE$14&gt;=FC_Desde)*EE$15))</f>
        <v>0</v>
      </c>
      <c r="EF60" s="34" t="n">
        <f aca="false">SUMPRODUCT((FC_Clase="Producción")*FC_O*((FC_Mon="PYG")*EF$19+(FC_Mon&lt;&gt;"PYG"))*(1+FC_g)^(EF$17-1)*((FC_Desde=0)*(EF$16+EF$15)+(FC_Desde&gt;=1)*(EF$14&gt;=FC_Desde)*EF$15))</f>
        <v>0</v>
      </c>
      <c r="EG60" s="34" t="n">
        <f aca="false">SUMPRODUCT((FC_Clase="Producción")*FC_O*((FC_Mon="PYG")*EG$19+(FC_Mon&lt;&gt;"PYG"))*(1+FC_g)^(EG$17-1)*((FC_Desde=0)*(EG$16+EG$15)+(FC_Desde&gt;=1)*(EG$14&gt;=FC_Desde)*EG$15))</f>
        <v>0</v>
      </c>
      <c r="EH60" s="34" t="n">
        <f aca="false">SUMPRODUCT((FC_Clase="Producción")*FC_O*((FC_Mon="PYG")*EH$19+(FC_Mon&lt;&gt;"PYG"))*(1+FC_g)^(EH$17-1)*((FC_Desde=0)*(EH$16+EH$15)+(FC_Desde&gt;=1)*(EH$14&gt;=FC_Desde)*EH$15))</f>
        <v>0</v>
      </c>
      <c r="EI60" s="34" t="n">
        <f aca="false">SUMPRODUCT((FC_Clase="Producción")*FC_O*((FC_Mon="PYG")*EI$19+(FC_Mon&lt;&gt;"PYG"))*(1+FC_g)^(EI$17-1)*((FC_Desde=0)*(EI$16+EI$15)+(FC_Desde&gt;=1)*(EI$14&gt;=FC_Desde)*EI$15))</f>
        <v>0</v>
      </c>
      <c r="EJ60" s="34" t="n">
        <f aca="false">SUMPRODUCT((FC_Clase="Producción")*FC_O*((FC_Mon="PYG")*EJ$19+(FC_Mon&lt;&gt;"PYG"))*(1+FC_g)^(EJ$17-1)*((FC_Desde=0)*(EJ$16+EJ$15)+(FC_Desde&gt;=1)*(EJ$14&gt;=FC_Desde)*EJ$15))</f>
        <v>0</v>
      </c>
      <c r="EK60" s="34" t="n">
        <f aca="false">SUMPRODUCT((FC_Clase="Producción")*FC_O*((FC_Mon="PYG")*EK$19+(FC_Mon&lt;&gt;"PYG"))*(1+FC_g)^(EK$17-1)*((FC_Desde=0)*(EK$16+EK$15)+(FC_Desde&gt;=1)*(EK$14&gt;=FC_Desde)*EK$15))</f>
        <v>0</v>
      </c>
      <c r="EL60" s="34" t="n">
        <f aca="false">SUMPRODUCT((FC_Clase="Producción")*FC_O*((FC_Mon="PYG")*EL$19+(FC_Mon&lt;&gt;"PYG"))*(1+FC_g)^(EL$17-1)*((FC_Desde=0)*(EL$16+EL$15)+(FC_Desde&gt;=1)*(EL$14&gt;=FC_Desde)*EL$15))</f>
        <v>0</v>
      </c>
      <c r="EM60" s="34" t="n">
        <f aca="false">SUMPRODUCT((FC_Clase="Producción")*FC_O*((FC_Mon="PYG")*EM$19+(FC_Mon&lt;&gt;"PYG"))*(1+FC_g)^(EM$17-1)*((FC_Desde=0)*(EM$16+EM$15)+(FC_Desde&gt;=1)*(EM$14&gt;=FC_Desde)*EM$15))</f>
        <v>0</v>
      </c>
      <c r="EN60" s="34" t="n">
        <f aca="false">SUMPRODUCT((FC_Clase="Producción")*FC_O*((FC_Mon="PYG")*EN$19+(FC_Mon&lt;&gt;"PYG"))*(1+FC_g)^(EN$17-1)*((FC_Desde=0)*(EN$16+EN$15)+(FC_Desde&gt;=1)*(EN$14&gt;=FC_Desde)*EN$15))</f>
        <v>0</v>
      </c>
      <c r="EO60" s="34" t="n">
        <f aca="false">SUMPRODUCT((FC_Clase="Producción")*FC_O*((FC_Mon="PYG")*EO$19+(FC_Mon&lt;&gt;"PYG"))*(1+FC_g)^(EO$17-1)*((FC_Desde=0)*(EO$16+EO$15)+(FC_Desde&gt;=1)*(EO$14&gt;=FC_Desde)*EO$15))</f>
        <v>0</v>
      </c>
      <c r="EP60" s="34" t="n">
        <f aca="false">SUMPRODUCT((FC_Clase="Producción")*FC_O*((FC_Mon="PYG")*EP$19+(FC_Mon&lt;&gt;"PYG"))*(1+FC_g)^(EP$17-1)*((FC_Desde=0)*(EP$16+EP$15)+(FC_Desde&gt;=1)*(EP$14&gt;=FC_Desde)*EP$15))</f>
        <v>0</v>
      </c>
      <c r="EQ60" s="34" t="n">
        <f aca="false">SUMPRODUCT((FC_Clase="Producción")*FC_O*((FC_Mon="PYG")*EQ$19+(FC_Mon&lt;&gt;"PYG"))*(1+FC_g)^(EQ$17-1)*((FC_Desde=0)*(EQ$16+EQ$15)+(FC_Desde&gt;=1)*(EQ$14&gt;=FC_Desde)*EQ$15))</f>
        <v>0</v>
      </c>
      <c r="ER60" s="34" t="n">
        <f aca="false">SUMPRODUCT((FC_Clase="Producción")*FC_O*((FC_Mon="PYG")*ER$19+(FC_Mon&lt;&gt;"PYG"))*(1+FC_g)^(ER$17-1)*((FC_Desde=0)*(ER$16+ER$15)+(FC_Desde&gt;=1)*(ER$14&gt;=FC_Desde)*ER$15))</f>
        <v>0</v>
      </c>
      <c r="ES60" s="34" t="n">
        <f aca="false">SUMPRODUCT((FC_Clase="Producción")*FC_O*((FC_Mon="PYG")*ES$19+(FC_Mon&lt;&gt;"PYG"))*(1+FC_g)^(ES$17-1)*((FC_Desde=0)*(ES$16+ES$15)+(FC_Desde&gt;=1)*(ES$14&gt;=FC_Desde)*ES$15))</f>
        <v>0</v>
      </c>
    </row>
    <row r="61" customFormat="false" ht="15" hidden="false" customHeight="false" outlineLevel="0" collapsed="false">
      <c r="A61" s="2" t="s">
        <v>613</v>
      </c>
      <c r="B61" s="6" t="s">
        <v>614</v>
      </c>
      <c r="C61" s="6" t="s">
        <v>250</v>
      </c>
      <c r="E61" s="40" t="n">
        <f aca="false">SUM(F61:ES61)</f>
        <v>3059546.01375462</v>
      </c>
      <c r="F61" s="34" t="n">
        <f aca="false">SUMPRODUCT((FC_Clase="Administración")*FC_O*((FC_Mon="PYG")*F$19+(FC_Mon&lt;&gt;"PYG"))*(1+FC_g)^(F$17-1)*((FC_Desde=0)*(F$16+F$15)+(FC_Desde&gt;=1)*(F$14&gt;=FC_Desde)*F$15))</f>
        <v>22893.5857534247</v>
      </c>
      <c r="G61" s="34" t="n">
        <f aca="false">SUMPRODUCT((FC_Clase="Administración")*FC_O*((FC_Mon="PYG")*G$19+(FC_Mon&lt;&gt;"PYG"))*(1+FC_g)^(G$17-1)*((FC_Desde=0)*(G$16+G$15)+(FC_Desde&gt;=1)*(G$14&gt;=FC_Desde)*G$15))</f>
        <v>22893.5857534247</v>
      </c>
      <c r="H61" s="34" t="n">
        <f aca="false">SUMPRODUCT((FC_Clase="Administración")*FC_O*((FC_Mon="PYG")*H$19+(FC_Mon&lt;&gt;"PYG"))*(1+FC_g)^(H$17-1)*((FC_Desde=0)*(H$16+H$15)+(FC_Desde&gt;=1)*(H$14&gt;=FC_Desde)*H$15))</f>
        <v>22893.5857534247</v>
      </c>
      <c r="I61" s="34" t="n">
        <f aca="false">SUMPRODUCT((FC_Clase="Administración")*FC_O*((FC_Mon="PYG")*I$19+(FC_Mon&lt;&gt;"PYG"))*(1+FC_g)^(I$17-1)*((FC_Desde=0)*(I$16+I$15)+(FC_Desde&gt;=1)*(I$14&gt;=FC_Desde)*I$15))</f>
        <v>22893.5857534247</v>
      </c>
      <c r="J61" s="34" t="n">
        <f aca="false">SUMPRODUCT((FC_Clase="Administración")*FC_O*((FC_Mon="PYG")*J$19+(FC_Mon&lt;&gt;"PYG"))*(1+FC_g)^(J$17-1)*((FC_Desde=0)*(J$16+J$15)+(FC_Desde&gt;=1)*(J$14&gt;=FC_Desde)*J$15))</f>
        <v>22893.5857534247</v>
      </c>
      <c r="K61" s="34" t="n">
        <f aca="false">SUMPRODUCT((FC_Clase="Administración")*FC_O*((FC_Mon="PYG")*K$19+(FC_Mon&lt;&gt;"PYG"))*(1+FC_g)^(K$17-1)*((FC_Desde=0)*(K$16+K$15)+(FC_Desde&gt;=1)*(K$14&gt;=FC_Desde)*K$15))</f>
        <v>22893.5857534247</v>
      </c>
      <c r="L61" s="34" t="n">
        <f aca="false">SUMPRODUCT((FC_Clase="Administración")*FC_O*((FC_Mon="PYG")*L$19+(FC_Mon&lt;&gt;"PYG"))*(1+FC_g)^(L$17-1)*((FC_Desde=0)*(L$16+L$15)+(FC_Desde&gt;=1)*(L$14&gt;=FC_Desde)*L$15))</f>
        <v>22893.5857534247</v>
      </c>
      <c r="M61" s="34" t="n">
        <f aca="false">SUMPRODUCT((FC_Clase="Administración")*FC_O*((FC_Mon="PYG")*M$19+(FC_Mon&lt;&gt;"PYG"))*(1+FC_g)^(M$17-1)*((FC_Desde=0)*(M$16+M$15)+(FC_Desde&gt;=1)*(M$14&gt;=FC_Desde)*M$15))</f>
        <v>22893.5857534247</v>
      </c>
      <c r="N61" s="34" t="n">
        <f aca="false">SUMPRODUCT((FC_Clase="Administración")*FC_O*((FC_Mon="PYG")*N$19+(FC_Mon&lt;&gt;"PYG"))*(1+FC_g)^(N$17-1)*((FC_Desde=0)*(N$16+N$15)+(FC_Desde&gt;=1)*(N$14&gt;=FC_Desde)*N$15))</f>
        <v>22893.5857534247</v>
      </c>
      <c r="O61" s="34" t="n">
        <f aca="false">SUMPRODUCT((FC_Clase="Administración")*FC_O*((FC_Mon="PYG")*O$19+(FC_Mon&lt;&gt;"PYG"))*(1+FC_g)^(O$17-1)*((FC_Desde=0)*(O$16+O$15)+(FC_Desde&gt;=1)*(O$14&gt;=FC_Desde)*O$15))</f>
        <v>22893.5857534247</v>
      </c>
      <c r="P61" s="34" t="n">
        <f aca="false">SUMPRODUCT((FC_Clase="Administración")*FC_O*((FC_Mon="PYG")*P$19+(FC_Mon&lt;&gt;"PYG"))*(1+FC_g)^(P$17-1)*((FC_Desde=0)*(P$16+P$15)+(FC_Desde&gt;=1)*(P$14&gt;=FC_Desde)*P$15))</f>
        <v>22893.5857534247</v>
      </c>
      <c r="Q61" s="34" t="n">
        <f aca="false">SUMPRODUCT((FC_Clase="Administración")*FC_O*((FC_Mon="PYG")*Q$19+(FC_Mon&lt;&gt;"PYG"))*(1+FC_g)^(Q$17-1)*((FC_Desde=0)*(Q$16+Q$15)+(FC_Desde&gt;=1)*(Q$14&gt;=FC_Desde)*Q$15))</f>
        <v>22893.5857534247</v>
      </c>
      <c r="R61" s="34" t="n">
        <f aca="false">SUMPRODUCT((FC_Clase="Administración")*FC_O*((FC_Mon="PYG")*R$19+(FC_Mon&lt;&gt;"PYG"))*(1+FC_g)^(R$17-1)*((FC_Desde=0)*(R$16+R$15)+(FC_Desde&gt;=1)*(R$14&gt;=FC_Desde)*R$15))</f>
        <v>23426.9557534247</v>
      </c>
      <c r="S61" s="34" t="n">
        <f aca="false">SUMPRODUCT((FC_Clase="Administración")*FC_O*((FC_Mon="PYG")*S$19+(FC_Mon&lt;&gt;"PYG"))*(1+FC_g)^(S$17-1)*((FC_Desde=0)*(S$16+S$15)+(FC_Desde&gt;=1)*(S$14&gt;=FC_Desde)*S$15))</f>
        <v>23426.9557534247</v>
      </c>
      <c r="T61" s="34" t="n">
        <f aca="false">SUMPRODUCT((FC_Clase="Administración")*FC_O*((FC_Mon="PYG")*T$19+(FC_Mon&lt;&gt;"PYG"))*(1+FC_g)^(T$17-1)*((FC_Desde=0)*(T$16+T$15)+(FC_Desde&gt;=1)*(T$14&gt;=FC_Desde)*T$15))</f>
        <v>23426.9557534247</v>
      </c>
      <c r="U61" s="34" t="n">
        <f aca="false">SUMPRODUCT((FC_Clase="Administración")*FC_O*((FC_Mon="PYG")*U$19+(FC_Mon&lt;&gt;"PYG"))*(1+FC_g)^(U$17-1)*((FC_Desde=0)*(U$16+U$15)+(FC_Desde&gt;=1)*(U$14&gt;=FC_Desde)*U$15))</f>
        <v>23426.9557534247</v>
      </c>
      <c r="V61" s="34" t="n">
        <f aca="false">SUMPRODUCT((FC_Clase="Administración")*FC_O*((FC_Mon="PYG")*V$19+(FC_Mon&lt;&gt;"PYG"))*(1+FC_g)^(V$17-1)*((FC_Desde=0)*(V$16+V$15)+(FC_Desde&gt;=1)*(V$14&gt;=FC_Desde)*V$15))</f>
        <v>23426.9557534247</v>
      </c>
      <c r="W61" s="34" t="n">
        <f aca="false">SUMPRODUCT((FC_Clase="Administración")*FC_O*((FC_Mon="PYG")*W$19+(FC_Mon&lt;&gt;"PYG"))*(1+FC_g)^(W$17-1)*((FC_Desde=0)*(W$16+W$15)+(FC_Desde&gt;=1)*(W$14&gt;=FC_Desde)*W$15))</f>
        <v>23426.9557534247</v>
      </c>
      <c r="X61" s="34" t="n">
        <f aca="false">SUMPRODUCT((FC_Clase="Administración")*FC_O*((FC_Mon="PYG")*X$19+(FC_Mon&lt;&gt;"PYG"))*(1+FC_g)^(X$17-1)*((FC_Desde=0)*(X$16+X$15)+(FC_Desde&gt;=1)*(X$14&gt;=FC_Desde)*X$15))</f>
        <v>23426.9557534247</v>
      </c>
      <c r="Y61" s="34" t="n">
        <f aca="false">SUMPRODUCT((FC_Clase="Administración")*FC_O*((FC_Mon="PYG")*Y$19+(FC_Mon&lt;&gt;"PYG"))*(1+FC_g)^(Y$17-1)*((FC_Desde=0)*(Y$16+Y$15)+(FC_Desde&gt;=1)*(Y$14&gt;=FC_Desde)*Y$15))</f>
        <v>23426.9557534247</v>
      </c>
      <c r="Z61" s="34" t="n">
        <f aca="false">SUMPRODUCT((FC_Clase="Administración")*FC_O*((FC_Mon="PYG")*Z$19+(FC_Mon&lt;&gt;"PYG"))*(1+FC_g)^(Z$17-1)*((FC_Desde=0)*(Z$16+Z$15)+(FC_Desde&gt;=1)*(Z$14&gt;=FC_Desde)*Z$15))</f>
        <v>23426.9557534247</v>
      </c>
      <c r="AA61" s="34" t="n">
        <f aca="false">SUMPRODUCT((FC_Clase="Administración")*FC_O*((FC_Mon="PYG")*AA$19+(FC_Mon&lt;&gt;"PYG"))*(1+FC_g)^(AA$17-1)*((FC_Desde=0)*(AA$16+AA$15)+(FC_Desde&gt;=1)*(AA$14&gt;=FC_Desde)*AA$15))</f>
        <v>23426.9557534247</v>
      </c>
      <c r="AB61" s="34" t="n">
        <f aca="false">SUMPRODUCT((FC_Clase="Administración")*FC_O*((FC_Mon="PYG")*AB$19+(FC_Mon&lt;&gt;"PYG"))*(1+FC_g)^(AB$17-1)*((FC_Desde=0)*(AB$16+AB$15)+(FC_Desde&gt;=1)*(AB$14&gt;=FC_Desde)*AB$15))</f>
        <v>23426.9557534247</v>
      </c>
      <c r="AC61" s="34" t="n">
        <f aca="false">SUMPRODUCT((FC_Clase="Administración")*FC_O*((FC_Mon="PYG")*AC$19+(FC_Mon&lt;&gt;"PYG"))*(1+FC_g)^(AC$17-1)*((FC_Desde=0)*(AC$16+AC$15)+(FC_Desde&gt;=1)*(AC$14&gt;=FC_Desde)*AC$15))</f>
        <v>23426.9557534247</v>
      </c>
      <c r="AD61" s="34" t="n">
        <f aca="false">SUMPRODUCT((FC_Clase="Administración")*FC_O*((FC_Mon="PYG")*AD$19+(FC_Mon&lt;&gt;"PYG"))*(1+FC_g)^(AD$17-1)*((FC_Desde=0)*(AD$16+AD$15)+(FC_Desde&gt;=1)*(AD$14&gt;=FC_Desde)*AD$15))</f>
        <v>23976.3268534247</v>
      </c>
      <c r="AE61" s="34" t="n">
        <f aca="false">SUMPRODUCT((FC_Clase="Administración")*FC_O*((FC_Mon="PYG")*AE$19+(FC_Mon&lt;&gt;"PYG"))*(1+FC_g)^(AE$17-1)*((FC_Desde=0)*(AE$16+AE$15)+(FC_Desde&gt;=1)*(AE$14&gt;=FC_Desde)*AE$15))</f>
        <v>23976.3268534247</v>
      </c>
      <c r="AF61" s="34" t="n">
        <f aca="false">SUMPRODUCT((FC_Clase="Administración")*FC_O*((FC_Mon="PYG")*AF$19+(FC_Mon&lt;&gt;"PYG"))*(1+FC_g)^(AF$17-1)*((FC_Desde=0)*(AF$16+AF$15)+(FC_Desde&gt;=1)*(AF$14&gt;=FC_Desde)*AF$15))</f>
        <v>23976.3268534247</v>
      </c>
      <c r="AG61" s="34" t="n">
        <f aca="false">SUMPRODUCT((FC_Clase="Administración")*FC_O*((FC_Mon="PYG")*AG$19+(FC_Mon&lt;&gt;"PYG"))*(1+FC_g)^(AG$17-1)*((FC_Desde=0)*(AG$16+AG$15)+(FC_Desde&gt;=1)*(AG$14&gt;=FC_Desde)*AG$15))</f>
        <v>23976.3268534247</v>
      </c>
      <c r="AH61" s="34" t="n">
        <f aca="false">SUMPRODUCT((FC_Clase="Administración")*FC_O*((FC_Mon="PYG")*AH$19+(FC_Mon&lt;&gt;"PYG"))*(1+FC_g)^(AH$17-1)*((FC_Desde=0)*(AH$16+AH$15)+(FC_Desde&gt;=1)*(AH$14&gt;=FC_Desde)*AH$15))</f>
        <v>23976.3268534247</v>
      </c>
      <c r="AI61" s="34" t="n">
        <f aca="false">SUMPRODUCT((FC_Clase="Administración")*FC_O*((FC_Mon="PYG")*AI$19+(FC_Mon&lt;&gt;"PYG"))*(1+FC_g)^(AI$17-1)*((FC_Desde=0)*(AI$16+AI$15)+(FC_Desde&gt;=1)*(AI$14&gt;=FC_Desde)*AI$15))</f>
        <v>23976.3268534247</v>
      </c>
      <c r="AJ61" s="34" t="n">
        <f aca="false">SUMPRODUCT((FC_Clase="Administración")*FC_O*((FC_Mon="PYG")*AJ$19+(FC_Mon&lt;&gt;"PYG"))*(1+FC_g)^(AJ$17-1)*((FC_Desde=0)*(AJ$16+AJ$15)+(FC_Desde&gt;=1)*(AJ$14&gt;=FC_Desde)*AJ$15))</f>
        <v>23976.3268534247</v>
      </c>
      <c r="AK61" s="34" t="n">
        <f aca="false">SUMPRODUCT((FC_Clase="Administración")*FC_O*((FC_Mon="PYG")*AK$19+(FC_Mon&lt;&gt;"PYG"))*(1+FC_g)^(AK$17-1)*((FC_Desde=0)*(AK$16+AK$15)+(FC_Desde&gt;=1)*(AK$14&gt;=FC_Desde)*AK$15))</f>
        <v>23976.3268534247</v>
      </c>
      <c r="AL61" s="34" t="n">
        <f aca="false">SUMPRODUCT((FC_Clase="Administración")*FC_O*((FC_Mon="PYG")*AL$19+(FC_Mon&lt;&gt;"PYG"))*(1+FC_g)^(AL$17-1)*((FC_Desde=0)*(AL$16+AL$15)+(FC_Desde&gt;=1)*(AL$14&gt;=FC_Desde)*AL$15))</f>
        <v>23976.3268534247</v>
      </c>
      <c r="AM61" s="34" t="n">
        <f aca="false">SUMPRODUCT((FC_Clase="Administración")*FC_O*((FC_Mon="PYG")*AM$19+(FC_Mon&lt;&gt;"PYG"))*(1+FC_g)^(AM$17-1)*((FC_Desde=0)*(AM$16+AM$15)+(FC_Desde&gt;=1)*(AM$14&gt;=FC_Desde)*AM$15))</f>
        <v>23976.3268534247</v>
      </c>
      <c r="AN61" s="34" t="n">
        <f aca="false">SUMPRODUCT((FC_Clase="Administración")*FC_O*((FC_Mon="PYG")*AN$19+(FC_Mon&lt;&gt;"PYG"))*(1+FC_g)^(AN$17-1)*((FC_Desde=0)*(AN$16+AN$15)+(FC_Desde&gt;=1)*(AN$14&gt;=FC_Desde)*AN$15))</f>
        <v>23976.3268534247</v>
      </c>
      <c r="AO61" s="34" t="n">
        <f aca="false">SUMPRODUCT((FC_Clase="Administración")*FC_O*((FC_Mon="PYG")*AO$19+(FC_Mon&lt;&gt;"PYG"))*(1+FC_g)^(AO$17-1)*((FC_Desde=0)*(AO$16+AO$15)+(FC_Desde&gt;=1)*(AO$14&gt;=FC_Desde)*AO$15))</f>
        <v>23976.3268534247</v>
      </c>
      <c r="AP61" s="34" t="n">
        <f aca="false">SUMPRODUCT((FC_Clase="Administración")*FC_O*((FC_Mon="PYG")*AP$19+(FC_Mon&lt;&gt;"PYG"))*(1+FC_g)^(AP$17-1)*((FC_Desde=0)*(AP$16+AP$15)+(FC_Desde&gt;=1)*(AP$14&gt;=FC_Desde)*AP$15))</f>
        <v>24542.1790864247</v>
      </c>
      <c r="AQ61" s="34" t="n">
        <f aca="false">SUMPRODUCT((FC_Clase="Administración")*FC_O*((FC_Mon="PYG")*AQ$19+(FC_Mon&lt;&gt;"PYG"))*(1+FC_g)^(AQ$17-1)*((FC_Desde=0)*(AQ$16+AQ$15)+(FC_Desde&gt;=1)*(AQ$14&gt;=FC_Desde)*AQ$15))</f>
        <v>24542.1790864247</v>
      </c>
      <c r="AR61" s="34" t="n">
        <f aca="false">SUMPRODUCT((FC_Clase="Administración")*FC_O*((FC_Mon="PYG")*AR$19+(FC_Mon&lt;&gt;"PYG"))*(1+FC_g)^(AR$17-1)*((FC_Desde=0)*(AR$16+AR$15)+(FC_Desde&gt;=1)*(AR$14&gt;=FC_Desde)*AR$15))</f>
        <v>24542.1790864247</v>
      </c>
      <c r="AS61" s="34" t="n">
        <f aca="false">SUMPRODUCT((FC_Clase="Administración")*FC_O*((FC_Mon="PYG")*AS$19+(FC_Mon&lt;&gt;"PYG"))*(1+FC_g)^(AS$17-1)*((FC_Desde=0)*(AS$16+AS$15)+(FC_Desde&gt;=1)*(AS$14&gt;=FC_Desde)*AS$15))</f>
        <v>24542.1790864247</v>
      </c>
      <c r="AT61" s="34" t="n">
        <f aca="false">SUMPRODUCT((FC_Clase="Administración")*FC_O*((FC_Mon="PYG")*AT$19+(FC_Mon&lt;&gt;"PYG"))*(1+FC_g)^(AT$17-1)*((FC_Desde=0)*(AT$16+AT$15)+(FC_Desde&gt;=1)*(AT$14&gt;=FC_Desde)*AT$15))</f>
        <v>24542.1790864247</v>
      </c>
      <c r="AU61" s="34" t="n">
        <f aca="false">SUMPRODUCT((FC_Clase="Administración")*FC_O*((FC_Mon="PYG")*AU$19+(FC_Mon&lt;&gt;"PYG"))*(1+FC_g)^(AU$17-1)*((FC_Desde=0)*(AU$16+AU$15)+(FC_Desde&gt;=1)*(AU$14&gt;=FC_Desde)*AU$15))</f>
        <v>24542.1790864247</v>
      </c>
      <c r="AV61" s="34" t="n">
        <f aca="false">SUMPRODUCT((FC_Clase="Administración")*FC_O*((FC_Mon="PYG")*AV$19+(FC_Mon&lt;&gt;"PYG"))*(1+FC_g)^(AV$17-1)*((FC_Desde=0)*(AV$16+AV$15)+(FC_Desde&gt;=1)*(AV$14&gt;=FC_Desde)*AV$15))</f>
        <v>24542.1790864247</v>
      </c>
      <c r="AW61" s="34" t="n">
        <f aca="false">SUMPRODUCT((FC_Clase="Administración")*FC_O*((FC_Mon="PYG")*AW$19+(FC_Mon&lt;&gt;"PYG"))*(1+FC_g)^(AW$17-1)*((FC_Desde=0)*(AW$16+AW$15)+(FC_Desde&gt;=1)*(AW$14&gt;=FC_Desde)*AW$15))</f>
        <v>24542.1790864247</v>
      </c>
      <c r="AX61" s="34" t="n">
        <f aca="false">SUMPRODUCT((FC_Clase="Administración")*FC_O*((FC_Mon="PYG")*AX$19+(FC_Mon&lt;&gt;"PYG"))*(1+FC_g)^(AX$17-1)*((FC_Desde=0)*(AX$16+AX$15)+(FC_Desde&gt;=1)*(AX$14&gt;=FC_Desde)*AX$15))</f>
        <v>24542.1790864247</v>
      </c>
      <c r="AY61" s="34" t="n">
        <f aca="false">SUMPRODUCT((FC_Clase="Administración")*FC_O*((FC_Mon="PYG")*AY$19+(FC_Mon&lt;&gt;"PYG"))*(1+FC_g)^(AY$17-1)*((FC_Desde=0)*(AY$16+AY$15)+(FC_Desde&gt;=1)*(AY$14&gt;=FC_Desde)*AY$15))</f>
        <v>24542.1790864247</v>
      </c>
      <c r="AZ61" s="34" t="n">
        <f aca="false">SUMPRODUCT((FC_Clase="Administración")*FC_O*((FC_Mon="PYG")*AZ$19+(FC_Mon&lt;&gt;"PYG"))*(1+FC_g)^(AZ$17-1)*((FC_Desde=0)*(AZ$16+AZ$15)+(FC_Desde&gt;=1)*(AZ$14&gt;=FC_Desde)*AZ$15))</f>
        <v>24542.1790864247</v>
      </c>
      <c r="BA61" s="34" t="n">
        <f aca="false">SUMPRODUCT((FC_Clase="Administración")*FC_O*((FC_Mon="PYG")*BA$19+(FC_Mon&lt;&gt;"PYG"))*(1+FC_g)^(BA$17-1)*((FC_Desde=0)*(BA$16+BA$15)+(FC_Desde&gt;=1)*(BA$14&gt;=FC_Desde)*BA$15))</f>
        <v>24542.1790864247</v>
      </c>
      <c r="BB61" s="34" t="n">
        <f aca="false">SUMPRODUCT((FC_Clase="Administración")*FC_O*((FC_Mon="PYG")*BB$19+(FC_Mon&lt;&gt;"PYG"))*(1+FC_g)^(BB$17-1)*((FC_Desde=0)*(BB$16+BB$15)+(FC_Desde&gt;=1)*(BB$14&gt;=FC_Desde)*BB$15))</f>
        <v>25125.0068864147</v>
      </c>
      <c r="BC61" s="34" t="n">
        <f aca="false">SUMPRODUCT((FC_Clase="Administración")*FC_O*((FC_Mon="PYG")*BC$19+(FC_Mon&lt;&gt;"PYG"))*(1+FC_g)^(BC$17-1)*((FC_Desde=0)*(BC$16+BC$15)+(FC_Desde&gt;=1)*(BC$14&gt;=FC_Desde)*BC$15))</f>
        <v>25125.0068864147</v>
      </c>
      <c r="BD61" s="34" t="n">
        <f aca="false">SUMPRODUCT((FC_Clase="Administración")*FC_O*((FC_Mon="PYG")*BD$19+(FC_Mon&lt;&gt;"PYG"))*(1+FC_g)^(BD$17-1)*((FC_Desde=0)*(BD$16+BD$15)+(FC_Desde&gt;=1)*(BD$14&gt;=FC_Desde)*BD$15))</f>
        <v>25125.0068864147</v>
      </c>
      <c r="BE61" s="34" t="n">
        <f aca="false">SUMPRODUCT((FC_Clase="Administración")*FC_O*((FC_Mon="PYG")*BE$19+(FC_Mon&lt;&gt;"PYG"))*(1+FC_g)^(BE$17-1)*((FC_Desde=0)*(BE$16+BE$15)+(FC_Desde&gt;=1)*(BE$14&gt;=FC_Desde)*BE$15))</f>
        <v>25125.0068864147</v>
      </c>
      <c r="BF61" s="34" t="n">
        <f aca="false">SUMPRODUCT((FC_Clase="Administración")*FC_O*((FC_Mon="PYG")*BF$19+(FC_Mon&lt;&gt;"PYG"))*(1+FC_g)^(BF$17-1)*((FC_Desde=0)*(BF$16+BF$15)+(FC_Desde&gt;=1)*(BF$14&gt;=FC_Desde)*BF$15))</f>
        <v>25125.0068864147</v>
      </c>
      <c r="BG61" s="34" t="n">
        <f aca="false">SUMPRODUCT((FC_Clase="Administración")*FC_O*((FC_Mon="PYG")*BG$19+(FC_Mon&lt;&gt;"PYG"))*(1+FC_g)^(BG$17-1)*((FC_Desde=0)*(BG$16+BG$15)+(FC_Desde&gt;=1)*(BG$14&gt;=FC_Desde)*BG$15))</f>
        <v>25125.0068864147</v>
      </c>
      <c r="BH61" s="34" t="n">
        <f aca="false">SUMPRODUCT((FC_Clase="Administración")*FC_O*((FC_Mon="PYG")*BH$19+(FC_Mon&lt;&gt;"PYG"))*(1+FC_g)^(BH$17-1)*((FC_Desde=0)*(BH$16+BH$15)+(FC_Desde&gt;=1)*(BH$14&gt;=FC_Desde)*BH$15))</f>
        <v>25125.0068864147</v>
      </c>
      <c r="BI61" s="34" t="n">
        <f aca="false">SUMPRODUCT((FC_Clase="Administración")*FC_O*((FC_Mon="PYG")*BI$19+(FC_Mon&lt;&gt;"PYG"))*(1+FC_g)^(BI$17-1)*((FC_Desde=0)*(BI$16+BI$15)+(FC_Desde&gt;=1)*(BI$14&gt;=FC_Desde)*BI$15))</f>
        <v>25125.0068864147</v>
      </c>
      <c r="BJ61" s="34" t="n">
        <f aca="false">SUMPRODUCT((FC_Clase="Administración")*FC_O*((FC_Mon="PYG")*BJ$19+(FC_Mon&lt;&gt;"PYG"))*(1+FC_g)^(BJ$17-1)*((FC_Desde=0)*(BJ$16+BJ$15)+(FC_Desde&gt;=1)*(BJ$14&gt;=FC_Desde)*BJ$15))</f>
        <v>25125.0068864147</v>
      </c>
      <c r="BK61" s="34" t="n">
        <f aca="false">SUMPRODUCT((FC_Clase="Administración")*FC_O*((FC_Mon="PYG")*BK$19+(FC_Mon&lt;&gt;"PYG"))*(1+FC_g)^(BK$17-1)*((FC_Desde=0)*(BK$16+BK$15)+(FC_Desde&gt;=1)*(BK$14&gt;=FC_Desde)*BK$15))</f>
        <v>25125.0068864147</v>
      </c>
      <c r="BL61" s="34" t="n">
        <f aca="false">SUMPRODUCT((FC_Clase="Administración")*FC_O*((FC_Mon="PYG")*BL$19+(FC_Mon&lt;&gt;"PYG"))*(1+FC_g)^(BL$17-1)*((FC_Desde=0)*(BL$16+BL$15)+(FC_Desde&gt;=1)*(BL$14&gt;=FC_Desde)*BL$15))</f>
        <v>25125.0068864147</v>
      </c>
      <c r="BM61" s="34" t="n">
        <f aca="false">SUMPRODUCT((FC_Clase="Administración")*FC_O*((FC_Mon="PYG")*BM$19+(FC_Mon&lt;&gt;"PYG"))*(1+FC_g)^(BM$17-1)*((FC_Desde=0)*(BM$16+BM$15)+(FC_Desde&gt;=1)*(BM$14&gt;=FC_Desde)*BM$15))</f>
        <v>25125.0068864147</v>
      </c>
      <c r="BN61" s="34" t="n">
        <f aca="false">SUMPRODUCT((FC_Clase="Administración")*FC_O*((FC_Mon="PYG")*BN$19+(FC_Mon&lt;&gt;"PYG"))*(1+FC_g)^(BN$17-1)*((FC_Desde=0)*(BN$16+BN$15)+(FC_Desde&gt;=1)*(BN$14&gt;=FC_Desde)*BN$15))</f>
        <v>25725.3195204044</v>
      </c>
      <c r="BO61" s="34" t="n">
        <f aca="false">SUMPRODUCT((FC_Clase="Administración")*FC_O*((FC_Mon="PYG")*BO$19+(FC_Mon&lt;&gt;"PYG"))*(1+FC_g)^(BO$17-1)*((FC_Desde=0)*(BO$16+BO$15)+(FC_Desde&gt;=1)*(BO$14&gt;=FC_Desde)*BO$15))</f>
        <v>25725.3195204044</v>
      </c>
      <c r="BP61" s="34" t="n">
        <f aca="false">SUMPRODUCT((FC_Clase="Administración")*FC_O*((FC_Mon="PYG")*BP$19+(FC_Mon&lt;&gt;"PYG"))*(1+FC_g)^(BP$17-1)*((FC_Desde=0)*(BP$16+BP$15)+(FC_Desde&gt;=1)*(BP$14&gt;=FC_Desde)*BP$15))</f>
        <v>25725.3195204044</v>
      </c>
      <c r="BQ61" s="34" t="n">
        <f aca="false">SUMPRODUCT((FC_Clase="Administración")*FC_O*((FC_Mon="PYG")*BQ$19+(FC_Mon&lt;&gt;"PYG"))*(1+FC_g)^(BQ$17-1)*((FC_Desde=0)*(BQ$16+BQ$15)+(FC_Desde&gt;=1)*(BQ$14&gt;=FC_Desde)*BQ$15))</f>
        <v>25725.3195204044</v>
      </c>
      <c r="BR61" s="34" t="n">
        <f aca="false">SUMPRODUCT((FC_Clase="Administración")*FC_O*((FC_Mon="PYG")*BR$19+(FC_Mon&lt;&gt;"PYG"))*(1+FC_g)^(BR$17-1)*((FC_Desde=0)*(BR$16+BR$15)+(FC_Desde&gt;=1)*(BR$14&gt;=FC_Desde)*BR$15))</f>
        <v>25725.3195204044</v>
      </c>
      <c r="BS61" s="34" t="n">
        <f aca="false">SUMPRODUCT((FC_Clase="Administración")*FC_O*((FC_Mon="PYG")*BS$19+(FC_Mon&lt;&gt;"PYG"))*(1+FC_g)^(BS$17-1)*((FC_Desde=0)*(BS$16+BS$15)+(FC_Desde&gt;=1)*(BS$14&gt;=FC_Desde)*BS$15))</f>
        <v>25725.3195204044</v>
      </c>
      <c r="BT61" s="34" t="n">
        <f aca="false">SUMPRODUCT((FC_Clase="Administración")*FC_O*((FC_Mon="PYG")*BT$19+(FC_Mon&lt;&gt;"PYG"))*(1+FC_g)^(BT$17-1)*((FC_Desde=0)*(BT$16+BT$15)+(FC_Desde&gt;=1)*(BT$14&gt;=FC_Desde)*BT$15))</f>
        <v>25725.3195204044</v>
      </c>
      <c r="BU61" s="34" t="n">
        <f aca="false">SUMPRODUCT((FC_Clase="Administración")*FC_O*((FC_Mon="PYG")*BU$19+(FC_Mon&lt;&gt;"PYG"))*(1+FC_g)^(BU$17-1)*((FC_Desde=0)*(BU$16+BU$15)+(FC_Desde&gt;=1)*(BU$14&gt;=FC_Desde)*BU$15))</f>
        <v>25725.3195204044</v>
      </c>
      <c r="BV61" s="34" t="n">
        <f aca="false">SUMPRODUCT((FC_Clase="Administración")*FC_O*((FC_Mon="PYG")*BV$19+(FC_Mon&lt;&gt;"PYG"))*(1+FC_g)^(BV$17-1)*((FC_Desde=0)*(BV$16+BV$15)+(FC_Desde&gt;=1)*(BV$14&gt;=FC_Desde)*BV$15))</f>
        <v>25725.3195204044</v>
      </c>
      <c r="BW61" s="34" t="n">
        <f aca="false">SUMPRODUCT((FC_Clase="Administración")*FC_O*((FC_Mon="PYG")*BW$19+(FC_Mon&lt;&gt;"PYG"))*(1+FC_g)^(BW$17-1)*((FC_Desde=0)*(BW$16+BW$15)+(FC_Desde&gt;=1)*(BW$14&gt;=FC_Desde)*BW$15))</f>
        <v>25725.3195204044</v>
      </c>
      <c r="BX61" s="34" t="n">
        <f aca="false">SUMPRODUCT((FC_Clase="Administración")*FC_O*((FC_Mon="PYG")*BX$19+(FC_Mon&lt;&gt;"PYG"))*(1+FC_g)^(BX$17-1)*((FC_Desde=0)*(BX$16+BX$15)+(FC_Desde&gt;=1)*(BX$14&gt;=FC_Desde)*BX$15))</f>
        <v>25725.3195204044</v>
      </c>
      <c r="BY61" s="34" t="n">
        <f aca="false">SUMPRODUCT((FC_Clase="Administración")*FC_O*((FC_Mon="PYG")*BY$19+(FC_Mon&lt;&gt;"PYG"))*(1+FC_g)^(BY$17-1)*((FC_Desde=0)*(BY$16+BY$15)+(FC_Desde&gt;=1)*(BY$14&gt;=FC_Desde)*BY$15))</f>
        <v>25725.3195204044</v>
      </c>
      <c r="BZ61" s="34" t="n">
        <f aca="false">SUMPRODUCT((FC_Clase="Administración")*FC_O*((FC_Mon="PYG")*BZ$19+(FC_Mon&lt;&gt;"PYG"))*(1+FC_g)^(BZ$17-1)*((FC_Desde=0)*(BZ$16+BZ$15)+(FC_Desde&gt;=1)*(BZ$14&gt;=FC_Desde)*BZ$15))</f>
        <v>26343.6415334138</v>
      </c>
      <c r="CA61" s="34" t="n">
        <f aca="false">SUMPRODUCT((FC_Clase="Administración")*FC_O*((FC_Mon="PYG")*CA$19+(FC_Mon&lt;&gt;"PYG"))*(1+FC_g)^(CA$17-1)*((FC_Desde=0)*(CA$16+CA$15)+(FC_Desde&gt;=1)*(CA$14&gt;=FC_Desde)*CA$15))</f>
        <v>26343.6415334138</v>
      </c>
      <c r="CB61" s="34" t="n">
        <f aca="false">SUMPRODUCT((FC_Clase="Administración")*FC_O*((FC_Mon="PYG")*CB$19+(FC_Mon&lt;&gt;"PYG"))*(1+FC_g)^(CB$17-1)*((FC_Desde=0)*(CB$16+CB$15)+(FC_Desde&gt;=1)*(CB$14&gt;=FC_Desde)*CB$15))</f>
        <v>26343.6415334138</v>
      </c>
      <c r="CC61" s="34" t="n">
        <f aca="false">SUMPRODUCT((FC_Clase="Administración")*FC_O*((FC_Mon="PYG")*CC$19+(FC_Mon&lt;&gt;"PYG"))*(1+FC_g)^(CC$17-1)*((FC_Desde=0)*(CC$16+CC$15)+(FC_Desde&gt;=1)*(CC$14&gt;=FC_Desde)*CC$15))</f>
        <v>26343.6415334138</v>
      </c>
      <c r="CD61" s="34" t="n">
        <f aca="false">SUMPRODUCT((FC_Clase="Administración")*FC_O*((FC_Mon="PYG")*CD$19+(FC_Mon&lt;&gt;"PYG"))*(1+FC_g)^(CD$17-1)*((FC_Desde=0)*(CD$16+CD$15)+(FC_Desde&gt;=1)*(CD$14&gt;=FC_Desde)*CD$15))</f>
        <v>26343.6415334138</v>
      </c>
      <c r="CE61" s="34" t="n">
        <f aca="false">SUMPRODUCT((FC_Clase="Administración")*FC_O*((FC_Mon="PYG")*CE$19+(FC_Mon&lt;&gt;"PYG"))*(1+FC_g)^(CE$17-1)*((FC_Desde=0)*(CE$16+CE$15)+(FC_Desde&gt;=1)*(CE$14&gt;=FC_Desde)*CE$15))</f>
        <v>26343.6415334138</v>
      </c>
      <c r="CF61" s="34" t="n">
        <f aca="false">SUMPRODUCT((FC_Clase="Administración")*FC_O*((FC_Mon="PYG")*CF$19+(FC_Mon&lt;&gt;"PYG"))*(1+FC_g)^(CF$17-1)*((FC_Desde=0)*(CF$16+CF$15)+(FC_Desde&gt;=1)*(CF$14&gt;=FC_Desde)*CF$15))</f>
        <v>26343.6415334138</v>
      </c>
      <c r="CG61" s="34" t="n">
        <f aca="false">SUMPRODUCT((FC_Clase="Administración")*FC_O*((FC_Mon="PYG")*CG$19+(FC_Mon&lt;&gt;"PYG"))*(1+FC_g)^(CG$17-1)*((FC_Desde=0)*(CG$16+CG$15)+(FC_Desde&gt;=1)*(CG$14&gt;=FC_Desde)*CG$15))</f>
        <v>26343.6415334138</v>
      </c>
      <c r="CH61" s="34" t="n">
        <f aca="false">SUMPRODUCT((FC_Clase="Administración")*FC_O*((FC_Mon="PYG")*CH$19+(FC_Mon&lt;&gt;"PYG"))*(1+FC_g)^(CH$17-1)*((FC_Desde=0)*(CH$16+CH$15)+(FC_Desde&gt;=1)*(CH$14&gt;=FC_Desde)*CH$15))</f>
        <v>26343.6415334138</v>
      </c>
      <c r="CI61" s="34" t="n">
        <f aca="false">SUMPRODUCT((FC_Clase="Administración")*FC_O*((FC_Mon="PYG")*CI$19+(FC_Mon&lt;&gt;"PYG"))*(1+FC_g)^(CI$17-1)*((FC_Desde=0)*(CI$16+CI$15)+(FC_Desde&gt;=1)*(CI$14&gt;=FC_Desde)*CI$15))</f>
        <v>26343.6415334138</v>
      </c>
      <c r="CJ61" s="34" t="n">
        <f aca="false">SUMPRODUCT((FC_Clase="Administración")*FC_O*((FC_Mon="PYG")*CJ$19+(FC_Mon&lt;&gt;"PYG"))*(1+FC_g)^(CJ$17-1)*((FC_Desde=0)*(CJ$16+CJ$15)+(FC_Desde&gt;=1)*(CJ$14&gt;=FC_Desde)*CJ$15))</f>
        <v>26343.6415334138</v>
      </c>
      <c r="CK61" s="34" t="n">
        <f aca="false">SUMPRODUCT((FC_Clase="Administración")*FC_O*((FC_Mon="PYG")*CK$19+(FC_Mon&lt;&gt;"PYG"))*(1+FC_g)^(CK$17-1)*((FC_Desde=0)*(CK$16+CK$15)+(FC_Desde&gt;=1)*(CK$14&gt;=FC_Desde)*CK$15))</f>
        <v>26343.6415334138</v>
      </c>
      <c r="CL61" s="34" t="n">
        <f aca="false">SUMPRODUCT((FC_Clase="Administración")*FC_O*((FC_Mon="PYG")*CL$19+(FC_Mon&lt;&gt;"PYG"))*(1+FC_g)^(CL$17-1)*((FC_Desde=0)*(CL$16+CL$15)+(FC_Desde&gt;=1)*(CL$14&gt;=FC_Desde)*CL$15))</f>
        <v>26980.5132068134</v>
      </c>
      <c r="CM61" s="34" t="n">
        <f aca="false">SUMPRODUCT((FC_Clase="Administración")*FC_O*((FC_Mon="PYG")*CM$19+(FC_Mon&lt;&gt;"PYG"))*(1+FC_g)^(CM$17-1)*((FC_Desde=0)*(CM$16+CM$15)+(FC_Desde&gt;=1)*(CM$14&gt;=FC_Desde)*CM$15))</f>
        <v>26980.5132068134</v>
      </c>
      <c r="CN61" s="34" t="n">
        <f aca="false">SUMPRODUCT((FC_Clase="Administración")*FC_O*((FC_Mon="PYG")*CN$19+(FC_Mon&lt;&gt;"PYG"))*(1+FC_g)^(CN$17-1)*((FC_Desde=0)*(CN$16+CN$15)+(FC_Desde&gt;=1)*(CN$14&gt;=FC_Desde)*CN$15))</f>
        <v>26980.5132068134</v>
      </c>
      <c r="CO61" s="34" t="n">
        <f aca="false">SUMPRODUCT((FC_Clase="Administración")*FC_O*((FC_Mon="PYG")*CO$19+(FC_Mon&lt;&gt;"PYG"))*(1+FC_g)^(CO$17-1)*((FC_Desde=0)*(CO$16+CO$15)+(FC_Desde&gt;=1)*(CO$14&gt;=FC_Desde)*CO$15))</f>
        <v>26980.5132068134</v>
      </c>
      <c r="CP61" s="34" t="n">
        <f aca="false">SUMPRODUCT((FC_Clase="Administración")*FC_O*((FC_Mon="PYG")*CP$19+(FC_Mon&lt;&gt;"PYG"))*(1+FC_g)^(CP$17-1)*((FC_Desde=0)*(CP$16+CP$15)+(FC_Desde&gt;=1)*(CP$14&gt;=FC_Desde)*CP$15))</f>
        <v>26980.5132068134</v>
      </c>
      <c r="CQ61" s="34" t="n">
        <f aca="false">SUMPRODUCT((FC_Clase="Administración")*FC_O*((FC_Mon="PYG")*CQ$19+(FC_Mon&lt;&gt;"PYG"))*(1+FC_g)^(CQ$17-1)*((FC_Desde=0)*(CQ$16+CQ$15)+(FC_Desde&gt;=1)*(CQ$14&gt;=FC_Desde)*CQ$15))</f>
        <v>26980.5132068134</v>
      </c>
      <c r="CR61" s="34" t="n">
        <f aca="false">SUMPRODUCT((FC_Clase="Administración")*FC_O*((FC_Mon="PYG")*CR$19+(FC_Mon&lt;&gt;"PYG"))*(1+FC_g)^(CR$17-1)*((FC_Desde=0)*(CR$16+CR$15)+(FC_Desde&gt;=1)*(CR$14&gt;=FC_Desde)*CR$15))</f>
        <v>26980.5132068134</v>
      </c>
      <c r="CS61" s="34" t="n">
        <f aca="false">SUMPRODUCT((FC_Clase="Administración")*FC_O*((FC_Mon="PYG")*CS$19+(FC_Mon&lt;&gt;"PYG"))*(1+FC_g)^(CS$17-1)*((FC_Desde=0)*(CS$16+CS$15)+(FC_Desde&gt;=1)*(CS$14&gt;=FC_Desde)*CS$15))</f>
        <v>26980.5132068134</v>
      </c>
      <c r="CT61" s="34" t="n">
        <f aca="false">SUMPRODUCT((FC_Clase="Administración")*FC_O*((FC_Mon="PYG")*CT$19+(FC_Mon&lt;&gt;"PYG"))*(1+FC_g)^(CT$17-1)*((FC_Desde=0)*(CT$16+CT$15)+(FC_Desde&gt;=1)*(CT$14&gt;=FC_Desde)*CT$15))</f>
        <v>26980.5132068134</v>
      </c>
      <c r="CU61" s="34" t="n">
        <f aca="false">SUMPRODUCT((FC_Clase="Administración")*FC_O*((FC_Mon="PYG")*CU$19+(FC_Mon&lt;&gt;"PYG"))*(1+FC_g)^(CU$17-1)*((FC_Desde=0)*(CU$16+CU$15)+(FC_Desde&gt;=1)*(CU$14&gt;=FC_Desde)*CU$15))</f>
        <v>26980.5132068134</v>
      </c>
      <c r="CV61" s="34" t="n">
        <f aca="false">SUMPRODUCT((FC_Clase="Administración")*FC_O*((FC_Mon="PYG")*CV$19+(FC_Mon&lt;&gt;"PYG"))*(1+FC_g)^(CV$17-1)*((FC_Desde=0)*(CV$16+CV$15)+(FC_Desde&gt;=1)*(CV$14&gt;=FC_Desde)*CV$15))</f>
        <v>26980.5132068134</v>
      </c>
      <c r="CW61" s="34" t="n">
        <f aca="false">SUMPRODUCT((FC_Clase="Administración")*FC_O*((FC_Mon="PYG")*CW$19+(FC_Mon&lt;&gt;"PYG"))*(1+FC_g)^(CW$17-1)*((FC_Desde=0)*(CW$16+CW$15)+(FC_Desde&gt;=1)*(CW$14&gt;=FC_Desde)*CW$15))</f>
        <v>26980.5132068134</v>
      </c>
      <c r="CX61" s="34" t="n">
        <f aca="false">SUMPRODUCT((FC_Clase="Administración")*FC_O*((FC_Mon="PYG")*CX$19+(FC_Mon&lt;&gt;"PYG"))*(1+FC_g)^(CX$17-1)*((FC_Desde=0)*(CX$16+CX$15)+(FC_Desde&gt;=1)*(CX$14&gt;=FC_Desde)*CX$15))</f>
        <v>27636.4910304151</v>
      </c>
      <c r="CY61" s="34" t="n">
        <f aca="false">SUMPRODUCT((FC_Clase="Administración")*FC_O*((FC_Mon="PYG")*CY$19+(FC_Mon&lt;&gt;"PYG"))*(1+FC_g)^(CY$17-1)*((FC_Desde=0)*(CY$16+CY$15)+(FC_Desde&gt;=1)*(CY$14&gt;=FC_Desde)*CY$15))</f>
        <v>27636.4910304151</v>
      </c>
      <c r="CZ61" s="34" t="n">
        <f aca="false">SUMPRODUCT((FC_Clase="Administración")*FC_O*((FC_Mon="PYG")*CZ$19+(FC_Mon&lt;&gt;"PYG"))*(1+FC_g)^(CZ$17-1)*((FC_Desde=0)*(CZ$16+CZ$15)+(FC_Desde&gt;=1)*(CZ$14&gt;=FC_Desde)*CZ$15))</f>
        <v>27636.4910304151</v>
      </c>
      <c r="DA61" s="34" t="n">
        <f aca="false">SUMPRODUCT((FC_Clase="Administración")*FC_O*((FC_Mon="PYG")*DA$19+(FC_Mon&lt;&gt;"PYG"))*(1+FC_g)^(DA$17-1)*((FC_Desde=0)*(DA$16+DA$15)+(FC_Desde&gt;=1)*(DA$14&gt;=FC_Desde)*DA$15))</f>
        <v>27636.4910304151</v>
      </c>
      <c r="DB61" s="34" t="n">
        <f aca="false">SUMPRODUCT((FC_Clase="Administración")*FC_O*((FC_Mon="PYG")*DB$19+(FC_Mon&lt;&gt;"PYG"))*(1+FC_g)^(DB$17-1)*((FC_Desde=0)*(DB$16+DB$15)+(FC_Desde&gt;=1)*(DB$14&gt;=FC_Desde)*DB$15))</f>
        <v>27636.4910304151</v>
      </c>
      <c r="DC61" s="34" t="n">
        <f aca="false">SUMPRODUCT((FC_Clase="Administración")*FC_O*((FC_Mon="PYG")*DC$19+(FC_Mon&lt;&gt;"PYG"))*(1+FC_g)^(DC$17-1)*((FC_Desde=0)*(DC$16+DC$15)+(FC_Desde&gt;=1)*(DC$14&gt;=FC_Desde)*DC$15))</f>
        <v>27636.4910304151</v>
      </c>
      <c r="DD61" s="34" t="n">
        <f aca="false">SUMPRODUCT((FC_Clase="Administración")*FC_O*((FC_Mon="PYG")*DD$19+(FC_Mon&lt;&gt;"PYG"))*(1+FC_g)^(DD$17-1)*((FC_Desde=0)*(DD$16+DD$15)+(FC_Desde&gt;=1)*(DD$14&gt;=FC_Desde)*DD$15))</f>
        <v>27636.4910304151</v>
      </c>
      <c r="DE61" s="34" t="n">
        <f aca="false">SUMPRODUCT((FC_Clase="Administración")*FC_O*((FC_Mon="PYG")*DE$19+(FC_Mon&lt;&gt;"PYG"))*(1+FC_g)^(DE$17-1)*((FC_Desde=0)*(DE$16+DE$15)+(FC_Desde&gt;=1)*(DE$14&gt;=FC_Desde)*DE$15))</f>
        <v>27636.4910304151</v>
      </c>
      <c r="DF61" s="34" t="n">
        <f aca="false">SUMPRODUCT((FC_Clase="Administración")*FC_O*((FC_Mon="PYG")*DF$19+(FC_Mon&lt;&gt;"PYG"))*(1+FC_g)^(DF$17-1)*((FC_Desde=0)*(DF$16+DF$15)+(FC_Desde&gt;=1)*(DF$14&gt;=FC_Desde)*DF$15))</f>
        <v>27636.4910304151</v>
      </c>
      <c r="DG61" s="34" t="n">
        <f aca="false">SUMPRODUCT((FC_Clase="Administración")*FC_O*((FC_Mon="PYG")*DG$19+(FC_Mon&lt;&gt;"PYG"))*(1+FC_g)^(DG$17-1)*((FC_Desde=0)*(DG$16+DG$15)+(FC_Desde&gt;=1)*(DG$14&gt;=FC_Desde)*DG$15))</f>
        <v>27636.4910304151</v>
      </c>
      <c r="DH61" s="34" t="n">
        <f aca="false">SUMPRODUCT((FC_Clase="Administración")*FC_O*((FC_Mon="PYG")*DH$19+(FC_Mon&lt;&gt;"PYG"))*(1+FC_g)^(DH$17-1)*((FC_Desde=0)*(DH$16+DH$15)+(FC_Desde&gt;=1)*(DH$14&gt;=FC_Desde)*DH$15))</f>
        <v>27636.4910304151</v>
      </c>
      <c r="DI61" s="34" t="n">
        <f aca="false">SUMPRODUCT((FC_Clase="Administración")*FC_O*((FC_Mon="PYG")*DI$19+(FC_Mon&lt;&gt;"PYG"))*(1+FC_g)^(DI$17-1)*((FC_Desde=0)*(DI$16+DI$15)+(FC_Desde&gt;=1)*(DI$14&gt;=FC_Desde)*DI$15))</f>
        <v>27636.4910304151</v>
      </c>
      <c r="DJ61" s="34" t="n">
        <f aca="false">SUMPRODUCT((FC_Clase="Administración")*FC_O*((FC_Mon="PYG")*DJ$19+(FC_Mon&lt;&gt;"PYG"))*(1+FC_g)^(DJ$17-1)*((FC_Desde=0)*(DJ$16+DJ$15)+(FC_Desde&gt;=1)*(DJ$14&gt;=FC_Desde)*DJ$15))</f>
        <v>28312.1481887248</v>
      </c>
      <c r="DK61" s="34" t="n">
        <f aca="false">SUMPRODUCT((FC_Clase="Administración")*FC_O*((FC_Mon="PYG")*DK$19+(FC_Mon&lt;&gt;"PYG"))*(1+FC_g)^(DK$17-1)*((FC_Desde=0)*(DK$16+DK$15)+(FC_Desde&gt;=1)*(DK$14&gt;=FC_Desde)*DK$15))</f>
        <v>28312.1481887248</v>
      </c>
      <c r="DL61" s="34" t="n">
        <f aca="false">SUMPRODUCT((FC_Clase="Administración")*FC_O*((FC_Mon="PYG")*DL$19+(FC_Mon&lt;&gt;"PYG"))*(1+FC_g)^(DL$17-1)*((FC_Desde=0)*(DL$16+DL$15)+(FC_Desde&gt;=1)*(DL$14&gt;=FC_Desde)*DL$15))</f>
        <v>28312.1481887248</v>
      </c>
      <c r="DM61" s="34" t="n">
        <f aca="false">SUMPRODUCT((FC_Clase="Administración")*FC_O*((FC_Mon="PYG")*DM$19+(FC_Mon&lt;&gt;"PYG"))*(1+FC_g)^(DM$17-1)*((FC_Desde=0)*(DM$16+DM$15)+(FC_Desde&gt;=1)*(DM$14&gt;=FC_Desde)*DM$15))</f>
        <v>28312.1481887248</v>
      </c>
      <c r="DN61" s="34" t="n">
        <f aca="false">SUMPRODUCT((FC_Clase="Administración")*FC_O*((FC_Mon="PYG")*DN$19+(FC_Mon&lt;&gt;"PYG"))*(1+FC_g)^(DN$17-1)*((FC_Desde=0)*(DN$16+DN$15)+(FC_Desde&gt;=1)*(DN$14&gt;=FC_Desde)*DN$15))</f>
        <v>28312.1481887248</v>
      </c>
      <c r="DO61" s="34" t="n">
        <f aca="false">SUMPRODUCT((FC_Clase="Administración")*FC_O*((FC_Mon="PYG")*DO$19+(FC_Mon&lt;&gt;"PYG"))*(1+FC_g)^(DO$17-1)*((FC_Desde=0)*(DO$16+DO$15)+(FC_Desde&gt;=1)*(DO$14&gt;=FC_Desde)*DO$15))</f>
        <v>28312.1481887248</v>
      </c>
      <c r="DP61" s="34" t="n">
        <f aca="false">SUMPRODUCT((FC_Clase="Administración")*FC_O*((FC_Mon="PYG")*DP$19+(FC_Mon&lt;&gt;"PYG"))*(1+FC_g)^(DP$17-1)*((FC_Desde=0)*(DP$16+DP$15)+(FC_Desde&gt;=1)*(DP$14&gt;=FC_Desde)*DP$15))</f>
        <v>28312.1481887248</v>
      </c>
      <c r="DQ61" s="34" t="n">
        <f aca="false">SUMPRODUCT((FC_Clase="Administración")*FC_O*((FC_Mon="PYG")*DQ$19+(FC_Mon&lt;&gt;"PYG"))*(1+FC_g)^(DQ$17-1)*((FC_Desde=0)*(DQ$16+DQ$15)+(FC_Desde&gt;=1)*(DQ$14&gt;=FC_Desde)*DQ$15))</f>
        <v>28312.1481887248</v>
      </c>
      <c r="DR61" s="34" t="n">
        <f aca="false">SUMPRODUCT((FC_Clase="Administración")*FC_O*((FC_Mon="PYG")*DR$19+(FC_Mon&lt;&gt;"PYG"))*(1+FC_g)^(DR$17-1)*((FC_Desde=0)*(DR$16+DR$15)+(FC_Desde&gt;=1)*(DR$14&gt;=FC_Desde)*DR$15))</f>
        <v>28312.1481887248</v>
      </c>
      <c r="DS61" s="34" t="n">
        <f aca="false">SUMPRODUCT((FC_Clase="Administración")*FC_O*((FC_Mon="PYG")*DS$19+(FC_Mon&lt;&gt;"PYG"))*(1+FC_g)^(DS$17-1)*((FC_Desde=0)*(DS$16+DS$15)+(FC_Desde&gt;=1)*(DS$14&gt;=FC_Desde)*DS$15))</f>
        <v>28312.1481887248</v>
      </c>
      <c r="DT61" s="34" t="n">
        <f aca="false">SUMPRODUCT((FC_Clase="Administración")*FC_O*((FC_Mon="PYG")*DT$19+(FC_Mon&lt;&gt;"PYG"))*(1+FC_g)^(DT$17-1)*((FC_Desde=0)*(DT$16+DT$15)+(FC_Desde&gt;=1)*(DT$14&gt;=FC_Desde)*DT$15))</f>
        <v>28312.1481887248</v>
      </c>
      <c r="DU61" s="34" t="n">
        <f aca="false">SUMPRODUCT((FC_Clase="Administración")*FC_O*((FC_Mon="PYG")*DU$19+(FC_Mon&lt;&gt;"PYG"))*(1+FC_g)^(DU$17-1)*((FC_Desde=0)*(DU$16+DU$15)+(FC_Desde&gt;=1)*(DU$14&gt;=FC_Desde)*DU$15))</f>
        <v>28312.1481887248</v>
      </c>
      <c r="DV61" s="34" t="n">
        <f aca="false">SUMPRODUCT((FC_Clase="Administración")*FC_O*((FC_Mon="PYG")*DV$19+(FC_Mon&lt;&gt;"PYG"))*(1+FC_g)^(DV$17-1)*((FC_Desde=0)*(DV$16+DV$15)+(FC_Desde&gt;=1)*(DV$14&gt;=FC_Desde)*DV$15))</f>
        <v>0</v>
      </c>
      <c r="DW61" s="34" t="n">
        <f aca="false">SUMPRODUCT((FC_Clase="Administración")*FC_O*((FC_Mon="PYG")*DW$19+(FC_Mon&lt;&gt;"PYG"))*(1+FC_g)^(DW$17-1)*((FC_Desde=0)*(DW$16+DW$15)+(FC_Desde&gt;=1)*(DW$14&gt;=FC_Desde)*DW$15))</f>
        <v>0</v>
      </c>
      <c r="DX61" s="34" t="n">
        <f aca="false">SUMPRODUCT((FC_Clase="Administración")*FC_O*((FC_Mon="PYG")*DX$19+(FC_Mon&lt;&gt;"PYG"))*(1+FC_g)^(DX$17-1)*((FC_Desde=0)*(DX$16+DX$15)+(FC_Desde&gt;=1)*(DX$14&gt;=FC_Desde)*DX$15))</f>
        <v>0</v>
      </c>
      <c r="DY61" s="34" t="n">
        <f aca="false">SUMPRODUCT((FC_Clase="Administración")*FC_O*((FC_Mon="PYG")*DY$19+(FC_Mon&lt;&gt;"PYG"))*(1+FC_g)^(DY$17-1)*((FC_Desde=0)*(DY$16+DY$15)+(FC_Desde&gt;=1)*(DY$14&gt;=FC_Desde)*DY$15))</f>
        <v>0</v>
      </c>
      <c r="DZ61" s="34" t="n">
        <f aca="false">SUMPRODUCT((FC_Clase="Administración")*FC_O*((FC_Mon="PYG")*DZ$19+(FC_Mon&lt;&gt;"PYG"))*(1+FC_g)^(DZ$17-1)*((FC_Desde=0)*(DZ$16+DZ$15)+(FC_Desde&gt;=1)*(DZ$14&gt;=FC_Desde)*DZ$15))</f>
        <v>0</v>
      </c>
      <c r="EA61" s="34" t="n">
        <f aca="false">SUMPRODUCT((FC_Clase="Administración")*FC_O*((FC_Mon="PYG")*EA$19+(FC_Mon&lt;&gt;"PYG"))*(1+FC_g)^(EA$17-1)*((FC_Desde=0)*(EA$16+EA$15)+(FC_Desde&gt;=1)*(EA$14&gt;=FC_Desde)*EA$15))</f>
        <v>0</v>
      </c>
      <c r="EB61" s="34" t="n">
        <f aca="false">SUMPRODUCT((FC_Clase="Administración")*FC_O*((FC_Mon="PYG")*EB$19+(FC_Mon&lt;&gt;"PYG"))*(1+FC_g)^(EB$17-1)*((FC_Desde=0)*(EB$16+EB$15)+(FC_Desde&gt;=1)*(EB$14&gt;=FC_Desde)*EB$15))</f>
        <v>0</v>
      </c>
      <c r="EC61" s="34" t="n">
        <f aca="false">SUMPRODUCT((FC_Clase="Administración")*FC_O*((FC_Mon="PYG")*EC$19+(FC_Mon&lt;&gt;"PYG"))*(1+FC_g)^(EC$17-1)*((FC_Desde=0)*(EC$16+EC$15)+(FC_Desde&gt;=1)*(EC$14&gt;=FC_Desde)*EC$15))</f>
        <v>0</v>
      </c>
      <c r="ED61" s="34" t="n">
        <f aca="false">SUMPRODUCT((FC_Clase="Administración")*FC_O*((FC_Mon="PYG")*ED$19+(FC_Mon&lt;&gt;"PYG"))*(1+FC_g)^(ED$17-1)*((FC_Desde=0)*(ED$16+ED$15)+(FC_Desde&gt;=1)*(ED$14&gt;=FC_Desde)*ED$15))</f>
        <v>0</v>
      </c>
      <c r="EE61" s="34" t="n">
        <f aca="false">SUMPRODUCT((FC_Clase="Administración")*FC_O*((FC_Mon="PYG")*EE$19+(FC_Mon&lt;&gt;"PYG"))*(1+FC_g)^(EE$17-1)*((FC_Desde=0)*(EE$16+EE$15)+(FC_Desde&gt;=1)*(EE$14&gt;=FC_Desde)*EE$15))</f>
        <v>0</v>
      </c>
      <c r="EF61" s="34" t="n">
        <f aca="false">SUMPRODUCT((FC_Clase="Administración")*FC_O*((FC_Mon="PYG")*EF$19+(FC_Mon&lt;&gt;"PYG"))*(1+FC_g)^(EF$17-1)*((FC_Desde=0)*(EF$16+EF$15)+(FC_Desde&gt;=1)*(EF$14&gt;=FC_Desde)*EF$15))</f>
        <v>0</v>
      </c>
      <c r="EG61" s="34" t="n">
        <f aca="false">SUMPRODUCT((FC_Clase="Administración")*FC_O*((FC_Mon="PYG")*EG$19+(FC_Mon&lt;&gt;"PYG"))*(1+FC_g)^(EG$17-1)*((FC_Desde=0)*(EG$16+EG$15)+(FC_Desde&gt;=1)*(EG$14&gt;=FC_Desde)*EG$15))</f>
        <v>0</v>
      </c>
      <c r="EH61" s="34" t="n">
        <f aca="false">SUMPRODUCT((FC_Clase="Administración")*FC_O*((FC_Mon="PYG")*EH$19+(FC_Mon&lt;&gt;"PYG"))*(1+FC_g)^(EH$17-1)*((FC_Desde=0)*(EH$16+EH$15)+(FC_Desde&gt;=1)*(EH$14&gt;=FC_Desde)*EH$15))</f>
        <v>0</v>
      </c>
      <c r="EI61" s="34" t="n">
        <f aca="false">SUMPRODUCT((FC_Clase="Administración")*FC_O*((FC_Mon="PYG")*EI$19+(FC_Mon&lt;&gt;"PYG"))*(1+FC_g)^(EI$17-1)*((FC_Desde=0)*(EI$16+EI$15)+(FC_Desde&gt;=1)*(EI$14&gt;=FC_Desde)*EI$15))</f>
        <v>0</v>
      </c>
      <c r="EJ61" s="34" t="n">
        <f aca="false">SUMPRODUCT((FC_Clase="Administración")*FC_O*((FC_Mon="PYG")*EJ$19+(FC_Mon&lt;&gt;"PYG"))*(1+FC_g)^(EJ$17-1)*((FC_Desde=0)*(EJ$16+EJ$15)+(FC_Desde&gt;=1)*(EJ$14&gt;=FC_Desde)*EJ$15))</f>
        <v>0</v>
      </c>
      <c r="EK61" s="34" t="n">
        <f aca="false">SUMPRODUCT((FC_Clase="Administración")*FC_O*((FC_Mon="PYG")*EK$19+(FC_Mon&lt;&gt;"PYG"))*(1+FC_g)^(EK$17-1)*((FC_Desde=0)*(EK$16+EK$15)+(FC_Desde&gt;=1)*(EK$14&gt;=FC_Desde)*EK$15))</f>
        <v>0</v>
      </c>
      <c r="EL61" s="34" t="n">
        <f aca="false">SUMPRODUCT((FC_Clase="Administración")*FC_O*((FC_Mon="PYG")*EL$19+(FC_Mon&lt;&gt;"PYG"))*(1+FC_g)^(EL$17-1)*((FC_Desde=0)*(EL$16+EL$15)+(FC_Desde&gt;=1)*(EL$14&gt;=FC_Desde)*EL$15))</f>
        <v>0</v>
      </c>
      <c r="EM61" s="34" t="n">
        <f aca="false">SUMPRODUCT((FC_Clase="Administración")*FC_O*((FC_Mon="PYG")*EM$19+(FC_Mon&lt;&gt;"PYG"))*(1+FC_g)^(EM$17-1)*((FC_Desde=0)*(EM$16+EM$15)+(FC_Desde&gt;=1)*(EM$14&gt;=FC_Desde)*EM$15))</f>
        <v>0</v>
      </c>
      <c r="EN61" s="34" t="n">
        <f aca="false">SUMPRODUCT((FC_Clase="Administración")*FC_O*((FC_Mon="PYG")*EN$19+(FC_Mon&lt;&gt;"PYG"))*(1+FC_g)^(EN$17-1)*((FC_Desde=0)*(EN$16+EN$15)+(FC_Desde&gt;=1)*(EN$14&gt;=FC_Desde)*EN$15))</f>
        <v>0</v>
      </c>
      <c r="EO61" s="34" t="n">
        <f aca="false">SUMPRODUCT((FC_Clase="Administración")*FC_O*((FC_Mon="PYG")*EO$19+(FC_Mon&lt;&gt;"PYG"))*(1+FC_g)^(EO$17-1)*((FC_Desde=0)*(EO$16+EO$15)+(FC_Desde&gt;=1)*(EO$14&gt;=FC_Desde)*EO$15))</f>
        <v>0</v>
      </c>
      <c r="EP61" s="34" t="n">
        <f aca="false">SUMPRODUCT((FC_Clase="Administración")*FC_O*((FC_Mon="PYG")*EP$19+(FC_Mon&lt;&gt;"PYG"))*(1+FC_g)^(EP$17-1)*((FC_Desde=0)*(EP$16+EP$15)+(FC_Desde&gt;=1)*(EP$14&gt;=FC_Desde)*EP$15))</f>
        <v>0</v>
      </c>
      <c r="EQ61" s="34" t="n">
        <f aca="false">SUMPRODUCT((FC_Clase="Administración")*FC_O*((FC_Mon="PYG")*EQ$19+(FC_Mon&lt;&gt;"PYG"))*(1+FC_g)^(EQ$17-1)*((FC_Desde=0)*(EQ$16+EQ$15)+(FC_Desde&gt;=1)*(EQ$14&gt;=FC_Desde)*EQ$15))</f>
        <v>0</v>
      </c>
      <c r="ER61" s="34" t="n">
        <f aca="false">SUMPRODUCT((FC_Clase="Administración")*FC_O*((FC_Mon="PYG")*ER$19+(FC_Mon&lt;&gt;"PYG"))*(1+FC_g)^(ER$17-1)*((FC_Desde=0)*(ER$16+ER$15)+(FC_Desde&gt;=1)*(ER$14&gt;=FC_Desde)*ER$15))</f>
        <v>0</v>
      </c>
      <c r="ES61" s="34" t="n">
        <f aca="false">SUMPRODUCT((FC_Clase="Administración")*FC_O*((FC_Mon="PYG")*ES$19+(FC_Mon&lt;&gt;"PYG"))*(1+FC_g)^(ES$17-1)*((FC_Desde=0)*(ES$16+ES$15)+(FC_Desde&gt;=1)*(ES$14&gt;=FC_Desde)*ES$15))</f>
        <v>0</v>
      </c>
    </row>
    <row r="62" customFormat="false" ht="15" hidden="false" customHeight="false" outlineLevel="0" collapsed="false">
      <c r="A62" s="2" t="s">
        <v>615</v>
      </c>
      <c r="B62" s="6" t="s">
        <v>616</v>
      </c>
      <c r="C62" s="6" t="s">
        <v>250</v>
      </c>
      <c r="E62" s="40" t="n">
        <f aca="false">SUM(F62:ES62)</f>
        <v>613750.290410959</v>
      </c>
      <c r="F62" s="34" t="n">
        <f aca="false">SUMPRODUCT((FC_Clase="Administración")*FC_Base*FC_O*((FC_Mon="PYG")*F$19+(FC_Mon&lt;&gt;"PYG"))*(1+FC_g)^(F$17-1)*((FC_Desde=0)*(F$16+F$15)+(FC_Desde&gt;=1)*(F$14&gt;=FC_Desde)*F$15))</f>
        <v>5114.58575342466</v>
      </c>
      <c r="G62" s="34" t="n">
        <f aca="false">SUMPRODUCT((FC_Clase="Administración")*FC_Base*FC_O*((FC_Mon="PYG")*G$19+(FC_Mon&lt;&gt;"PYG"))*(1+FC_g)^(G$17-1)*((FC_Desde=0)*(G$16+G$15)+(FC_Desde&gt;=1)*(G$14&gt;=FC_Desde)*G$15))</f>
        <v>5114.58575342466</v>
      </c>
      <c r="H62" s="34" t="n">
        <f aca="false">SUMPRODUCT((FC_Clase="Administración")*FC_Base*FC_O*((FC_Mon="PYG")*H$19+(FC_Mon&lt;&gt;"PYG"))*(1+FC_g)^(H$17-1)*((FC_Desde=0)*(H$16+H$15)+(FC_Desde&gt;=1)*(H$14&gt;=FC_Desde)*H$15))</f>
        <v>5114.58575342466</v>
      </c>
      <c r="I62" s="34" t="n">
        <f aca="false">SUMPRODUCT((FC_Clase="Administración")*FC_Base*FC_O*((FC_Mon="PYG")*I$19+(FC_Mon&lt;&gt;"PYG"))*(1+FC_g)^(I$17-1)*((FC_Desde=0)*(I$16+I$15)+(FC_Desde&gt;=1)*(I$14&gt;=FC_Desde)*I$15))</f>
        <v>5114.58575342466</v>
      </c>
      <c r="J62" s="34" t="n">
        <f aca="false">SUMPRODUCT((FC_Clase="Administración")*FC_Base*FC_O*((FC_Mon="PYG")*J$19+(FC_Mon&lt;&gt;"PYG"))*(1+FC_g)^(J$17-1)*((FC_Desde=0)*(J$16+J$15)+(FC_Desde&gt;=1)*(J$14&gt;=FC_Desde)*J$15))</f>
        <v>5114.58575342466</v>
      </c>
      <c r="K62" s="34" t="n">
        <f aca="false">SUMPRODUCT((FC_Clase="Administración")*FC_Base*FC_O*((FC_Mon="PYG")*K$19+(FC_Mon&lt;&gt;"PYG"))*(1+FC_g)^(K$17-1)*((FC_Desde=0)*(K$16+K$15)+(FC_Desde&gt;=1)*(K$14&gt;=FC_Desde)*K$15))</f>
        <v>5114.58575342466</v>
      </c>
      <c r="L62" s="34" t="n">
        <f aca="false">SUMPRODUCT((FC_Clase="Administración")*FC_Base*FC_O*((FC_Mon="PYG")*L$19+(FC_Mon&lt;&gt;"PYG"))*(1+FC_g)^(L$17-1)*((FC_Desde=0)*(L$16+L$15)+(FC_Desde&gt;=1)*(L$14&gt;=FC_Desde)*L$15))</f>
        <v>5114.58575342466</v>
      </c>
      <c r="M62" s="34" t="n">
        <f aca="false">SUMPRODUCT((FC_Clase="Administración")*FC_Base*FC_O*((FC_Mon="PYG")*M$19+(FC_Mon&lt;&gt;"PYG"))*(1+FC_g)^(M$17-1)*((FC_Desde=0)*(M$16+M$15)+(FC_Desde&gt;=1)*(M$14&gt;=FC_Desde)*M$15))</f>
        <v>5114.58575342466</v>
      </c>
      <c r="N62" s="34" t="n">
        <f aca="false">SUMPRODUCT((FC_Clase="Administración")*FC_Base*FC_O*((FC_Mon="PYG")*N$19+(FC_Mon&lt;&gt;"PYG"))*(1+FC_g)^(N$17-1)*((FC_Desde=0)*(N$16+N$15)+(FC_Desde&gt;=1)*(N$14&gt;=FC_Desde)*N$15))</f>
        <v>5114.58575342466</v>
      </c>
      <c r="O62" s="34" t="n">
        <f aca="false">SUMPRODUCT((FC_Clase="Administración")*FC_Base*FC_O*((FC_Mon="PYG")*O$19+(FC_Mon&lt;&gt;"PYG"))*(1+FC_g)^(O$17-1)*((FC_Desde=0)*(O$16+O$15)+(FC_Desde&gt;=1)*(O$14&gt;=FC_Desde)*O$15))</f>
        <v>5114.58575342466</v>
      </c>
      <c r="P62" s="34" t="n">
        <f aca="false">SUMPRODUCT((FC_Clase="Administración")*FC_Base*FC_O*((FC_Mon="PYG")*P$19+(FC_Mon&lt;&gt;"PYG"))*(1+FC_g)^(P$17-1)*((FC_Desde=0)*(P$16+P$15)+(FC_Desde&gt;=1)*(P$14&gt;=FC_Desde)*P$15))</f>
        <v>5114.58575342466</v>
      </c>
      <c r="Q62" s="34" t="n">
        <f aca="false">SUMPRODUCT((FC_Clase="Administración")*FC_Base*FC_O*((FC_Mon="PYG")*Q$19+(FC_Mon&lt;&gt;"PYG"))*(1+FC_g)^(Q$17-1)*((FC_Desde=0)*(Q$16+Q$15)+(FC_Desde&gt;=1)*(Q$14&gt;=FC_Desde)*Q$15))</f>
        <v>5114.58575342466</v>
      </c>
      <c r="R62" s="34" t="n">
        <f aca="false">SUMPRODUCT((FC_Clase="Administración")*FC_Base*FC_O*((FC_Mon="PYG")*R$19+(FC_Mon&lt;&gt;"PYG"))*(1+FC_g)^(R$17-1)*((FC_Desde=0)*(R$16+R$15)+(FC_Desde&gt;=1)*(R$14&gt;=FC_Desde)*R$15))</f>
        <v>5114.58575342466</v>
      </c>
      <c r="S62" s="34" t="n">
        <f aca="false">SUMPRODUCT((FC_Clase="Administración")*FC_Base*FC_O*((FC_Mon="PYG")*S$19+(FC_Mon&lt;&gt;"PYG"))*(1+FC_g)^(S$17-1)*((FC_Desde=0)*(S$16+S$15)+(FC_Desde&gt;=1)*(S$14&gt;=FC_Desde)*S$15))</f>
        <v>5114.58575342466</v>
      </c>
      <c r="T62" s="34" t="n">
        <f aca="false">SUMPRODUCT((FC_Clase="Administración")*FC_Base*FC_O*((FC_Mon="PYG")*T$19+(FC_Mon&lt;&gt;"PYG"))*(1+FC_g)^(T$17-1)*((FC_Desde=0)*(T$16+T$15)+(FC_Desde&gt;=1)*(T$14&gt;=FC_Desde)*T$15))</f>
        <v>5114.58575342466</v>
      </c>
      <c r="U62" s="34" t="n">
        <f aca="false">SUMPRODUCT((FC_Clase="Administración")*FC_Base*FC_O*((FC_Mon="PYG")*U$19+(FC_Mon&lt;&gt;"PYG"))*(1+FC_g)^(U$17-1)*((FC_Desde=0)*(U$16+U$15)+(FC_Desde&gt;=1)*(U$14&gt;=FC_Desde)*U$15))</f>
        <v>5114.58575342466</v>
      </c>
      <c r="V62" s="34" t="n">
        <f aca="false">SUMPRODUCT((FC_Clase="Administración")*FC_Base*FC_O*((FC_Mon="PYG")*V$19+(FC_Mon&lt;&gt;"PYG"))*(1+FC_g)^(V$17-1)*((FC_Desde=0)*(V$16+V$15)+(FC_Desde&gt;=1)*(V$14&gt;=FC_Desde)*V$15))</f>
        <v>5114.58575342466</v>
      </c>
      <c r="W62" s="34" t="n">
        <f aca="false">SUMPRODUCT((FC_Clase="Administración")*FC_Base*FC_O*((FC_Mon="PYG")*W$19+(FC_Mon&lt;&gt;"PYG"))*(1+FC_g)^(W$17-1)*((FC_Desde=0)*(W$16+W$15)+(FC_Desde&gt;=1)*(W$14&gt;=FC_Desde)*W$15))</f>
        <v>5114.58575342466</v>
      </c>
      <c r="X62" s="34" t="n">
        <f aca="false">SUMPRODUCT((FC_Clase="Administración")*FC_Base*FC_O*((FC_Mon="PYG")*X$19+(FC_Mon&lt;&gt;"PYG"))*(1+FC_g)^(X$17-1)*((FC_Desde=0)*(X$16+X$15)+(FC_Desde&gt;=1)*(X$14&gt;=FC_Desde)*X$15))</f>
        <v>5114.58575342466</v>
      </c>
      <c r="Y62" s="34" t="n">
        <f aca="false">SUMPRODUCT((FC_Clase="Administración")*FC_Base*FC_O*((FC_Mon="PYG")*Y$19+(FC_Mon&lt;&gt;"PYG"))*(1+FC_g)^(Y$17-1)*((FC_Desde=0)*(Y$16+Y$15)+(FC_Desde&gt;=1)*(Y$14&gt;=FC_Desde)*Y$15))</f>
        <v>5114.58575342466</v>
      </c>
      <c r="Z62" s="34" t="n">
        <f aca="false">SUMPRODUCT((FC_Clase="Administración")*FC_Base*FC_O*((FC_Mon="PYG")*Z$19+(FC_Mon&lt;&gt;"PYG"))*(1+FC_g)^(Z$17-1)*((FC_Desde=0)*(Z$16+Z$15)+(FC_Desde&gt;=1)*(Z$14&gt;=FC_Desde)*Z$15))</f>
        <v>5114.58575342466</v>
      </c>
      <c r="AA62" s="34" t="n">
        <f aca="false">SUMPRODUCT((FC_Clase="Administración")*FC_Base*FC_O*((FC_Mon="PYG")*AA$19+(FC_Mon&lt;&gt;"PYG"))*(1+FC_g)^(AA$17-1)*((FC_Desde=0)*(AA$16+AA$15)+(FC_Desde&gt;=1)*(AA$14&gt;=FC_Desde)*AA$15))</f>
        <v>5114.58575342466</v>
      </c>
      <c r="AB62" s="34" t="n">
        <f aca="false">SUMPRODUCT((FC_Clase="Administración")*FC_Base*FC_O*((FC_Mon="PYG")*AB$19+(FC_Mon&lt;&gt;"PYG"))*(1+FC_g)^(AB$17-1)*((FC_Desde=0)*(AB$16+AB$15)+(FC_Desde&gt;=1)*(AB$14&gt;=FC_Desde)*AB$15))</f>
        <v>5114.58575342466</v>
      </c>
      <c r="AC62" s="34" t="n">
        <f aca="false">SUMPRODUCT((FC_Clase="Administración")*FC_Base*FC_O*((FC_Mon="PYG")*AC$19+(FC_Mon&lt;&gt;"PYG"))*(1+FC_g)^(AC$17-1)*((FC_Desde=0)*(AC$16+AC$15)+(FC_Desde&gt;=1)*(AC$14&gt;=FC_Desde)*AC$15))</f>
        <v>5114.58575342466</v>
      </c>
      <c r="AD62" s="34" t="n">
        <f aca="false">SUMPRODUCT((FC_Clase="Administración")*FC_Base*FC_O*((FC_Mon="PYG")*AD$19+(FC_Mon&lt;&gt;"PYG"))*(1+FC_g)^(AD$17-1)*((FC_Desde=0)*(AD$16+AD$15)+(FC_Desde&gt;=1)*(AD$14&gt;=FC_Desde)*AD$15))</f>
        <v>5114.58575342466</v>
      </c>
      <c r="AE62" s="34" t="n">
        <f aca="false">SUMPRODUCT((FC_Clase="Administración")*FC_Base*FC_O*((FC_Mon="PYG")*AE$19+(FC_Mon&lt;&gt;"PYG"))*(1+FC_g)^(AE$17-1)*((FC_Desde=0)*(AE$16+AE$15)+(FC_Desde&gt;=1)*(AE$14&gt;=FC_Desde)*AE$15))</f>
        <v>5114.58575342466</v>
      </c>
      <c r="AF62" s="34" t="n">
        <f aca="false">SUMPRODUCT((FC_Clase="Administración")*FC_Base*FC_O*((FC_Mon="PYG")*AF$19+(FC_Mon&lt;&gt;"PYG"))*(1+FC_g)^(AF$17-1)*((FC_Desde=0)*(AF$16+AF$15)+(FC_Desde&gt;=1)*(AF$14&gt;=FC_Desde)*AF$15))</f>
        <v>5114.58575342466</v>
      </c>
      <c r="AG62" s="34" t="n">
        <f aca="false">SUMPRODUCT((FC_Clase="Administración")*FC_Base*FC_O*((FC_Mon="PYG")*AG$19+(FC_Mon&lt;&gt;"PYG"))*(1+FC_g)^(AG$17-1)*((FC_Desde=0)*(AG$16+AG$15)+(FC_Desde&gt;=1)*(AG$14&gt;=FC_Desde)*AG$15))</f>
        <v>5114.58575342466</v>
      </c>
      <c r="AH62" s="34" t="n">
        <f aca="false">SUMPRODUCT((FC_Clase="Administración")*FC_Base*FC_O*((FC_Mon="PYG")*AH$19+(FC_Mon&lt;&gt;"PYG"))*(1+FC_g)^(AH$17-1)*((FC_Desde=0)*(AH$16+AH$15)+(FC_Desde&gt;=1)*(AH$14&gt;=FC_Desde)*AH$15))</f>
        <v>5114.58575342466</v>
      </c>
      <c r="AI62" s="34" t="n">
        <f aca="false">SUMPRODUCT((FC_Clase="Administración")*FC_Base*FC_O*((FC_Mon="PYG")*AI$19+(FC_Mon&lt;&gt;"PYG"))*(1+FC_g)^(AI$17-1)*((FC_Desde=0)*(AI$16+AI$15)+(FC_Desde&gt;=1)*(AI$14&gt;=FC_Desde)*AI$15))</f>
        <v>5114.58575342466</v>
      </c>
      <c r="AJ62" s="34" t="n">
        <f aca="false">SUMPRODUCT((FC_Clase="Administración")*FC_Base*FC_O*((FC_Mon="PYG")*AJ$19+(FC_Mon&lt;&gt;"PYG"))*(1+FC_g)^(AJ$17-1)*((FC_Desde=0)*(AJ$16+AJ$15)+(FC_Desde&gt;=1)*(AJ$14&gt;=FC_Desde)*AJ$15))</f>
        <v>5114.58575342466</v>
      </c>
      <c r="AK62" s="34" t="n">
        <f aca="false">SUMPRODUCT((FC_Clase="Administración")*FC_Base*FC_O*((FC_Mon="PYG")*AK$19+(FC_Mon&lt;&gt;"PYG"))*(1+FC_g)^(AK$17-1)*((FC_Desde=0)*(AK$16+AK$15)+(FC_Desde&gt;=1)*(AK$14&gt;=FC_Desde)*AK$15))</f>
        <v>5114.58575342466</v>
      </c>
      <c r="AL62" s="34" t="n">
        <f aca="false">SUMPRODUCT((FC_Clase="Administración")*FC_Base*FC_O*((FC_Mon="PYG")*AL$19+(FC_Mon&lt;&gt;"PYG"))*(1+FC_g)^(AL$17-1)*((FC_Desde=0)*(AL$16+AL$15)+(FC_Desde&gt;=1)*(AL$14&gt;=FC_Desde)*AL$15))</f>
        <v>5114.58575342466</v>
      </c>
      <c r="AM62" s="34" t="n">
        <f aca="false">SUMPRODUCT((FC_Clase="Administración")*FC_Base*FC_O*((FC_Mon="PYG")*AM$19+(FC_Mon&lt;&gt;"PYG"))*(1+FC_g)^(AM$17-1)*((FC_Desde=0)*(AM$16+AM$15)+(FC_Desde&gt;=1)*(AM$14&gt;=FC_Desde)*AM$15))</f>
        <v>5114.58575342466</v>
      </c>
      <c r="AN62" s="34" t="n">
        <f aca="false">SUMPRODUCT((FC_Clase="Administración")*FC_Base*FC_O*((FC_Mon="PYG")*AN$19+(FC_Mon&lt;&gt;"PYG"))*(1+FC_g)^(AN$17-1)*((FC_Desde=0)*(AN$16+AN$15)+(FC_Desde&gt;=1)*(AN$14&gt;=FC_Desde)*AN$15))</f>
        <v>5114.58575342466</v>
      </c>
      <c r="AO62" s="34" t="n">
        <f aca="false">SUMPRODUCT((FC_Clase="Administración")*FC_Base*FC_O*((FC_Mon="PYG")*AO$19+(FC_Mon&lt;&gt;"PYG"))*(1+FC_g)^(AO$17-1)*((FC_Desde=0)*(AO$16+AO$15)+(FC_Desde&gt;=1)*(AO$14&gt;=FC_Desde)*AO$15))</f>
        <v>5114.58575342466</v>
      </c>
      <c r="AP62" s="34" t="n">
        <f aca="false">SUMPRODUCT((FC_Clase="Administración")*FC_Base*FC_O*((FC_Mon="PYG")*AP$19+(FC_Mon&lt;&gt;"PYG"))*(1+FC_g)^(AP$17-1)*((FC_Desde=0)*(AP$16+AP$15)+(FC_Desde&gt;=1)*(AP$14&gt;=FC_Desde)*AP$15))</f>
        <v>5114.58575342466</v>
      </c>
      <c r="AQ62" s="34" t="n">
        <f aca="false">SUMPRODUCT((FC_Clase="Administración")*FC_Base*FC_O*((FC_Mon="PYG")*AQ$19+(FC_Mon&lt;&gt;"PYG"))*(1+FC_g)^(AQ$17-1)*((FC_Desde=0)*(AQ$16+AQ$15)+(FC_Desde&gt;=1)*(AQ$14&gt;=FC_Desde)*AQ$15))</f>
        <v>5114.58575342466</v>
      </c>
      <c r="AR62" s="34" t="n">
        <f aca="false">SUMPRODUCT((FC_Clase="Administración")*FC_Base*FC_O*((FC_Mon="PYG")*AR$19+(FC_Mon&lt;&gt;"PYG"))*(1+FC_g)^(AR$17-1)*((FC_Desde=0)*(AR$16+AR$15)+(FC_Desde&gt;=1)*(AR$14&gt;=FC_Desde)*AR$15))</f>
        <v>5114.58575342466</v>
      </c>
      <c r="AS62" s="34" t="n">
        <f aca="false">SUMPRODUCT((FC_Clase="Administración")*FC_Base*FC_O*((FC_Mon="PYG")*AS$19+(FC_Mon&lt;&gt;"PYG"))*(1+FC_g)^(AS$17-1)*((FC_Desde=0)*(AS$16+AS$15)+(FC_Desde&gt;=1)*(AS$14&gt;=FC_Desde)*AS$15))</f>
        <v>5114.58575342466</v>
      </c>
      <c r="AT62" s="34" t="n">
        <f aca="false">SUMPRODUCT((FC_Clase="Administración")*FC_Base*FC_O*((FC_Mon="PYG")*AT$19+(FC_Mon&lt;&gt;"PYG"))*(1+FC_g)^(AT$17-1)*((FC_Desde=0)*(AT$16+AT$15)+(FC_Desde&gt;=1)*(AT$14&gt;=FC_Desde)*AT$15))</f>
        <v>5114.58575342466</v>
      </c>
      <c r="AU62" s="34" t="n">
        <f aca="false">SUMPRODUCT((FC_Clase="Administración")*FC_Base*FC_O*((FC_Mon="PYG")*AU$19+(FC_Mon&lt;&gt;"PYG"))*(1+FC_g)^(AU$17-1)*((FC_Desde=0)*(AU$16+AU$15)+(FC_Desde&gt;=1)*(AU$14&gt;=FC_Desde)*AU$15))</f>
        <v>5114.58575342466</v>
      </c>
      <c r="AV62" s="34" t="n">
        <f aca="false">SUMPRODUCT((FC_Clase="Administración")*FC_Base*FC_O*((FC_Mon="PYG")*AV$19+(FC_Mon&lt;&gt;"PYG"))*(1+FC_g)^(AV$17-1)*((FC_Desde=0)*(AV$16+AV$15)+(FC_Desde&gt;=1)*(AV$14&gt;=FC_Desde)*AV$15))</f>
        <v>5114.58575342466</v>
      </c>
      <c r="AW62" s="34" t="n">
        <f aca="false">SUMPRODUCT((FC_Clase="Administración")*FC_Base*FC_O*((FC_Mon="PYG")*AW$19+(FC_Mon&lt;&gt;"PYG"))*(1+FC_g)^(AW$17-1)*((FC_Desde=0)*(AW$16+AW$15)+(FC_Desde&gt;=1)*(AW$14&gt;=FC_Desde)*AW$15))</f>
        <v>5114.58575342466</v>
      </c>
      <c r="AX62" s="34" t="n">
        <f aca="false">SUMPRODUCT((FC_Clase="Administración")*FC_Base*FC_O*((FC_Mon="PYG")*AX$19+(FC_Mon&lt;&gt;"PYG"))*(1+FC_g)^(AX$17-1)*((FC_Desde=0)*(AX$16+AX$15)+(FC_Desde&gt;=1)*(AX$14&gt;=FC_Desde)*AX$15))</f>
        <v>5114.58575342466</v>
      </c>
      <c r="AY62" s="34" t="n">
        <f aca="false">SUMPRODUCT((FC_Clase="Administración")*FC_Base*FC_O*((FC_Mon="PYG")*AY$19+(FC_Mon&lt;&gt;"PYG"))*(1+FC_g)^(AY$17-1)*((FC_Desde=0)*(AY$16+AY$15)+(FC_Desde&gt;=1)*(AY$14&gt;=FC_Desde)*AY$15))</f>
        <v>5114.58575342466</v>
      </c>
      <c r="AZ62" s="34" t="n">
        <f aca="false">SUMPRODUCT((FC_Clase="Administración")*FC_Base*FC_O*((FC_Mon="PYG")*AZ$19+(FC_Mon&lt;&gt;"PYG"))*(1+FC_g)^(AZ$17-1)*((FC_Desde=0)*(AZ$16+AZ$15)+(FC_Desde&gt;=1)*(AZ$14&gt;=FC_Desde)*AZ$15))</f>
        <v>5114.58575342466</v>
      </c>
      <c r="BA62" s="34" t="n">
        <f aca="false">SUMPRODUCT((FC_Clase="Administración")*FC_Base*FC_O*((FC_Mon="PYG")*BA$19+(FC_Mon&lt;&gt;"PYG"))*(1+FC_g)^(BA$17-1)*((FC_Desde=0)*(BA$16+BA$15)+(FC_Desde&gt;=1)*(BA$14&gt;=FC_Desde)*BA$15))</f>
        <v>5114.58575342466</v>
      </c>
      <c r="BB62" s="34" t="n">
        <f aca="false">SUMPRODUCT((FC_Clase="Administración")*FC_Base*FC_O*((FC_Mon="PYG")*BB$19+(FC_Mon&lt;&gt;"PYG"))*(1+FC_g)^(BB$17-1)*((FC_Desde=0)*(BB$16+BB$15)+(FC_Desde&gt;=1)*(BB$14&gt;=FC_Desde)*BB$15))</f>
        <v>5114.58575342466</v>
      </c>
      <c r="BC62" s="34" t="n">
        <f aca="false">SUMPRODUCT((FC_Clase="Administración")*FC_Base*FC_O*((FC_Mon="PYG")*BC$19+(FC_Mon&lt;&gt;"PYG"))*(1+FC_g)^(BC$17-1)*((FC_Desde=0)*(BC$16+BC$15)+(FC_Desde&gt;=1)*(BC$14&gt;=FC_Desde)*BC$15))</f>
        <v>5114.58575342466</v>
      </c>
      <c r="BD62" s="34" t="n">
        <f aca="false">SUMPRODUCT((FC_Clase="Administración")*FC_Base*FC_O*((FC_Mon="PYG")*BD$19+(FC_Mon&lt;&gt;"PYG"))*(1+FC_g)^(BD$17-1)*((FC_Desde=0)*(BD$16+BD$15)+(FC_Desde&gt;=1)*(BD$14&gt;=FC_Desde)*BD$15))</f>
        <v>5114.58575342466</v>
      </c>
      <c r="BE62" s="34" t="n">
        <f aca="false">SUMPRODUCT((FC_Clase="Administración")*FC_Base*FC_O*((FC_Mon="PYG")*BE$19+(FC_Mon&lt;&gt;"PYG"))*(1+FC_g)^(BE$17-1)*((FC_Desde=0)*(BE$16+BE$15)+(FC_Desde&gt;=1)*(BE$14&gt;=FC_Desde)*BE$15))</f>
        <v>5114.58575342466</v>
      </c>
      <c r="BF62" s="34" t="n">
        <f aca="false">SUMPRODUCT((FC_Clase="Administración")*FC_Base*FC_O*((FC_Mon="PYG")*BF$19+(FC_Mon&lt;&gt;"PYG"))*(1+FC_g)^(BF$17-1)*((FC_Desde=0)*(BF$16+BF$15)+(FC_Desde&gt;=1)*(BF$14&gt;=FC_Desde)*BF$15))</f>
        <v>5114.58575342466</v>
      </c>
      <c r="BG62" s="34" t="n">
        <f aca="false">SUMPRODUCT((FC_Clase="Administración")*FC_Base*FC_O*((FC_Mon="PYG")*BG$19+(FC_Mon&lt;&gt;"PYG"))*(1+FC_g)^(BG$17-1)*((FC_Desde=0)*(BG$16+BG$15)+(FC_Desde&gt;=1)*(BG$14&gt;=FC_Desde)*BG$15))</f>
        <v>5114.58575342466</v>
      </c>
      <c r="BH62" s="34" t="n">
        <f aca="false">SUMPRODUCT((FC_Clase="Administración")*FC_Base*FC_O*((FC_Mon="PYG")*BH$19+(FC_Mon&lt;&gt;"PYG"))*(1+FC_g)^(BH$17-1)*((FC_Desde=0)*(BH$16+BH$15)+(FC_Desde&gt;=1)*(BH$14&gt;=FC_Desde)*BH$15))</f>
        <v>5114.58575342466</v>
      </c>
      <c r="BI62" s="34" t="n">
        <f aca="false">SUMPRODUCT((FC_Clase="Administración")*FC_Base*FC_O*((FC_Mon="PYG")*BI$19+(FC_Mon&lt;&gt;"PYG"))*(1+FC_g)^(BI$17-1)*((FC_Desde=0)*(BI$16+BI$15)+(FC_Desde&gt;=1)*(BI$14&gt;=FC_Desde)*BI$15))</f>
        <v>5114.58575342466</v>
      </c>
      <c r="BJ62" s="34" t="n">
        <f aca="false">SUMPRODUCT((FC_Clase="Administración")*FC_Base*FC_O*((FC_Mon="PYG")*BJ$19+(FC_Mon&lt;&gt;"PYG"))*(1+FC_g)^(BJ$17-1)*((FC_Desde=0)*(BJ$16+BJ$15)+(FC_Desde&gt;=1)*(BJ$14&gt;=FC_Desde)*BJ$15))</f>
        <v>5114.58575342466</v>
      </c>
      <c r="BK62" s="34" t="n">
        <f aca="false">SUMPRODUCT((FC_Clase="Administración")*FC_Base*FC_O*((FC_Mon="PYG")*BK$19+(FC_Mon&lt;&gt;"PYG"))*(1+FC_g)^(BK$17-1)*((FC_Desde=0)*(BK$16+BK$15)+(FC_Desde&gt;=1)*(BK$14&gt;=FC_Desde)*BK$15))</f>
        <v>5114.58575342466</v>
      </c>
      <c r="BL62" s="34" t="n">
        <f aca="false">SUMPRODUCT((FC_Clase="Administración")*FC_Base*FC_O*((FC_Mon="PYG")*BL$19+(FC_Mon&lt;&gt;"PYG"))*(1+FC_g)^(BL$17-1)*((FC_Desde=0)*(BL$16+BL$15)+(FC_Desde&gt;=1)*(BL$14&gt;=FC_Desde)*BL$15))</f>
        <v>5114.58575342466</v>
      </c>
      <c r="BM62" s="34" t="n">
        <f aca="false">SUMPRODUCT((FC_Clase="Administración")*FC_Base*FC_O*((FC_Mon="PYG")*BM$19+(FC_Mon&lt;&gt;"PYG"))*(1+FC_g)^(BM$17-1)*((FC_Desde=0)*(BM$16+BM$15)+(FC_Desde&gt;=1)*(BM$14&gt;=FC_Desde)*BM$15))</f>
        <v>5114.58575342466</v>
      </c>
      <c r="BN62" s="34" t="n">
        <f aca="false">SUMPRODUCT((FC_Clase="Administración")*FC_Base*FC_O*((FC_Mon="PYG")*BN$19+(FC_Mon&lt;&gt;"PYG"))*(1+FC_g)^(BN$17-1)*((FC_Desde=0)*(BN$16+BN$15)+(FC_Desde&gt;=1)*(BN$14&gt;=FC_Desde)*BN$15))</f>
        <v>5114.58575342466</v>
      </c>
      <c r="BO62" s="34" t="n">
        <f aca="false">SUMPRODUCT((FC_Clase="Administración")*FC_Base*FC_O*((FC_Mon="PYG")*BO$19+(FC_Mon&lt;&gt;"PYG"))*(1+FC_g)^(BO$17-1)*((FC_Desde=0)*(BO$16+BO$15)+(FC_Desde&gt;=1)*(BO$14&gt;=FC_Desde)*BO$15))</f>
        <v>5114.58575342466</v>
      </c>
      <c r="BP62" s="34" t="n">
        <f aca="false">SUMPRODUCT((FC_Clase="Administración")*FC_Base*FC_O*((FC_Mon="PYG")*BP$19+(FC_Mon&lt;&gt;"PYG"))*(1+FC_g)^(BP$17-1)*((FC_Desde=0)*(BP$16+BP$15)+(FC_Desde&gt;=1)*(BP$14&gt;=FC_Desde)*BP$15))</f>
        <v>5114.58575342466</v>
      </c>
      <c r="BQ62" s="34" t="n">
        <f aca="false">SUMPRODUCT((FC_Clase="Administración")*FC_Base*FC_O*((FC_Mon="PYG")*BQ$19+(FC_Mon&lt;&gt;"PYG"))*(1+FC_g)^(BQ$17-1)*((FC_Desde=0)*(BQ$16+BQ$15)+(FC_Desde&gt;=1)*(BQ$14&gt;=FC_Desde)*BQ$15))</f>
        <v>5114.58575342466</v>
      </c>
      <c r="BR62" s="34" t="n">
        <f aca="false">SUMPRODUCT((FC_Clase="Administración")*FC_Base*FC_O*((FC_Mon="PYG")*BR$19+(FC_Mon&lt;&gt;"PYG"))*(1+FC_g)^(BR$17-1)*((FC_Desde=0)*(BR$16+BR$15)+(FC_Desde&gt;=1)*(BR$14&gt;=FC_Desde)*BR$15))</f>
        <v>5114.58575342466</v>
      </c>
      <c r="BS62" s="34" t="n">
        <f aca="false">SUMPRODUCT((FC_Clase="Administración")*FC_Base*FC_O*((FC_Mon="PYG")*BS$19+(FC_Mon&lt;&gt;"PYG"))*(1+FC_g)^(BS$17-1)*((FC_Desde=0)*(BS$16+BS$15)+(FC_Desde&gt;=1)*(BS$14&gt;=FC_Desde)*BS$15))</f>
        <v>5114.58575342466</v>
      </c>
      <c r="BT62" s="34" t="n">
        <f aca="false">SUMPRODUCT((FC_Clase="Administración")*FC_Base*FC_O*((FC_Mon="PYG")*BT$19+(FC_Mon&lt;&gt;"PYG"))*(1+FC_g)^(BT$17-1)*((FC_Desde=0)*(BT$16+BT$15)+(FC_Desde&gt;=1)*(BT$14&gt;=FC_Desde)*BT$15))</f>
        <v>5114.58575342466</v>
      </c>
      <c r="BU62" s="34" t="n">
        <f aca="false">SUMPRODUCT((FC_Clase="Administración")*FC_Base*FC_O*((FC_Mon="PYG")*BU$19+(FC_Mon&lt;&gt;"PYG"))*(1+FC_g)^(BU$17-1)*((FC_Desde=0)*(BU$16+BU$15)+(FC_Desde&gt;=1)*(BU$14&gt;=FC_Desde)*BU$15))</f>
        <v>5114.58575342466</v>
      </c>
      <c r="BV62" s="34" t="n">
        <f aca="false">SUMPRODUCT((FC_Clase="Administración")*FC_Base*FC_O*((FC_Mon="PYG")*BV$19+(FC_Mon&lt;&gt;"PYG"))*(1+FC_g)^(BV$17-1)*((FC_Desde=0)*(BV$16+BV$15)+(FC_Desde&gt;=1)*(BV$14&gt;=FC_Desde)*BV$15))</f>
        <v>5114.58575342466</v>
      </c>
      <c r="BW62" s="34" t="n">
        <f aca="false">SUMPRODUCT((FC_Clase="Administración")*FC_Base*FC_O*((FC_Mon="PYG")*BW$19+(FC_Mon&lt;&gt;"PYG"))*(1+FC_g)^(BW$17-1)*((FC_Desde=0)*(BW$16+BW$15)+(FC_Desde&gt;=1)*(BW$14&gt;=FC_Desde)*BW$15))</f>
        <v>5114.58575342466</v>
      </c>
      <c r="BX62" s="34" t="n">
        <f aca="false">SUMPRODUCT((FC_Clase="Administración")*FC_Base*FC_O*((FC_Mon="PYG")*BX$19+(FC_Mon&lt;&gt;"PYG"))*(1+FC_g)^(BX$17-1)*((FC_Desde=0)*(BX$16+BX$15)+(FC_Desde&gt;=1)*(BX$14&gt;=FC_Desde)*BX$15))</f>
        <v>5114.58575342466</v>
      </c>
      <c r="BY62" s="34" t="n">
        <f aca="false">SUMPRODUCT((FC_Clase="Administración")*FC_Base*FC_O*((FC_Mon="PYG")*BY$19+(FC_Mon&lt;&gt;"PYG"))*(1+FC_g)^(BY$17-1)*((FC_Desde=0)*(BY$16+BY$15)+(FC_Desde&gt;=1)*(BY$14&gt;=FC_Desde)*BY$15))</f>
        <v>5114.58575342466</v>
      </c>
      <c r="BZ62" s="34" t="n">
        <f aca="false">SUMPRODUCT((FC_Clase="Administración")*FC_Base*FC_O*((FC_Mon="PYG")*BZ$19+(FC_Mon&lt;&gt;"PYG"))*(1+FC_g)^(BZ$17-1)*((FC_Desde=0)*(BZ$16+BZ$15)+(FC_Desde&gt;=1)*(BZ$14&gt;=FC_Desde)*BZ$15))</f>
        <v>5114.58575342466</v>
      </c>
      <c r="CA62" s="34" t="n">
        <f aca="false">SUMPRODUCT((FC_Clase="Administración")*FC_Base*FC_O*((FC_Mon="PYG")*CA$19+(FC_Mon&lt;&gt;"PYG"))*(1+FC_g)^(CA$17-1)*((FC_Desde=0)*(CA$16+CA$15)+(FC_Desde&gt;=1)*(CA$14&gt;=FC_Desde)*CA$15))</f>
        <v>5114.58575342466</v>
      </c>
      <c r="CB62" s="34" t="n">
        <f aca="false">SUMPRODUCT((FC_Clase="Administración")*FC_Base*FC_O*((FC_Mon="PYG")*CB$19+(FC_Mon&lt;&gt;"PYG"))*(1+FC_g)^(CB$17-1)*((FC_Desde=0)*(CB$16+CB$15)+(FC_Desde&gt;=1)*(CB$14&gt;=FC_Desde)*CB$15))</f>
        <v>5114.58575342466</v>
      </c>
      <c r="CC62" s="34" t="n">
        <f aca="false">SUMPRODUCT((FC_Clase="Administración")*FC_Base*FC_O*((FC_Mon="PYG")*CC$19+(FC_Mon&lt;&gt;"PYG"))*(1+FC_g)^(CC$17-1)*((FC_Desde=0)*(CC$16+CC$15)+(FC_Desde&gt;=1)*(CC$14&gt;=FC_Desde)*CC$15))</f>
        <v>5114.58575342466</v>
      </c>
      <c r="CD62" s="34" t="n">
        <f aca="false">SUMPRODUCT((FC_Clase="Administración")*FC_Base*FC_O*((FC_Mon="PYG")*CD$19+(FC_Mon&lt;&gt;"PYG"))*(1+FC_g)^(CD$17-1)*((FC_Desde=0)*(CD$16+CD$15)+(FC_Desde&gt;=1)*(CD$14&gt;=FC_Desde)*CD$15))</f>
        <v>5114.58575342466</v>
      </c>
      <c r="CE62" s="34" t="n">
        <f aca="false">SUMPRODUCT((FC_Clase="Administración")*FC_Base*FC_O*((FC_Mon="PYG")*CE$19+(FC_Mon&lt;&gt;"PYG"))*(1+FC_g)^(CE$17-1)*((FC_Desde=0)*(CE$16+CE$15)+(FC_Desde&gt;=1)*(CE$14&gt;=FC_Desde)*CE$15))</f>
        <v>5114.58575342466</v>
      </c>
      <c r="CF62" s="34" t="n">
        <f aca="false">SUMPRODUCT((FC_Clase="Administración")*FC_Base*FC_O*((FC_Mon="PYG")*CF$19+(FC_Mon&lt;&gt;"PYG"))*(1+FC_g)^(CF$17-1)*((FC_Desde=0)*(CF$16+CF$15)+(FC_Desde&gt;=1)*(CF$14&gt;=FC_Desde)*CF$15))</f>
        <v>5114.58575342466</v>
      </c>
      <c r="CG62" s="34" t="n">
        <f aca="false">SUMPRODUCT((FC_Clase="Administración")*FC_Base*FC_O*((FC_Mon="PYG")*CG$19+(FC_Mon&lt;&gt;"PYG"))*(1+FC_g)^(CG$17-1)*((FC_Desde=0)*(CG$16+CG$15)+(FC_Desde&gt;=1)*(CG$14&gt;=FC_Desde)*CG$15))</f>
        <v>5114.58575342466</v>
      </c>
      <c r="CH62" s="34" t="n">
        <f aca="false">SUMPRODUCT((FC_Clase="Administración")*FC_Base*FC_O*((FC_Mon="PYG")*CH$19+(FC_Mon&lt;&gt;"PYG"))*(1+FC_g)^(CH$17-1)*((FC_Desde=0)*(CH$16+CH$15)+(FC_Desde&gt;=1)*(CH$14&gt;=FC_Desde)*CH$15))</f>
        <v>5114.58575342466</v>
      </c>
      <c r="CI62" s="34" t="n">
        <f aca="false">SUMPRODUCT((FC_Clase="Administración")*FC_Base*FC_O*((FC_Mon="PYG")*CI$19+(FC_Mon&lt;&gt;"PYG"))*(1+FC_g)^(CI$17-1)*((FC_Desde=0)*(CI$16+CI$15)+(FC_Desde&gt;=1)*(CI$14&gt;=FC_Desde)*CI$15))</f>
        <v>5114.58575342466</v>
      </c>
      <c r="CJ62" s="34" t="n">
        <f aca="false">SUMPRODUCT((FC_Clase="Administración")*FC_Base*FC_O*((FC_Mon="PYG")*CJ$19+(FC_Mon&lt;&gt;"PYG"))*(1+FC_g)^(CJ$17-1)*((FC_Desde=0)*(CJ$16+CJ$15)+(FC_Desde&gt;=1)*(CJ$14&gt;=FC_Desde)*CJ$15))</f>
        <v>5114.58575342466</v>
      </c>
      <c r="CK62" s="34" t="n">
        <f aca="false">SUMPRODUCT((FC_Clase="Administración")*FC_Base*FC_O*((FC_Mon="PYG")*CK$19+(FC_Mon&lt;&gt;"PYG"))*(1+FC_g)^(CK$17-1)*((FC_Desde=0)*(CK$16+CK$15)+(FC_Desde&gt;=1)*(CK$14&gt;=FC_Desde)*CK$15))</f>
        <v>5114.58575342466</v>
      </c>
      <c r="CL62" s="34" t="n">
        <f aca="false">SUMPRODUCT((FC_Clase="Administración")*FC_Base*FC_O*((FC_Mon="PYG")*CL$19+(FC_Mon&lt;&gt;"PYG"))*(1+FC_g)^(CL$17-1)*((FC_Desde=0)*(CL$16+CL$15)+(FC_Desde&gt;=1)*(CL$14&gt;=FC_Desde)*CL$15))</f>
        <v>5114.58575342466</v>
      </c>
      <c r="CM62" s="34" t="n">
        <f aca="false">SUMPRODUCT((FC_Clase="Administración")*FC_Base*FC_O*((FC_Mon="PYG")*CM$19+(FC_Mon&lt;&gt;"PYG"))*(1+FC_g)^(CM$17-1)*((FC_Desde=0)*(CM$16+CM$15)+(FC_Desde&gt;=1)*(CM$14&gt;=FC_Desde)*CM$15))</f>
        <v>5114.58575342466</v>
      </c>
      <c r="CN62" s="34" t="n">
        <f aca="false">SUMPRODUCT((FC_Clase="Administración")*FC_Base*FC_O*((FC_Mon="PYG")*CN$19+(FC_Mon&lt;&gt;"PYG"))*(1+FC_g)^(CN$17-1)*((FC_Desde=0)*(CN$16+CN$15)+(FC_Desde&gt;=1)*(CN$14&gt;=FC_Desde)*CN$15))</f>
        <v>5114.58575342466</v>
      </c>
      <c r="CO62" s="34" t="n">
        <f aca="false">SUMPRODUCT((FC_Clase="Administración")*FC_Base*FC_O*((FC_Mon="PYG")*CO$19+(FC_Mon&lt;&gt;"PYG"))*(1+FC_g)^(CO$17-1)*((FC_Desde=0)*(CO$16+CO$15)+(FC_Desde&gt;=1)*(CO$14&gt;=FC_Desde)*CO$15))</f>
        <v>5114.58575342466</v>
      </c>
      <c r="CP62" s="34" t="n">
        <f aca="false">SUMPRODUCT((FC_Clase="Administración")*FC_Base*FC_O*((FC_Mon="PYG")*CP$19+(FC_Mon&lt;&gt;"PYG"))*(1+FC_g)^(CP$17-1)*((FC_Desde=0)*(CP$16+CP$15)+(FC_Desde&gt;=1)*(CP$14&gt;=FC_Desde)*CP$15))</f>
        <v>5114.58575342466</v>
      </c>
      <c r="CQ62" s="34" t="n">
        <f aca="false">SUMPRODUCT((FC_Clase="Administración")*FC_Base*FC_O*((FC_Mon="PYG")*CQ$19+(FC_Mon&lt;&gt;"PYG"))*(1+FC_g)^(CQ$17-1)*((FC_Desde=0)*(CQ$16+CQ$15)+(FC_Desde&gt;=1)*(CQ$14&gt;=FC_Desde)*CQ$15))</f>
        <v>5114.58575342466</v>
      </c>
      <c r="CR62" s="34" t="n">
        <f aca="false">SUMPRODUCT((FC_Clase="Administración")*FC_Base*FC_O*((FC_Mon="PYG")*CR$19+(FC_Mon&lt;&gt;"PYG"))*(1+FC_g)^(CR$17-1)*((FC_Desde=0)*(CR$16+CR$15)+(FC_Desde&gt;=1)*(CR$14&gt;=FC_Desde)*CR$15))</f>
        <v>5114.58575342466</v>
      </c>
      <c r="CS62" s="34" t="n">
        <f aca="false">SUMPRODUCT((FC_Clase="Administración")*FC_Base*FC_O*((FC_Mon="PYG")*CS$19+(FC_Mon&lt;&gt;"PYG"))*(1+FC_g)^(CS$17-1)*((FC_Desde=0)*(CS$16+CS$15)+(FC_Desde&gt;=1)*(CS$14&gt;=FC_Desde)*CS$15))</f>
        <v>5114.58575342466</v>
      </c>
      <c r="CT62" s="34" t="n">
        <f aca="false">SUMPRODUCT((FC_Clase="Administración")*FC_Base*FC_O*((FC_Mon="PYG")*CT$19+(FC_Mon&lt;&gt;"PYG"))*(1+FC_g)^(CT$17-1)*((FC_Desde=0)*(CT$16+CT$15)+(FC_Desde&gt;=1)*(CT$14&gt;=FC_Desde)*CT$15))</f>
        <v>5114.58575342466</v>
      </c>
      <c r="CU62" s="34" t="n">
        <f aca="false">SUMPRODUCT((FC_Clase="Administración")*FC_Base*FC_O*((FC_Mon="PYG")*CU$19+(FC_Mon&lt;&gt;"PYG"))*(1+FC_g)^(CU$17-1)*((FC_Desde=0)*(CU$16+CU$15)+(FC_Desde&gt;=1)*(CU$14&gt;=FC_Desde)*CU$15))</f>
        <v>5114.58575342466</v>
      </c>
      <c r="CV62" s="34" t="n">
        <f aca="false">SUMPRODUCT((FC_Clase="Administración")*FC_Base*FC_O*((FC_Mon="PYG")*CV$19+(FC_Mon&lt;&gt;"PYG"))*(1+FC_g)^(CV$17-1)*((FC_Desde=0)*(CV$16+CV$15)+(FC_Desde&gt;=1)*(CV$14&gt;=FC_Desde)*CV$15))</f>
        <v>5114.58575342466</v>
      </c>
      <c r="CW62" s="34" t="n">
        <f aca="false">SUMPRODUCT((FC_Clase="Administración")*FC_Base*FC_O*((FC_Mon="PYG")*CW$19+(FC_Mon&lt;&gt;"PYG"))*(1+FC_g)^(CW$17-1)*((FC_Desde=0)*(CW$16+CW$15)+(FC_Desde&gt;=1)*(CW$14&gt;=FC_Desde)*CW$15))</f>
        <v>5114.58575342466</v>
      </c>
      <c r="CX62" s="34" t="n">
        <f aca="false">SUMPRODUCT((FC_Clase="Administración")*FC_Base*FC_O*((FC_Mon="PYG")*CX$19+(FC_Mon&lt;&gt;"PYG"))*(1+FC_g)^(CX$17-1)*((FC_Desde=0)*(CX$16+CX$15)+(FC_Desde&gt;=1)*(CX$14&gt;=FC_Desde)*CX$15))</f>
        <v>5114.58575342466</v>
      </c>
      <c r="CY62" s="34" t="n">
        <f aca="false">SUMPRODUCT((FC_Clase="Administración")*FC_Base*FC_O*((FC_Mon="PYG")*CY$19+(FC_Mon&lt;&gt;"PYG"))*(1+FC_g)^(CY$17-1)*((FC_Desde=0)*(CY$16+CY$15)+(FC_Desde&gt;=1)*(CY$14&gt;=FC_Desde)*CY$15))</f>
        <v>5114.58575342466</v>
      </c>
      <c r="CZ62" s="34" t="n">
        <f aca="false">SUMPRODUCT((FC_Clase="Administración")*FC_Base*FC_O*((FC_Mon="PYG")*CZ$19+(FC_Mon&lt;&gt;"PYG"))*(1+FC_g)^(CZ$17-1)*((FC_Desde=0)*(CZ$16+CZ$15)+(FC_Desde&gt;=1)*(CZ$14&gt;=FC_Desde)*CZ$15))</f>
        <v>5114.58575342466</v>
      </c>
      <c r="DA62" s="34" t="n">
        <f aca="false">SUMPRODUCT((FC_Clase="Administración")*FC_Base*FC_O*((FC_Mon="PYG")*DA$19+(FC_Mon&lt;&gt;"PYG"))*(1+FC_g)^(DA$17-1)*((FC_Desde=0)*(DA$16+DA$15)+(FC_Desde&gt;=1)*(DA$14&gt;=FC_Desde)*DA$15))</f>
        <v>5114.58575342466</v>
      </c>
      <c r="DB62" s="34" t="n">
        <f aca="false">SUMPRODUCT((FC_Clase="Administración")*FC_Base*FC_O*((FC_Mon="PYG")*DB$19+(FC_Mon&lt;&gt;"PYG"))*(1+FC_g)^(DB$17-1)*((FC_Desde=0)*(DB$16+DB$15)+(FC_Desde&gt;=1)*(DB$14&gt;=FC_Desde)*DB$15))</f>
        <v>5114.58575342466</v>
      </c>
      <c r="DC62" s="34" t="n">
        <f aca="false">SUMPRODUCT((FC_Clase="Administración")*FC_Base*FC_O*((FC_Mon="PYG")*DC$19+(FC_Mon&lt;&gt;"PYG"))*(1+FC_g)^(DC$17-1)*((FC_Desde=0)*(DC$16+DC$15)+(FC_Desde&gt;=1)*(DC$14&gt;=FC_Desde)*DC$15))</f>
        <v>5114.58575342466</v>
      </c>
      <c r="DD62" s="34" t="n">
        <f aca="false">SUMPRODUCT((FC_Clase="Administración")*FC_Base*FC_O*((FC_Mon="PYG")*DD$19+(FC_Mon&lt;&gt;"PYG"))*(1+FC_g)^(DD$17-1)*((FC_Desde=0)*(DD$16+DD$15)+(FC_Desde&gt;=1)*(DD$14&gt;=FC_Desde)*DD$15))</f>
        <v>5114.58575342466</v>
      </c>
      <c r="DE62" s="34" t="n">
        <f aca="false">SUMPRODUCT((FC_Clase="Administración")*FC_Base*FC_O*((FC_Mon="PYG")*DE$19+(FC_Mon&lt;&gt;"PYG"))*(1+FC_g)^(DE$17-1)*((FC_Desde=0)*(DE$16+DE$15)+(FC_Desde&gt;=1)*(DE$14&gt;=FC_Desde)*DE$15))</f>
        <v>5114.58575342466</v>
      </c>
      <c r="DF62" s="34" t="n">
        <f aca="false">SUMPRODUCT((FC_Clase="Administración")*FC_Base*FC_O*((FC_Mon="PYG")*DF$19+(FC_Mon&lt;&gt;"PYG"))*(1+FC_g)^(DF$17-1)*((FC_Desde=0)*(DF$16+DF$15)+(FC_Desde&gt;=1)*(DF$14&gt;=FC_Desde)*DF$15))</f>
        <v>5114.58575342466</v>
      </c>
      <c r="DG62" s="34" t="n">
        <f aca="false">SUMPRODUCT((FC_Clase="Administración")*FC_Base*FC_O*((FC_Mon="PYG")*DG$19+(FC_Mon&lt;&gt;"PYG"))*(1+FC_g)^(DG$17-1)*((FC_Desde=0)*(DG$16+DG$15)+(FC_Desde&gt;=1)*(DG$14&gt;=FC_Desde)*DG$15))</f>
        <v>5114.58575342466</v>
      </c>
      <c r="DH62" s="34" t="n">
        <f aca="false">SUMPRODUCT((FC_Clase="Administración")*FC_Base*FC_O*((FC_Mon="PYG")*DH$19+(FC_Mon&lt;&gt;"PYG"))*(1+FC_g)^(DH$17-1)*((FC_Desde=0)*(DH$16+DH$15)+(FC_Desde&gt;=1)*(DH$14&gt;=FC_Desde)*DH$15))</f>
        <v>5114.58575342466</v>
      </c>
      <c r="DI62" s="34" t="n">
        <f aca="false">SUMPRODUCT((FC_Clase="Administración")*FC_Base*FC_O*((FC_Mon="PYG")*DI$19+(FC_Mon&lt;&gt;"PYG"))*(1+FC_g)^(DI$17-1)*((FC_Desde=0)*(DI$16+DI$15)+(FC_Desde&gt;=1)*(DI$14&gt;=FC_Desde)*DI$15))</f>
        <v>5114.58575342466</v>
      </c>
      <c r="DJ62" s="34" t="n">
        <f aca="false">SUMPRODUCT((FC_Clase="Administración")*FC_Base*FC_O*((FC_Mon="PYG")*DJ$19+(FC_Mon&lt;&gt;"PYG"))*(1+FC_g)^(DJ$17-1)*((FC_Desde=0)*(DJ$16+DJ$15)+(FC_Desde&gt;=1)*(DJ$14&gt;=FC_Desde)*DJ$15))</f>
        <v>5114.58575342466</v>
      </c>
      <c r="DK62" s="34" t="n">
        <f aca="false">SUMPRODUCT((FC_Clase="Administración")*FC_Base*FC_O*((FC_Mon="PYG")*DK$19+(FC_Mon&lt;&gt;"PYG"))*(1+FC_g)^(DK$17-1)*((FC_Desde=0)*(DK$16+DK$15)+(FC_Desde&gt;=1)*(DK$14&gt;=FC_Desde)*DK$15))</f>
        <v>5114.58575342466</v>
      </c>
      <c r="DL62" s="34" t="n">
        <f aca="false">SUMPRODUCT((FC_Clase="Administración")*FC_Base*FC_O*((FC_Mon="PYG")*DL$19+(FC_Mon&lt;&gt;"PYG"))*(1+FC_g)^(DL$17-1)*((FC_Desde=0)*(DL$16+DL$15)+(FC_Desde&gt;=1)*(DL$14&gt;=FC_Desde)*DL$15))</f>
        <v>5114.58575342466</v>
      </c>
      <c r="DM62" s="34" t="n">
        <f aca="false">SUMPRODUCT((FC_Clase="Administración")*FC_Base*FC_O*((FC_Mon="PYG")*DM$19+(FC_Mon&lt;&gt;"PYG"))*(1+FC_g)^(DM$17-1)*((FC_Desde=0)*(DM$16+DM$15)+(FC_Desde&gt;=1)*(DM$14&gt;=FC_Desde)*DM$15))</f>
        <v>5114.58575342466</v>
      </c>
      <c r="DN62" s="34" t="n">
        <f aca="false">SUMPRODUCT((FC_Clase="Administración")*FC_Base*FC_O*((FC_Mon="PYG")*DN$19+(FC_Mon&lt;&gt;"PYG"))*(1+FC_g)^(DN$17-1)*((FC_Desde=0)*(DN$16+DN$15)+(FC_Desde&gt;=1)*(DN$14&gt;=FC_Desde)*DN$15))</f>
        <v>5114.58575342466</v>
      </c>
      <c r="DO62" s="34" t="n">
        <f aca="false">SUMPRODUCT((FC_Clase="Administración")*FC_Base*FC_O*((FC_Mon="PYG")*DO$19+(FC_Mon&lt;&gt;"PYG"))*(1+FC_g)^(DO$17-1)*((FC_Desde=0)*(DO$16+DO$15)+(FC_Desde&gt;=1)*(DO$14&gt;=FC_Desde)*DO$15))</f>
        <v>5114.58575342466</v>
      </c>
      <c r="DP62" s="34" t="n">
        <f aca="false">SUMPRODUCT((FC_Clase="Administración")*FC_Base*FC_O*((FC_Mon="PYG")*DP$19+(FC_Mon&lt;&gt;"PYG"))*(1+FC_g)^(DP$17-1)*((FC_Desde=0)*(DP$16+DP$15)+(FC_Desde&gt;=1)*(DP$14&gt;=FC_Desde)*DP$15))</f>
        <v>5114.58575342466</v>
      </c>
      <c r="DQ62" s="34" t="n">
        <f aca="false">SUMPRODUCT((FC_Clase="Administración")*FC_Base*FC_O*((FC_Mon="PYG")*DQ$19+(FC_Mon&lt;&gt;"PYG"))*(1+FC_g)^(DQ$17-1)*((FC_Desde=0)*(DQ$16+DQ$15)+(FC_Desde&gt;=1)*(DQ$14&gt;=FC_Desde)*DQ$15))</f>
        <v>5114.58575342466</v>
      </c>
      <c r="DR62" s="34" t="n">
        <f aca="false">SUMPRODUCT((FC_Clase="Administración")*FC_Base*FC_O*((FC_Mon="PYG")*DR$19+(FC_Mon&lt;&gt;"PYG"))*(1+FC_g)^(DR$17-1)*((FC_Desde=0)*(DR$16+DR$15)+(FC_Desde&gt;=1)*(DR$14&gt;=FC_Desde)*DR$15))</f>
        <v>5114.58575342466</v>
      </c>
      <c r="DS62" s="34" t="n">
        <f aca="false">SUMPRODUCT((FC_Clase="Administración")*FC_Base*FC_O*((FC_Mon="PYG")*DS$19+(FC_Mon&lt;&gt;"PYG"))*(1+FC_g)^(DS$17-1)*((FC_Desde=0)*(DS$16+DS$15)+(FC_Desde&gt;=1)*(DS$14&gt;=FC_Desde)*DS$15))</f>
        <v>5114.58575342466</v>
      </c>
      <c r="DT62" s="34" t="n">
        <f aca="false">SUMPRODUCT((FC_Clase="Administración")*FC_Base*FC_O*((FC_Mon="PYG")*DT$19+(FC_Mon&lt;&gt;"PYG"))*(1+FC_g)^(DT$17-1)*((FC_Desde=0)*(DT$16+DT$15)+(FC_Desde&gt;=1)*(DT$14&gt;=FC_Desde)*DT$15))</f>
        <v>5114.58575342466</v>
      </c>
      <c r="DU62" s="34" t="n">
        <f aca="false">SUMPRODUCT((FC_Clase="Administración")*FC_Base*FC_O*((FC_Mon="PYG")*DU$19+(FC_Mon&lt;&gt;"PYG"))*(1+FC_g)^(DU$17-1)*((FC_Desde=0)*(DU$16+DU$15)+(FC_Desde&gt;=1)*(DU$14&gt;=FC_Desde)*DU$15))</f>
        <v>5114.58575342466</v>
      </c>
      <c r="DV62" s="34" t="n">
        <f aca="false">SUMPRODUCT((FC_Clase="Administración")*FC_Base*FC_O*((FC_Mon="PYG")*DV$19+(FC_Mon&lt;&gt;"PYG"))*(1+FC_g)^(DV$17-1)*((FC_Desde=0)*(DV$16+DV$15)+(FC_Desde&gt;=1)*(DV$14&gt;=FC_Desde)*DV$15))</f>
        <v>0</v>
      </c>
      <c r="DW62" s="34" t="n">
        <f aca="false">SUMPRODUCT((FC_Clase="Administración")*FC_Base*FC_O*((FC_Mon="PYG")*DW$19+(FC_Mon&lt;&gt;"PYG"))*(1+FC_g)^(DW$17-1)*((FC_Desde=0)*(DW$16+DW$15)+(FC_Desde&gt;=1)*(DW$14&gt;=FC_Desde)*DW$15))</f>
        <v>0</v>
      </c>
      <c r="DX62" s="34" t="n">
        <f aca="false">SUMPRODUCT((FC_Clase="Administración")*FC_Base*FC_O*((FC_Mon="PYG")*DX$19+(FC_Mon&lt;&gt;"PYG"))*(1+FC_g)^(DX$17-1)*((FC_Desde=0)*(DX$16+DX$15)+(FC_Desde&gt;=1)*(DX$14&gt;=FC_Desde)*DX$15))</f>
        <v>0</v>
      </c>
      <c r="DY62" s="34" t="n">
        <f aca="false">SUMPRODUCT((FC_Clase="Administración")*FC_Base*FC_O*((FC_Mon="PYG")*DY$19+(FC_Mon&lt;&gt;"PYG"))*(1+FC_g)^(DY$17-1)*((FC_Desde=0)*(DY$16+DY$15)+(FC_Desde&gt;=1)*(DY$14&gt;=FC_Desde)*DY$15))</f>
        <v>0</v>
      </c>
      <c r="DZ62" s="34" t="n">
        <f aca="false">SUMPRODUCT((FC_Clase="Administración")*FC_Base*FC_O*((FC_Mon="PYG")*DZ$19+(FC_Mon&lt;&gt;"PYG"))*(1+FC_g)^(DZ$17-1)*((FC_Desde=0)*(DZ$16+DZ$15)+(FC_Desde&gt;=1)*(DZ$14&gt;=FC_Desde)*DZ$15))</f>
        <v>0</v>
      </c>
      <c r="EA62" s="34" t="n">
        <f aca="false">SUMPRODUCT((FC_Clase="Administración")*FC_Base*FC_O*((FC_Mon="PYG")*EA$19+(FC_Mon&lt;&gt;"PYG"))*(1+FC_g)^(EA$17-1)*((FC_Desde=0)*(EA$16+EA$15)+(FC_Desde&gt;=1)*(EA$14&gt;=FC_Desde)*EA$15))</f>
        <v>0</v>
      </c>
      <c r="EB62" s="34" t="n">
        <f aca="false">SUMPRODUCT((FC_Clase="Administración")*FC_Base*FC_O*((FC_Mon="PYG")*EB$19+(FC_Mon&lt;&gt;"PYG"))*(1+FC_g)^(EB$17-1)*((FC_Desde=0)*(EB$16+EB$15)+(FC_Desde&gt;=1)*(EB$14&gt;=FC_Desde)*EB$15))</f>
        <v>0</v>
      </c>
      <c r="EC62" s="34" t="n">
        <f aca="false">SUMPRODUCT((FC_Clase="Administración")*FC_Base*FC_O*((FC_Mon="PYG")*EC$19+(FC_Mon&lt;&gt;"PYG"))*(1+FC_g)^(EC$17-1)*((FC_Desde=0)*(EC$16+EC$15)+(FC_Desde&gt;=1)*(EC$14&gt;=FC_Desde)*EC$15))</f>
        <v>0</v>
      </c>
      <c r="ED62" s="34" t="n">
        <f aca="false">SUMPRODUCT((FC_Clase="Administración")*FC_Base*FC_O*((FC_Mon="PYG")*ED$19+(FC_Mon&lt;&gt;"PYG"))*(1+FC_g)^(ED$17-1)*((FC_Desde=0)*(ED$16+ED$15)+(FC_Desde&gt;=1)*(ED$14&gt;=FC_Desde)*ED$15))</f>
        <v>0</v>
      </c>
      <c r="EE62" s="34" t="n">
        <f aca="false">SUMPRODUCT((FC_Clase="Administración")*FC_Base*FC_O*((FC_Mon="PYG")*EE$19+(FC_Mon&lt;&gt;"PYG"))*(1+FC_g)^(EE$17-1)*((FC_Desde=0)*(EE$16+EE$15)+(FC_Desde&gt;=1)*(EE$14&gt;=FC_Desde)*EE$15))</f>
        <v>0</v>
      </c>
      <c r="EF62" s="34" t="n">
        <f aca="false">SUMPRODUCT((FC_Clase="Administración")*FC_Base*FC_O*((FC_Mon="PYG")*EF$19+(FC_Mon&lt;&gt;"PYG"))*(1+FC_g)^(EF$17-1)*((FC_Desde=0)*(EF$16+EF$15)+(FC_Desde&gt;=1)*(EF$14&gt;=FC_Desde)*EF$15))</f>
        <v>0</v>
      </c>
      <c r="EG62" s="34" t="n">
        <f aca="false">SUMPRODUCT((FC_Clase="Administración")*FC_Base*FC_O*((FC_Mon="PYG")*EG$19+(FC_Mon&lt;&gt;"PYG"))*(1+FC_g)^(EG$17-1)*((FC_Desde=0)*(EG$16+EG$15)+(FC_Desde&gt;=1)*(EG$14&gt;=FC_Desde)*EG$15))</f>
        <v>0</v>
      </c>
      <c r="EH62" s="34" t="n">
        <f aca="false">SUMPRODUCT((FC_Clase="Administración")*FC_Base*FC_O*((FC_Mon="PYG")*EH$19+(FC_Mon&lt;&gt;"PYG"))*(1+FC_g)^(EH$17-1)*((FC_Desde=0)*(EH$16+EH$15)+(FC_Desde&gt;=1)*(EH$14&gt;=FC_Desde)*EH$15))</f>
        <v>0</v>
      </c>
      <c r="EI62" s="34" t="n">
        <f aca="false">SUMPRODUCT((FC_Clase="Administración")*FC_Base*FC_O*((FC_Mon="PYG")*EI$19+(FC_Mon&lt;&gt;"PYG"))*(1+FC_g)^(EI$17-1)*((FC_Desde=0)*(EI$16+EI$15)+(FC_Desde&gt;=1)*(EI$14&gt;=FC_Desde)*EI$15))</f>
        <v>0</v>
      </c>
      <c r="EJ62" s="34" t="n">
        <f aca="false">SUMPRODUCT((FC_Clase="Administración")*FC_Base*FC_O*((FC_Mon="PYG")*EJ$19+(FC_Mon&lt;&gt;"PYG"))*(1+FC_g)^(EJ$17-1)*((FC_Desde=0)*(EJ$16+EJ$15)+(FC_Desde&gt;=1)*(EJ$14&gt;=FC_Desde)*EJ$15))</f>
        <v>0</v>
      </c>
      <c r="EK62" s="34" t="n">
        <f aca="false">SUMPRODUCT((FC_Clase="Administración")*FC_Base*FC_O*((FC_Mon="PYG")*EK$19+(FC_Mon&lt;&gt;"PYG"))*(1+FC_g)^(EK$17-1)*((FC_Desde=0)*(EK$16+EK$15)+(FC_Desde&gt;=1)*(EK$14&gt;=FC_Desde)*EK$15))</f>
        <v>0</v>
      </c>
      <c r="EL62" s="34" t="n">
        <f aca="false">SUMPRODUCT((FC_Clase="Administración")*FC_Base*FC_O*((FC_Mon="PYG")*EL$19+(FC_Mon&lt;&gt;"PYG"))*(1+FC_g)^(EL$17-1)*((FC_Desde=0)*(EL$16+EL$15)+(FC_Desde&gt;=1)*(EL$14&gt;=FC_Desde)*EL$15))</f>
        <v>0</v>
      </c>
      <c r="EM62" s="34" t="n">
        <f aca="false">SUMPRODUCT((FC_Clase="Administración")*FC_Base*FC_O*((FC_Mon="PYG")*EM$19+(FC_Mon&lt;&gt;"PYG"))*(1+FC_g)^(EM$17-1)*((FC_Desde=0)*(EM$16+EM$15)+(FC_Desde&gt;=1)*(EM$14&gt;=FC_Desde)*EM$15))</f>
        <v>0</v>
      </c>
      <c r="EN62" s="34" t="n">
        <f aca="false">SUMPRODUCT((FC_Clase="Administración")*FC_Base*FC_O*((FC_Mon="PYG")*EN$19+(FC_Mon&lt;&gt;"PYG"))*(1+FC_g)^(EN$17-1)*((FC_Desde=0)*(EN$16+EN$15)+(FC_Desde&gt;=1)*(EN$14&gt;=FC_Desde)*EN$15))</f>
        <v>0</v>
      </c>
      <c r="EO62" s="34" t="n">
        <f aca="false">SUMPRODUCT((FC_Clase="Administración")*FC_Base*FC_O*((FC_Mon="PYG")*EO$19+(FC_Mon&lt;&gt;"PYG"))*(1+FC_g)^(EO$17-1)*((FC_Desde=0)*(EO$16+EO$15)+(FC_Desde&gt;=1)*(EO$14&gt;=FC_Desde)*EO$15))</f>
        <v>0</v>
      </c>
      <c r="EP62" s="34" t="n">
        <f aca="false">SUMPRODUCT((FC_Clase="Administración")*FC_Base*FC_O*((FC_Mon="PYG")*EP$19+(FC_Mon&lt;&gt;"PYG"))*(1+FC_g)^(EP$17-1)*((FC_Desde=0)*(EP$16+EP$15)+(FC_Desde&gt;=1)*(EP$14&gt;=FC_Desde)*EP$15))</f>
        <v>0</v>
      </c>
      <c r="EQ62" s="34" t="n">
        <f aca="false">SUMPRODUCT((FC_Clase="Administración")*FC_Base*FC_O*((FC_Mon="PYG")*EQ$19+(FC_Mon&lt;&gt;"PYG"))*(1+FC_g)^(EQ$17-1)*((FC_Desde=0)*(EQ$16+EQ$15)+(FC_Desde&gt;=1)*(EQ$14&gt;=FC_Desde)*EQ$15))</f>
        <v>0</v>
      </c>
      <c r="ER62" s="34" t="n">
        <f aca="false">SUMPRODUCT((FC_Clase="Administración")*FC_Base*FC_O*((FC_Mon="PYG")*ER$19+(FC_Mon&lt;&gt;"PYG"))*(1+FC_g)^(ER$17-1)*((FC_Desde=0)*(ER$16+ER$15)+(FC_Desde&gt;=1)*(ER$14&gt;=FC_Desde)*ER$15))</f>
        <v>0</v>
      </c>
      <c r="ES62" s="34" t="n">
        <f aca="false">SUMPRODUCT((FC_Clase="Administración")*FC_Base*FC_O*((FC_Mon="PYG")*ES$19+(FC_Mon&lt;&gt;"PYG"))*(1+FC_g)^(ES$17-1)*((FC_Desde=0)*(ES$16+ES$15)+(FC_Desde&gt;=1)*(ES$14&gt;=FC_Desde)*ES$15))</f>
        <v>0</v>
      </c>
    </row>
    <row r="63" customFormat="false" ht="15" hidden="false" customHeight="false" outlineLevel="0" collapsed="false">
      <c r="A63" s="2" t="s">
        <v>617</v>
      </c>
      <c r="B63" s="6" t="s">
        <v>618</v>
      </c>
      <c r="C63" s="6" t="s">
        <v>250</v>
      </c>
      <c r="E63" s="40" t="n">
        <f aca="false">SUM(F63:ES63)</f>
        <v>2851501.29749091</v>
      </c>
      <c r="F63" s="34" t="n">
        <f aca="false">P_ImpP*(F$47+F$48+F$49+F$50+F$57+F$58+F$52+F$54+F$60)</f>
        <v>15479.5332084976</v>
      </c>
      <c r="G63" s="34" t="n">
        <f aca="false">P_ImpP*(G$47+G$48+G$49+G$50+G$57+G$58+G$52+G$54+G$60)</f>
        <v>15479.5332084976</v>
      </c>
      <c r="H63" s="34" t="n">
        <f aca="false">P_ImpP*(H$47+H$48+H$49+H$50+H$57+H$58+H$52+H$54+H$60)</f>
        <v>15479.5332084976</v>
      </c>
      <c r="I63" s="34" t="n">
        <f aca="false">P_ImpP*(I$47+I$48+I$49+I$50+I$57+I$58+I$52+I$54+I$60)</f>
        <v>15479.5332084976</v>
      </c>
      <c r="J63" s="34" t="n">
        <f aca="false">P_ImpP*(J$47+J$48+J$49+J$50+J$57+J$58+J$52+J$54+J$60)</f>
        <v>15479.5332084976</v>
      </c>
      <c r="K63" s="34" t="n">
        <f aca="false">P_ImpP*(K$47+K$48+K$49+K$50+K$57+K$58+K$52+K$54+K$60)</f>
        <v>15479.5332084976</v>
      </c>
      <c r="L63" s="34" t="n">
        <f aca="false">P_ImpP*(L$47+L$48+L$49+L$50+L$57+L$58+L$52+L$54+L$60)</f>
        <v>15479.5332084976</v>
      </c>
      <c r="M63" s="34" t="n">
        <f aca="false">P_ImpP*(M$47+M$48+M$49+M$50+M$57+M$58+M$52+M$54+M$60)</f>
        <v>15479.5332084976</v>
      </c>
      <c r="N63" s="34" t="n">
        <f aca="false">P_ImpP*(N$47+N$48+N$49+N$50+N$57+N$58+N$52+N$54+N$60)</f>
        <v>15479.5332084976</v>
      </c>
      <c r="O63" s="34" t="n">
        <f aca="false">P_ImpP*(O$47+O$48+O$49+O$50+O$57+O$58+O$52+O$54+O$60)</f>
        <v>15479.5332084976</v>
      </c>
      <c r="P63" s="34" t="n">
        <f aca="false">P_ImpP*(P$47+P$48+P$49+P$50+P$57+P$58+P$52+P$54+P$60)</f>
        <v>15479.5332084976</v>
      </c>
      <c r="Q63" s="34" t="n">
        <f aca="false">P_ImpP*(Q$47+Q$48+Q$49+Q$50+Q$57+Q$58+Q$52+Q$54+Q$60)</f>
        <v>15479.5332084976</v>
      </c>
      <c r="R63" s="34" t="n">
        <f aca="false">P_ImpP*(R$47+R$48+R$49+R$50+R$57+R$58+R$52+R$54+R$60)</f>
        <v>18874.3773742893</v>
      </c>
      <c r="S63" s="34" t="n">
        <f aca="false">P_ImpP*(S$47+S$48+S$49+S$50+S$57+S$58+S$52+S$54+S$60)</f>
        <v>18874.3773742893</v>
      </c>
      <c r="T63" s="34" t="n">
        <f aca="false">P_ImpP*(T$47+T$48+T$49+T$50+T$57+T$58+T$52+T$54+T$60)</f>
        <v>18874.3773742893</v>
      </c>
      <c r="U63" s="34" t="n">
        <f aca="false">P_ImpP*(U$47+U$48+U$49+U$50+U$57+U$58+U$52+U$54+U$60)</f>
        <v>18874.3773742893</v>
      </c>
      <c r="V63" s="34" t="n">
        <f aca="false">P_ImpP*(V$47+V$48+V$49+V$50+V$57+V$58+V$52+V$54+V$60)</f>
        <v>18874.3773742893</v>
      </c>
      <c r="W63" s="34" t="n">
        <f aca="false">P_ImpP*(W$47+W$48+W$49+W$50+W$57+W$58+W$52+W$54+W$60)</f>
        <v>18874.3773742893</v>
      </c>
      <c r="X63" s="34" t="n">
        <f aca="false">P_ImpP*(X$47+X$48+X$49+X$50+X$57+X$58+X$52+X$54+X$60)</f>
        <v>18874.3773742893</v>
      </c>
      <c r="Y63" s="34" t="n">
        <f aca="false">P_ImpP*(Y$47+Y$48+Y$49+Y$50+Y$57+Y$58+Y$52+Y$54+Y$60)</f>
        <v>18874.3773742893</v>
      </c>
      <c r="Z63" s="34" t="n">
        <f aca="false">P_ImpP*(Z$47+Z$48+Z$49+Z$50+Z$57+Z$58+Z$52+Z$54+Z$60)</f>
        <v>18874.3773742893</v>
      </c>
      <c r="AA63" s="34" t="n">
        <f aca="false">P_ImpP*(AA$47+AA$48+AA$49+AA$50+AA$57+AA$58+AA$52+AA$54+AA$60)</f>
        <v>18874.3773742893</v>
      </c>
      <c r="AB63" s="34" t="n">
        <f aca="false">P_ImpP*(AB$47+AB$48+AB$49+AB$50+AB$57+AB$58+AB$52+AB$54+AB$60)</f>
        <v>18874.3773742893</v>
      </c>
      <c r="AC63" s="34" t="n">
        <f aca="false">P_ImpP*(AC$47+AC$48+AC$49+AC$50+AC$57+AC$58+AC$52+AC$54+AC$60)</f>
        <v>18874.3773742893</v>
      </c>
      <c r="AD63" s="34" t="n">
        <f aca="false">P_ImpP*(AD$47+AD$48+AD$49+AD$50+AD$57+AD$58+AD$52+AD$54+AD$60)</f>
        <v>22438.3044470912</v>
      </c>
      <c r="AE63" s="34" t="n">
        <f aca="false">P_ImpP*(AE$47+AE$48+AE$49+AE$50+AE$57+AE$58+AE$52+AE$54+AE$60)</f>
        <v>22438.3044470912</v>
      </c>
      <c r="AF63" s="34" t="n">
        <f aca="false">P_ImpP*(AF$47+AF$48+AF$49+AF$50+AF$57+AF$58+AF$52+AF$54+AF$60)</f>
        <v>22438.3044470912</v>
      </c>
      <c r="AG63" s="34" t="n">
        <f aca="false">P_ImpP*(AG$47+AG$48+AG$49+AG$50+AG$57+AG$58+AG$52+AG$54+AG$60)</f>
        <v>22438.3044470912</v>
      </c>
      <c r="AH63" s="34" t="n">
        <f aca="false">P_ImpP*(AH$47+AH$48+AH$49+AH$50+AH$57+AH$58+AH$52+AH$54+AH$60)</f>
        <v>22438.3044470912</v>
      </c>
      <c r="AI63" s="34" t="n">
        <f aca="false">P_ImpP*(AI$47+AI$48+AI$49+AI$50+AI$57+AI$58+AI$52+AI$54+AI$60)</f>
        <v>22438.3044470912</v>
      </c>
      <c r="AJ63" s="34" t="n">
        <f aca="false">P_ImpP*(AJ$47+AJ$48+AJ$49+AJ$50+AJ$57+AJ$58+AJ$52+AJ$54+AJ$60)</f>
        <v>22438.3044470912</v>
      </c>
      <c r="AK63" s="34" t="n">
        <f aca="false">P_ImpP*(AK$47+AK$48+AK$49+AK$50+AK$57+AK$58+AK$52+AK$54+AK$60)</f>
        <v>22438.3044470912</v>
      </c>
      <c r="AL63" s="34" t="n">
        <f aca="false">P_ImpP*(AL$47+AL$48+AL$49+AL$50+AL$57+AL$58+AL$52+AL$54+AL$60)</f>
        <v>22438.3044470912</v>
      </c>
      <c r="AM63" s="34" t="n">
        <f aca="false">P_ImpP*(AM$47+AM$48+AM$49+AM$50+AM$57+AM$58+AM$52+AM$54+AM$60)</f>
        <v>22438.3044470912</v>
      </c>
      <c r="AN63" s="34" t="n">
        <f aca="false">P_ImpP*(AN$47+AN$48+AN$49+AN$50+AN$57+AN$58+AN$52+AN$54+AN$60)</f>
        <v>22438.3044470912</v>
      </c>
      <c r="AO63" s="34" t="n">
        <f aca="false">P_ImpP*(AO$47+AO$48+AO$49+AO$50+AO$57+AO$58+AO$52+AO$54+AO$60)</f>
        <v>22438.3044470912</v>
      </c>
      <c r="AP63" s="34" t="n">
        <f aca="false">P_ImpP*(AP$47+AP$48+AP$49+AP$50+AP$57+AP$58+AP$52+AP$54+AP$60)</f>
        <v>25354.7196483896</v>
      </c>
      <c r="AQ63" s="34" t="n">
        <f aca="false">P_ImpP*(AQ$47+AQ$48+AQ$49+AQ$50+AQ$57+AQ$58+AQ$52+AQ$54+AQ$60)</f>
        <v>25354.7196483896</v>
      </c>
      <c r="AR63" s="34" t="n">
        <f aca="false">P_ImpP*(AR$47+AR$48+AR$49+AR$50+AR$57+AR$58+AR$52+AR$54+AR$60)</f>
        <v>25354.7196483896</v>
      </c>
      <c r="AS63" s="34" t="n">
        <f aca="false">P_ImpP*(AS$47+AS$48+AS$49+AS$50+AS$57+AS$58+AS$52+AS$54+AS$60)</f>
        <v>25354.7196483896</v>
      </c>
      <c r="AT63" s="34" t="n">
        <f aca="false">P_ImpP*(AT$47+AT$48+AT$49+AT$50+AT$57+AT$58+AT$52+AT$54+AT$60)</f>
        <v>25354.7196483896</v>
      </c>
      <c r="AU63" s="34" t="n">
        <f aca="false">P_ImpP*(AU$47+AU$48+AU$49+AU$50+AU$57+AU$58+AU$52+AU$54+AU$60)</f>
        <v>25354.7196483896</v>
      </c>
      <c r="AV63" s="34" t="n">
        <f aca="false">P_ImpP*(AV$47+AV$48+AV$49+AV$50+AV$57+AV$58+AV$52+AV$54+AV$60)</f>
        <v>25354.7196483896</v>
      </c>
      <c r="AW63" s="34" t="n">
        <f aca="false">P_ImpP*(AW$47+AW$48+AW$49+AW$50+AW$57+AW$58+AW$52+AW$54+AW$60)</f>
        <v>25354.7196483896</v>
      </c>
      <c r="AX63" s="34" t="n">
        <f aca="false">P_ImpP*(AX$47+AX$48+AX$49+AX$50+AX$57+AX$58+AX$52+AX$54+AX$60)</f>
        <v>25354.7196483896</v>
      </c>
      <c r="AY63" s="34" t="n">
        <f aca="false">P_ImpP*(AY$47+AY$48+AY$49+AY$50+AY$57+AY$58+AY$52+AY$54+AY$60)</f>
        <v>25354.7196483896</v>
      </c>
      <c r="AZ63" s="34" t="n">
        <f aca="false">P_ImpP*(AZ$47+AZ$48+AZ$49+AZ$50+AZ$57+AZ$58+AZ$52+AZ$54+AZ$60)</f>
        <v>25354.7196483896</v>
      </c>
      <c r="BA63" s="34" t="n">
        <f aca="false">P_ImpP*(BA$47+BA$48+BA$49+BA$50+BA$57+BA$58+BA$52+BA$54+BA$60)</f>
        <v>25354.7196483896</v>
      </c>
      <c r="BB63" s="34" t="n">
        <f aca="false">P_ImpP*(BB$47+BB$48+BB$49+BB$50+BB$57+BB$58+BB$52+BB$54+BB$60)</f>
        <v>25605.3421761632</v>
      </c>
      <c r="BC63" s="34" t="n">
        <f aca="false">P_ImpP*(BC$47+BC$48+BC$49+BC$50+BC$57+BC$58+BC$52+BC$54+BC$60)</f>
        <v>25605.3421761632</v>
      </c>
      <c r="BD63" s="34" t="n">
        <f aca="false">P_ImpP*(BD$47+BD$48+BD$49+BD$50+BD$57+BD$58+BD$52+BD$54+BD$60)</f>
        <v>25605.3421761632</v>
      </c>
      <c r="BE63" s="34" t="n">
        <f aca="false">P_ImpP*(BE$47+BE$48+BE$49+BE$50+BE$57+BE$58+BE$52+BE$54+BE$60)</f>
        <v>25605.3421761632</v>
      </c>
      <c r="BF63" s="34" t="n">
        <f aca="false">P_ImpP*(BF$47+BF$48+BF$49+BF$50+BF$57+BF$58+BF$52+BF$54+BF$60)</f>
        <v>25605.3421761632</v>
      </c>
      <c r="BG63" s="34" t="n">
        <f aca="false">P_ImpP*(BG$47+BG$48+BG$49+BG$50+BG$57+BG$58+BG$52+BG$54+BG$60)</f>
        <v>25605.3421761632</v>
      </c>
      <c r="BH63" s="34" t="n">
        <f aca="false">P_ImpP*(BH$47+BH$48+BH$49+BH$50+BH$57+BH$58+BH$52+BH$54+BH$60)</f>
        <v>25605.3421761632</v>
      </c>
      <c r="BI63" s="34" t="n">
        <f aca="false">P_ImpP*(BI$47+BI$48+BI$49+BI$50+BI$57+BI$58+BI$52+BI$54+BI$60)</f>
        <v>25605.3421761632</v>
      </c>
      <c r="BJ63" s="34" t="n">
        <f aca="false">P_ImpP*(BJ$47+BJ$48+BJ$49+BJ$50+BJ$57+BJ$58+BJ$52+BJ$54+BJ$60)</f>
        <v>25605.3421761632</v>
      </c>
      <c r="BK63" s="34" t="n">
        <f aca="false">P_ImpP*(BK$47+BK$48+BK$49+BK$50+BK$57+BK$58+BK$52+BK$54+BK$60)</f>
        <v>25605.3421761632</v>
      </c>
      <c r="BL63" s="34" t="n">
        <f aca="false">P_ImpP*(BL$47+BL$48+BL$49+BL$50+BL$57+BL$58+BL$52+BL$54+BL$60)</f>
        <v>25605.3421761632</v>
      </c>
      <c r="BM63" s="34" t="n">
        <f aca="false">P_ImpP*(BM$47+BM$48+BM$49+BM$50+BM$57+BM$58+BM$52+BM$54+BM$60)</f>
        <v>25605.3421761632</v>
      </c>
      <c r="BN63" s="34" t="n">
        <f aca="false">P_ImpP*(BN$47+BN$48+BN$49+BN$50+BN$57+BN$58+BN$52+BN$54+BN$60)</f>
        <v>25726.7493753587</v>
      </c>
      <c r="BO63" s="34" t="n">
        <f aca="false">P_ImpP*(BO$47+BO$48+BO$49+BO$50+BO$57+BO$58+BO$52+BO$54+BO$60)</f>
        <v>25726.7493753587</v>
      </c>
      <c r="BP63" s="34" t="n">
        <f aca="false">P_ImpP*(BP$47+BP$48+BP$49+BP$50+BP$57+BP$58+BP$52+BP$54+BP$60)</f>
        <v>25726.7493753587</v>
      </c>
      <c r="BQ63" s="34" t="n">
        <f aca="false">P_ImpP*(BQ$47+BQ$48+BQ$49+BQ$50+BQ$57+BQ$58+BQ$52+BQ$54+BQ$60)</f>
        <v>25726.7493753587</v>
      </c>
      <c r="BR63" s="34" t="n">
        <f aca="false">P_ImpP*(BR$47+BR$48+BR$49+BR$50+BR$57+BR$58+BR$52+BR$54+BR$60)</f>
        <v>25726.7493753587</v>
      </c>
      <c r="BS63" s="34" t="n">
        <f aca="false">P_ImpP*(BS$47+BS$48+BS$49+BS$50+BS$57+BS$58+BS$52+BS$54+BS$60)</f>
        <v>25726.7493753587</v>
      </c>
      <c r="BT63" s="34" t="n">
        <f aca="false">P_ImpP*(BT$47+BT$48+BT$49+BT$50+BT$57+BT$58+BT$52+BT$54+BT$60)</f>
        <v>25726.7493753587</v>
      </c>
      <c r="BU63" s="34" t="n">
        <f aca="false">P_ImpP*(BU$47+BU$48+BU$49+BU$50+BU$57+BU$58+BU$52+BU$54+BU$60)</f>
        <v>25726.7493753587</v>
      </c>
      <c r="BV63" s="34" t="n">
        <f aca="false">P_ImpP*(BV$47+BV$48+BV$49+BV$50+BV$57+BV$58+BV$52+BV$54+BV$60)</f>
        <v>25726.7493753587</v>
      </c>
      <c r="BW63" s="34" t="n">
        <f aca="false">P_ImpP*(BW$47+BW$48+BW$49+BW$50+BW$57+BW$58+BW$52+BW$54+BW$60)</f>
        <v>25726.7493753587</v>
      </c>
      <c r="BX63" s="34" t="n">
        <f aca="false">P_ImpP*(BX$47+BX$48+BX$49+BX$50+BX$57+BX$58+BX$52+BX$54+BX$60)</f>
        <v>25726.7493753587</v>
      </c>
      <c r="BY63" s="34" t="n">
        <f aca="false">P_ImpP*(BY$47+BY$48+BY$49+BY$50+BY$57+BY$58+BY$52+BY$54+BY$60)</f>
        <v>25726.7493753587</v>
      </c>
      <c r="BZ63" s="34" t="n">
        <f aca="false">P_ImpP*(BZ$47+BZ$48+BZ$49+BZ$50+BZ$57+BZ$58+BZ$52+BZ$54+BZ$60)</f>
        <v>25849.3974439944</v>
      </c>
      <c r="CA63" s="34" t="n">
        <f aca="false">P_ImpP*(CA$47+CA$48+CA$49+CA$50+CA$57+CA$58+CA$52+CA$54+CA$60)</f>
        <v>25849.3974439944</v>
      </c>
      <c r="CB63" s="34" t="n">
        <f aca="false">P_ImpP*(CB$47+CB$48+CB$49+CB$50+CB$57+CB$58+CB$52+CB$54+CB$60)</f>
        <v>25849.3974439944</v>
      </c>
      <c r="CC63" s="34" t="n">
        <f aca="false">P_ImpP*(CC$47+CC$48+CC$49+CC$50+CC$57+CC$58+CC$52+CC$54+CC$60)</f>
        <v>25849.3974439944</v>
      </c>
      <c r="CD63" s="34" t="n">
        <f aca="false">P_ImpP*(CD$47+CD$48+CD$49+CD$50+CD$57+CD$58+CD$52+CD$54+CD$60)</f>
        <v>25849.3974439944</v>
      </c>
      <c r="CE63" s="34" t="n">
        <f aca="false">P_ImpP*(CE$47+CE$48+CE$49+CE$50+CE$57+CE$58+CE$52+CE$54+CE$60)</f>
        <v>25849.3974439944</v>
      </c>
      <c r="CF63" s="34" t="n">
        <f aca="false">P_ImpP*(CF$47+CF$48+CF$49+CF$50+CF$57+CF$58+CF$52+CF$54+CF$60)</f>
        <v>25849.3974439944</v>
      </c>
      <c r="CG63" s="34" t="n">
        <f aca="false">P_ImpP*(CG$47+CG$48+CG$49+CG$50+CG$57+CG$58+CG$52+CG$54+CG$60)</f>
        <v>25849.3974439944</v>
      </c>
      <c r="CH63" s="34" t="n">
        <f aca="false">P_ImpP*(CH$47+CH$48+CH$49+CH$50+CH$57+CH$58+CH$52+CH$54+CH$60)</f>
        <v>25849.3974439944</v>
      </c>
      <c r="CI63" s="34" t="n">
        <f aca="false">P_ImpP*(CI$47+CI$48+CI$49+CI$50+CI$57+CI$58+CI$52+CI$54+CI$60)</f>
        <v>25849.3974439944</v>
      </c>
      <c r="CJ63" s="34" t="n">
        <f aca="false">P_ImpP*(CJ$47+CJ$48+CJ$49+CJ$50+CJ$57+CJ$58+CJ$52+CJ$54+CJ$60)</f>
        <v>25849.3974439944</v>
      </c>
      <c r="CK63" s="34" t="n">
        <f aca="false">P_ImpP*(CK$47+CK$48+CK$49+CK$50+CK$57+CK$58+CK$52+CK$54+CK$60)</f>
        <v>25849.3974439944</v>
      </c>
      <c r="CL63" s="34" t="n">
        <f aca="false">P_ImpP*(CL$47+CL$48+CL$49+CL$50+CL$57+CL$58+CL$52+CL$54+CL$60)</f>
        <v>25973.2993267137</v>
      </c>
      <c r="CM63" s="34" t="n">
        <f aca="false">P_ImpP*(CM$47+CM$48+CM$49+CM$50+CM$57+CM$58+CM$52+CM$54+CM$60)</f>
        <v>25973.2993267137</v>
      </c>
      <c r="CN63" s="34" t="n">
        <f aca="false">P_ImpP*(CN$47+CN$48+CN$49+CN$50+CN$57+CN$58+CN$52+CN$54+CN$60)</f>
        <v>25973.2993267137</v>
      </c>
      <c r="CO63" s="34" t="n">
        <f aca="false">P_ImpP*(CO$47+CO$48+CO$49+CO$50+CO$57+CO$58+CO$52+CO$54+CO$60)</f>
        <v>25973.2993267137</v>
      </c>
      <c r="CP63" s="34" t="n">
        <f aca="false">P_ImpP*(CP$47+CP$48+CP$49+CP$50+CP$57+CP$58+CP$52+CP$54+CP$60)</f>
        <v>25973.2993267137</v>
      </c>
      <c r="CQ63" s="34" t="n">
        <f aca="false">P_ImpP*(CQ$47+CQ$48+CQ$49+CQ$50+CQ$57+CQ$58+CQ$52+CQ$54+CQ$60)</f>
        <v>25973.2993267137</v>
      </c>
      <c r="CR63" s="34" t="n">
        <f aca="false">P_ImpP*(CR$47+CR$48+CR$49+CR$50+CR$57+CR$58+CR$52+CR$54+CR$60)</f>
        <v>25973.2993267137</v>
      </c>
      <c r="CS63" s="34" t="n">
        <f aca="false">P_ImpP*(CS$47+CS$48+CS$49+CS$50+CS$57+CS$58+CS$52+CS$54+CS$60)</f>
        <v>25973.2993267137</v>
      </c>
      <c r="CT63" s="34" t="n">
        <f aca="false">P_ImpP*(CT$47+CT$48+CT$49+CT$50+CT$57+CT$58+CT$52+CT$54+CT$60)</f>
        <v>25973.2993267137</v>
      </c>
      <c r="CU63" s="34" t="n">
        <f aca="false">P_ImpP*(CU$47+CU$48+CU$49+CU$50+CU$57+CU$58+CU$52+CU$54+CU$60)</f>
        <v>25973.2993267137</v>
      </c>
      <c r="CV63" s="34" t="n">
        <f aca="false">P_ImpP*(CV$47+CV$48+CV$49+CV$50+CV$57+CV$58+CV$52+CV$54+CV$60)</f>
        <v>25973.2993267137</v>
      </c>
      <c r="CW63" s="34" t="n">
        <f aca="false">P_ImpP*(CW$47+CW$48+CW$49+CW$50+CW$57+CW$58+CW$52+CW$54+CW$60)</f>
        <v>25973.2993267137</v>
      </c>
      <c r="CX63" s="34" t="n">
        <f aca="false">P_ImpP*(CX$47+CX$48+CX$49+CX$50+CX$57+CX$58+CX$52+CX$54+CX$60)</f>
        <v>26098.4681083253</v>
      </c>
      <c r="CY63" s="34" t="n">
        <f aca="false">P_ImpP*(CY$47+CY$48+CY$49+CY$50+CY$57+CY$58+CY$52+CY$54+CY$60)</f>
        <v>26098.4681083253</v>
      </c>
      <c r="CZ63" s="34" t="n">
        <f aca="false">P_ImpP*(CZ$47+CZ$48+CZ$49+CZ$50+CZ$57+CZ$58+CZ$52+CZ$54+CZ$60)</f>
        <v>26098.4681083253</v>
      </c>
      <c r="DA63" s="34" t="n">
        <f aca="false">P_ImpP*(DA$47+DA$48+DA$49+DA$50+DA$57+DA$58+DA$52+DA$54+DA$60)</f>
        <v>26098.4681083253</v>
      </c>
      <c r="DB63" s="34" t="n">
        <f aca="false">P_ImpP*(DB$47+DB$48+DB$49+DB$50+DB$57+DB$58+DB$52+DB$54+DB$60)</f>
        <v>26098.4681083253</v>
      </c>
      <c r="DC63" s="34" t="n">
        <f aca="false">P_ImpP*(DC$47+DC$48+DC$49+DC$50+DC$57+DC$58+DC$52+DC$54+DC$60)</f>
        <v>26098.4681083253</v>
      </c>
      <c r="DD63" s="34" t="n">
        <f aca="false">P_ImpP*(DD$47+DD$48+DD$49+DD$50+DD$57+DD$58+DD$52+DD$54+DD$60)</f>
        <v>26098.4681083253</v>
      </c>
      <c r="DE63" s="34" t="n">
        <f aca="false">P_ImpP*(DE$47+DE$48+DE$49+DE$50+DE$57+DE$58+DE$52+DE$54+DE$60)</f>
        <v>26098.4681083253</v>
      </c>
      <c r="DF63" s="34" t="n">
        <f aca="false">P_ImpP*(DF$47+DF$48+DF$49+DF$50+DF$57+DF$58+DF$52+DF$54+DF$60)</f>
        <v>26098.4681083253</v>
      </c>
      <c r="DG63" s="34" t="n">
        <f aca="false">P_ImpP*(DG$47+DG$48+DG$49+DG$50+DG$57+DG$58+DG$52+DG$54+DG$60)</f>
        <v>26098.4681083253</v>
      </c>
      <c r="DH63" s="34" t="n">
        <f aca="false">P_ImpP*(DH$47+DH$48+DH$49+DH$50+DH$57+DH$58+DH$52+DH$54+DH$60)</f>
        <v>26098.4681083253</v>
      </c>
      <c r="DI63" s="34" t="n">
        <f aca="false">P_ImpP*(DI$47+DI$48+DI$49+DI$50+DI$57+DI$58+DI$52+DI$54+DI$60)</f>
        <v>26098.4681083253</v>
      </c>
      <c r="DJ63" s="34" t="n">
        <f aca="false">P_ImpP*(DJ$47+DJ$48+DJ$49+DJ$50+DJ$57+DJ$58+DJ$52+DJ$54+DJ$60)</f>
        <v>26224.9170154195</v>
      </c>
      <c r="DK63" s="34" t="n">
        <f aca="false">P_ImpP*(DK$47+DK$48+DK$49+DK$50+DK$57+DK$58+DK$52+DK$54+DK$60)</f>
        <v>26224.9170154195</v>
      </c>
      <c r="DL63" s="34" t="n">
        <f aca="false">P_ImpP*(DL$47+DL$48+DL$49+DL$50+DL$57+DL$58+DL$52+DL$54+DL$60)</f>
        <v>26224.9170154195</v>
      </c>
      <c r="DM63" s="34" t="n">
        <f aca="false">P_ImpP*(DM$47+DM$48+DM$49+DM$50+DM$57+DM$58+DM$52+DM$54+DM$60)</f>
        <v>26224.9170154195</v>
      </c>
      <c r="DN63" s="34" t="n">
        <f aca="false">P_ImpP*(DN$47+DN$48+DN$49+DN$50+DN$57+DN$58+DN$52+DN$54+DN$60)</f>
        <v>26224.9170154195</v>
      </c>
      <c r="DO63" s="34" t="n">
        <f aca="false">P_ImpP*(DO$47+DO$48+DO$49+DO$50+DO$57+DO$58+DO$52+DO$54+DO$60)</f>
        <v>26224.9170154195</v>
      </c>
      <c r="DP63" s="34" t="n">
        <f aca="false">P_ImpP*(DP$47+DP$48+DP$49+DP$50+DP$57+DP$58+DP$52+DP$54+DP$60)</f>
        <v>26224.9170154195</v>
      </c>
      <c r="DQ63" s="34" t="n">
        <f aca="false">P_ImpP*(DQ$47+DQ$48+DQ$49+DQ$50+DQ$57+DQ$58+DQ$52+DQ$54+DQ$60)</f>
        <v>26224.9170154195</v>
      </c>
      <c r="DR63" s="34" t="n">
        <f aca="false">P_ImpP*(DR$47+DR$48+DR$49+DR$50+DR$57+DR$58+DR$52+DR$54+DR$60)</f>
        <v>26224.9170154195</v>
      </c>
      <c r="DS63" s="34" t="n">
        <f aca="false">P_ImpP*(DS$47+DS$48+DS$49+DS$50+DS$57+DS$58+DS$52+DS$54+DS$60)</f>
        <v>26224.9170154195</v>
      </c>
      <c r="DT63" s="34" t="n">
        <f aca="false">P_ImpP*(DT$47+DT$48+DT$49+DT$50+DT$57+DT$58+DT$52+DT$54+DT$60)</f>
        <v>26224.9170154195</v>
      </c>
      <c r="DU63" s="34" t="n">
        <f aca="false">P_ImpP*(DU$47+DU$48+DU$49+DU$50+DU$57+DU$58+DU$52+DU$54+DU$60)</f>
        <v>26224.9170154195</v>
      </c>
      <c r="DV63" s="34" t="n">
        <f aca="false">P_ImpP*(DV$47+DV$48+DV$49+DV$50+DV$57+DV$58+DV$52+DV$54+DV$60)</f>
        <v>0</v>
      </c>
      <c r="DW63" s="34" t="n">
        <f aca="false">P_ImpP*(DW$47+DW$48+DW$49+DW$50+DW$57+DW$58+DW$52+DW$54+DW$60)</f>
        <v>0</v>
      </c>
      <c r="DX63" s="34" t="n">
        <f aca="false">P_ImpP*(DX$47+DX$48+DX$49+DX$50+DX$57+DX$58+DX$52+DX$54+DX$60)</f>
        <v>0</v>
      </c>
      <c r="DY63" s="34" t="n">
        <f aca="false">P_ImpP*(DY$47+DY$48+DY$49+DY$50+DY$57+DY$58+DY$52+DY$54+DY$60)</f>
        <v>0</v>
      </c>
      <c r="DZ63" s="34" t="n">
        <f aca="false">P_ImpP*(DZ$47+DZ$48+DZ$49+DZ$50+DZ$57+DZ$58+DZ$52+DZ$54+DZ$60)</f>
        <v>0</v>
      </c>
      <c r="EA63" s="34" t="n">
        <f aca="false">P_ImpP*(EA$47+EA$48+EA$49+EA$50+EA$57+EA$58+EA$52+EA$54+EA$60)</f>
        <v>0</v>
      </c>
      <c r="EB63" s="34" t="n">
        <f aca="false">P_ImpP*(EB$47+EB$48+EB$49+EB$50+EB$57+EB$58+EB$52+EB$54+EB$60)</f>
        <v>0</v>
      </c>
      <c r="EC63" s="34" t="n">
        <f aca="false">P_ImpP*(EC$47+EC$48+EC$49+EC$50+EC$57+EC$58+EC$52+EC$54+EC$60)</f>
        <v>0</v>
      </c>
      <c r="ED63" s="34" t="n">
        <f aca="false">P_ImpP*(ED$47+ED$48+ED$49+ED$50+ED$57+ED$58+ED$52+ED$54+ED$60)</f>
        <v>0</v>
      </c>
      <c r="EE63" s="34" t="n">
        <f aca="false">P_ImpP*(EE$47+EE$48+EE$49+EE$50+EE$57+EE$58+EE$52+EE$54+EE$60)</f>
        <v>0</v>
      </c>
      <c r="EF63" s="34" t="n">
        <f aca="false">P_ImpP*(EF$47+EF$48+EF$49+EF$50+EF$57+EF$58+EF$52+EF$54+EF$60)</f>
        <v>0</v>
      </c>
      <c r="EG63" s="34" t="n">
        <f aca="false">P_ImpP*(EG$47+EG$48+EG$49+EG$50+EG$57+EG$58+EG$52+EG$54+EG$60)</f>
        <v>0</v>
      </c>
      <c r="EH63" s="34" t="n">
        <f aca="false">P_ImpP*(EH$47+EH$48+EH$49+EH$50+EH$57+EH$58+EH$52+EH$54+EH$60)</f>
        <v>0</v>
      </c>
      <c r="EI63" s="34" t="n">
        <f aca="false">P_ImpP*(EI$47+EI$48+EI$49+EI$50+EI$57+EI$58+EI$52+EI$54+EI$60)</f>
        <v>0</v>
      </c>
      <c r="EJ63" s="34" t="n">
        <f aca="false">P_ImpP*(EJ$47+EJ$48+EJ$49+EJ$50+EJ$57+EJ$58+EJ$52+EJ$54+EJ$60)</f>
        <v>0</v>
      </c>
      <c r="EK63" s="34" t="n">
        <f aca="false">P_ImpP*(EK$47+EK$48+EK$49+EK$50+EK$57+EK$58+EK$52+EK$54+EK$60)</f>
        <v>0</v>
      </c>
      <c r="EL63" s="34" t="n">
        <f aca="false">P_ImpP*(EL$47+EL$48+EL$49+EL$50+EL$57+EL$58+EL$52+EL$54+EL$60)</f>
        <v>0</v>
      </c>
      <c r="EM63" s="34" t="n">
        <f aca="false">P_ImpP*(EM$47+EM$48+EM$49+EM$50+EM$57+EM$58+EM$52+EM$54+EM$60)</f>
        <v>0</v>
      </c>
      <c r="EN63" s="34" t="n">
        <f aca="false">P_ImpP*(EN$47+EN$48+EN$49+EN$50+EN$57+EN$58+EN$52+EN$54+EN$60)</f>
        <v>0</v>
      </c>
      <c r="EO63" s="34" t="n">
        <f aca="false">P_ImpP*(EO$47+EO$48+EO$49+EO$50+EO$57+EO$58+EO$52+EO$54+EO$60)</f>
        <v>0</v>
      </c>
      <c r="EP63" s="34" t="n">
        <f aca="false">P_ImpP*(EP$47+EP$48+EP$49+EP$50+EP$57+EP$58+EP$52+EP$54+EP$60)</f>
        <v>0</v>
      </c>
      <c r="EQ63" s="34" t="n">
        <f aca="false">P_ImpP*(EQ$47+EQ$48+EQ$49+EQ$50+EQ$57+EQ$58+EQ$52+EQ$54+EQ$60)</f>
        <v>0</v>
      </c>
      <c r="ER63" s="34" t="n">
        <f aca="false">P_ImpP*(ER$47+ER$48+ER$49+ER$50+ER$57+ER$58+ER$52+ER$54+ER$60)</f>
        <v>0</v>
      </c>
      <c r="ES63" s="34" t="n">
        <f aca="false">P_ImpP*(ES$47+ES$48+ES$49+ES$50+ES$57+ES$58+ES$52+ES$54+ES$60)</f>
        <v>0</v>
      </c>
    </row>
    <row r="64" customFormat="false" ht="15" hidden="false" customHeight="false" outlineLevel="0" collapsed="false">
      <c r="A64" s="2" t="s">
        <v>619</v>
      </c>
      <c r="B64" s="6" t="s">
        <v>620</v>
      </c>
      <c r="C64" s="6" t="s">
        <v>250</v>
      </c>
      <c r="E64" s="40" t="n">
        <f aca="false">SUM(F64:ES64)</f>
        <v>84447.4408340548</v>
      </c>
      <c r="F64" s="34" t="n">
        <f aca="false">P_ImpA*(F$56+F$62)</f>
        <v>703.728673617123</v>
      </c>
      <c r="G64" s="34" t="n">
        <f aca="false">P_ImpA*(G$56+G$62)</f>
        <v>703.728673617123</v>
      </c>
      <c r="H64" s="34" t="n">
        <f aca="false">P_ImpA*(H$56+H$62)</f>
        <v>703.728673617123</v>
      </c>
      <c r="I64" s="34" t="n">
        <f aca="false">P_ImpA*(I$56+I$62)</f>
        <v>703.728673617123</v>
      </c>
      <c r="J64" s="34" t="n">
        <f aca="false">P_ImpA*(J$56+J$62)</f>
        <v>703.728673617123</v>
      </c>
      <c r="K64" s="34" t="n">
        <f aca="false">P_ImpA*(K$56+K$62)</f>
        <v>703.728673617123</v>
      </c>
      <c r="L64" s="34" t="n">
        <f aca="false">P_ImpA*(L$56+L$62)</f>
        <v>703.728673617123</v>
      </c>
      <c r="M64" s="34" t="n">
        <f aca="false">P_ImpA*(M$56+M$62)</f>
        <v>703.728673617123</v>
      </c>
      <c r="N64" s="34" t="n">
        <f aca="false">P_ImpA*(N$56+N$62)</f>
        <v>703.728673617123</v>
      </c>
      <c r="O64" s="34" t="n">
        <f aca="false">P_ImpA*(O$56+O$62)</f>
        <v>703.728673617123</v>
      </c>
      <c r="P64" s="34" t="n">
        <f aca="false">P_ImpA*(P$56+P$62)</f>
        <v>703.728673617123</v>
      </c>
      <c r="Q64" s="34" t="n">
        <f aca="false">P_ImpA*(Q$56+Q$62)</f>
        <v>703.728673617123</v>
      </c>
      <c r="R64" s="34" t="n">
        <f aca="false">P_ImpA*(R$56+R$62)</f>
        <v>703.728673617123</v>
      </c>
      <c r="S64" s="34" t="n">
        <f aca="false">P_ImpA*(S$56+S$62)</f>
        <v>703.728673617123</v>
      </c>
      <c r="T64" s="34" t="n">
        <f aca="false">P_ImpA*(T$56+T$62)</f>
        <v>703.728673617123</v>
      </c>
      <c r="U64" s="34" t="n">
        <f aca="false">P_ImpA*(U$56+U$62)</f>
        <v>703.728673617123</v>
      </c>
      <c r="V64" s="34" t="n">
        <f aca="false">P_ImpA*(V$56+V$62)</f>
        <v>703.728673617123</v>
      </c>
      <c r="W64" s="34" t="n">
        <f aca="false">P_ImpA*(W$56+W$62)</f>
        <v>703.728673617123</v>
      </c>
      <c r="X64" s="34" t="n">
        <f aca="false">P_ImpA*(X$56+X$62)</f>
        <v>703.728673617123</v>
      </c>
      <c r="Y64" s="34" t="n">
        <f aca="false">P_ImpA*(Y$56+Y$62)</f>
        <v>703.728673617123</v>
      </c>
      <c r="Z64" s="34" t="n">
        <f aca="false">P_ImpA*(Z$56+Z$62)</f>
        <v>703.728673617123</v>
      </c>
      <c r="AA64" s="34" t="n">
        <f aca="false">P_ImpA*(AA$56+AA$62)</f>
        <v>703.728673617123</v>
      </c>
      <c r="AB64" s="34" t="n">
        <f aca="false">P_ImpA*(AB$56+AB$62)</f>
        <v>703.728673617123</v>
      </c>
      <c r="AC64" s="34" t="n">
        <f aca="false">P_ImpA*(AC$56+AC$62)</f>
        <v>703.728673617123</v>
      </c>
      <c r="AD64" s="34" t="n">
        <f aca="false">P_ImpA*(AD$56+AD$62)</f>
        <v>703.728673617123</v>
      </c>
      <c r="AE64" s="34" t="n">
        <f aca="false">P_ImpA*(AE$56+AE$62)</f>
        <v>703.728673617123</v>
      </c>
      <c r="AF64" s="34" t="n">
        <f aca="false">P_ImpA*(AF$56+AF$62)</f>
        <v>703.728673617123</v>
      </c>
      <c r="AG64" s="34" t="n">
        <f aca="false">P_ImpA*(AG$56+AG$62)</f>
        <v>703.728673617123</v>
      </c>
      <c r="AH64" s="34" t="n">
        <f aca="false">P_ImpA*(AH$56+AH$62)</f>
        <v>703.728673617123</v>
      </c>
      <c r="AI64" s="34" t="n">
        <f aca="false">P_ImpA*(AI$56+AI$62)</f>
        <v>703.728673617123</v>
      </c>
      <c r="AJ64" s="34" t="n">
        <f aca="false">P_ImpA*(AJ$56+AJ$62)</f>
        <v>703.728673617123</v>
      </c>
      <c r="AK64" s="34" t="n">
        <f aca="false">P_ImpA*(AK$56+AK$62)</f>
        <v>703.728673617123</v>
      </c>
      <c r="AL64" s="34" t="n">
        <f aca="false">P_ImpA*(AL$56+AL$62)</f>
        <v>703.728673617123</v>
      </c>
      <c r="AM64" s="34" t="n">
        <f aca="false">P_ImpA*(AM$56+AM$62)</f>
        <v>703.728673617123</v>
      </c>
      <c r="AN64" s="34" t="n">
        <f aca="false">P_ImpA*(AN$56+AN$62)</f>
        <v>703.728673617123</v>
      </c>
      <c r="AO64" s="34" t="n">
        <f aca="false">P_ImpA*(AO$56+AO$62)</f>
        <v>703.728673617123</v>
      </c>
      <c r="AP64" s="34" t="n">
        <f aca="false">P_ImpA*(AP$56+AP$62)</f>
        <v>703.728673617123</v>
      </c>
      <c r="AQ64" s="34" t="n">
        <f aca="false">P_ImpA*(AQ$56+AQ$62)</f>
        <v>703.728673617123</v>
      </c>
      <c r="AR64" s="34" t="n">
        <f aca="false">P_ImpA*(AR$56+AR$62)</f>
        <v>703.728673617123</v>
      </c>
      <c r="AS64" s="34" t="n">
        <f aca="false">P_ImpA*(AS$56+AS$62)</f>
        <v>703.728673617123</v>
      </c>
      <c r="AT64" s="34" t="n">
        <f aca="false">P_ImpA*(AT$56+AT$62)</f>
        <v>703.728673617123</v>
      </c>
      <c r="AU64" s="34" t="n">
        <f aca="false">P_ImpA*(AU$56+AU$62)</f>
        <v>703.728673617123</v>
      </c>
      <c r="AV64" s="34" t="n">
        <f aca="false">P_ImpA*(AV$56+AV$62)</f>
        <v>703.728673617123</v>
      </c>
      <c r="AW64" s="34" t="n">
        <f aca="false">P_ImpA*(AW$56+AW$62)</f>
        <v>703.728673617123</v>
      </c>
      <c r="AX64" s="34" t="n">
        <f aca="false">P_ImpA*(AX$56+AX$62)</f>
        <v>703.728673617123</v>
      </c>
      <c r="AY64" s="34" t="n">
        <f aca="false">P_ImpA*(AY$56+AY$62)</f>
        <v>703.728673617123</v>
      </c>
      <c r="AZ64" s="34" t="n">
        <f aca="false">P_ImpA*(AZ$56+AZ$62)</f>
        <v>703.728673617123</v>
      </c>
      <c r="BA64" s="34" t="n">
        <f aca="false">P_ImpA*(BA$56+BA$62)</f>
        <v>703.728673617123</v>
      </c>
      <c r="BB64" s="34" t="n">
        <f aca="false">P_ImpA*(BB$56+BB$62)</f>
        <v>703.728673617123</v>
      </c>
      <c r="BC64" s="34" t="n">
        <f aca="false">P_ImpA*(BC$56+BC$62)</f>
        <v>703.728673617123</v>
      </c>
      <c r="BD64" s="34" t="n">
        <f aca="false">P_ImpA*(BD$56+BD$62)</f>
        <v>703.728673617123</v>
      </c>
      <c r="BE64" s="34" t="n">
        <f aca="false">P_ImpA*(BE$56+BE$62)</f>
        <v>703.728673617123</v>
      </c>
      <c r="BF64" s="34" t="n">
        <f aca="false">P_ImpA*(BF$56+BF$62)</f>
        <v>703.728673617123</v>
      </c>
      <c r="BG64" s="34" t="n">
        <f aca="false">P_ImpA*(BG$56+BG$62)</f>
        <v>703.728673617123</v>
      </c>
      <c r="BH64" s="34" t="n">
        <f aca="false">P_ImpA*(BH$56+BH$62)</f>
        <v>703.728673617123</v>
      </c>
      <c r="BI64" s="34" t="n">
        <f aca="false">P_ImpA*(BI$56+BI$62)</f>
        <v>703.728673617123</v>
      </c>
      <c r="BJ64" s="34" t="n">
        <f aca="false">P_ImpA*(BJ$56+BJ$62)</f>
        <v>703.728673617123</v>
      </c>
      <c r="BK64" s="34" t="n">
        <f aca="false">P_ImpA*(BK$56+BK$62)</f>
        <v>703.728673617123</v>
      </c>
      <c r="BL64" s="34" t="n">
        <f aca="false">P_ImpA*(BL$56+BL$62)</f>
        <v>703.728673617123</v>
      </c>
      <c r="BM64" s="34" t="n">
        <f aca="false">P_ImpA*(BM$56+BM$62)</f>
        <v>703.728673617123</v>
      </c>
      <c r="BN64" s="34" t="n">
        <f aca="false">P_ImpA*(BN$56+BN$62)</f>
        <v>703.728673617123</v>
      </c>
      <c r="BO64" s="34" t="n">
        <f aca="false">P_ImpA*(BO$56+BO$62)</f>
        <v>703.728673617123</v>
      </c>
      <c r="BP64" s="34" t="n">
        <f aca="false">P_ImpA*(BP$56+BP$62)</f>
        <v>703.728673617123</v>
      </c>
      <c r="BQ64" s="34" t="n">
        <f aca="false">P_ImpA*(BQ$56+BQ$62)</f>
        <v>703.728673617123</v>
      </c>
      <c r="BR64" s="34" t="n">
        <f aca="false">P_ImpA*(BR$56+BR$62)</f>
        <v>703.728673617123</v>
      </c>
      <c r="BS64" s="34" t="n">
        <f aca="false">P_ImpA*(BS$56+BS$62)</f>
        <v>703.728673617123</v>
      </c>
      <c r="BT64" s="34" t="n">
        <f aca="false">P_ImpA*(BT$56+BT$62)</f>
        <v>703.728673617123</v>
      </c>
      <c r="BU64" s="34" t="n">
        <f aca="false">P_ImpA*(BU$56+BU$62)</f>
        <v>703.728673617123</v>
      </c>
      <c r="BV64" s="34" t="n">
        <f aca="false">P_ImpA*(BV$56+BV$62)</f>
        <v>703.728673617123</v>
      </c>
      <c r="BW64" s="34" t="n">
        <f aca="false">P_ImpA*(BW$56+BW$62)</f>
        <v>703.728673617123</v>
      </c>
      <c r="BX64" s="34" t="n">
        <f aca="false">P_ImpA*(BX$56+BX$62)</f>
        <v>703.728673617123</v>
      </c>
      <c r="BY64" s="34" t="n">
        <f aca="false">P_ImpA*(BY$56+BY$62)</f>
        <v>703.728673617123</v>
      </c>
      <c r="BZ64" s="34" t="n">
        <f aca="false">P_ImpA*(BZ$56+BZ$62)</f>
        <v>703.728673617123</v>
      </c>
      <c r="CA64" s="34" t="n">
        <f aca="false">P_ImpA*(CA$56+CA$62)</f>
        <v>703.728673617123</v>
      </c>
      <c r="CB64" s="34" t="n">
        <f aca="false">P_ImpA*(CB$56+CB$62)</f>
        <v>703.728673617123</v>
      </c>
      <c r="CC64" s="34" t="n">
        <f aca="false">P_ImpA*(CC$56+CC$62)</f>
        <v>703.728673617123</v>
      </c>
      <c r="CD64" s="34" t="n">
        <f aca="false">P_ImpA*(CD$56+CD$62)</f>
        <v>703.728673617123</v>
      </c>
      <c r="CE64" s="34" t="n">
        <f aca="false">P_ImpA*(CE$56+CE$62)</f>
        <v>703.728673617123</v>
      </c>
      <c r="CF64" s="34" t="n">
        <f aca="false">P_ImpA*(CF$56+CF$62)</f>
        <v>703.728673617123</v>
      </c>
      <c r="CG64" s="34" t="n">
        <f aca="false">P_ImpA*(CG$56+CG$62)</f>
        <v>703.728673617123</v>
      </c>
      <c r="CH64" s="34" t="n">
        <f aca="false">P_ImpA*(CH$56+CH$62)</f>
        <v>703.728673617123</v>
      </c>
      <c r="CI64" s="34" t="n">
        <f aca="false">P_ImpA*(CI$56+CI$62)</f>
        <v>703.728673617123</v>
      </c>
      <c r="CJ64" s="34" t="n">
        <f aca="false">P_ImpA*(CJ$56+CJ$62)</f>
        <v>703.728673617123</v>
      </c>
      <c r="CK64" s="34" t="n">
        <f aca="false">P_ImpA*(CK$56+CK$62)</f>
        <v>703.728673617123</v>
      </c>
      <c r="CL64" s="34" t="n">
        <f aca="false">P_ImpA*(CL$56+CL$62)</f>
        <v>703.728673617123</v>
      </c>
      <c r="CM64" s="34" t="n">
        <f aca="false">P_ImpA*(CM$56+CM$62)</f>
        <v>703.728673617123</v>
      </c>
      <c r="CN64" s="34" t="n">
        <f aca="false">P_ImpA*(CN$56+CN$62)</f>
        <v>703.728673617123</v>
      </c>
      <c r="CO64" s="34" t="n">
        <f aca="false">P_ImpA*(CO$56+CO$62)</f>
        <v>703.728673617123</v>
      </c>
      <c r="CP64" s="34" t="n">
        <f aca="false">P_ImpA*(CP$56+CP$62)</f>
        <v>703.728673617123</v>
      </c>
      <c r="CQ64" s="34" t="n">
        <f aca="false">P_ImpA*(CQ$56+CQ$62)</f>
        <v>703.728673617123</v>
      </c>
      <c r="CR64" s="34" t="n">
        <f aca="false">P_ImpA*(CR$56+CR$62)</f>
        <v>703.728673617123</v>
      </c>
      <c r="CS64" s="34" t="n">
        <f aca="false">P_ImpA*(CS$56+CS$62)</f>
        <v>703.728673617123</v>
      </c>
      <c r="CT64" s="34" t="n">
        <f aca="false">P_ImpA*(CT$56+CT$62)</f>
        <v>703.728673617123</v>
      </c>
      <c r="CU64" s="34" t="n">
        <f aca="false">P_ImpA*(CU$56+CU$62)</f>
        <v>703.728673617123</v>
      </c>
      <c r="CV64" s="34" t="n">
        <f aca="false">P_ImpA*(CV$56+CV$62)</f>
        <v>703.728673617123</v>
      </c>
      <c r="CW64" s="34" t="n">
        <f aca="false">P_ImpA*(CW$56+CW$62)</f>
        <v>703.728673617123</v>
      </c>
      <c r="CX64" s="34" t="n">
        <f aca="false">P_ImpA*(CX$56+CX$62)</f>
        <v>703.728673617123</v>
      </c>
      <c r="CY64" s="34" t="n">
        <f aca="false">P_ImpA*(CY$56+CY$62)</f>
        <v>703.728673617123</v>
      </c>
      <c r="CZ64" s="34" t="n">
        <f aca="false">P_ImpA*(CZ$56+CZ$62)</f>
        <v>703.728673617123</v>
      </c>
      <c r="DA64" s="34" t="n">
        <f aca="false">P_ImpA*(DA$56+DA$62)</f>
        <v>703.728673617123</v>
      </c>
      <c r="DB64" s="34" t="n">
        <f aca="false">P_ImpA*(DB$56+DB$62)</f>
        <v>703.728673617123</v>
      </c>
      <c r="DC64" s="34" t="n">
        <f aca="false">P_ImpA*(DC$56+DC$62)</f>
        <v>703.728673617123</v>
      </c>
      <c r="DD64" s="34" t="n">
        <f aca="false">P_ImpA*(DD$56+DD$62)</f>
        <v>703.728673617123</v>
      </c>
      <c r="DE64" s="34" t="n">
        <f aca="false">P_ImpA*(DE$56+DE$62)</f>
        <v>703.728673617123</v>
      </c>
      <c r="DF64" s="34" t="n">
        <f aca="false">P_ImpA*(DF$56+DF$62)</f>
        <v>703.728673617123</v>
      </c>
      <c r="DG64" s="34" t="n">
        <f aca="false">P_ImpA*(DG$56+DG$62)</f>
        <v>703.728673617123</v>
      </c>
      <c r="DH64" s="34" t="n">
        <f aca="false">P_ImpA*(DH$56+DH$62)</f>
        <v>703.728673617123</v>
      </c>
      <c r="DI64" s="34" t="n">
        <f aca="false">P_ImpA*(DI$56+DI$62)</f>
        <v>703.728673617123</v>
      </c>
      <c r="DJ64" s="34" t="n">
        <f aca="false">P_ImpA*(DJ$56+DJ$62)</f>
        <v>703.728673617123</v>
      </c>
      <c r="DK64" s="34" t="n">
        <f aca="false">P_ImpA*(DK$56+DK$62)</f>
        <v>703.728673617123</v>
      </c>
      <c r="DL64" s="34" t="n">
        <f aca="false">P_ImpA*(DL$56+DL$62)</f>
        <v>703.728673617123</v>
      </c>
      <c r="DM64" s="34" t="n">
        <f aca="false">P_ImpA*(DM$56+DM$62)</f>
        <v>703.728673617123</v>
      </c>
      <c r="DN64" s="34" t="n">
        <f aca="false">P_ImpA*(DN$56+DN$62)</f>
        <v>703.728673617123</v>
      </c>
      <c r="DO64" s="34" t="n">
        <f aca="false">P_ImpA*(DO$56+DO$62)</f>
        <v>703.728673617123</v>
      </c>
      <c r="DP64" s="34" t="n">
        <f aca="false">P_ImpA*(DP$56+DP$62)</f>
        <v>703.728673617123</v>
      </c>
      <c r="DQ64" s="34" t="n">
        <f aca="false">P_ImpA*(DQ$56+DQ$62)</f>
        <v>703.728673617123</v>
      </c>
      <c r="DR64" s="34" t="n">
        <f aca="false">P_ImpA*(DR$56+DR$62)</f>
        <v>703.728673617123</v>
      </c>
      <c r="DS64" s="34" t="n">
        <f aca="false">P_ImpA*(DS$56+DS$62)</f>
        <v>703.728673617123</v>
      </c>
      <c r="DT64" s="34" t="n">
        <f aca="false">P_ImpA*(DT$56+DT$62)</f>
        <v>703.728673617123</v>
      </c>
      <c r="DU64" s="34" t="n">
        <f aca="false">P_ImpA*(DU$56+DU$62)</f>
        <v>703.728673617123</v>
      </c>
      <c r="DV64" s="34" t="n">
        <f aca="false">P_ImpA*(DV$56+DV$62)</f>
        <v>0</v>
      </c>
      <c r="DW64" s="34" t="n">
        <f aca="false">P_ImpA*(DW$56+DW$62)</f>
        <v>0</v>
      </c>
      <c r="DX64" s="34" t="n">
        <f aca="false">P_ImpA*(DX$56+DX$62)</f>
        <v>0</v>
      </c>
      <c r="DY64" s="34" t="n">
        <f aca="false">P_ImpA*(DY$56+DY$62)</f>
        <v>0</v>
      </c>
      <c r="DZ64" s="34" t="n">
        <f aca="false">P_ImpA*(DZ$56+DZ$62)</f>
        <v>0</v>
      </c>
      <c r="EA64" s="34" t="n">
        <f aca="false">P_ImpA*(EA$56+EA$62)</f>
        <v>0</v>
      </c>
      <c r="EB64" s="34" t="n">
        <f aca="false">P_ImpA*(EB$56+EB$62)</f>
        <v>0</v>
      </c>
      <c r="EC64" s="34" t="n">
        <f aca="false">P_ImpA*(EC$56+EC$62)</f>
        <v>0</v>
      </c>
      <c r="ED64" s="34" t="n">
        <f aca="false">P_ImpA*(ED$56+ED$62)</f>
        <v>0</v>
      </c>
      <c r="EE64" s="34" t="n">
        <f aca="false">P_ImpA*(EE$56+EE$62)</f>
        <v>0</v>
      </c>
      <c r="EF64" s="34" t="n">
        <f aca="false">P_ImpA*(EF$56+EF$62)</f>
        <v>0</v>
      </c>
      <c r="EG64" s="34" t="n">
        <f aca="false">P_ImpA*(EG$56+EG$62)</f>
        <v>0</v>
      </c>
      <c r="EH64" s="34" t="n">
        <f aca="false">P_ImpA*(EH$56+EH$62)</f>
        <v>0</v>
      </c>
      <c r="EI64" s="34" t="n">
        <f aca="false">P_ImpA*(EI$56+EI$62)</f>
        <v>0</v>
      </c>
      <c r="EJ64" s="34" t="n">
        <f aca="false">P_ImpA*(EJ$56+EJ$62)</f>
        <v>0</v>
      </c>
      <c r="EK64" s="34" t="n">
        <f aca="false">P_ImpA*(EK$56+EK$62)</f>
        <v>0</v>
      </c>
      <c r="EL64" s="34" t="n">
        <f aca="false">P_ImpA*(EL$56+EL$62)</f>
        <v>0</v>
      </c>
      <c r="EM64" s="34" t="n">
        <f aca="false">P_ImpA*(EM$56+EM$62)</f>
        <v>0</v>
      </c>
      <c r="EN64" s="34" t="n">
        <f aca="false">P_ImpA*(EN$56+EN$62)</f>
        <v>0</v>
      </c>
      <c r="EO64" s="34" t="n">
        <f aca="false">P_ImpA*(EO$56+EO$62)</f>
        <v>0</v>
      </c>
      <c r="EP64" s="34" t="n">
        <f aca="false">P_ImpA*(EP$56+EP$62)</f>
        <v>0</v>
      </c>
      <c r="EQ64" s="34" t="n">
        <f aca="false">P_ImpA*(EQ$56+EQ$62)</f>
        <v>0</v>
      </c>
      <c r="ER64" s="34" t="n">
        <f aca="false">P_ImpA*(ER$56+ER$62)</f>
        <v>0</v>
      </c>
      <c r="ES64" s="34" t="n">
        <f aca="false">P_ImpA*(ES$56+ES$62)</f>
        <v>0</v>
      </c>
    </row>
    <row r="65" customFormat="false" ht="15" hidden="false" customHeight="false" outlineLevel="0" collapsed="false">
      <c r="A65" s="2" t="s">
        <v>621</v>
      </c>
      <c r="B65" s="6" t="s">
        <v>622</v>
      </c>
      <c r="C65" s="6" t="s">
        <v>250</v>
      </c>
      <c r="E65" s="40" t="n">
        <f aca="false">SUM(F65:ES65)</f>
        <v>212677.888986405</v>
      </c>
      <c r="F65" s="34" t="n">
        <f aca="false">SUMPRODUCT(FC_O*((FC_Mon="PYG")*F$19+(FC_Mon&lt;&gt;"PYG"))*(1+FC_g)^(F$17-1)*((FC_Desde=0)*(F$16+F$15)+(FC_Desde&gt;=1)*(F$14&gt;=FC_Desde)*F$15)*FC_IVA/(1+FC_IVA))</f>
        <v>1546</v>
      </c>
      <c r="G65" s="34" t="n">
        <f aca="false">SUMPRODUCT(FC_O*((FC_Mon="PYG")*G$19+(FC_Mon&lt;&gt;"PYG"))*(1+FC_g)^(G$17-1)*((FC_Desde=0)*(G$16+G$15)+(FC_Desde&gt;=1)*(G$14&gt;=FC_Desde)*G$15)*FC_IVA/(1+FC_IVA))</f>
        <v>1546</v>
      </c>
      <c r="H65" s="34" t="n">
        <f aca="false">SUMPRODUCT(FC_O*((FC_Mon="PYG")*H$19+(FC_Mon&lt;&gt;"PYG"))*(1+FC_g)^(H$17-1)*((FC_Desde=0)*(H$16+H$15)+(FC_Desde&gt;=1)*(H$14&gt;=FC_Desde)*H$15)*FC_IVA/(1+FC_IVA))</f>
        <v>1546</v>
      </c>
      <c r="I65" s="34" t="n">
        <f aca="false">SUMPRODUCT(FC_O*((FC_Mon="PYG")*I$19+(FC_Mon&lt;&gt;"PYG"))*(1+FC_g)^(I$17-1)*((FC_Desde=0)*(I$16+I$15)+(FC_Desde&gt;=1)*(I$14&gt;=FC_Desde)*I$15)*FC_IVA/(1+FC_IVA))</f>
        <v>1546</v>
      </c>
      <c r="J65" s="34" t="n">
        <f aca="false">SUMPRODUCT(FC_O*((FC_Mon="PYG")*J$19+(FC_Mon&lt;&gt;"PYG"))*(1+FC_g)^(J$17-1)*((FC_Desde=0)*(J$16+J$15)+(FC_Desde&gt;=1)*(J$14&gt;=FC_Desde)*J$15)*FC_IVA/(1+FC_IVA))</f>
        <v>1546</v>
      </c>
      <c r="K65" s="34" t="n">
        <f aca="false">SUMPRODUCT(FC_O*((FC_Mon="PYG")*K$19+(FC_Mon&lt;&gt;"PYG"))*(1+FC_g)^(K$17-1)*((FC_Desde=0)*(K$16+K$15)+(FC_Desde&gt;=1)*(K$14&gt;=FC_Desde)*K$15)*FC_IVA/(1+FC_IVA))</f>
        <v>1546</v>
      </c>
      <c r="L65" s="34" t="n">
        <f aca="false">SUMPRODUCT(FC_O*((FC_Mon="PYG")*L$19+(FC_Mon&lt;&gt;"PYG"))*(1+FC_g)^(L$17-1)*((FC_Desde=0)*(L$16+L$15)+(FC_Desde&gt;=1)*(L$14&gt;=FC_Desde)*L$15)*FC_IVA/(1+FC_IVA))</f>
        <v>1546</v>
      </c>
      <c r="M65" s="34" t="n">
        <f aca="false">SUMPRODUCT(FC_O*((FC_Mon="PYG")*M$19+(FC_Mon&lt;&gt;"PYG"))*(1+FC_g)^(M$17-1)*((FC_Desde=0)*(M$16+M$15)+(FC_Desde&gt;=1)*(M$14&gt;=FC_Desde)*M$15)*FC_IVA/(1+FC_IVA))</f>
        <v>1546</v>
      </c>
      <c r="N65" s="34" t="n">
        <f aca="false">SUMPRODUCT(FC_O*((FC_Mon="PYG")*N$19+(FC_Mon&lt;&gt;"PYG"))*(1+FC_g)^(N$17-1)*((FC_Desde=0)*(N$16+N$15)+(FC_Desde&gt;=1)*(N$14&gt;=FC_Desde)*N$15)*FC_IVA/(1+FC_IVA))</f>
        <v>1546</v>
      </c>
      <c r="O65" s="34" t="n">
        <f aca="false">SUMPRODUCT(FC_O*((FC_Mon="PYG")*O$19+(FC_Mon&lt;&gt;"PYG"))*(1+FC_g)^(O$17-1)*((FC_Desde=0)*(O$16+O$15)+(FC_Desde&gt;=1)*(O$14&gt;=FC_Desde)*O$15)*FC_IVA/(1+FC_IVA))</f>
        <v>1546</v>
      </c>
      <c r="P65" s="34" t="n">
        <f aca="false">SUMPRODUCT(FC_O*((FC_Mon="PYG")*P$19+(FC_Mon&lt;&gt;"PYG"))*(1+FC_g)^(P$17-1)*((FC_Desde=0)*(P$16+P$15)+(FC_Desde&gt;=1)*(P$14&gt;=FC_Desde)*P$15)*FC_IVA/(1+FC_IVA))</f>
        <v>1546</v>
      </c>
      <c r="Q65" s="34" t="n">
        <f aca="false">SUMPRODUCT(FC_O*((FC_Mon="PYG")*Q$19+(FC_Mon&lt;&gt;"PYG"))*(1+FC_g)^(Q$17-1)*((FC_Desde=0)*(Q$16+Q$15)+(FC_Desde&gt;=1)*(Q$14&gt;=FC_Desde)*Q$15)*FC_IVA/(1+FC_IVA))</f>
        <v>1546</v>
      </c>
      <c r="R65" s="34" t="n">
        <f aca="false">SUMPRODUCT(FC_O*((FC_Mon="PYG")*R$19+(FC_Mon&lt;&gt;"PYG"))*(1+FC_g)^(R$17-1)*((FC_Desde=0)*(R$16+R$15)+(FC_Desde&gt;=1)*(R$14&gt;=FC_Desde)*R$15)*FC_IVA/(1+FC_IVA))</f>
        <v>1592.38</v>
      </c>
      <c r="S65" s="34" t="n">
        <f aca="false">SUMPRODUCT(FC_O*((FC_Mon="PYG")*S$19+(FC_Mon&lt;&gt;"PYG"))*(1+FC_g)^(S$17-1)*((FC_Desde=0)*(S$16+S$15)+(FC_Desde&gt;=1)*(S$14&gt;=FC_Desde)*S$15)*FC_IVA/(1+FC_IVA))</f>
        <v>1592.38</v>
      </c>
      <c r="T65" s="34" t="n">
        <f aca="false">SUMPRODUCT(FC_O*((FC_Mon="PYG")*T$19+(FC_Mon&lt;&gt;"PYG"))*(1+FC_g)^(T$17-1)*((FC_Desde=0)*(T$16+T$15)+(FC_Desde&gt;=1)*(T$14&gt;=FC_Desde)*T$15)*FC_IVA/(1+FC_IVA))</f>
        <v>1592.38</v>
      </c>
      <c r="U65" s="34" t="n">
        <f aca="false">SUMPRODUCT(FC_O*((FC_Mon="PYG")*U$19+(FC_Mon&lt;&gt;"PYG"))*(1+FC_g)^(U$17-1)*((FC_Desde=0)*(U$16+U$15)+(FC_Desde&gt;=1)*(U$14&gt;=FC_Desde)*U$15)*FC_IVA/(1+FC_IVA))</f>
        <v>1592.38</v>
      </c>
      <c r="V65" s="34" t="n">
        <f aca="false">SUMPRODUCT(FC_O*((FC_Mon="PYG")*V$19+(FC_Mon&lt;&gt;"PYG"))*(1+FC_g)^(V$17-1)*((FC_Desde=0)*(V$16+V$15)+(FC_Desde&gt;=1)*(V$14&gt;=FC_Desde)*V$15)*FC_IVA/(1+FC_IVA))</f>
        <v>1592.38</v>
      </c>
      <c r="W65" s="34" t="n">
        <f aca="false">SUMPRODUCT(FC_O*((FC_Mon="PYG")*W$19+(FC_Mon&lt;&gt;"PYG"))*(1+FC_g)^(W$17-1)*((FC_Desde=0)*(W$16+W$15)+(FC_Desde&gt;=1)*(W$14&gt;=FC_Desde)*W$15)*FC_IVA/(1+FC_IVA))</f>
        <v>1592.38</v>
      </c>
      <c r="X65" s="34" t="n">
        <f aca="false">SUMPRODUCT(FC_O*((FC_Mon="PYG")*X$19+(FC_Mon&lt;&gt;"PYG"))*(1+FC_g)^(X$17-1)*((FC_Desde=0)*(X$16+X$15)+(FC_Desde&gt;=1)*(X$14&gt;=FC_Desde)*X$15)*FC_IVA/(1+FC_IVA))</f>
        <v>1592.38</v>
      </c>
      <c r="Y65" s="34" t="n">
        <f aca="false">SUMPRODUCT(FC_O*((FC_Mon="PYG")*Y$19+(FC_Mon&lt;&gt;"PYG"))*(1+FC_g)^(Y$17-1)*((FC_Desde=0)*(Y$16+Y$15)+(FC_Desde&gt;=1)*(Y$14&gt;=FC_Desde)*Y$15)*FC_IVA/(1+FC_IVA))</f>
        <v>1592.38</v>
      </c>
      <c r="Z65" s="34" t="n">
        <f aca="false">SUMPRODUCT(FC_O*((FC_Mon="PYG")*Z$19+(FC_Mon&lt;&gt;"PYG"))*(1+FC_g)^(Z$17-1)*((FC_Desde=0)*(Z$16+Z$15)+(FC_Desde&gt;=1)*(Z$14&gt;=FC_Desde)*Z$15)*FC_IVA/(1+FC_IVA))</f>
        <v>1592.38</v>
      </c>
      <c r="AA65" s="34" t="n">
        <f aca="false">SUMPRODUCT(FC_O*((FC_Mon="PYG")*AA$19+(FC_Mon&lt;&gt;"PYG"))*(1+FC_g)^(AA$17-1)*((FC_Desde=0)*(AA$16+AA$15)+(FC_Desde&gt;=1)*(AA$14&gt;=FC_Desde)*AA$15)*FC_IVA/(1+FC_IVA))</f>
        <v>1592.38</v>
      </c>
      <c r="AB65" s="34" t="n">
        <f aca="false">SUMPRODUCT(FC_O*((FC_Mon="PYG")*AB$19+(FC_Mon&lt;&gt;"PYG"))*(1+FC_g)^(AB$17-1)*((FC_Desde=0)*(AB$16+AB$15)+(FC_Desde&gt;=1)*(AB$14&gt;=FC_Desde)*AB$15)*FC_IVA/(1+FC_IVA))</f>
        <v>1592.38</v>
      </c>
      <c r="AC65" s="34" t="n">
        <f aca="false">SUMPRODUCT(FC_O*((FC_Mon="PYG")*AC$19+(FC_Mon&lt;&gt;"PYG"))*(1+FC_g)^(AC$17-1)*((FC_Desde=0)*(AC$16+AC$15)+(FC_Desde&gt;=1)*(AC$14&gt;=FC_Desde)*AC$15)*FC_IVA/(1+FC_IVA))</f>
        <v>1592.38</v>
      </c>
      <c r="AD65" s="34" t="n">
        <f aca="false">SUMPRODUCT(FC_O*((FC_Mon="PYG")*AD$19+(FC_Mon&lt;&gt;"PYG"))*(1+FC_g)^(AD$17-1)*((FC_Desde=0)*(AD$16+AD$15)+(FC_Desde&gt;=1)*(AD$14&gt;=FC_Desde)*AD$15)*FC_IVA/(1+FC_IVA))</f>
        <v>1640.1514</v>
      </c>
      <c r="AE65" s="34" t="n">
        <f aca="false">SUMPRODUCT(FC_O*((FC_Mon="PYG")*AE$19+(FC_Mon&lt;&gt;"PYG"))*(1+FC_g)^(AE$17-1)*((FC_Desde=0)*(AE$16+AE$15)+(FC_Desde&gt;=1)*(AE$14&gt;=FC_Desde)*AE$15)*FC_IVA/(1+FC_IVA))</f>
        <v>1640.1514</v>
      </c>
      <c r="AF65" s="34" t="n">
        <f aca="false">SUMPRODUCT(FC_O*((FC_Mon="PYG")*AF$19+(FC_Mon&lt;&gt;"PYG"))*(1+FC_g)^(AF$17-1)*((FC_Desde=0)*(AF$16+AF$15)+(FC_Desde&gt;=1)*(AF$14&gt;=FC_Desde)*AF$15)*FC_IVA/(1+FC_IVA))</f>
        <v>1640.1514</v>
      </c>
      <c r="AG65" s="34" t="n">
        <f aca="false">SUMPRODUCT(FC_O*((FC_Mon="PYG")*AG$19+(FC_Mon&lt;&gt;"PYG"))*(1+FC_g)^(AG$17-1)*((FC_Desde=0)*(AG$16+AG$15)+(FC_Desde&gt;=1)*(AG$14&gt;=FC_Desde)*AG$15)*FC_IVA/(1+FC_IVA))</f>
        <v>1640.1514</v>
      </c>
      <c r="AH65" s="34" t="n">
        <f aca="false">SUMPRODUCT(FC_O*((FC_Mon="PYG")*AH$19+(FC_Mon&lt;&gt;"PYG"))*(1+FC_g)^(AH$17-1)*((FC_Desde=0)*(AH$16+AH$15)+(FC_Desde&gt;=1)*(AH$14&gt;=FC_Desde)*AH$15)*FC_IVA/(1+FC_IVA))</f>
        <v>1640.1514</v>
      </c>
      <c r="AI65" s="34" t="n">
        <f aca="false">SUMPRODUCT(FC_O*((FC_Mon="PYG")*AI$19+(FC_Mon&lt;&gt;"PYG"))*(1+FC_g)^(AI$17-1)*((FC_Desde=0)*(AI$16+AI$15)+(FC_Desde&gt;=1)*(AI$14&gt;=FC_Desde)*AI$15)*FC_IVA/(1+FC_IVA))</f>
        <v>1640.1514</v>
      </c>
      <c r="AJ65" s="34" t="n">
        <f aca="false">SUMPRODUCT(FC_O*((FC_Mon="PYG")*AJ$19+(FC_Mon&lt;&gt;"PYG"))*(1+FC_g)^(AJ$17-1)*((FC_Desde=0)*(AJ$16+AJ$15)+(FC_Desde&gt;=1)*(AJ$14&gt;=FC_Desde)*AJ$15)*FC_IVA/(1+FC_IVA))</f>
        <v>1640.1514</v>
      </c>
      <c r="AK65" s="34" t="n">
        <f aca="false">SUMPRODUCT(FC_O*((FC_Mon="PYG")*AK$19+(FC_Mon&lt;&gt;"PYG"))*(1+FC_g)^(AK$17-1)*((FC_Desde=0)*(AK$16+AK$15)+(FC_Desde&gt;=1)*(AK$14&gt;=FC_Desde)*AK$15)*FC_IVA/(1+FC_IVA))</f>
        <v>1640.1514</v>
      </c>
      <c r="AL65" s="34" t="n">
        <f aca="false">SUMPRODUCT(FC_O*((FC_Mon="PYG")*AL$19+(FC_Mon&lt;&gt;"PYG"))*(1+FC_g)^(AL$17-1)*((FC_Desde=0)*(AL$16+AL$15)+(FC_Desde&gt;=1)*(AL$14&gt;=FC_Desde)*AL$15)*FC_IVA/(1+FC_IVA))</f>
        <v>1640.1514</v>
      </c>
      <c r="AM65" s="34" t="n">
        <f aca="false">SUMPRODUCT(FC_O*((FC_Mon="PYG")*AM$19+(FC_Mon&lt;&gt;"PYG"))*(1+FC_g)^(AM$17-1)*((FC_Desde=0)*(AM$16+AM$15)+(FC_Desde&gt;=1)*(AM$14&gt;=FC_Desde)*AM$15)*FC_IVA/(1+FC_IVA))</f>
        <v>1640.1514</v>
      </c>
      <c r="AN65" s="34" t="n">
        <f aca="false">SUMPRODUCT(FC_O*((FC_Mon="PYG")*AN$19+(FC_Mon&lt;&gt;"PYG"))*(1+FC_g)^(AN$17-1)*((FC_Desde=0)*(AN$16+AN$15)+(FC_Desde&gt;=1)*(AN$14&gt;=FC_Desde)*AN$15)*FC_IVA/(1+FC_IVA))</f>
        <v>1640.1514</v>
      </c>
      <c r="AO65" s="34" t="n">
        <f aca="false">SUMPRODUCT(FC_O*((FC_Mon="PYG")*AO$19+(FC_Mon&lt;&gt;"PYG"))*(1+FC_g)^(AO$17-1)*((FC_Desde=0)*(AO$16+AO$15)+(FC_Desde&gt;=1)*(AO$14&gt;=FC_Desde)*AO$15)*FC_IVA/(1+FC_IVA))</f>
        <v>1640.1514</v>
      </c>
      <c r="AP65" s="34" t="n">
        <f aca="false">SUMPRODUCT(FC_O*((FC_Mon="PYG")*AP$19+(FC_Mon&lt;&gt;"PYG"))*(1+FC_g)^(AP$17-1)*((FC_Desde=0)*(AP$16+AP$15)+(FC_Desde&gt;=1)*(AP$14&gt;=FC_Desde)*AP$15)*FC_IVA/(1+FC_IVA))</f>
        <v>1689.355942</v>
      </c>
      <c r="AQ65" s="34" t="n">
        <f aca="false">SUMPRODUCT(FC_O*((FC_Mon="PYG")*AQ$19+(FC_Mon&lt;&gt;"PYG"))*(1+FC_g)^(AQ$17-1)*((FC_Desde=0)*(AQ$16+AQ$15)+(FC_Desde&gt;=1)*(AQ$14&gt;=FC_Desde)*AQ$15)*FC_IVA/(1+FC_IVA))</f>
        <v>1689.355942</v>
      </c>
      <c r="AR65" s="34" t="n">
        <f aca="false">SUMPRODUCT(FC_O*((FC_Mon="PYG")*AR$19+(FC_Mon&lt;&gt;"PYG"))*(1+FC_g)^(AR$17-1)*((FC_Desde=0)*(AR$16+AR$15)+(FC_Desde&gt;=1)*(AR$14&gt;=FC_Desde)*AR$15)*FC_IVA/(1+FC_IVA))</f>
        <v>1689.355942</v>
      </c>
      <c r="AS65" s="34" t="n">
        <f aca="false">SUMPRODUCT(FC_O*((FC_Mon="PYG")*AS$19+(FC_Mon&lt;&gt;"PYG"))*(1+FC_g)^(AS$17-1)*((FC_Desde=0)*(AS$16+AS$15)+(FC_Desde&gt;=1)*(AS$14&gt;=FC_Desde)*AS$15)*FC_IVA/(1+FC_IVA))</f>
        <v>1689.355942</v>
      </c>
      <c r="AT65" s="34" t="n">
        <f aca="false">SUMPRODUCT(FC_O*((FC_Mon="PYG")*AT$19+(FC_Mon&lt;&gt;"PYG"))*(1+FC_g)^(AT$17-1)*((FC_Desde=0)*(AT$16+AT$15)+(FC_Desde&gt;=1)*(AT$14&gt;=FC_Desde)*AT$15)*FC_IVA/(1+FC_IVA))</f>
        <v>1689.355942</v>
      </c>
      <c r="AU65" s="34" t="n">
        <f aca="false">SUMPRODUCT(FC_O*((FC_Mon="PYG")*AU$19+(FC_Mon&lt;&gt;"PYG"))*(1+FC_g)^(AU$17-1)*((FC_Desde=0)*(AU$16+AU$15)+(FC_Desde&gt;=1)*(AU$14&gt;=FC_Desde)*AU$15)*FC_IVA/(1+FC_IVA))</f>
        <v>1689.355942</v>
      </c>
      <c r="AV65" s="34" t="n">
        <f aca="false">SUMPRODUCT(FC_O*((FC_Mon="PYG")*AV$19+(FC_Mon&lt;&gt;"PYG"))*(1+FC_g)^(AV$17-1)*((FC_Desde=0)*(AV$16+AV$15)+(FC_Desde&gt;=1)*(AV$14&gt;=FC_Desde)*AV$15)*FC_IVA/(1+FC_IVA))</f>
        <v>1689.355942</v>
      </c>
      <c r="AW65" s="34" t="n">
        <f aca="false">SUMPRODUCT(FC_O*((FC_Mon="PYG")*AW$19+(FC_Mon&lt;&gt;"PYG"))*(1+FC_g)^(AW$17-1)*((FC_Desde=0)*(AW$16+AW$15)+(FC_Desde&gt;=1)*(AW$14&gt;=FC_Desde)*AW$15)*FC_IVA/(1+FC_IVA))</f>
        <v>1689.355942</v>
      </c>
      <c r="AX65" s="34" t="n">
        <f aca="false">SUMPRODUCT(FC_O*((FC_Mon="PYG")*AX$19+(FC_Mon&lt;&gt;"PYG"))*(1+FC_g)^(AX$17-1)*((FC_Desde=0)*(AX$16+AX$15)+(FC_Desde&gt;=1)*(AX$14&gt;=FC_Desde)*AX$15)*FC_IVA/(1+FC_IVA))</f>
        <v>1689.355942</v>
      </c>
      <c r="AY65" s="34" t="n">
        <f aca="false">SUMPRODUCT(FC_O*((FC_Mon="PYG")*AY$19+(FC_Mon&lt;&gt;"PYG"))*(1+FC_g)^(AY$17-1)*((FC_Desde=0)*(AY$16+AY$15)+(FC_Desde&gt;=1)*(AY$14&gt;=FC_Desde)*AY$15)*FC_IVA/(1+FC_IVA))</f>
        <v>1689.355942</v>
      </c>
      <c r="AZ65" s="34" t="n">
        <f aca="false">SUMPRODUCT(FC_O*((FC_Mon="PYG")*AZ$19+(FC_Mon&lt;&gt;"PYG"))*(1+FC_g)^(AZ$17-1)*((FC_Desde=0)*(AZ$16+AZ$15)+(FC_Desde&gt;=1)*(AZ$14&gt;=FC_Desde)*AZ$15)*FC_IVA/(1+FC_IVA))</f>
        <v>1689.355942</v>
      </c>
      <c r="BA65" s="34" t="n">
        <f aca="false">SUMPRODUCT(FC_O*((FC_Mon="PYG")*BA$19+(FC_Mon&lt;&gt;"PYG"))*(1+FC_g)^(BA$17-1)*((FC_Desde=0)*(BA$16+BA$15)+(FC_Desde&gt;=1)*(BA$14&gt;=FC_Desde)*BA$15)*FC_IVA/(1+FC_IVA))</f>
        <v>1689.355942</v>
      </c>
      <c r="BB65" s="34" t="n">
        <f aca="false">SUMPRODUCT(FC_O*((FC_Mon="PYG")*BB$19+(FC_Mon&lt;&gt;"PYG"))*(1+FC_g)^(BB$17-1)*((FC_Desde=0)*(BB$16+BB$15)+(FC_Desde&gt;=1)*(BB$14&gt;=FC_Desde)*BB$15)*FC_IVA/(1+FC_IVA))</f>
        <v>1740.03662026</v>
      </c>
      <c r="BC65" s="34" t="n">
        <f aca="false">SUMPRODUCT(FC_O*((FC_Mon="PYG")*BC$19+(FC_Mon&lt;&gt;"PYG"))*(1+FC_g)^(BC$17-1)*((FC_Desde=0)*(BC$16+BC$15)+(FC_Desde&gt;=1)*(BC$14&gt;=FC_Desde)*BC$15)*FC_IVA/(1+FC_IVA))</f>
        <v>1740.03662026</v>
      </c>
      <c r="BD65" s="34" t="n">
        <f aca="false">SUMPRODUCT(FC_O*((FC_Mon="PYG")*BD$19+(FC_Mon&lt;&gt;"PYG"))*(1+FC_g)^(BD$17-1)*((FC_Desde=0)*(BD$16+BD$15)+(FC_Desde&gt;=1)*(BD$14&gt;=FC_Desde)*BD$15)*FC_IVA/(1+FC_IVA))</f>
        <v>1740.03662026</v>
      </c>
      <c r="BE65" s="34" t="n">
        <f aca="false">SUMPRODUCT(FC_O*((FC_Mon="PYG")*BE$19+(FC_Mon&lt;&gt;"PYG"))*(1+FC_g)^(BE$17-1)*((FC_Desde=0)*(BE$16+BE$15)+(FC_Desde&gt;=1)*(BE$14&gt;=FC_Desde)*BE$15)*FC_IVA/(1+FC_IVA))</f>
        <v>1740.03662026</v>
      </c>
      <c r="BF65" s="34" t="n">
        <f aca="false">SUMPRODUCT(FC_O*((FC_Mon="PYG")*BF$19+(FC_Mon&lt;&gt;"PYG"))*(1+FC_g)^(BF$17-1)*((FC_Desde=0)*(BF$16+BF$15)+(FC_Desde&gt;=1)*(BF$14&gt;=FC_Desde)*BF$15)*FC_IVA/(1+FC_IVA))</f>
        <v>1740.03662026</v>
      </c>
      <c r="BG65" s="34" t="n">
        <f aca="false">SUMPRODUCT(FC_O*((FC_Mon="PYG")*BG$19+(FC_Mon&lt;&gt;"PYG"))*(1+FC_g)^(BG$17-1)*((FC_Desde=0)*(BG$16+BG$15)+(FC_Desde&gt;=1)*(BG$14&gt;=FC_Desde)*BG$15)*FC_IVA/(1+FC_IVA))</f>
        <v>1740.03662026</v>
      </c>
      <c r="BH65" s="34" t="n">
        <f aca="false">SUMPRODUCT(FC_O*((FC_Mon="PYG")*BH$19+(FC_Mon&lt;&gt;"PYG"))*(1+FC_g)^(BH$17-1)*((FC_Desde=0)*(BH$16+BH$15)+(FC_Desde&gt;=1)*(BH$14&gt;=FC_Desde)*BH$15)*FC_IVA/(1+FC_IVA))</f>
        <v>1740.03662026</v>
      </c>
      <c r="BI65" s="34" t="n">
        <f aca="false">SUMPRODUCT(FC_O*((FC_Mon="PYG")*BI$19+(FC_Mon&lt;&gt;"PYG"))*(1+FC_g)^(BI$17-1)*((FC_Desde=0)*(BI$16+BI$15)+(FC_Desde&gt;=1)*(BI$14&gt;=FC_Desde)*BI$15)*FC_IVA/(1+FC_IVA))</f>
        <v>1740.03662026</v>
      </c>
      <c r="BJ65" s="34" t="n">
        <f aca="false">SUMPRODUCT(FC_O*((FC_Mon="PYG")*BJ$19+(FC_Mon&lt;&gt;"PYG"))*(1+FC_g)^(BJ$17-1)*((FC_Desde=0)*(BJ$16+BJ$15)+(FC_Desde&gt;=1)*(BJ$14&gt;=FC_Desde)*BJ$15)*FC_IVA/(1+FC_IVA))</f>
        <v>1740.03662026</v>
      </c>
      <c r="BK65" s="34" t="n">
        <f aca="false">SUMPRODUCT(FC_O*((FC_Mon="PYG")*BK$19+(FC_Mon&lt;&gt;"PYG"))*(1+FC_g)^(BK$17-1)*((FC_Desde=0)*(BK$16+BK$15)+(FC_Desde&gt;=1)*(BK$14&gt;=FC_Desde)*BK$15)*FC_IVA/(1+FC_IVA))</f>
        <v>1740.03662026</v>
      </c>
      <c r="BL65" s="34" t="n">
        <f aca="false">SUMPRODUCT(FC_O*((FC_Mon="PYG")*BL$19+(FC_Mon&lt;&gt;"PYG"))*(1+FC_g)^(BL$17-1)*((FC_Desde=0)*(BL$16+BL$15)+(FC_Desde&gt;=1)*(BL$14&gt;=FC_Desde)*BL$15)*FC_IVA/(1+FC_IVA))</f>
        <v>1740.03662026</v>
      </c>
      <c r="BM65" s="34" t="n">
        <f aca="false">SUMPRODUCT(FC_O*((FC_Mon="PYG")*BM$19+(FC_Mon&lt;&gt;"PYG"))*(1+FC_g)^(BM$17-1)*((FC_Desde=0)*(BM$16+BM$15)+(FC_Desde&gt;=1)*(BM$14&gt;=FC_Desde)*BM$15)*FC_IVA/(1+FC_IVA))</f>
        <v>1740.03662026</v>
      </c>
      <c r="BN65" s="34" t="n">
        <f aca="false">SUMPRODUCT(FC_O*((FC_Mon="PYG")*BN$19+(FC_Mon&lt;&gt;"PYG"))*(1+FC_g)^(BN$17-1)*((FC_Desde=0)*(BN$16+BN$15)+(FC_Desde&gt;=1)*(BN$14&gt;=FC_Desde)*BN$15)*FC_IVA/(1+FC_IVA))</f>
        <v>1792.2377188678</v>
      </c>
      <c r="BO65" s="34" t="n">
        <f aca="false">SUMPRODUCT(FC_O*((FC_Mon="PYG")*BO$19+(FC_Mon&lt;&gt;"PYG"))*(1+FC_g)^(BO$17-1)*((FC_Desde=0)*(BO$16+BO$15)+(FC_Desde&gt;=1)*(BO$14&gt;=FC_Desde)*BO$15)*FC_IVA/(1+FC_IVA))</f>
        <v>1792.2377188678</v>
      </c>
      <c r="BP65" s="34" t="n">
        <f aca="false">SUMPRODUCT(FC_O*((FC_Mon="PYG")*BP$19+(FC_Mon&lt;&gt;"PYG"))*(1+FC_g)^(BP$17-1)*((FC_Desde=0)*(BP$16+BP$15)+(FC_Desde&gt;=1)*(BP$14&gt;=FC_Desde)*BP$15)*FC_IVA/(1+FC_IVA))</f>
        <v>1792.2377188678</v>
      </c>
      <c r="BQ65" s="34" t="n">
        <f aca="false">SUMPRODUCT(FC_O*((FC_Mon="PYG")*BQ$19+(FC_Mon&lt;&gt;"PYG"))*(1+FC_g)^(BQ$17-1)*((FC_Desde=0)*(BQ$16+BQ$15)+(FC_Desde&gt;=1)*(BQ$14&gt;=FC_Desde)*BQ$15)*FC_IVA/(1+FC_IVA))</f>
        <v>1792.2377188678</v>
      </c>
      <c r="BR65" s="34" t="n">
        <f aca="false">SUMPRODUCT(FC_O*((FC_Mon="PYG")*BR$19+(FC_Mon&lt;&gt;"PYG"))*(1+FC_g)^(BR$17-1)*((FC_Desde=0)*(BR$16+BR$15)+(FC_Desde&gt;=1)*(BR$14&gt;=FC_Desde)*BR$15)*FC_IVA/(1+FC_IVA))</f>
        <v>1792.2377188678</v>
      </c>
      <c r="BS65" s="34" t="n">
        <f aca="false">SUMPRODUCT(FC_O*((FC_Mon="PYG")*BS$19+(FC_Mon&lt;&gt;"PYG"))*(1+FC_g)^(BS$17-1)*((FC_Desde=0)*(BS$16+BS$15)+(FC_Desde&gt;=1)*(BS$14&gt;=FC_Desde)*BS$15)*FC_IVA/(1+FC_IVA))</f>
        <v>1792.2377188678</v>
      </c>
      <c r="BT65" s="34" t="n">
        <f aca="false">SUMPRODUCT(FC_O*((FC_Mon="PYG")*BT$19+(FC_Mon&lt;&gt;"PYG"))*(1+FC_g)^(BT$17-1)*((FC_Desde=0)*(BT$16+BT$15)+(FC_Desde&gt;=1)*(BT$14&gt;=FC_Desde)*BT$15)*FC_IVA/(1+FC_IVA))</f>
        <v>1792.2377188678</v>
      </c>
      <c r="BU65" s="34" t="n">
        <f aca="false">SUMPRODUCT(FC_O*((FC_Mon="PYG")*BU$19+(FC_Mon&lt;&gt;"PYG"))*(1+FC_g)^(BU$17-1)*((FC_Desde=0)*(BU$16+BU$15)+(FC_Desde&gt;=1)*(BU$14&gt;=FC_Desde)*BU$15)*FC_IVA/(1+FC_IVA))</f>
        <v>1792.2377188678</v>
      </c>
      <c r="BV65" s="34" t="n">
        <f aca="false">SUMPRODUCT(FC_O*((FC_Mon="PYG")*BV$19+(FC_Mon&lt;&gt;"PYG"))*(1+FC_g)^(BV$17-1)*((FC_Desde=0)*(BV$16+BV$15)+(FC_Desde&gt;=1)*(BV$14&gt;=FC_Desde)*BV$15)*FC_IVA/(1+FC_IVA))</f>
        <v>1792.2377188678</v>
      </c>
      <c r="BW65" s="34" t="n">
        <f aca="false">SUMPRODUCT(FC_O*((FC_Mon="PYG")*BW$19+(FC_Mon&lt;&gt;"PYG"))*(1+FC_g)^(BW$17-1)*((FC_Desde=0)*(BW$16+BW$15)+(FC_Desde&gt;=1)*(BW$14&gt;=FC_Desde)*BW$15)*FC_IVA/(1+FC_IVA))</f>
        <v>1792.2377188678</v>
      </c>
      <c r="BX65" s="34" t="n">
        <f aca="false">SUMPRODUCT(FC_O*((FC_Mon="PYG")*BX$19+(FC_Mon&lt;&gt;"PYG"))*(1+FC_g)^(BX$17-1)*((FC_Desde=0)*(BX$16+BX$15)+(FC_Desde&gt;=1)*(BX$14&gt;=FC_Desde)*BX$15)*FC_IVA/(1+FC_IVA))</f>
        <v>1792.2377188678</v>
      </c>
      <c r="BY65" s="34" t="n">
        <f aca="false">SUMPRODUCT(FC_O*((FC_Mon="PYG")*BY$19+(FC_Mon&lt;&gt;"PYG"))*(1+FC_g)^(BY$17-1)*((FC_Desde=0)*(BY$16+BY$15)+(FC_Desde&gt;=1)*(BY$14&gt;=FC_Desde)*BY$15)*FC_IVA/(1+FC_IVA))</f>
        <v>1792.2377188678</v>
      </c>
      <c r="BZ65" s="34" t="n">
        <f aca="false">SUMPRODUCT(FC_O*((FC_Mon="PYG")*BZ$19+(FC_Mon&lt;&gt;"PYG"))*(1+FC_g)^(BZ$17-1)*((FC_Desde=0)*(BZ$16+BZ$15)+(FC_Desde&gt;=1)*(BZ$14&gt;=FC_Desde)*BZ$15)*FC_IVA/(1+FC_IVA))</f>
        <v>1846.00485043383</v>
      </c>
      <c r="CA65" s="34" t="n">
        <f aca="false">SUMPRODUCT(FC_O*((FC_Mon="PYG")*CA$19+(FC_Mon&lt;&gt;"PYG"))*(1+FC_g)^(CA$17-1)*((FC_Desde=0)*(CA$16+CA$15)+(FC_Desde&gt;=1)*(CA$14&gt;=FC_Desde)*CA$15)*FC_IVA/(1+FC_IVA))</f>
        <v>1846.00485043383</v>
      </c>
      <c r="CB65" s="34" t="n">
        <f aca="false">SUMPRODUCT(FC_O*((FC_Mon="PYG")*CB$19+(FC_Mon&lt;&gt;"PYG"))*(1+FC_g)^(CB$17-1)*((FC_Desde=0)*(CB$16+CB$15)+(FC_Desde&gt;=1)*(CB$14&gt;=FC_Desde)*CB$15)*FC_IVA/(1+FC_IVA))</f>
        <v>1846.00485043383</v>
      </c>
      <c r="CC65" s="34" t="n">
        <f aca="false">SUMPRODUCT(FC_O*((FC_Mon="PYG")*CC$19+(FC_Mon&lt;&gt;"PYG"))*(1+FC_g)^(CC$17-1)*((FC_Desde=0)*(CC$16+CC$15)+(FC_Desde&gt;=1)*(CC$14&gt;=FC_Desde)*CC$15)*FC_IVA/(1+FC_IVA))</f>
        <v>1846.00485043383</v>
      </c>
      <c r="CD65" s="34" t="n">
        <f aca="false">SUMPRODUCT(FC_O*((FC_Mon="PYG")*CD$19+(FC_Mon&lt;&gt;"PYG"))*(1+FC_g)^(CD$17-1)*((FC_Desde=0)*(CD$16+CD$15)+(FC_Desde&gt;=1)*(CD$14&gt;=FC_Desde)*CD$15)*FC_IVA/(1+FC_IVA))</f>
        <v>1846.00485043383</v>
      </c>
      <c r="CE65" s="34" t="n">
        <f aca="false">SUMPRODUCT(FC_O*((FC_Mon="PYG")*CE$19+(FC_Mon&lt;&gt;"PYG"))*(1+FC_g)^(CE$17-1)*((FC_Desde=0)*(CE$16+CE$15)+(FC_Desde&gt;=1)*(CE$14&gt;=FC_Desde)*CE$15)*FC_IVA/(1+FC_IVA))</f>
        <v>1846.00485043383</v>
      </c>
      <c r="CF65" s="34" t="n">
        <f aca="false">SUMPRODUCT(FC_O*((FC_Mon="PYG")*CF$19+(FC_Mon&lt;&gt;"PYG"))*(1+FC_g)^(CF$17-1)*((FC_Desde=0)*(CF$16+CF$15)+(FC_Desde&gt;=1)*(CF$14&gt;=FC_Desde)*CF$15)*FC_IVA/(1+FC_IVA))</f>
        <v>1846.00485043383</v>
      </c>
      <c r="CG65" s="34" t="n">
        <f aca="false">SUMPRODUCT(FC_O*((FC_Mon="PYG")*CG$19+(FC_Mon&lt;&gt;"PYG"))*(1+FC_g)^(CG$17-1)*((FC_Desde=0)*(CG$16+CG$15)+(FC_Desde&gt;=1)*(CG$14&gt;=FC_Desde)*CG$15)*FC_IVA/(1+FC_IVA))</f>
        <v>1846.00485043383</v>
      </c>
      <c r="CH65" s="34" t="n">
        <f aca="false">SUMPRODUCT(FC_O*((FC_Mon="PYG")*CH$19+(FC_Mon&lt;&gt;"PYG"))*(1+FC_g)^(CH$17-1)*((FC_Desde=0)*(CH$16+CH$15)+(FC_Desde&gt;=1)*(CH$14&gt;=FC_Desde)*CH$15)*FC_IVA/(1+FC_IVA))</f>
        <v>1846.00485043383</v>
      </c>
      <c r="CI65" s="34" t="n">
        <f aca="false">SUMPRODUCT(FC_O*((FC_Mon="PYG")*CI$19+(FC_Mon&lt;&gt;"PYG"))*(1+FC_g)^(CI$17-1)*((FC_Desde=0)*(CI$16+CI$15)+(FC_Desde&gt;=1)*(CI$14&gt;=FC_Desde)*CI$15)*FC_IVA/(1+FC_IVA))</f>
        <v>1846.00485043383</v>
      </c>
      <c r="CJ65" s="34" t="n">
        <f aca="false">SUMPRODUCT(FC_O*((FC_Mon="PYG")*CJ$19+(FC_Mon&lt;&gt;"PYG"))*(1+FC_g)^(CJ$17-1)*((FC_Desde=0)*(CJ$16+CJ$15)+(FC_Desde&gt;=1)*(CJ$14&gt;=FC_Desde)*CJ$15)*FC_IVA/(1+FC_IVA))</f>
        <v>1846.00485043383</v>
      </c>
      <c r="CK65" s="34" t="n">
        <f aca="false">SUMPRODUCT(FC_O*((FC_Mon="PYG")*CK$19+(FC_Mon&lt;&gt;"PYG"))*(1+FC_g)^(CK$17-1)*((FC_Desde=0)*(CK$16+CK$15)+(FC_Desde&gt;=1)*(CK$14&gt;=FC_Desde)*CK$15)*FC_IVA/(1+FC_IVA))</f>
        <v>1846.00485043383</v>
      </c>
      <c r="CL65" s="34" t="n">
        <f aca="false">SUMPRODUCT(FC_O*((FC_Mon="PYG")*CL$19+(FC_Mon&lt;&gt;"PYG"))*(1+FC_g)^(CL$17-1)*((FC_Desde=0)*(CL$16+CL$15)+(FC_Desde&gt;=1)*(CL$14&gt;=FC_Desde)*CL$15)*FC_IVA/(1+FC_IVA))</f>
        <v>1901.38499594685</v>
      </c>
      <c r="CM65" s="34" t="n">
        <f aca="false">SUMPRODUCT(FC_O*((FC_Mon="PYG")*CM$19+(FC_Mon&lt;&gt;"PYG"))*(1+FC_g)^(CM$17-1)*((FC_Desde=0)*(CM$16+CM$15)+(FC_Desde&gt;=1)*(CM$14&gt;=FC_Desde)*CM$15)*FC_IVA/(1+FC_IVA))</f>
        <v>1901.38499594685</v>
      </c>
      <c r="CN65" s="34" t="n">
        <f aca="false">SUMPRODUCT(FC_O*((FC_Mon="PYG")*CN$19+(FC_Mon&lt;&gt;"PYG"))*(1+FC_g)^(CN$17-1)*((FC_Desde=0)*(CN$16+CN$15)+(FC_Desde&gt;=1)*(CN$14&gt;=FC_Desde)*CN$15)*FC_IVA/(1+FC_IVA))</f>
        <v>1901.38499594685</v>
      </c>
      <c r="CO65" s="34" t="n">
        <f aca="false">SUMPRODUCT(FC_O*((FC_Mon="PYG")*CO$19+(FC_Mon&lt;&gt;"PYG"))*(1+FC_g)^(CO$17-1)*((FC_Desde=0)*(CO$16+CO$15)+(FC_Desde&gt;=1)*(CO$14&gt;=FC_Desde)*CO$15)*FC_IVA/(1+FC_IVA))</f>
        <v>1901.38499594685</v>
      </c>
      <c r="CP65" s="34" t="n">
        <f aca="false">SUMPRODUCT(FC_O*((FC_Mon="PYG")*CP$19+(FC_Mon&lt;&gt;"PYG"))*(1+FC_g)^(CP$17-1)*((FC_Desde=0)*(CP$16+CP$15)+(FC_Desde&gt;=1)*(CP$14&gt;=FC_Desde)*CP$15)*FC_IVA/(1+FC_IVA))</f>
        <v>1901.38499594685</v>
      </c>
      <c r="CQ65" s="34" t="n">
        <f aca="false">SUMPRODUCT(FC_O*((FC_Mon="PYG")*CQ$19+(FC_Mon&lt;&gt;"PYG"))*(1+FC_g)^(CQ$17-1)*((FC_Desde=0)*(CQ$16+CQ$15)+(FC_Desde&gt;=1)*(CQ$14&gt;=FC_Desde)*CQ$15)*FC_IVA/(1+FC_IVA))</f>
        <v>1901.38499594685</v>
      </c>
      <c r="CR65" s="34" t="n">
        <f aca="false">SUMPRODUCT(FC_O*((FC_Mon="PYG")*CR$19+(FC_Mon&lt;&gt;"PYG"))*(1+FC_g)^(CR$17-1)*((FC_Desde=0)*(CR$16+CR$15)+(FC_Desde&gt;=1)*(CR$14&gt;=FC_Desde)*CR$15)*FC_IVA/(1+FC_IVA))</f>
        <v>1901.38499594685</v>
      </c>
      <c r="CS65" s="34" t="n">
        <f aca="false">SUMPRODUCT(FC_O*((FC_Mon="PYG")*CS$19+(FC_Mon&lt;&gt;"PYG"))*(1+FC_g)^(CS$17-1)*((FC_Desde=0)*(CS$16+CS$15)+(FC_Desde&gt;=1)*(CS$14&gt;=FC_Desde)*CS$15)*FC_IVA/(1+FC_IVA))</f>
        <v>1901.38499594685</v>
      </c>
      <c r="CT65" s="34" t="n">
        <f aca="false">SUMPRODUCT(FC_O*((FC_Mon="PYG")*CT$19+(FC_Mon&lt;&gt;"PYG"))*(1+FC_g)^(CT$17-1)*((FC_Desde=0)*(CT$16+CT$15)+(FC_Desde&gt;=1)*(CT$14&gt;=FC_Desde)*CT$15)*FC_IVA/(1+FC_IVA))</f>
        <v>1901.38499594685</v>
      </c>
      <c r="CU65" s="34" t="n">
        <f aca="false">SUMPRODUCT(FC_O*((FC_Mon="PYG")*CU$19+(FC_Mon&lt;&gt;"PYG"))*(1+FC_g)^(CU$17-1)*((FC_Desde=0)*(CU$16+CU$15)+(FC_Desde&gt;=1)*(CU$14&gt;=FC_Desde)*CU$15)*FC_IVA/(1+FC_IVA))</f>
        <v>1901.38499594685</v>
      </c>
      <c r="CV65" s="34" t="n">
        <f aca="false">SUMPRODUCT(FC_O*((FC_Mon="PYG")*CV$19+(FC_Mon&lt;&gt;"PYG"))*(1+FC_g)^(CV$17-1)*((FC_Desde=0)*(CV$16+CV$15)+(FC_Desde&gt;=1)*(CV$14&gt;=FC_Desde)*CV$15)*FC_IVA/(1+FC_IVA))</f>
        <v>1901.38499594685</v>
      </c>
      <c r="CW65" s="34" t="n">
        <f aca="false">SUMPRODUCT(FC_O*((FC_Mon="PYG")*CW$19+(FC_Mon&lt;&gt;"PYG"))*(1+FC_g)^(CW$17-1)*((FC_Desde=0)*(CW$16+CW$15)+(FC_Desde&gt;=1)*(CW$14&gt;=FC_Desde)*CW$15)*FC_IVA/(1+FC_IVA))</f>
        <v>1901.38499594685</v>
      </c>
      <c r="CX65" s="34" t="n">
        <f aca="false">SUMPRODUCT(FC_O*((FC_Mon="PYG")*CX$19+(FC_Mon&lt;&gt;"PYG"))*(1+FC_g)^(CX$17-1)*((FC_Desde=0)*(CX$16+CX$15)+(FC_Desde&gt;=1)*(CX$14&gt;=FC_Desde)*CX$15)*FC_IVA/(1+FC_IVA))</f>
        <v>1958.42654582525</v>
      </c>
      <c r="CY65" s="34" t="n">
        <f aca="false">SUMPRODUCT(FC_O*((FC_Mon="PYG")*CY$19+(FC_Mon&lt;&gt;"PYG"))*(1+FC_g)^(CY$17-1)*((FC_Desde=0)*(CY$16+CY$15)+(FC_Desde&gt;=1)*(CY$14&gt;=FC_Desde)*CY$15)*FC_IVA/(1+FC_IVA))</f>
        <v>1958.42654582525</v>
      </c>
      <c r="CZ65" s="34" t="n">
        <f aca="false">SUMPRODUCT(FC_O*((FC_Mon="PYG")*CZ$19+(FC_Mon&lt;&gt;"PYG"))*(1+FC_g)^(CZ$17-1)*((FC_Desde=0)*(CZ$16+CZ$15)+(FC_Desde&gt;=1)*(CZ$14&gt;=FC_Desde)*CZ$15)*FC_IVA/(1+FC_IVA))</f>
        <v>1958.42654582525</v>
      </c>
      <c r="DA65" s="34" t="n">
        <f aca="false">SUMPRODUCT(FC_O*((FC_Mon="PYG")*DA$19+(FC_Mon&lt;&gt;"PYG"))*(1+FC_g)^(DA$17-1)*((FC_Desde=0)*(DA$16+DA$15)+(FC_Desde&gt;=1)*(DA$14&gt;=FC_Desde)*DA$15)*FC_IVA/(1+FC_IVA))</f>
        <v>1958.42654582525</v>
      </c>
      <c r="DB65" s="34" t="n">
        <f aca="false">SUMPRODUCT(FC_O*((FC_Mon="PYG")*DB$19+(FC_Mon&lt;&gt;"PYG"))*(1+FC_g)^(DB$17-1)*((FC_Desde=0)*(DB$16+DB$15)+(FC_Desde&gt;=1)*(DB$14&gt;=FC_Desde)*DB$15)*FC_IVA/(1+FC_IVA))</f>
        <v>1958.42654582525</v>
      </c>
      <c r="DC65" s="34" t="n">
        <f aca="false">SUMPRODUCT(FC_O*((FC_Mon="PYG")*DC$19+(FC_Mon&lt;&gt;"PYG"))*(1+FC_g)^(DC$17-1)*((FC_Desde=0)*(DC$16+DC$15)+(FC_Desde&gt;=1)*(DC$14&gt;=FC_Desde)*DC$15)*FC_IVA/(1+FC_IVA))</f>
        <v>1958.42654582525</v>
      </c>
      <c r="DD65" s="34" t="n">
        <f aca="false">SUMPRODUCT(FC_O*((FC_Mon="PYG")*DD$19+(FC_Mon&lt;&gt;"PYG"))*(1+FC_g)^(DD$17-1)*((FC_Desde=0)*(DD$16+DD$15)+(FC_Desde&gt;=1)*(DD$14&gt;=FC_Desde)*DD$15)*FC_IVA/(1+FC_IVA))</f>
        <v>1958.42654582525</v>
      </c>
      <c r="DE65" s="34" t="n">
        <f aca="false">SUMPRODUCT(FC_O*((FC_Mon="PYG")*DE$19+(FC_Mon&lt;&gt;"PYG"))*(1+FC_g)^(DE$17-1)*((FC_Desde=0)*(DE$16+DE$15)+(FC_Desde&gt;=1)*(DE$14&gt;=FC_Desde)*DE$15)*FC_IVA/(1+FC_IVA))</f>
        <v>1958.42654582525</v>
      </c>
      <c r="DF65" s="34" t="n">
        <f aca="false">SUMPRODUCT(FC_O*((FC_Mon="PYG")*DF$19+(FC_Mon&lt;&gt;"PYG"))*(1+FC_g)^(DF$17-1)*((FC_Desde=0)*(DF$16+DF$15)+(FC_Desde&gt;=1)*(DF$14&gt;=FC_Desde)*DF$15)*FC_IVA/(1+FC_IVA))</f>
        <v>1958.42654582525</v>
      </c>
      <c r="DG65" s="34" t="n">
        <f aca="false">SUMPRODUCT(FC_O*((FC_Mon="PYG")*DG$19+(FC_Mon&lt;&gt;"PYG"))*(1+FC_g)^(DG$17-1)*((FC_Desde=0)*(DG$16+DG$15)+(FC_Desde&gt;=1)*(DG$14&gt;=FC_Desde)*DG$15)*FC_IVA/(1+FC_IVA))</f>
        <v>1958.42654582525</v>
      </c>
      <c r="DH65" s="34" t="n">
        <f aca="false">SUMPRODUCT(FC_O*((FC_Mon="PYG")*DH$19+(FC_Mon&lt;&gt;"PYG"))*(1+FC_g)^(DH$17-1)*((FC_Desde=0)*(DH$16+DH$15)+(FC_Desde&gt;=1)*(DH$14&gt;=FC_Desde)*DH$15)*FC_IVA/(1+FC_IVA))</f>
        <v>1958.42654582525</v>
      </c>
      <c r="DI65" s="34" t="n">
        <f aca="false">SUMPRODUCT(FC_O*((FC_Mon="PYG")*DI$19+(FC_Mon&lt;&gt;"PYG"))*(1+FC_g)^(DI$17-1)*((FC_Desde=0)*(DI$16+DI$15)+(FC_Desde&gt;=1)*(DI$14&gt;=FC_Desde)*DI$15)*FC_IVA/(1+FC_IVA))</f>
        <v>1958.42654582525</v>
      </c>
      <c r="DJ65" s="34" t="n">
        <f aca="false">SUMPRODUCT(FC_O*((FC_Mon="PYG")*DJ$19+(FC_Mon&lt;&gt;"PYG"))*(1+FC_g)^(DJ$17-1)*((FC_Desde=0)*(DJ$16+DJ$15)+(FC_Desde&gt;=1)*(DJ$14&gt;=FC_Desde)*DJ$15)*FC_IVA/(1+FC_IVA))</f>
        <v>2017.17934220001</v>
      </c>
      <c r="DK65" s="34" t="n">
        <f aca="false">SUMPRODUCT(FC_O*((FC_Mon="PYG")*DK$19+(FC_Mon&lt;&gt;"PYG"))*(1+FC_g)^(DK$17-1)*((FC_Desde=0)*(DK$16+DK$15)+(FC_Desde&gt;=1)*(DK$14&gt;=FC_Desde)*DK$15)*FC_IVA/(1+FC_IVA))</f>
        <v>2017.17934220001</v>
      </c>
      <c r="DL65" s="34" t="n">
        <f aca="false">SUMPRODUCT(FC_O*((FC_Mon="PYG")*DL$19+(FC_Mon&lt;&gt;"PYG"))*(1+FC_g)^(DL$17-1)*((FC_Desde=0)*(DL$16+DL$15)+(FC_Desde&gt;=1)*(DL$14&gt;=FC_Desde)*DL$15)*FC_IVA/(1+FC_IVA))</f>
        <v>2017.17934220001</v>
      </c>
      <c r="DM65" s="34" t="n">
        <f aca="false">SUMPRODUCT(FC_O*((FC_Mon="PYG")*DM$19+(FC_Mon&lt;&gt;"PYG"))*(1+FC_g)^(DM$17-1)*((FC_Desde=0)*(DM$16+DM$15)+(FC_Desde&gt;=1)*(DM$14&gt;=FC_Desde)*DM$15)*FC_IVA/(1+FC_IVA))</f>
        <v>2017.17934220001</v>
      </c>
      <c r="DN65" s="34" t="n">
        <f aca="false">SUMPRODUCT(FC_O*((FC_Mon="PYG")*DN$19+(FC_Mon&lt;&gt;"PYG"))*(1+FC_g)^(DN$17-1)*((FC_Desde=0)*(DN$16+DN$15)+(FC_Desde&gt;=1)*(DN$14&gt;=FC_Desde)*DN$15)*FC_IVA/(1+FC_IVA))</f>
        <v>2017.17934220001</v>
      </c>
      <c r="DO65" s="34" t="n">
        <f aca="false">SUMPRODUCT(FC_O*((FC_Mon="PYG")*DO$19+(FC_Mon&lt;&gt;"PYG"))*(1+FC_g)^(DO$17-1)*((FC_Desde=0)*(DO$16+DO$15)+(FC_Desde&gt;=1)*(DO$14&gt;=FC_Desde)*DO$15)*FC_IVA/(1+FC_IVA))</f>
        <v>2017.17934220001</v>
      </c>
      <c r="DP65" s="34" t="n">
        <f aca="false">SUMPRODUCT(FC_O*((FC_Mon="PYG")*DP$19+(FC_Mon&lt;&gt;"PYG"))*(1+FC_g)^(DP$17-1)*((FC_Desde=0)*(DP$16+DP$15)+(FC_Desde&gt;=1)*(DP$14&gt;=FC_Desde)*DP$15)*FC_IVA/(1+FC_IVA))</f>
        <v>2017.17934220001</v>
      </c>
      <c r="DQ65" s="34" t="n">
        <f aca="false">SUMPRODUCT(FC_O*((FC_Mon="PYG")*DQ$19+(FC_Mon&lt;&gt;"PYG"))*(1+FC_g)^(DQ$17-1)*((FC_Desde=0)*(DQ$16+DQ$15)+(FC_Desde&gt;=1)*(DQ$14&gt;=FC_Desde)*DQ$15)*FC_IVA/(1+FC_IVA))</f>
        <v>2017.17934220001</v>
      </c>
      <c r="DR65" s="34" t="n">
        <f aca="false">SUMPRODUCT(FC_O*((FC_Mon="PYG")*DR$19+(FC_Mon&lt;&gt;"PYG"))*(1+FC_g)^(DR$17-1)*((FC_Desde=0)*(DR$16+DR$15)+(FC_Desde&gt;=1)*(DR$14&gt;=FC_Desde)*DR$15)*FC_IVA/(1+FC_IVA))</f>
        <v>2017.17934220001</v>
      </c>
      <c r="DS65" s="34" t="n">
        <f aca="false">SUMPRODUCT(FC_O*((FC_Mon="PYG")*DS$19+(FC_Mon&lt;&gt;"PYG"))*(1+FC_g)^(DS$17-1)*((FC_Desde=0)*(DS$16+DS$15)+(FC_Desde&gt;=1)*(DS$14&gt;=FC_Desde)*DS$15)*FC_IVA/(1+FC_IVA))</f>
        <v>2017.17934220001</v>
      </c>
      <c r="DT65" s="34" t="n">
        <f aca="false">SUMPRODUCT(FC_O*((FC_Mon="PYG")*DT$19+(FC_Mon&lt;&gt;"PYG"))*(1+FC_g)^(DT$17-1)*((FC_Desde=0)*(DT$16+DT$15)+(FC_Desde&gt;=1)*(DT$14&gt;=FC_Desde)*DT$15)*FC_IVA/(1+FC_IVA))</f>
        <v>2017.17934220001</v>
      </c>
      <c r="DU65" s="34" t="n">
        <f aca="false">SUMPRODUCT(FC_O*((FC_Mon="PYG")*DU$19+(FC_Mon&lt;&gt;"PYG"))*(1+FC_g)^(DU$17-1)*((FC_Desde=0)*(DU$16+DU$15)+(FC_Desde&gt;=1)*(DU$14&gt;=FC_Desde)*DU$15)*FC_IVA/(1+FC_IVA))</f>
        <v>2017.17934220001</v>
      </c>
      <c r="DV65" s="34" t="n">
        <f aca="false">SUMPRODUCT(FC_O*((FC_Mon="PYG")*DV$19+(FC_Mon&lt;&gt;"PYG"))*(1+FC_g)^(DV$17-1)*((FC_Desde=0)*(DV$16+DV$15)+(FC_Desde&gt;=1)*(DV$14&gt;=FC_Desde)*DV$15)*FC_IVA/(1+FC_IVA))</f>
        <v>0</v>
      </c>
      <c r="DW65" s="34" t="n">
        <f aca="false">SUMPRODUCT(FC_O*((FC_Mon="PYG")*DW$19+(FC_Mon&lt;&gt;"PYG"))*(1+FC_g)^(DW$17-1)*((FC_Desde=0)*(DW$16+DW$15)+(FC_Desde&gt;=1)*(DW$14&gt;=FC_Desde)*DW$15)*FC_IVA/(1+FC_IVA))</f>
        <v>0</v>
      </c>
      <c r="DX65" s="34" t="n">
        <f aca="false">SUMPRODUCT(FC_O*((FC_Mon="PYG")*DX$19+(FC_Mon&lt;&gt;"PYG"))*(1+FC_g)^(DX$17-1)*((FC_Desde=0)*(DX$16+DX$15)+(FC_Desde&gt;=1)*(DX$14&gt;=FC_Desde)*DX$15)*FC_IVA/(1+FC_IVA))</f>
        <v>0</v>
      </c>
      <c r="DY65" s="34" t="n">
        <f aca="false">SUMPRODUCT(FC_O*((FC_Mon="PYG")*DY$19+(FC_Mon&lt;&gt;"PYG"))*(1+FC_g)^(DY$17-1)*((FC_Desde=0)*(DY$16+DY$15)+(FC_Desde&gt;=1)*(DY$14&gt;=FC_Desde)*DY$15)*FC_IVA/(1+FC_IVA))</f>
        <v>0</v>
      </c>
      <c r="DZ65" s="34" t="n">
        <f aca="false">SUMPRODUCT(FC_O*((FC_Mon="PYG")*DZ$19+(FC_Mon&lt;&gt;"PYG"))*(1+FC_g)^(DZ$17-1)*((FC_Desde=0)*(DZ$16+DZ$15)+(FC_Desde&gt;=1)*(DZ$14&gt;=FC_Desde)*DZ$15)*FC_IVA/(1+FC_IVA))</f>
        <v>0</v>
      </c>
      <c r="EA65" s="34" t="n">
        <f aca="false">SUMPRODUCT(FC_O*((FC_Mon="PYG")*EA$19+(FC_Mon&lt;&gt;"PYG"))*(1+FC_g)^(EA$17-1)*((FC_Desde=0)*(EA$16+EA$15)+(FC_Desde&gt;=1)*(EA$14&gt;=FC_Desde)*EA$15)*FC_IVA/(1+FC_IVA))</f>
        <v>0</v>
      </c>
      <c r="EB65" s="34" t="n">
        <f aca="false">SUMPRODUCT(FC_O*((FC_Mon="PYG")*EB$19+(FC_Mon&lt;&gt;"PYG"))*(1+FC_g)^(EB$17-1)*((FC_Desde=0)*(EB$16+EB$15)+(FC_Desde&gt;=1)*(EB$14&gt;=FC_Desde)*EB$15)*FC_IVA/(1+FC_IVA))</f>
        <v>0</v>
      </c>
      <c r="EC65" s="34" t="n">
        <f aca="false">SUMPRODUCT(FC_O*((FC_Mon="PYG")*EC$19+(FC_Mon&lt;&gt;"PYG"))*(1+FC_g)^(EC$17-1)*((FC_Desde=0)*(EC$16+EC$15)+(FC_Desde&gt;=1)*(EC$14&gt;=FC_Desde)*EC$15)*FC_IVA/(1+FC_IVA))</f>
        <v>0</v>
      </c>
      <c r="ED65" s="34" t="n">
        <f aca="false">SUMPRODUCT(FC_O*((FC_Mon="PYG")*ED$19+(FC_Mon&lt;&gt;"PYG"))*(1+FC_g)^(ED$17-1)*((FC_Desde=0)*(ED$16+ED$15)+(FC_Desde&gt;=1)*(ED$14&gt;=FC_Desde)*ED$15)*FC_IVA/(1+FC_IVA))</f>
        <v>0</v>
      </c>
      <c r="EE65" s="34" t="n">
        <f aca="false">SUMPRODUCT(FC_O*((FC_Mon="PYG")*EE$19+(FC_Mon&lt;&gt;"PYG"))*(1+FC_g)^(EE$17-1)*((FC_Desde=0)*(EE$16+EE$15)+(FC_Desde&gt;=1)*(EE$14&gt;=FC_Desde)*EE$15)*FC_IVA/(1+FC_IVA))</f>
        <v>0</v>
      </c>
      <c r="EF65" s="34" t="n">
        <f aca="false">SUMPRODUCT(FC_O*((FC_Mon="PYG")*EF$19+(FC_Mon&lt;&gt;"PYG"))*(1+FC_g)^(EF$17-1)*((FC_Desde=0)*(EF$16+EF$15)+(FC_Desde&gt;=1)*(EF$14&gt;=FC_Desde)*EF$15)*FC_IVA/(1+FC_IVA))</f>
        <v>0</v>
      </c>
      <c r="EG65" s="34" t="n">
        <f aca="false">SUMPRODUCT(FC_O*((FC_Mon="PYG")*EG$19+(FC_Mon&lt;&gt;"PYG"))*(1+FC_g)^(EG$17-1)*((FC_Desde=0)*(EG$16+EG$15)+(FC_Desde&gt;=1)*(EG$14&gt;=FC_Desde)*EG$15)*FC_IVA/(1+FC_IVA))</f>
        <v>0</v>
      </c>
      <c r="EH65" s="34" t="n">
        <f aca="false">SUMPRODUCT(FC_O*((FC_Mon="PYG")*EH$19+(FC_Mon&lt;&gt;"PYG"))*(1+FC_g)^(EH$17-1)*((FC_Desde=0)*(EH$16+EH$15)+(FC_Desde&gt;=1)*(EH$14&gt;=FC_Desde)*EH$15)*FC_IVA/(1+FC_IVA))</f>
        <v>0</v>
      </c>
      <c r="EI65" s="34" t="n">
        <f aca="false">SUMPRODUCT(FC_O*((FC_Mon="PYG")*EI$19+(FC_Mon&lt;&gt;"PYG"))*(1+FC_g)^(EI$17-1)*((FC_Desde=0)*(EI$16+EI$15)+(FC_Desde&gt;=1)*(EI$14&gt;=FC_Desde)*EI$15)*FC_IVA/(1+FC_IVA))</f>
        <v>0</v>
      </c>
      <c r="EJ65" s="34" t="n">
        <f aca="false">SUMPRODUCT(FC_O*((FC_Mon="PYG")*EJ$19+(FC_Mon&lt;&gt;"PYG"))*(1+FC_g)^(EJ$17-1)*((FC_Desde=0)*(EJ$16+EJ$15)+(FC_Desde&gt;=1)*(EJ$14&gt;=FC_Desde)*EJ$15)*FC_IVA/(1+FC_IVA))</f>
        <v>0</v>
      </c>
      <c r="EK65" s="34" t="n">
        <f aca="false">SUMPRODUCT(FC_O*((FC_Mon="PYG")*EK$19+(FC_Mon&lt;&gt;"PYG"))*(1+FC_g)^(EK$17-1)*((FC_Desde=0)*(EK$16+EK$15)+(FC_Desde&gt;=1)*(EK$14&gt;=FC_Desde)*EK$15)*FC_IVA/(1+FC_IVA))</f>
        <v>0</v>
      </c>
      <c r="EL65" s="34" t="n">
        <f aca="false">SUMPRODUCT(FC_O*((FC_Mon="PYG")*EL$19+(FC_Mon&lt;&gt;"PYG"))*(1+FC_g)^(EL$17-1)*((FC_Desde=0)*(EL$16+EL$15)+(FC_Desde&gt;=1)*(EL$14&gt;=FC_Desde)*EL$15)*FC_IVA/(1+FC_IVA))</f>
        <v>0</v>
      </c>
      <c r="EM65" s="34" t="n">
        <f aca="false">SUMPRODUCT(FC_O*((FC_Mon="PYG")*EM$19+(FC_Mon&lt;&gt;"PYG"))*(1+FC_g)^(EM$17-1)*((FC_Desde=0)*(EM$16+EM$15)+(FC_Desde&gt;=1)*(EM$14&gt;=FC_Desde)*EM$15)*FC_IVA/(1+FC_IVA))</f>
        <v>0</v>
      </c>
      <c r="EN65" s="34" t="n">
        <f aca="false">SUMPRODUCT(FC_O*((FC_Mon="PYG")*EN$19+(FC_Mon&lt;&gt;"PYG"))*(1+FC_g)^(EN$17-1)*((FC_Desde=0)*(EN$16+EN$15)+(FC_Desde&gt;=1)*(EN$14&gt;=FC_Desde)*EN$15)*FC_IVA/(1+FC_IVA))</f>
        <v>0</v>
      </c>
      <c r="EO65" s="34" t="n">
        <f aca="false">SUMPRODUCT(FC_O*((FC_Mon="PYG")*EO$19+(FC_Mon&lt;&gt;"PYG"))*(1+FC_g)^(EO$17-1)*((FC_Desde=0)*(EO$16+EO$15)+(FC_Desde&gt;=1)*(EO$14&gt;=FC_Desde)*EO$15)*FC_IVA/(1+FC_IVA))</f>
        <v>0</v>
      </c>
      <c r="EP65" s="34" t="n">
        <f aca="false">SUMPRODUCT(FC_O*((FC_Mon="PYG")*EP$19+(FC_Mon&lt;&gt;"PYG"))*(1+FC_g)^(EP$17-1)*((FC_Desde=0)*(EP$16+EP$15)+(FC_Desde&gt;=1)*(EP$14&gt;=FC_Desde)*EP$15)*FC_IVA/(1+FC_IVA))</f>
        <v>0</v>
      </c>
      <c r="EQ65" s="34" t="n">
        <f aca="false">SUMPRODUCT(FC_O*((FC_Mon="PYG")*EQ$19+(FC_Mon&lt;&gt;"PYG"))*(1+FC_g)^(EQ$17-1)*((FC_Desde=0)*(EQ$16+EQ$15)+(FC_Desde&gt;=1)*(EQ$14&gt;=FC_Desde)*EQ$15)*FC_IVA/(1+FC_IVA))</f>
        <v>0</v>
      </c>
      <c r="ER65" s="34" t="n">
        <f aca="false">SUMPRODUCT(FC_O*((FC_Mon="PYG")*ER$19+(FC_Mon&lt;&gt;"PYG"))*(1+FC_g)^(ER$17-1)*((FC_Desde=0)*(ER$16+ER$15)+(FC_Desde&gt;=1)*(ER$14&gt;=FC_Desde)*ER$15)*FC_IVA/(1+FC_IVA))</f>
        <v>0</v>
      </c>
      <c r="ES65" s="34" t="n">
        <f aca="false">SUMPRODUCT(FC_O*((FC_Mon="PYG")*ES$19+(FC_Mon&lt;&gt;"PYG"))*(1+FC_g)^(ES$17-1)*((FC_Desde=0)*(ES$16+ES$15)+(FC_Desde&gt;=1)*(ES$14&gt;=FC_Desde)*ES$15)*FC_IVA/(1+FC_IVA))</f>
        <v>0</v>
      </c>
    </row>
    <row r="66" customFormat="false" ht="15" hidden="false" customHeight="false" outlineLevel="0" collapsed="false">
      <c r="A66" s="4"/>
      <c r="B66" s="3" t="s">
        <v>623</v>
      </c>
      <c r="C66" s="4"/>
      <c r="D66" s="4"/>
      <c r="E66" s="4"/>
    </row>
    <row r="67" customFormat="false" ht="15" hidden="false" customHeight="false" outlineLevel="0" collapsed="false">
      <c r="A67" s="2" t="s">
        <v>624</v>
      </c>
      <c r="B67" s="6" t="s">
        <v>625</v>
      </c>
      <c r="C67" s="6" t="s">
        <v>250</v>
      </c>
      <c r="E67" s="40" t="n">
        <f aca="false">SUM(F67:ES67)</f>
        <v>39318093.38356</v>
      </c>
      <c r="F67" s="34" t="n">
        <f aca="false">F$47+F$48</f>
        <v>199172.5</v>
      </c>
      <c r="G67" s="34" t="n">
        <f aca="false">G$47+G$48</f>
        <v>199172.5</v>
      </c>
      <c r="H67" s="34" t="n">
        <f aca="false">H$47+H$48</f>
        <v>199172.5</v>
      </c>
      <c r="I67" s="34" t="n">
        <f aca="false">I$47+I$48</f>
        <v>199172.5</v>
      </c>
      <c r="J67" s="34" t="n">
        <f aca="false">J$47+J$48</f>
        <v>199172.5</v>
      </c>
      <c r="K67" s="34" t="n">
        <f aca="false">K$47+K$48</f>
        <v>199172.5</v>
      </c>
      <c r="L67" s="34" t="n">
        <f aca="false">L$47+L$48</f>
        <v>199172.5</v>
      </c>
      <c r="M67" s="34" t="n">
        <f aca="false">M$47+M$48</f>
        <v>199172.5</v>
      </c>
      <c r="N67" s="34" t="n">
        <f aca="false">N$47+N$48</f>
        <v>199172.5</v>
      </c>
      <c r="O67" s="34" t="n">
        <f aca="false">O$47+O$48</f>
        <v>199172.5</v>
      </c>
      <c r="P67" s="34" t="n">
        <f aca="false">P$47+P$48</f>
        <v>199172.5</v>
      </c>
      <c r="Q67" s="34" t="n">
        <f aca="false">Q$47+Q$48</f>
        <v>199172.5</v>
      </c>
      <c r="R67" s="34" t="n">
        <f aca="false">R$47+R$48</f>
        <v>253108.875</v>
      </c>
      <c r="S67" s="34" t="n">
        <f aca="false">S$47+S$48</f>
        <v>253108.875</v>
      </c>
      <c r="T67" s="34" t="n">
        <f aca="false">T$47+T$48</f>
        <v>253108.875</v>
      </c>
      <c r="U67" s="34" t="n">
        <f aca="false">U$47+U$48</f>
        <v>253108.875</v>
      </c>
      <c r="V67" s="34" t="n">
        <f aca="false">V$47+V$48</f>
        <v>253108.875</v>
      </c>
      <c r="W67" s="34" t="n">
        <f aca="false">W$47+W$48</f>
        <v>253108.875</v>
      </c>
      <c r="X67" s="34" t="n">
        <f aca="false">X$47+X$48</f>
        <v>253108.875</v>
      </c>
      <c r="Y67" s="34" t="n">
        <f aca="false">Y$47+Y$48</f>
        <v>253108.875</v>
      </c>
      <c r="Z67" s="34" t="n">
        <f aca="false">Z$47+Z$48</f>
        <v>253108.875</v>
      </c>
      <c r="AA67" s="34" t="n">
        <f aca="false">AA$47+AA$48</f>
        <v>253108.875</v>
      </c>
      <c r="AB67" s="34" t="n">
        <f aca="false">AB$47+AB$48</f>
        <v>253108.875</v>
      </c>
      <c r="AC67" s="34" t="n">
        <f aca="false">AC$47+AC$48</f>
        <v>253108.875</v>
      </c>
      <c r="AD67" s="34" t="n">
        <f aca="false">AD$47+AD$48</f>
        <v>307724.69</v>
      </c>
      <c r="AE67" s="34" t="n">
        <f aca="false">AE$47+AE$48</f>
        <v>307724.69</v>
      </c>
      <c r="AF67" s="34" t="n">
        <f aca="false">AF$47+AF$48</f>
        <v>307724.69</v>
      </c>
      <c r="AG67" s="34" t="n">
        <f aca="false">AG$47+AG$48</f>
        <v>307724.69</v>
      </c>
      <c r="AH67" s="34" t="n">
        <f aca="false">AH$47+AH$48</f>
        <v>307724.69</v>
      </c>
      <c r="AI67" s="34" t="n">
        <f aca="false">AI$47+AI$48</f>
        <v>307724.69</v>
      </c>
      <c r="AJ67" s="34" t="n">
        <f aca="false">AJ$47+AJ$48</f>
        <v>307724.69</v>
      </c>
      <c r="AK67" s="34" t="n">
        <f aca="false">AK$47+AK$48</f>
        <v>307724.69</v>
      </c>
      <c r="AL67" s="34" t="n">
        <f aca="false">AL$47+AL$48</f>
        <v>307724.69</v>
      </c>
      <c r="AM67" s="34" t="n">
        <f aca="false">AM$47+AM$48</f>
        <v>307724.69</v>
      </c>
      <c r="AN67" s="34" t="n">
        <f aca="false">AN$47+AN$48</f>
        <v>307724.69</v>
      </c>
      <c r="AO67" s="34" t="n">
        <f aca="false">AO$47+AO$48</f>
        <v>307724.69</v>
      </c>
      <c r="AP67" s="34" t="n">
        <f aca="false">AP$47+AP$48</f>
        <v>352625.4649875</v>
      </c>
      <c r="AQ67" s="34" t="n">
        <f aca="false">AQ$47+AQ$48</f>
        <v>352625.4649875</v>
      </c>
      <c r="AR67" s="34" t="n">
        <f aca="false">AR$47+AR$48</f>
        <v>352625.4649875</v>
      </c>
      <c r="AS67" s="34" t="n">
        <f aca="false">AS$47+AS$48</f>
        <v>352625.4649875</v>
      </c>
      <c r="AT67" s="34" t="n">
        <f aca="false">AT$47+AT$48</f>
        <v>352625.4649875</v>
      </c>
      <c r="AU67" s="34" t="n">
        <f aca="false">AU$47+AU$48</f>
        <v>352625.4649875</v>
      </c>
      <c r="AV67" s="34" t="n">
        <f aca="false">AV$47+AV$48</f>
        <v>352625.4649875</v>
      </c>
      <c r="AW67" s="34" t="n">
        <f aca="false">AW$47+AW$48</f>
        <v>352625.4649875</v>
      </c>
      <c r="AX67" s="34" t="n">
        <f aca="false">AX$47+AX$48</f>
        <v>352625.4649875</v>
      </c>
      <c r="AY67" s="34" t="n">
        <f aca="false">AY$47+AY$48</f>
        <v>352625.4649875</v>
      </c>
      <c r="AZ67" s="34" t="n">
        <f aca="false">AZ$47+AZ$48</f>
        <v>352625.4649875</v>
      </c>
      <c r="BA67" s="34" t="n">
        <f aca="false">BA$47+BA$48</f>
        <v>352625.4649875</v>
      </c>
      <c r="BB67" s="34" t="n">
        <f aca="false">BB$47+BB$48</f>
        <v>354879.119637375</v>
      </c>
      <c r="BC67" s="34" t="n">
        <f aca="false">BC$47+BC$48</f>
        <v>354879.119637375</v>
      </c>
      <c r="BD67" s="34" t="n">
        <f aca="false">BD$47+BD$48</f>
        <v>354879.119637375</v>
      </c>
      <c r="BE67" s="34" t="n">
        <f aca="false">BE$47+BE$48</f>
        <v>354879.119637375</v>
      </c>
      <c r="BF67" s="34" t="n">
        <f aca="false">BF$47+BF$48</f>
        <v>354879.119637375</v>
      </c>
      <c r="BG67" s="34" t="n">
        <f aca="false">BG$47+BG$48</f>
        <v>354879.119637375</v>
      </c>
      <c r="BH67" s="34" t="n">
        <f aca="false">BH$47+BH$48</f>
        <v>354879.119637375</v>
      </c>
      <c r="BI67" s="34" t="n">
        <f aca="false">BI$47+BI$48</f>
        <v>354879.119637375</v>
      </c>
      <c r="BJ67" s="34" t="n">
        <f aca="false">BJ$47+BJ$48</f>
        <v>354879.119637375</v>
      </c>
      <c r="BK67" s="34" t="n">
        <f aca="false">BK$47+BK$48</f>
        <v>354879.119637375</v>
      </c>
      <c r="BL67" s="34" t="n">
        <f aca="false">BL$47+BL$48</f>
        <v>354879.119637375</v>
      </c>
      <c r="BM67" s="34" t="n">
        <f aca="false">BM$47+BM$48</f>
        <v>354879.119637375</v>
      </c>
      <c r="BN67" s="34" t="n">
        <f aca="false">BN$47+BN$48</f>
        <v>357155.310833749</v>
      </c>
      <c r="BO67" s="34" t="n">
        <f aca="false">BO$47+BO$48</f>
        <v>357155.310833749</v>
      </c>
      <c r="BP67" s="34" t="n">
        <f aca="false">BP$47+BP$48</f>
        <v>357155.310833749</v>
      </c>
      <c r="BQ67" s="34" t="n">
        <f aca="false">BQ$47+BQ$48</f>
        <v>357155.310833749</v>
      </c>
      <c r="BR67" s="34" t="n">
        <f aca="false">BR$47+BR$48</f>
        <v>357155.310833749</v>
      </c>
      <c r="BS67" s="34" t="n">
        <f aca="false">BS$47+BS$48</f>
        <v>357155.310833749</v>
      </c>
      <c r="BT67" s="34" t="n">
        <f aca="false">BT$47+BT$48</f>
        <v>357155.310833749</v>
      </c>
      <c r="BU67" s="34" t="n">
        <f aca="false">BU$47+BU$48</f>
        <v>357155.310833749</v>
      </c>
      <c r="BV67" s="34" t="n">
        <f aca="false">BV$47+BV$48</f>
        <v>357155.310833749</v>
      </c>
      <c r="BW67" s="34" t="n">
        <f aca="false">BW$47+BW$48</f>
        <v>357155.310833749</v>
      </c>
      <c r="BX67" s="34" t="n">
        <f aca="false">BX$47+BX$48</f>
        <v>357155.310833749</v>
      </c>
      <c r="BY67" s="34" t="n">
        <f aca="false">BY$47+BY$48</f>
        <v>357155.310833749</v>
      </c>
      <c r="BZ67" s="34" t="n">
        <f aca="false">BZ$47+BZ$48</f>
        <v>359454.263942086</v>
      </c>
      <c r="CA67" s="34" t="n">
        <f aca="false">CA$47+CA$48</f>
        <v>359454.263942086</v>
      </c>
      <c r="CB67" s="34" t="n">
        <f aca="false">CB$47+CB$48</f>
        <v>359454.263942086</v>
      </c>
      <c r="CC67" s="34" t="n">
        <f aca="false">CC$47+CC$48</f>
        <v>359454.263942086</v>
      </c>
      <c r="CD67" s="34" t="n">
        <f aca="false">CD$47+CD$48</f>
        <v>359454.263942086</v>
      </c>
      <c r="CE67" s="34" t="n">
        <f aca="false">CE$47+CE$48</f>
        <v>359454.263942086</v>
      </c>
      <c r="CF67" s="34" t="n">
        <f aca="false">CF$47+CF$48</f>
        <v>359454.263942086</v>
      </c>
      <c r="CG67" s="34" t="n">
        <f aca="false">CG$47+CG$48</f>
        <v>359454.263942086</v>
      </c>
      <c r="CH67" s="34" t="n">
        <f aca="false">CH$47+CH$48</f>
        <v>359454.263942086</v>
      </c>
      <c r="CI67" s="34" t="n">
        <f aca="false">CI$47+CI$48</f>
        <v>359454.263942086</v>
      </c>
      <c r="CJ67" s="34" t="n">
        <f aca="false">CJ$47+CJ$48</f>
        <v>359454.263942086</v>
      </c>
      <c r="CK67" s="34" t="n">
        <f aca="false">CK$47+CK$48</f>
        <v>359454.263942086</v>
      </c>
      <c r="CL67" s="34" t="n">
        <f aca="false">CL$47+CL$48</f>
        <v>361776.206581507</v>
      </c>
      <c r="CM67" s="34" t="n">
        <f aca="false">CM$47+CM$48</f>
        <v>361776.206581507</v>
      </c>
      <c r="CN67" s="34" t="n">
        <f aca="false">CN$47+CN$48</f>
        <v>361776.206581507</v>
      </c>
      <c r="CO67" s="34" t="n">
        <f aca="false">CO$47+CO$48</f>
        <v>361776.206581507</v>
      </c>
      <c r="CP67" s="34" t="n">
        <f aca="false">CP$47+CP$48</f>
        <v>361776.206581507</v>
      </c>
      <c r="CQ67" s="34" t="n">
        <f aca="false">CQ$47+CQ$48</f>
        <v>361776.206581507</v>
      </c>
      <c r="CR67" s="34" t="n">
        <f aca="false">CR$47+CR$48</f>
        <v>361776.206581507</v>
      </c>
      <c r="CS67" s="34" t="n">
        <f aca="false">CS$47+CS$48</f>
        <v>361776.206581507</v>
      </c>
      <c r="CT67" s="34" t="n">
        <f aca="false">CT$47+CT$48</f>
        <v>361776.206581507</v>
      </c>
      <c r="CU67" s="34" t="n">
        <f aca="false">CU$47+CU$48</f>
        <v>361776.206581507</v>
      </c>
      <c r="CV67" s="34" t="n">
        <f aca="false">CV$47+CV$48</f>
        <v>361776.206581507</v>
      </c>
      <c r="CW67" s="34" t="n">
        <f aca="false">CW$47+CW$48</f>
        <v>361776.206581507</v>
      </c>
      <c r="CX67" s="34" t="n">
        <f aca="false">CX$47+CX$48</f>
        <v>364121.368647322</v>
      </c>
      <c r="CY67" s="34" t="n">
        <f aca="false">CY$47+CY$48</f>
        <v>364121.368647322</v>
      </c>
      <c r="CZ67" s="34" t="n">
        <f aca="false">CZ$47+CZ$48</f>
        <v>364121.368647322</v>
      </c>
      <c r="DA67" s="34" t="n">
        <f aca="false">DA$47+DA$48</f>
        <v>364121.368647322</v>
      </c>
      <c r="DB67" s="34" t="n">
        <f aca="false">DB$47+DB$48</f>
        <v>364121.368647322</v>
      </c>
      <c r="DC67" s="34" t="n">
        <f aca="false">DC$47+DC$48</f>
        <v>364121.368647322</v>
      </c>
      <c r="DD67" s="34" t="n">
        <f aca="false">DD$47+DD$48</f>
        <v>364121.368647322</v>
      </c>
      <c r="DE67" s="34" t="n">
        <f aca="false">DE$47+DE$48</f>
        <v>364121.368647322</v>
      </c>
      <c r="DF67" s="34" t="n">
        <f aca="false">DF$47+DF$48</f>
        <v>364121.368647322</v>
      </c>
      <c r="DG67" s="34" t="n">
        <f aca="false">DG$47+DG$48</f>
        <v>364121.368647322</v>
      </c>
      <c r="DH67" s="34" t="n">
        <f aca="false">DH$47+DH$48</f>
        <v>364121.368647322</v>
      </c>
      <c r="DI67" s="34" t="n">
        <f aca="false">DI$47+DI$48</f>
        <v>364121.368647322</v>
      </c>
      <c r="DJ67" s="34" t="n">
        <f aca="false">DJ$47+DJ$48</f>
        <v>366489.982333795</v>
      </c>
      <c r="DK67" s="34" t="n">
        <f aca="false">DK$47+DK$48</f>
        <v>366489.982333795</v>
      </c>
      <c r="DL67" s="34" t="n">
        <f aca="false">DL$47+DL$48</f>
        <v>366489.982333795</v>
      </c>
      <c r="DM67" s="34" t="n">
        <f aca="false">DM$47+DM$48</f>
        <v>366489.982333795</v>
      </c>
      <c r="DN67" s="34" t="n">
        <f aca="false">DN$47+DN$48</f>
        <v>366489.982333795</v>
      </c>
      <c r="DO67" s="34" t="n">
        <f aca="false">DO$47+DO$48</f>
        <v>366489.982333795</v>
      </c>
      <c r="DP67" s="34" t="n">
        <f aca="false">DP$47+DP$48</f>
        <v>366489.982333795</v>
      </c>
      <c r="DQ67" s="34" t="n">
        <f aca="false">DQ$47+DQ$48</f>
        <v>366489.982333795</v>
      </c>
      <c r="DR67" s="34" t="n">
        <f aca="false">DR$47+DR$48</f>
        <v>366489.982333795</v>
      </c>
      <c r="DS67" s="34" t="n">
        <f aca="false">DS$47+DS$48</f>
        <v>366489.982333795</v>
      </c>
      <c r="DT67" s="34" t="n">
        <f aca="false">DT$47+DT$48</f>
        <v>366489.982333795</v>
      </c>
      <c r="DU67" s="34" t="n">
        <f aca="false">DU$47+DU$48</f>
        <v>366489.982333795</v>
      </c>
      <c r="DV67" s="34" t="n">
        <f aca="false">DV$47+DV$48</f>
        <v>0</v>
      </c>
      <c r="DW67" s="34" t="n">
        <f aca="false">DW$47+DW$48</f>
        <v>0</v>
      </c>
      <c r="DX67" s="34" t="n">
        <f aca="false">DX$47+DX$48</f>
        <v>0</v>
      </c>
      <c r="DY67" s="34" t="n">
        <f aca="false">DY$47+DY$48</f>
        <v>0</v>
      </c>
      <c r="DZ67" s="34" t="n">
        <f aca="false">DZ$47+DZ$48</f>
        <v>0</v>
      </c>
      <c r="EA67" s="34" t="n">
        <f aca="false">EA$47+EA$48</f>
        <v>0</v>
      </c>
      <c r="EB67" s="34" t="n">
        <f aca="false">EB$47+EB$48</f>
        <v>0</v>
      </c>
      <c r="EC67" s="34" t="n">
        <f aca="false">EC$47+EC$48</f>
        <v>0</v>
      </c>
      <c r="ED67" s="34" t="n">
        <f aca="false">ED$47+ED$48</f>
        <v>0</v>
      </c>
      <c r="EE67" s="34" t="n">
        <f aca="false">EE$47+EE$48</f>
        <v>0</v>
      </c>
      <c r="EF67" s="34" t="n">
        <f aca="false">EF$47+EF$48</f>
        <v>0</v>
      </c>
      <c r="EG67" s="34" t="n">
        <f aca="false">EG$47+EG$48</f>
        <v>0</v>
      </c>
      <c r="EH67" s="34" t="n">
        <f aca="false">EH$47+EH$48</f>
        <v>0</v>
      </c>
      <c r="EI67" s="34" t="n">
        <f aca="false">EI$47+EI$48</f>
        <v>0</v>
      </c>
      <c r="EJ67" s="34" t="n">
        <f aca="false">EJ$47+EJ$48</f>
        <v>0</v>
      </c>
      <c r="EK67" s="34" t="n">
        <f aca="false">EK$47+EK$48</f>
        <v>0</v>
      </c>
      <c r="EL67" s="34" t="n">
        <f aca="false">EL$47+EL$48</f>
        <v>0</v>
      </c>
      <c r="EM67" s="34" t="n">
        <f aca="false">EM$47+EM$48</f>
        <v>0</v>
      </c>
      <c r="EN67" s="34" t="n">
        <f aca="false">EN$47+EN$48</f>
        <v>0</v>
      </c>
      <c r="EO67" s="34" t="n">
        <f aca="false">EO$47+EO$48</f>
        <v>0</v>
      </c>
      <c r="EP67" s="34" t="n">
        <f aca="false">EP$47+EP$48</f>
        <v>0</v>
      </c>
      <c r="EQ67" s="34" t="n">
        <f aca="false">EQ$47+EQ$48</f>
        <v>0</v>
      </c>
      <c r="ER67" s="34" t="n">
        <f aca="false">ER$47+ER$48</f>
        <v>0</v>
      </c>
      <c r="ES67" s="34" t="n">
        <f aca="false">ES$47+ES$48</f>
        <v>0</v>
      </c>
    </row>
    <row r="68" customFormat="false" ht="15" hidden="false" customHeight="false" outlineLevel="0" collapsed="false">
      <c r="A68" s="2" t="s">
        <v>626</v>
      </c>
      <c r="B68" s="6" t="s">
        <v>627</v>
      </c>
      <c r="C68" s="6" t="s">
        <v>250</v>
      </c>
      <c r="E68" s="40" t="n">
        <f aca="false">SUM(F68:ES68)</f>
        <v>10172052.5275746</v>
      </c>
      <c r="F68" s="34" t="n">
        <f aca="false">F$49+F$50+F$57+F$58</f>
        <v>52969.9652546379</v>
      </c>
      <c r="G68" s="34" t="n">
        <f aca="false">G$49+G$50+G$57+G$58</f>
        <v>52969.9652546379</v>
      </c>
      <c r="H68" s="34" t="n">
        <f aca="false">H$49+H$50+H$57+H$58</f>
        <v>52969.9652546379</v>
      </c>
      <c r="I68" s="34" t="n">
        <f aca="false">I$49+I$50+I$57+I$58</f>
        <v>52969.9652546379</v>
      </c>
      <c r="J68" s="34" t="n">
        <f aca="false">J$49+J$50+J$57+J$58</f>
        <v>52969.9652546379</v>
      </c>
      <c r="K68" s="34" t="n">
        <f aca="false">K$49+K$50+K$57+K$58</f>
        <v>52969.9652546379</v>
      </c>
      <c r="L68" s="34" t="n">
        <f aca="false">L$49+L$50+L$57+L$58</f>
        <v>52969.9652546379</v>
      </c>
      <c r="M68" s="34" t="n">
        <f aca="false">M$49+M$50+M$57+M$58</f>
        <v>52969.9652546379</v>
      </c>
      <c r="N68" s="34" t="n">
        <f aca="false">N$49+N$50+N$57+N$58</f>
        <v>52969.9652546379</v>
      </c>
      <c r="O68" s="34" t="n">
        <f aca="false">O$49+O$50+O$57+O$58</f>
        <v>52969.9652546379</v>
      </c>
      <c r="P68" s="34" t="n">
        <f aca="false">P$49+P$50+P$57+P$58</f>
        <v>52969.9652546379</v>
      </c>
      <c r="Q68" s="34" t="n">
        <f aca="false">Q$49+Q$50+Q$57+Q$58</f>
        <v>52969.9652546379</v>
      </c>
      <c r="R68" s="34" t="n">
        <f aca="false">R$49+R$50+R$57+R$58</f>
        <v>66880.9601704712</v>
      </c>
      <c r="S68" s="34" t="n">
        <f aca="false">S$49+S$50+S$57+S$58</f>
        <v>66880.9601704712</v>
      </c>
      <c r="T68" s="34" t="n">
        <f aca="false">T$49+T$50+T$57+T$58</f>
        <v>66880.9601704712</v>
      </c>
      <c r="U68" s="34" t="n">
        <f aca="false">U$49+U$50+U$57+U$58</f>
        <v>66880.9601704712</v>
      </c>
      <c r="V68" s="34" t="n">
        <f aca="false">V$49+V$50+V$57+V$58</f>
        <v>66880.9601704712</v>
      </c>
      <c r="W68" s="34" t="n">
        <f aca="false">W$49+W$50+W$57+W$58</f>
        <v>66880.9601704712</v>
      </c>
      <c r="X68" s="34" t="n">
        <f aca="false">X$49+X$50+X$57+X$58</f>
        <v>66880.9601704712</v>
      </c>
      <c r="Y68" s="34" t="n">
        <f aca="false">Y$49+Y$50+Y$57+Y$58</f>
        <v>66880.9601704712</v>
      </c>
      <c r="Z68" s="34" t="n">
        <f aca="false">Z$49+Z$50+Z$57+Z$58</f>
        <v>66880.9601704712</v>
      </c>
      <c r="AA68" s="34" t="n">
        <f aca="false">AA$49+AA$50+AA$57+AA$58</f>
        <v>66880.9601704712</v>
      </c>
      <c r="AB68" s="34" t="n">
        <f aca="false">AB$49+AB$50+AB$57+AB$58</f>
        <v>66880.9601704712</v>
      </c>
      <c r="AC68" s="34" t="n">
        <f aca="false">AC$49+AC$50+AC$57+AC$58</f>
        <v>66880.9601704712</v>
      </c>
      <c r="AD68" s="34" t="n">
        <f aca="false">AD$49+AD$50+AD$57+AD$58</f>
        <v>80847.7651147422</v>
      </c>
      <c r="AE68" s="34" t="n">
        <f aca="false">AE$49+AE$50+AE$57+AE$58</f>
        <v>80847.7651147422</v>
      </c>
      <c r="AF68" s="34" t="n">
        <f aca="false">AF$49+AF$50+AF$57+AF$58</f>
        <v>80847.7651147422</v>
      </c>
      <c r="AG68" s="34" t="n">
        <f aca="false">AG$49+AG$50+AG$57+AG$58</f>
        <v>80847.7651147422</v>
      </c>
      <c r="AH68" s="34" t="n">
        <f aca="false">AH$49+AH$50+AH$57+AH$58</f>
        <v>80847.7651147422</v>
      </c>
      <c r="AI68" s="34" t="n">
        <f aca="false">AI$49+AI$50+AI$57+AI$58</f>
        <v>80847.7651147422</v>
      </c>
      <c r="AJ68" s="34" t="n">
        <f aca="false">AJ$49+AJ$50+AJ$57+AJ$58</f>
        <v>80847.7651147422</v>
      </c>
      <c r="AK68" s="34" t="n">
        <f aca="false">AK$49+AK$50+AK$57+AK$58</f>
        <v>80847.7651147422</v>
      </c>
      <c r="AL68" s="34" t="n">
        <f aca="false">AL$49+AL$50+AL$57+AL$58</f>
        <v>80847.7651147422</v>
      </c>
      <c r="AM68" s="34" t="n">
        <f aca="false">AM$49+AM$50+AM$57+AM$58</f>
        <v>80847.7651147422</v>
      </c>
      <c r="AN68" s="34" t="n">
        <f aca="false">AN$49+AN$50+AN$57+AN$58</f>
        <v>80847.7651147422</v>
      </c>
      <c r="AO68" s="34" t="n">
        <f aca="false">AO$49+AO$50+AO$57+AO$58</f>
        <v>80847.7651147422</v>
      </c>
      <c r="AP68" s="34" t="n">
        <f aca="false">AP$49+AP$50+AP$57+AP$58</f>
        <v>92105.4112574529</v>
      </c>
      <c r="AQ68" s="34" t="n">
        <f aca="false">AQ$49+AQ$50+AQ$57+AQ$58</f>
        <v>92105.4112574529</v>
      </c>
      <c r="AR68" s="34" t="n">
        <f aca="false">AR$49+AR$50+AR$57+AR$58</f>
        <v>92105.4112574529</v>
      </c>
      <c r="AS68" s="34" t="n">
        <f aca="false">AS$49+AS$50+AS$57+AS$58</f>
        <v>92105.4112574529</v>
      </c>
      <c r="AT68" s="34" t="n">
        <f aca="false">AT$49+AT$50+AT$57+AT$58</f>
        <v>92105.4112574529</v>
      </c>
      <c r="AU68" s="34" t="n">
        <f aca="false">AU$49+AU$50+AU$57+AU$58</f>
        <v>92105.4112574529</v>
      </c>
      <c r="AV68" s="34" t="n">
        <f aca="false">AV$49+AV$50+AV$57+AV$58</f>
        <v>92105.4112574529</v>
      </c>
      <c r="AW68" s="34" t="n">
        <f aca="false">AW$49+AW$50+AW$57+AW$58</f>
        <v>92105.4112574529</v>
      </c>
      <c r="AX68" s="34" t="n">
        <f aca="false">AX$49+AX$50+AX$57+AX$58</f>
        <v>92105.4112574529</v>
      </c>
      <c r="AY68" s="34" t="n">
        <f aca="false">AY$49+AY$50+AY$57+AY$58</f>
        <v>92105.4112574529</v>
      </c>
      <c r="AZ68" s="34" t="n">
        <f aca="false">AZ$49+AZ$50+AZ$57+AZ$58</f>
        <v>92105.4112574529</v>
      </c>
      <c r="BA68" s="34" t="n">
        <f aca="false">BA$49+BA$50+BA$57+BA$58</f>
        <v>92105.4112574529</v>
      </c>
      <c r="BB68" s="34" t="n">
        <f aca="false">BB$49+BB$50+BB$57+BB$58</f>
        <v>92228.6256826153</v>
      </c>
      <c r="BC68" s="34" t="n">
        <f aca="false">BC$49+BC$50+BC$57+BC$58</f>
        <v>92228.6256826153</v>
      </c>
      <c r="BD68" s="34" t="n">
        <f aca="false">BD$49+BD$50+BD$57+BD$58</f>
        <v>92228.6256826153</v>
      </c>
      <c r="BE68" s="34" t="n">
        <f aca="false">BE$49+BE$50+BE$57+BE$58</f>
        <v>92228.6256826153</v>
      </c>
      <c r="BF68" s="34" t="n">
        <f aca="false">BF$49+BF$50+BF$57+BF$58</f>
        <v>92228.6256826153</v>
      </c>
      <c r="BG68" s="34" t="n">
        <f aca="false">BG$49+BG$50+BG$57+BG$58</f>
        <v>92228.6256826153</v>
      </c>
      <c r="BH68" s="34" t="n">
        <f aca="false">BH$49+BH$50+BH$57+BH$58</f>
        <v>92228.6256826153</v>
      </c>
      <c r="BI68" s="34" t="n">
        <f aca="false">BI$49+BI$50+BI$57+BI$58</f>
        <v>92228.6256826153</v>
      </c>
      <c r="BJ68" s="34" t="n">
        <f aca="false">BJ$49+BJ$50+BJ$57+BJ$58</f>
        <v>92228.6256826153</v>
      </c>
      <c r="BK68" s="34" t="n">
        <f aca="false">BK$49+BK$50+BK$57+BK$58</f>
        <v>92228.6256826153</v>
      </c>
      <c r="BL68" s="34" t="n">
        <f aca="false">BL$49+BL$50+BL$57+BL$58</f>
        <v>92228.6256826153</v>
      </c>
      <c r="BM68" s="34" t="n">
        <f aca="false">BM$49+BM$50+BM$57+BM$58</f>
        <v>92228.6256826153</v>
      </c>
      <c r="BN68" s="34" t="n">
        <f aca="false">BN$49+BN$50+BN$57+BN$58</f>
        <v>92326.9835736405</v>
      </c>
      <c r="BO68" s="34" t="n">
        <f aca="false">BO$49+BO$50+BO$57+BO$58</f>
        <v>92326.9835736405</v>
      </c>
      <c r="BP68" s="34" t="n">
        <f aca="false">BP$49+BP$50+BP$57+BP$58</f>
        <v>92326.9835736405</v>
      </c>
      <c r="BQ68" s="34" t="n">
        <f aca="false">BQ$49+BQ$50+BQ$57+BQ$58</f>
        <v>92326.9835736405</v>
      </c>
      <c r="BR68" s="34" t="n">
        <f aca="false">BR$49+BR$50+BR$57+BR$58</f>
        <v>92326.9835736405</v>
      </c>
      <c r="BS68" s="34" t="n">
        <f aca="false">BS$49+BS$50+BS$57+BS$58</f>
        <v>92326.9835736405</v>
      </c>
      <c r="BT68" s="34" t="n">
        <f aca="false">BT$49+BT$50+BT$57+BT$58</f>
        <v>92326.9835736405</v>
      </c>
      <c r="BU68" s="34" t="n">
        <f aca="false">BU$49+BU$50+BU$57+BU$58</f>
        <v>92326.9835736405</v>
      </c>
      <c r="BV68" s="34" t="n">
        <f aca="false">BV$49+BV$50+BV$57+BV$58</f>
        <v>92326.9835736405</v>
      </c>
      <c r="BW68" s="34" t="n">
        <f aca="false">BW$49+BW$50+BW$57+BW$58</f>
        <v>92326.9835736405</v>
      </c>
      <c r="BX68" s="34" t="n">
        <f aca="false">BX$49+BX$50+BX$57+BX$58</f>
        <v>92326.9835736405</v>
      </c>
      <c r="BY68" s="34" t="n">
        <f aca="false">BY$49+BY$50+BY$57+BY$58</f>
        <v>92326.9835736405</v>
      </c>
      <c r="BZ68" s="34" t="n">
        <f aca="false">BZ$49+BZ$50+BZ$57+BZ$58</f>
        <v>92426.325043576</v>
      </c>
      <c r="CA68" s="34" t="n">
        <f aca="false">CA$49+CA$50+CA$57+CA$58</f>
        <v>92426.325043576</v>
      </c>
      <c r="CB68" s="34" t="n">
        <f aca="false">CB$49+CB$50+CB$57+CB$58</f>
        <v>92426.325043576</v>
      </c>
      <c r="CC68" s="34" t="n">
        <f aca="false">CC$49+CC$50+CC$57+CC$58</f>
        <v>92426.325043576</v>
      </c>
      <c r="CD68" s="34" t="n">
        <f aca="false">CD$49+CD$50+CD$57+CD$58</f>
        <v>92426.325043576</v>
      </c>
      <c r="CE68" s="34" t="n">
        <f aca="false">CE$49+CE$50+CE$57+CE$58</f>
        <v>92426.325043576</v>
      </c>
      <c r="CF68" s="34" t="n">
        <f aca="false">CF$49+CF$50+CF$57+CF$58</f>
        <v>92426.325043576</v>
      </c>
      <c r="CG68" s="34" t="n">
        <f aca="false">CG$49+CG$50+CG$57+CG$58</f>
        <v>92426.325043576</v>
      </c>
      <c r="CH68" s="34" t="n">
        <f aca="false">CH$49+CH$50+CH$57+CH$58</f>
        <v>92426.325043576</v>
      </c>
      <c r="CI68" s="34" t="n">
        <f aca="false">CI$49+CI$50+CI$57+CI$58</f>
        <v>92426.325043576</v>
      </c>
      <c r="CJ68" s="34" t="n">
        <f aca="false">CJ$49+CJ$50+CJ$57+CJ$58</f>
        <v>92426.325043576</v>
      </c>
      <c r="CK68" s="34" t="n">
        <f aca="false">CK$49+CK$50+CK$57+CK$58</f>
        <v>92426.325043576</v>
      </c>
      <c r="CL68" s="34" t="n">
        <f aca="false">CL$49+CL$50+CL$57+CL$58</f>
        <v>92526.6599282108</v>
      </c>
      <c r="CM68" s="34" t="n">
        <f aca="false">CM$49+CM$50+CM$57+CM$58</f>
        <v>92526.6599282108</v>
      </c>
      <c r="CN68" s="34" t="n">
        <f aca="false">CN$49+CN$50+CN$57+CN$58</f>
        <v>92526.6599282108</v>
      </c>
      <c r="CO68" s="34" t="n">
        <f aca="false">CO$49+CO$50+CO$57+CO$58</f>
        <v>92526.6599282108</v>
      </c>
      <c r="CP68" s="34" t="n">
        <f aca="false">CP$49+CP$50+CP$57+CP$58</f>
        <v>92526.6599282108</v>
      </c>
      <c r="CQ68" s="34" t="n">
        <f aca="false">CQ$49+CQ$50+CQ$57+CQ$58</f>
        <v>92526.6599282108</v>
      </c>
      <c r="CR68" s="34" t="n">
        <f aca="false">CR$49+CR$50+CR$57+CR$58</f>
        <v>92526.6599282108</v>
      </c>
      <c r="CS68" s="34" t="n">
        <f aca="false">CS$49+CS$50+CS$57+CS$58</f>
        <v>92526.6599282108</v>
      </c>
      <c r="CT68" s="34" t="n">
        <f aca="false">CT$49+CT$50+CT$57+CT$58</f>
        <v>92526.6599282108</v>
      </c>
      <c r="CU68" s="34" t="n">
        <f aca="false">CU$49+CU$50+CU$57+CU$58</f>
        <v>92526.6599282108</v>
      </c>
      <c r="CV68" s="34" t="n">
        <f aca="false">CV$49+CV$50+CV$57+CV$58</f>
        <v>92526.6599282108</v>
      </c>
      <c r="CW68" s="34" t="n">
        <f aca="false">CW$49+CW$50+CW$57+CW$58</f>
        <v>92526.6599282108</v>
      </c>
      <c r="CX68" s="34" t="n">
        <f aca="false">CX$49+CX$50+CX$57+CX$58</f>
        <v>92627.998161692</v>
      </c>
      <c r="CY68" s="34" t="n">
        <f aca="false">CY$49+CY$50+CY$57+CY$58</f>
        <v>92627.998161692</v>
      </c>
      <c r="CZ68" s="34" t="n">
        <f aca="false">CZ$49+CZ$50+CZ$57+CZ$58</f>
        <v>92627.998161692</v>
      </c>
      <c r="DA68" s="34" t="n">
        <f aca="false">DA$49+DA$50+DA$57+DA$58</f>
        <v>92627.998161692</v>
      </c>
      <c r="DB68" s="34" t="n">
        <f aca="false">DB$49+DB$50+DB$57+DB$58</f>
        <v>92627.998161692</v>
      </c>
      <c r="DC68" s="34" t="n">
        <f aca="false">DC$49+DC$50+DC$57+DC$58</f>
        <v>92627.998161692</v>
      </c>
      <c r="DD68" s="34" t="n">
        <f aca="false">DD$49+DD$50+DD$57+DD$58</f>
        <v>92627.998161692</v>
      </c>
      <c r="DE68" s="34" t="n">
        <f aca="false">DE$49+DE$50+DE$57+DE$58</f>
        <v>92627.998161692</v>
      </c>
      <c r="DF68" s="34" t="n">
        <f aca="false">DF$49+DF$50+DF$57+DF$58</f>
        <v>92627.998161692</v>
      </c>
      <c r="DG68" s="34" t="n">
        <f aca="false">DG$49+DG$50+DG$57+DG$58</f>
        <v>92627.998161692</v>
      </c>
      <c r="DH68" s="34" t="n">
        <f aca="false">DH$49+DH$50+DH$57+DH$58</f>
        <v>92627.998161692</v>
      </c>
      <c r="DI68" s="34" t="n">
        <f aca="false">DI$49+DI$50+DI$57+DI$58</f>
        <v>92627.998161692</v>
      </c>
      <c r="DJ68" s="34" t="n">
        <f aca="false">DJ$49+DJ$50+DJ$57+DJ$58</f>
        <v>92730.3497775079</v>
      </c>
      <c r="DK68" s="34" t="n">
        <f aca="false">DK$49+DK$50+DK$57+DK$58</f>
        <v>92730.3497775079</v>
      </c>
      <c r="DL68" s="34" t="n">
        <f aca="false">DL$49+DL$50+DL$57+DL$58</f>
        <v>92730.3497775079</v>
      </c>
      <c r="DM68" s="34" t="n">
        <f aca="false">DM$49+DM$50+DM$57+DM$58</f>
        <v>92730.3497775079</v>
      </c>
      <c r="DN68" s="34" t="n">
        <f aca="false">DN$49+DN$50+DN$57+DN$58</f>
        <v>92730.3497775079</v>
      </c>
      <c r="DO68" s="34" t="n">
        <f aca="false">DO$49+DO$50+DO$57+DO$58</f>
        <v>92730.3497775079</v>
      </c>
      <c r="DP68" s="34" t="n">
        <f aca="false">DP$49+DP$50+DP$57+DP$58</f>
        <v>92730.3497775079</v>
      </c>
      <c r="DQ68" s="34" t="n">
        <f aca="false">DQ$49+DQ$50+DQ$57+DQ$58</f>
        <v>92730.3497775079</v>
      </c>
      <c r="DR68" s="34" t="n">
        <f aca="false">DR$49+DR$50+DR$57+DR$58</f>
        <v>92730.3497775079</v>
      </c>
      <c r="DS68" s="34" t="n">
        <f aca="false">DS$49+DS$50+DS$57+DS$58</f>
        <v>92730.3497775079</v>
      </c>
      <c r="DT68" s="34" t="n">
        <f aca="false">DT$49+DT$50+DT$57+DT$58</f>
        <v>92730.3497775079</v>
      </c>
      <c r="DU68" s="34" t="n">
        <f aca="false">DU$49+DU$50+DU$57+DU$58</f>
        <v>92730.3497775079</v>
      </c>
      <c r="DV68" s="34" t="n">
        <f aca="false">DV$49+DV$50+DV$57+DV$58</f>
        <v>0</v>
      </c>
      <c r="DW68" s="34" t="n">
        <f aca="false">DW$49+DW$50+DW$57+DW$58</f>
        <v>0</v>
      </c>
      <c r="DX68" s="34" t="n">
        <f aca="false">DX$49+DX$50+DX$57+DX$58</f>
        <v>0</v>
      </c>
      <c r="DY68" s="34" t="n">
        <f aca="false">DY$49+DY$50+DY$57+DY$58</f>
        <v>0</v>
      </c>
      <c r="DZ68" s="34" t="n">
        <f aca="false">DZ$49+DZ$50+DZ$57+DZ$58</f>
        <v>0</v>
      </c>
      <c r="EA68" s="34" t="n">
        <f aca="false">EA$49+EA$50+EA$57+EA$58</f>
        <v>0</v>
      </c>
      <c r="EB68" s="34" t="n">
        <f aca="false">EB$49+EB$50+EB$57+EB$58</f>
        <v>0</v>
      </c>
      <c r="EC68" s="34" t="n">
        <f aca="false">EC$49+EC$50+EC$57+EC$58</f>
        <v>0</v>
      </c>
      <c r="ED68" s="34" t="n">
        <f aca="false">ED$49+ED$50+ED$57+ED$58</f>
        <v>0</v>
      </c>
      <c r="EE68" s="34" t="n">
        <f aca="false">EE$49+EE$50+EE$57+EE$58</f>
        <v>0</v>
      </c>
      <c r="EF68" s="34" t="n">
        <f aca="false">EF$49+EF$50+EF$57+EF$58</f>
        <v>0</v>
      </c>
      <c r="EG68" s="34" t="n">
        <f aca="false">EG$49+EG$50+EG$57+EG$58</f>
        <v>0</v>
      </c>
      <c r="EH68" s="34" t="n">
        <f aca="false">EH$49+EH$50+EH$57+EH$58</f>
        <v>0</v>
      </c>
      <c r="EI68" s="34" t="n">
        <f aca="false">EI$49+EI$50+EI$57+EI$58</f>
        <v>0</v>
      </c>
      <c r="EJ68" s="34" t="n">
        <f aca="false">EJ$49+EJ$50+EJ$57+EJ$58</f>
        <v>0</v>
      </c>
      <c r="EK68" s="34" t="n">
        <f aca="false">EK$49+EK$50+EK$57+EK$58</f>
        <v>0</v>
      </c>
      <c r="EL68" s="34" t="n">
        <f aca="false">EL$49+EL$50+EL$57+EL$58</f>
        <v>0</v>
      </c>
      <c r="EM68" s="34" t="n">
        <f aca="false">EM$49+EM$50+EM$57+EM$58</f>
        <v>0</v>
      </c>
      <c r="EN68" s="34" t="n">
        <f aca="false">EN$49+EN$50+EN$57+EN$58</f>
        <v>0</v>
      </c>
      <c r="EO68" s="34" t="n">
        <f aca="false">EO$49+EO$50+EO$57+EO$58</f>
        <v>0</v>
      </c>
      <c r="EP68" s="34" t="n">
        <f aca="false">EP$49+EP$50+EP$57+EP$58</f>
        <v>0</v>
      </c>
      <c r="EQ68" s="34" t="n">
        <f aca="false">EQ$49+EQ$50+EQ$57+EQ$58</f>
        <v>0</v>
      </c>
      <c r="ER68" s="34" t="n">
        <f aca="false">ER$49+ER$50+ER$57+ER$58</f>
        <v>0</v>
      </c>
      <c r="ES68" s="34" t="n">
        <f aca="false">ES$49+ES$50+ES$57+ES$58</f>
        <v>0</v>
      </c>
    </row>
    <row r="69" customFormat="false" ht="15" hidden="false" customHeight="false" outlineLevel="0" collapsed="false">
      <c r="A69" s="2" t="s">
        <v>628</v>
      </c>
      <c r="B69" s="6" t="s">
        <v>629</v>
      </c>
      <c r="C69" s="6" t="s">
        <v>250</v>
      </c>
      <c r="E69" s="40" t="n">
        <f aca="false">SUM(F69:ES69)</f>
        <v>6984448.30293321</v>
      </c>
      <c r="F69" s="34" t="n">
        <f aca="false">F$52+F$54</f>
        <v>53054.720696137</v>
      </c>
      <c r="G69" s="34" t="n">
        <f aca="false">G$52+G$54</f>
        <v>53054.720696137</v>
      </c>
      <c r="H69" s="34" t="n">
        <f aca="false">H$52+H$54</f>
        <v>53054.720696137</v>
      </c>
      <c r="I69" s="34" t="n">
        <f aca="false">I$52+I$54</f>
        <v>53054.720696137</v>
      </c>
      <c r="J69" s="34" t="n">
        <f aca="false">J$52+J$54</f>
        <v>53054.720696137</v>
      </c>
      <c r="K69" s="34" t="n">
        <f aca="false">K$52+K$54</f>
        <v>53054.720696137</v>
      </c>
      <c r="L69" s="34" t="n">
        <f aca="false">L$52+L$54</f>
        <v>53054.720696137</v>
      </c>
      <c r="M69" s="34" t="n">
        <f aca="false">M$52+M$54</f>
        <v>53054.720696137</v>
      </c>
      <c r="N69" s="34" t="n">
        <f aca="false">N$52+N$54</f>
        <v>53054.720696137</v>
      </c>
      <c r="O69" s="34" t="n">
        <f aca="false">O$52+O$54</f>
        <v>53054.720696137</v>
      </c>
      <c r="P69" s="34" t="n">
        <f aca="false">P$52+P$54</f>
        <v>53054.720696137</v>
      </c>
      <c r="Q69" s="34" t="n">
        <f aca="false">Q$52+Q$54</f>
        <v>53054.720696137</v>
      </c>
      <c r="R69" s="34" t="n">
        <f aca="false">R$52+R$54</f>
        <v>53054.720696137</v>
      </c>
      <c r="S69" s="34" t="n">
        <f aca="false">S$52+S$54</f>
        <v>53054.720696137</v>
      </c>
      <c r="T69" s="34" t="n">
        <f aca="false">T$52+T$54</f>
        <v>53054.720696137</v>
      </c>
      <c r="U69" s="34" t="n">
        <f aca="false">U$52+U$54</f>
        <v>53054.720696137</v>
      </c>
      <c r="V69" s="34" t="n">
        <f aca="false">V$52+V$54</f>
        <v>53054.720696137</v>
      </c>
      <c r="W69" s="34" t="n">
        <f aca="false">W$52+W$54</f>
        <v>53054.720696137</v>
      </c>
      <c r="X69" s="34" t="n">
        <f aca="false">X$52+X$54</f>
        <v>53054.720696137</v>
      </c>
      <c r="Y69" s="34" t="n">
        <f aca="false">Y$52+Y$54</f>
        <v>53054.720696137</v>
      </c>
      <c r="Z69" s="34" t="n">
        <f aca="false">Z$52+Z$54</f>
        <v>53054.720696137</v>
      </c>
      <c r="AA69" s="34" t="n">
        <f aca="false">AA$52+AA$54</f>
        <v>53054.720696137</v>
      </c>
      <c r="AB69" s="34" t="n">
        <f aca="false">AB$52+AB$54</f>
        <v>53054.720696137</v>
      </c>
      <c r="AC69" s="34" t="n">
        <f aca="false">AC$52+AC$54</f>
        <v>53054.720696137</v>
      </c>
      <c r="AD69" s="34" t="n">
        <f aca="false">AD$52+AD$54</f>
        <v>55700.1385399041</v>
      </c>
      <c r="AE69" s="34" t="n">
        <f aca="false">AE$52+AE$54</f>
        <v>55700.1385399041</v>
      </c>
      <c r="AF69" s="34" t="n">
        <f aca="false">AF$52+AF$54</f>
        <v>55700.1385399041</v>
      </c>
      <c r="AG69" s="34" t="n">
        <f aca="false">AG$52+AG$54</f>
        <v>55700.1385399041</v>
      </c>
      <c r="AH69" s="34" t="n">
        <f aca="false">AH$52+AH$54</f>
        <v>55700.1385399041</v>
      </c>
      <c r="AI69" s="34" t="n">
        <f aca="false">AI$52+AI$54</f>
        <v>55700.1385399041</v>
      </c>
      <c r="AJ69" s="34" t="n">
        <f aca="false">AJ$52+AJ$54</f>
        <v>55700.1385399041</v>
      </c>
      <c r="AK69" s="34" t="n">
        <f aca="false">AK$52+AK$54</f>
        <v>55700.1385399041</v>
      </c>
      <c r="AL69" s="34" t="n">
        <f aca="false">AL$52+AL$54</f>
        <v>55700.1385399041</v>
      </c>
      <c r="AM69" s="34" t="n">
        <f aca="false">AM$52+AM$54</f>
        <v>55700.1385399041</v>
      </c>
      <c r="AN69" s="34" t="n">
        <f aca="false">AN$52+AN$54</f>
        <v>55700.1385399041</v>
      </c>
      <c r="AO69" s="34" t="n">
        <f aca="false">AO$52+AO$54</f>
        <v>55700.1385399041</v>
      </c>
      <c r="AP69" s="34" t="n">
        <f aca="false">AP$52+AP$54</f>
        <v>57818.5076943014</v>
      </c>
      <c r="AQ69" s="34" t="n">
        <f aca="false">AQ$52+AQ$54</f>
        <v>57818.5076943014</v>
      </c>
      <c r="AR69" s="34" t="n">
        <f aca="false">AR$52+AR$54</f>
        <v>57818.5076943014</v>
      </c>
      <c r="AS69" s="34" t="n">
        <f aca="false">AS$52+AS$54</f>
        <v>57818.5076943014</v>
      </c>
      <c r="AT69" s="34" t="n">
        <f aca="false">AT$52+AT$54</f>
        <v>57818.5076943014</v>
      </c>
      <c r="AU69" s="34" t="n">
        <f aca="false">AU$52+AU$54</f>
        <v>57818.5076943014</v>
      </c>
      <c r="AV69" s="34" t="n">
        <f aca="false">AV$52+AV$54</f>
        <v>57818.5076943014</v>
      </c>
      <c r="AW69" s="34" t="n">
        <f aca="false">AW$52+AW$54</f>
        <v>57818.5076943014</v>
      </c>
      <c r="AX69" s="34" t="n">
        <f aca="false">AX$52+AX$54</f>
        <v>57818.5076943014</v>
      </c>
      <c r="AY69" s="34" t="n">
        <f aca="false">AY$52+AY$54</f>
        <v>57818.5076943014</v>
      </c>
      <c r="AZ69" s="34" t="n">
        <f aca="false">AZ$52+AZ$54</f>
        <v>57818.5076943014</v>
      </c>
      <c r="BA69" s="34" t="n">
        <f aca="false">BA$52+BA$54</f>
        <v>57818.5076943014</v>
      </c>
      <c r="BB69" s="34" t="n">
        <f aca="false">BB$52+BB$54</f>
        <v>60401.5451585479</v>
      </c>
      <c r="BC69" s="34" t="n">
        <f aca="false">BC$52+BC$54</f>
        <v>60401.5451585479</v>
      </c>
      <c r="BD69" s="34" t="n">
        <f aca="false">BD$52+BD$54</f>
        <v>60401.5451585479</v>
      </c>
      <c r="BE69" s="34" t="n">
        <f aca="false">BE$52+BE$54</f>
        <v>60401.5451585479</v>
      </c>
      <c r="BF69" s="34" t="n">
        <f aca="false">BF$52+BF$54</f>
        <v>60401.5451585479</v>
      </c>
      <c r="BG69" s="34" t="n">
        <f aca="false">BG$52+BG$54</f>
        <v>60401.5451585479</v>
      </c>
      <c r="BH69" s="34" t="n">
        <f aca="false">BH$52+BH$54</f>
        <v>60401.5451585479</v>
      </c>
      <c r="BI69" s="34" t="n">
        <f aca="false">BI$52+BI$54</f>
        <v>60401.5451585479</v>
      </c>
      <c r="BJ69" s="34" t="n">
        <f aca="false">BJ$52+BJ$54</f>
        <v>60401.5451585479</v>
      </c>
      <c r="BK69" s="34" t="n">
        <f aca="false">BK$52+BK$54</f>
        <v>60401.5451585479</v>
      </c>
      <c r="BL69" s="34" t="n">
        <f aca="false">BL$52+BL$54</f>
        <v>60401.5451585479</v>
      </c>
      <c r="BM69" s="34" t="n">
        <f aca="false">BM$52+BM$54</f>
        <v>60401.5451585479</v>
      </c>
      <c r="BN69" s="34" t="n">
        <f aca="false">BN$52+BN$54</f>
        <v>60401.5451585479</v>
      </c>
      <c r="BO69" s="34" t="n">
        <f aca="false">BO$52+BO$54</f>
        <v>60401.5451585479</v>
      </c>
      <c r="BP69" s="34" t="n">
        <f aca="false">BP$52+BP$54</f>
        <v>60401.5451585479</v>
      </c>
      <c r="BQ69" s="34" t="n">
        <f aca="false">BQ$52+BQ$54</f>
        <v>60401.5451585479</v>
      </c>
      <c r="BR69" s="34" t="n">
        <f aca="false">BR$52+BR$54</f>
        <v>60401.5451585479</v>
      </c>
      <c r="BS69" s="34" t="n">
        <f aca="false">BS$52+BS$54</f>
        <v>60401.5451585479</v>
      </c>
      <c r="BT69" s="34" t="n">
        <f aca="false">BT$52+BT$54</f>
        <v>60401.5451585479</v>
      </c>
      <c r="BU69" s="34" t="n">
        <f aca="false">BU$52+BU$54</f>
        <v>60401.5451585479</v>
      </c>
      <c r="BV69" s="34" t="n">
        <f aca="false">BV$52+BV$54</f>
        <v>60401.5451585479</v>
      </c>
      <c r="BW69" s="34" t="n">
        <f aca="false">BW$52+BW$54</f>
        <v>60401.5451585479</v>
      </c>
      <c r="BX69" s="34" t="n">
        <f aca="false">BX$52+BX$54</f>
        <v>60401.5451585479</v>
      </c>
      <c r="BY69" s="34" t="n">
        <f aca="false">BY$52+BY$54</f>
        <v>60401.5451585479</v>
      </c>
      <c r="BZ69" s="34" t="n">
        <f aca="false">BZ$52+BZ$54</f>
        <v>60401.5451585479</v>
      </c>
      <c r="CA69" s="34" t="n">
        <f aca="false">CA$52+CA$54</f>
        <v>60401.5451585479</v>
      </c>
      <c r="CB69" s="34" t="n">
        <f aca="false">CB$52+CB$54</f>
        <v>60401.5451585479</v>
      </c>
      <c r="CC69" s="34" t="n">
        <f aca="false">CC$52+CC$54</f>
        <v>60401.5451585479</v>
      </c>
      <c r="CD69" s="34" t="n">
        <f aca="false">CD$52+CD$54</f>
        <v>60401.5451585479</v>
      </c>
      <c r="CE69" s="34" t="n">
        <f aca="false">CE$52+CE$54</f>
        <v>60401.5451585479</v>
      </c>
      <c r="CF69" s="34" t="n">
        <f aca="false">CF$52+CF$54</f>
        <v>60401.5451585479</v>
      </c>
      <c r="CG69" s="34" t="n">
        <f aca="false">CG$52+CG$54</f>
        <v>60401.5451585479</v>
      </c>
      <c r="CH69" s="34" t="n">
        <f aca="false">CH$52+CH$54</f>
        <v>60401.5451585479</v>
      </c>
      <c r="CI69" s="34" t="n">
        <f aca="false">CI$52+CI$54</f>
        <v>60401.5451585479</v>
      </c>
      <c r="CJ69" s="34" t="n">
        <f aca="false">CJ$52+CJ$54</f>
        <v>60401.5451585479</v>
      </c>
      <c r="CK69" s="34" t="n">
        <f aca="false">CK$52+CK$54</f>
        <v>60401.5451585479</v>
      </c>
      <c r="CL69" s="34" t="n">
        <f aca="false">CL$52+CL$54</f>
        <v>60401.5451585479</v>
      </c>
      <c r="CM69" s="34" t="n">
        <f aca="false">CM$52+CM$54</f>
        <v>60401.5451585479</v>
      </c>
      <c r="CN69" s="34" t="n">
        <f aca="false">CN$52+CN$54</f>
        <v>60401.5451585479</v>
      </c>
      <c r="CO69" s="34" t="n">
        <f aca="false">CO$52+CO$54</f>
        <v>60401.5451585479</v>
      </c>
      <c r="CP69" s="34" t="n">
        <f aca="false">CP$52+CP$54</f>
        <v>60401.5451585479</v>
      </c>
      <c r="CQ69" s="34" t="n">
        <f aca="false">CQ$52+CQ$54</f>
        <v>60401.5451585479</v>
      </c>
      <c r="CR69" s="34" t="n">
        <f aca="false">CR$52+CR$54</f>
        <v>60401.5451585479</v>
      </c>
      <c r="CS69" s="34" t="n">
        <f aca="false">CS$52+CS$54</f>
        <v>60401.5451585479</v>
      </c>
      <c r="CT69" s="34" t="n">
        <f aca="false">CT$52+CT$54</f>
        <v>60401.5451585479</v>
      </c>
      <c r="CU69" s="34" t="n">
        <f aca="false">CU$52+CU$54</f>
        <v>60401.5451585479</v>
      </c>
      <c r="CV69" s="34" t="n">
        <f aca="false">CV$52+CV$54</f>
        <v>60401.5451585479</v>
      </c>
      <c r="CW69" s="34" t="n">
        <f aca="false">CW$52+CW$54</f>
        <v>60401.5451585479</v>
      </c>
      <c r="CX69" s="34" t="n">
        <f aca="false">CX$52+CX$54</f>
        <v>60401.5451585479</v>
      </c>
      <c r="CY69" s="34" t="n">
        <f aca="false">CY$52+CY$54</f>
        <v>60401.5451585479</v>
      </c>
      <c r="CZ69" s="34" t="n">
        <f aca="false">CZ$52+CZ$54</f>
        <v>60401.5451585479</v>
      </c>
      <c r="DA69" s="34" t="n">
        <f aca="false">DA$52+DA$54</f>
        <v>60401.5451585479</v>
      </c>
      <c r="DB69" s="34" t="n">
        <f aca="false">DB$52+DB$54</f>
        <v>60401.5451585479</v>
      </c>
      <c r="DC69" s="34" t="n">
        <f aca="false">DC$52+DC$54</f>
        <v>60401.5451585479</v>
      </c>
      <c r="DD69" s="34" t="n">
        <f aca="false">DD$52+DD$54</f>
        <v>60401.5451585479</v>
      </c>
      <c r="DE69" s="34" t="n">
        <f aca="false">DE$52+DE$54</f>
        <v>60401.5451585479</v>
      </c>
      <c r="DF69" s="34" t="n">
        <f aca="false">DF$52+DF$54</f>
        <v>60401.5451585479</v>
      </c>
      <c r="DG69" s="34" t="n">
        <f aca="false">DG$52+DG$54</f>
        <v>60401.5451585479</v>
      </c>
      <c r="DH69" s="34" t="n">
        <f aca="false">DH$52+DH$54</f>
        <v>60401.5451585479</v>
      </c>
      <c r="DI69" s="34" t="n">
        <f aca="false">DI$52+DI$54</f>
        <v>60401.5451585479</v>
      </c>
      <c r="DJ69" s="34" t="n">
        <f aca="false">DJ$52+DJ$54</f>
        <v>60401.5451585479</v>
      </c>
      <c r="DK69" s="34" t="n">
        <f aca="false">DK$52+DK$54</f>
        <v>60401.5451585479</v>
      </c>
      <c r="DL69" s="34" t="n">
        <f aca="false">DL$52+DL$54</f>
        <v>60401.5451585479</v>
      </c>
      <c r="DM69" s="34" t="n">
        <f aca="false">DM$52+DM$54</f>
        <v>60401.5451585479</v>
      </c>
      <c r="DN69" s="34" t="n">
        <f aca="false">DN$52+DN$54</f>
        <v>60401.5451585479</v>
      </c>
      <c r="DO69" s="34" t="n">
        <f aca="false">DO$52+DO$54</f>
        <v>60401.5451585479</v>
      </c>
      <c r="DP69" s="34" t="n">
        <f aca="false">DP$52+DP$54</f>
        <v>60401.5451585479</v>
      </c>
      <c r="DQ69" s="34" t="n">
        <f aca="false">DQ$52+DQ$54</f>
        <v>60401.5451585479</v>
      </c>
      <c r="DR69" s="34" t="n">
        <f aca="false">DR$52+DR$54</f>
        <v>60401.5451585479</v>
      </c>
      <c r="DS69" s="34" t="n">
        <f aca="false">DS$52+DS$54</f>
        <v>60401.5451585479</v>
      </c>
      <c r="DT69" s="34" t="n">
        <f aca="false">DT$52+DT$54</f>
        <v>60401.5451585479</v>
      </c>
      <c r="DU69" s="34" t="n">
        <f aca="false">DU$52+DU$54</f>
        <v>60401.5451585479</v>
      </c>
      <c r="DV69" s="34" t="n">
        <f aca="false">DV$52+DV$54</f>
        <v>0</v>
      </c>
      <c r="DW69" s="34" t="n">
        <f aca="false">DW$52+DW$54</f>
        <v>0</v>
      </c>
      <c r="DX69" s="34" t="n">
        <f aca="false">DX$52+DX$54</f>
        <v>0</v>
      </c>
      <c r="DY69" s="34" t="n">
        <f aca="false">DY$52+DY$54</f>
        <v>0</v>
      </c>
      <c r="DZ69" s="34" t="n">
        <f aca="false">DZ$52+DZ$54</f>
        <v>0</v>
      </c>
      <c r="EA69" s="34" t="n">
        <f aca="false">EA$52+EA$54</f>
        <v>0</v>
      </c>
      <c r="EB69" s="34" t="n">
        <f aca="false">EB$52+EB$54</f>
        <v>0</v>
      </c>
      <c r="EC69" s="34" t="n">
        <f aca="false">EC$52+EC$54</f>
        <v>0</v>
      </c>
      <c r="ED69" s="34" t="n">
        <f aca="false">ED$52+ED$54</f>
        <v>0</v>
      </c>
      <c r="EE69" s="34" t="n">
        <f aca="false">EE$52+EE$54</f>
        <v>0</v>
      </c>
      <c r="EF69" s="34" t="n">
        <f aca="false">EF$52+EF$54</f>
        <v>0</v>
      </c>
      <c r="EG69" s="34" t="n">
        <f aca="false">EG$52+EG$54</f>
        <v>0</v>
      </c>
      <c r="EH69" s="34" t="n">
        <f aca="false">EH$52+EH$54</f>
        <v>0</v>
      </c>
      <c r="EI69" s="34" t="n">
        <f aca="false">EI$52+EI$54</f>
        <v>0</v>
      </c>
      <c r="EJ69" s="34" t="n">
        <f aca="false">EJ$52+EJ$54</f>
        <v>0</v>
      </c>
      <c r="EK69" s="34" t="n">
        <f aca="false">EK$52+EK$54</f>
        <v>0</v>
      </c>
      <c r="EL69" s="34" t="n">
        <f aca="false">EL$52+EL$54</f>
        <v>0</v>
      </c>
      <c r="EM69" s="34" t="n">
        <f aca="false">EM$52+EM$54</f>
        <v>0</v>
      </c>
      <c r="EN69" s="34" t="n">
        <f aca="false">EN$52+EN$54</f>
        <v>0</v>
      </c>
      <c r="EO69" s="34" t="n">
        <f aca="false">EO$52+EO$54</f>
        <v>0</v>
      </c>
      <c r="EP69" s="34" t="n">
        <f aca="false">EP$52+EP$54</f>
        <v>0</v>
      </c>
      <c r="EQ69" s="34" t="n">
        <f aca="false">EQ$52+EQ$54</f>
        <v>0</v>
      </c>
      <c r="ER69" s="34" t="n">
        <f aca="false">ER$52+ER$54</f>
        <v>0</v>
      </c>
      <c r="ES69" s="34" t="n">
        <f aca="false">ES$52+ES$54</f>
        <v>0</v>
      </c>
    </row>
    <row r="70" customFormat="false" ht="15" hidden="false" customHeight="false" outlineLevel="0" collapsed="false">
      <c r="A70" s="2" t="s">
        <v>630</v>
      </c>
      <c r="B70" s="6" t="s">
        <v>631</v>
      </c>
      <c r="C70" s="6" t="s">
        <v>250</v>
      </c>
      <c r="E70" s="40" t="n">
        <f aca="false">SUM(F70:ES70)</f>
        <v>3406933.03324133</v>
      </c>
      <c r="F70" s="34" t="n">
        <f aca="false">F$60+F$63</f>
        <v>19873.0114276757</v>
      </c>
      <c r="G70" s="34" t="n">
        <f aca="false">G$60+G$63</f>
        <v>19873.0114276757</v>
      </c>
      <c r="H70" s="34" t="n">
        <f aca="false">H$60+H$63</f>
        <v>19873.0114276757</v>
      </c>
      <c r="I70" s="34" t="n">
        <f aca="false">I$60+I$63</f>
        <v>19873.0114276757</v>
      </c>
      <c r="J70" s="34" t="n">
        <f aca="false">J$60+J$63</f>
        <v>19873.0114276757</v>
      </c>
      <c r="K70" s="34" t="n">
        <f aca="false">K$60+K$63</f>
        <v>19873.0114276757</v>
      </c>
      <c r="L70" s="34" t="n">
        <f aca="false">L$60+L$63</f>
        <v>19873.0114276757</v>
      </c>
      <c r="M70" s="34" t="n">
        <f aca="false">M$60+M$63</f>
        <v>19873.0114276757</v>
      </c>
      <c r="N70" s="34" t="n">
        <f aca="false">N$60+N$63</f>
        <v>19873.0114276757</v>
      </c>
      <c r="O70" s="34" t="n">
        <f aca="false">O$60+O$63</f>
        <v>19873.0114276757</v>
      </c>
      <c r="P70" s="34" t="n">
        <f aca="false">P$60+P$63</f>
        <v>19873.0114276757</v>
      </c>
      <c r="Q70" s="34" t="n">
        <f aca="false">Q$60+Q$63</f>
        <v>19873.0114276757</v>
      </c>
      <c r="R70" s="34" t="n">
        <f aca="false">R$60+R$63</f>
        <v>23317.3689934674</v>
      </c>
      <c r="S70" s="34" t="n">
        <f aca="false">S$60+S$63</f>
        <v>23317.3689934674</v>
      </c>
      <c r="T70" s="34" t="n">
        <f aca="false">T$60+T$63</f>
        <v>23317.3689934674</v>
      </c>
      <c r="U70" s="34" t="n">
        <f aca="false">U$60+U$63</f>
        <v>23317.3689934674</v>
      </c>
      <c r="V70" s="34" t="n">
        <f aca="false">V$60+V$63</f>
        <v>23317.3689934674</v>
      </c>
      <c r="W70" s="34" t="n">
        <f aca="false">W$60+W$63</f>
        <v>23317.3689934674</v>
      </c>
      <c r="X70" s="34" t="n">
        <f aca="false">X$60+X$63</f>
        <v>23317.3689934674</v>
      </c>
      <c r="Y70" s="34" t="n">
        <f aca="false">Y$60+Y$63</f>
        <v>23317.3689934674</v>
      </c>
      <c r="Z70" s="34" t="n">
        <f aca="false">Z$60+Z$63</f>
        <v>23317.3689934674</v>
      </c>
      <c r="AA70" s="34" t="n">
        <f aca="false">AA$60+AA$63</f>
        <v>23317.3689934674</v>
      </c>
      <c r="AB70" s="34" t="n">
        <f aca="false">AB$60+AB$63</f>
        <v>23317.3689934674</v>
      </c>
      <c r="AC70" s="34" t="n">
        <f aca="false">AC$60+AC$63</f>
        <v>23317.3689934674</v>
      </c>
      <c r="AD70" s="34" t="n">
        <f aca="false">AD$60+AD$63</f>
        <v>26931.7997342693</v>
      </c>
      <c r="AE70" s="34" t="n">
        <f aca="false">AE$60+AE$63</f>
        <v>26931.7997342693</v>
      </c>
      <c r="AF70" s="34" t="n">
        <f aca="false">AF$60+AF$63</f>
        <v>26931.7997342693</v>
      </c>
      <c r="AG70" s="34" t="n">
        <f aca="false">AG$60+AG$63</f>
        <v>26931.7997342693</v>
      </c>
      <c r="AH70" s="34" t="n">
        <f aca="false">AH$60+AH$63</f>
        <v>26931.7997342693</v>
      </c>
      <c r="AI70" s="34" t="n">
        <f aca="false">AI$60+AI$63</f>
        <v>26931.7997342693</v>
      </c>
      <c r="AJ70" s="34" t="n">
        <f aca="false">AJ$60+AJ$63</f>
        <v>26931.7997342693</v>
      </c>
      <c r="AK70" s="34" t="n">
        <f aca="false">AK$60+AK$63</f>
        <v>26931.7997342693</v>
      </c>
      <c r="AL70" s="34" t="n">
        <f aca="false">AL$60+AL$63</f>
        <v>26931.7997342693</v>
      </c>
      <c r="AM70" s="34" t="n">
        <f aca="false">AM$60+AM$63</f>
        <v>26931.7997342693</v>
      </c>
      <c r="AN70" s="34" t="n">
        <f aca="false">AN$60+AN$63</f>
        <v>26931.7997342693</v>
      </c>
      <c r="AO70" s="34" t="n">
        <f aca="false">AO$60+AO$63</f>
        <v>26931.7997342693</v>
      </c>
      <c r="AP70" s="34" t="n">
        <f aca="false">AP$60+AP$63</f>
        <v>29899.7286769277</v>
      </c>
      <c r="AQ70" s="34" t="n">
        <f aca="false">AQ$60+AQ$63</f>
        <v>29899.7286769277</v>
      </c>
      <c r="AR70" s="34" t="n">
        <f aca="false">AR$60+AR$63</f>
        <v>29899.7286769277</v>
      </c>
      <c r="AS70" s="34" t="n">
        <f aca="false">AS$60+AS$63</f>
        <v>29899.7286769277</v>
      </c>
      <c r="AT70" s="34" t="n">
        <f aca="false">AT$60+AT$63</f>
        <v>29899.7286769277</v>
      </c>
      <c r="AU70" s="34" t="n">
        <f aca="false">AU$60+AU$63</f>
        <v>29899.7286769277</v>
      </c>
      <c r="AV70" s="34" t="n">
        <f aca="false">AV$60+AV$63</f>
        <v>29899.7286769277</v>
      </c>
      <c r="AW70" s="34" t="n">
        <f aca="false">AW$60+AW$63</f>
        <v>29899.7286769277</v>
      </c>
      <c r="AX70" s="34" t="n">
        <f aca="false">AX$60+AX$63</f>
        <v>29899.7286769277</v>
      </c>
      <c r="AY70" s="34" t="n">
        <f aca="false">AY$60+AY$63</f>
        <v>29899.7286769277</v>
      </c>
      <c r="AZ70" s="34" t="n">
        <f aca="false">AZ$60+AZ$63</f>
        <v>29899.7286769277</v>
      </c>
      <c r="BA70" s="34" t="n">
        <f aca="false">BA$60+BA$63</f>
        <v>29899.7286769277</v>
      </c>
      <c r="BB70" s="34" t="n">
        <f aca="false">BB$60+BB$63</f>
        <v>30202.8952208885</v>
      </c>
      <c r="BC70" s="34" t="n">
        <f aca="false">BC$60+BC$63</f>
        <v>30202.8952208885</v>
      </c>
      <c r="BD70" s="34" t="n">
        <f aca="false">BD$60+BD$63</f>
        <v>30202.8952208885</v>
      </c>
      <c r="BE70" s="34" t="n">
        <f aca="false">BE$60+BE$63</f>
        <v>30202.8952208885</v>
      </c>
      <c r="BF70" s="34" t="n">
        <f aca="false">BF$60+BF$63</f>
        <v>30202.8952208885</v>
      </c>
      <c r="BG70" s="34" t="n">
        <f aca="false">BG$60+BG$63</f>
        <v>30202.8952208885</v>
      </c>
      <c r="BH70" s="34" t="n">
        <f aca="false">BH$60+BH$63</f>
        <v>30202.8952208885</v>
      </c>
      <c r="BI70" s="34" t="n">
        <f aca="false">BI$60+BI$63</f>
        <v>30202.8952208885</v>
      </c>
      <c r="BJ70" s="34" t="n">
        <f aca="false">BJ$60+BJ$63</f>
        <v>30202.8952208885</v>
      </c>
      <c r="BK70" s="34" t="n">
        <f aca="false">BK$60+BK$63</f>
        <v>30202.8952208885</v>
      </c>
      <c r="BL70" s="34" t="n">
        <f aca="false">BL$60+BL$63</f>
        <v>30202.8952208885</v>
      </c>
      <c r="BM70" s="34" t="n">
        <f aca="false">BM$60+BM$63</f>
        <v>30202.8952208885</v>
      </c>
      <c r="BN70" s="34" t="n">
        <f aca="false">BN$60+BN$63</f>
        <v>30377.8973165949</v>
      </c>
      <c r="BO70" s="34" t="n">
        <f aca="false">BO$60+BO$63</f>
        <v>30377.8973165949</v>
      </c>
      <c r="BP70" s="34" t="n">
        <f aca="false">BP$60+BP$63</f>
        <v>30377.8973165949</v>
      </c>
      <c r="BQ70" s="34" t="n">
        <f aca="false">BQ$60+BQ$63</f>
        <v>30377.8973165949</v>
      </c>
      <c r="BR70" s="34" t="n">
        <f aca="false">BR$60+BR$63</f>
        <v>30377.8973165949</v>
      </c>
      <c r="BS70" s="34" t="n">
        <f aca="false">BS$60+BS$63</f>
        <v>30377.8973165949</v>
      </c>
      <c r="BT70" s="34" t="n">
        <f aca="false">BT$60+BT$63</f>
        <v>30377.8973165949</v>
      </c>
      <c r="BU70" s="34" t="n">
        <f aca="false">BU$60+BU$63</f>
        <v>30377.8973165949</v>
      </c>
      <c r="BV70" s="34" t="n">
        <f aca="false">BV$60+BV$63</f>
        <v>30377.8973165949</v>
      </c>
      <c r="BW70" s="34" t="n">
        <f aca="false">BW$60+BW$63</f>
        <v>30377.8973165949</v>
      </c>
      <c r="BX70" s="34" t="n">
        <f aca="false">BX$60+BX$63</f>
        <v>30377.8973165949</v>
      </c>
      <c r="BY70" s="34" t="n">
        <f aca="false">BY$60+BY$63</f>
        <v>30377.8973165949</v>
      </c>
      <c r="BZ70" s="34" t="n">
        <f aca="false">BZ$60+BZ$63</f>
        <v>30555.2121796718</v>
      </c>
      <c r="CA70" s="34" t="n">
        <f aca="false">CA$60+CA$63</f>
        <v>30555.2121796718</v>
      </c>
      <c r="CB70" s="34" t="n">
        <f aca="false">CB$60+CB$63</f>
        <v>30555.2121796718</v>
      </c>
      <c r="CC70" s="34" t="n">
        <f aca="false">CC$60+CC$63</f>
        <v>30555.2121796718</v>
      </c>
      <c r="CD70" s="34" t="n">
        <f aca="false">CD$60+CD$63</f>
        <v>30555.2121796718</v>
      </c>
      <c r="CE70" s="34" t="n">
        <f aca="false">CE$60+CE$63</f>
        <v>30555.2121796718</v>
      </c>
      <c r="CF70" s="34" t="n">
        <f aca="false">CF$60+CF$63</f>
        <v>30555.2121796718</v>
      </c>
      <c r="CG70" s="34" t="n">
        <f aca="false">CG$60+CG$63</f>
        <v>30555.2121796718</v>
      </c>
      <c r="CH70" s="34" t="n">
        <f aca="false">CH$60+CH$63</f>
        <v>30555.2121796718</v>
      </c>
      <c r="CI70" s="34" t="n">
        <f aca="false">CI$60+CI$63</f>
        <v>30555.2121796718</v>
      </c>
      <c r="CJ70" s="34" t="n">
        <f aca="false">CJ$60+CJ$63</f>
        <v>30555.2121796718</v>
      </c>
      <c r="CK70" s="34" t="n">
        <f aca="false">CK$60+CK$63</f>
        <v>30555.2121796718</v>
      </c>
      <c r="CL70" s="34" t="n">
        <f aca="false">CL$60+CL$63</f>
        <v>30734.874192721</v>
      </c>
      <c r="CM70" s="34" t="n">
        <f aca="false">CM$60+CM$63</f>
        <v>30734.874192721</v>
      </c>
      <c r="CN70" s="34" t="n">
        <f aca="false">CN$60+CN$63</f>
        <v>30734.874192721</v>
      </c>
      <c r="CO70" s="34" t="n">
        <f aca="false">CO$60+CO$63</f>
        <v>30734.874192721</v>
      </c>
      <c r="CP70" s="34" t="n">
        <f aca="false">CP$60+CP$63</f>
        <v>30734.874192721</v>
      </c>
      <c r="CQ70" s="34" t="n">
        <f aca="false">CQ$60+CQ$63</f>
        <v>30734.874192721</v>
      </c>
      <c r="CR70" s="34" t="n">
        <f aca="false">CR$60+CR$63</f>
        <v>30734.874192721</v>
      </c>
      <c r="CS70" s="34" t="n">
        <f aca="false">CS$60+CS$63</f>
        <v>30734.874192721</v>
      </c>
      <c r="CT70" s="34" t="n">
        <f aca="false">CT$60+CT$63</f>
        <v>30734.874192721</v>
      </c>
      <c r="CU70" s="34" t="n">
        <f aca="false">CU$60+CU$63</f>
        <v>30734.874192721</v>
      </c>
      <c r="CV70" s="34" t="n">
        <f aca="false">CV$60+CV$63</f>
        <v>30734.874192721</v>
      </c>
      <c r="CW70" s="34" t="n">
        <f aca="false">CW$60+CW$63</f>
        <v>30734.874192721</v>
      </c>
      <c r="CX70" s="34" t="n">
        <f aca="false">CX$60+CX$63</f>
        <v>30916.9183072693</v>
      </c>
      <c r="CY70" s="34" t="n">
        <f aca="false">CY$60+CY$63</f>
        <v>30916.9183072693</v>
      </c>
      <c r="CZ70" s="34" t="n">
        <f aca="false">CZ$60+CZ$63</f>
        <v>30916.9183072693</v>
      </c>
      <c r="DA70" s="34" t="n">
        <f aca="false">DA$60+DA$63</f>
        <v>30916.9183072693</v>
      </c>
      <c r="DB70" s="34" t="n">
        <f aca="false">DB$60+DB$63</f>
        <v>30916.9183072693</v>
      </c>
      <c r="DC70" s="34" t="n">
        <f aca="false">DC$60+DC$63</f>
        <v>30916.9183072693</v>
      </c>
      <c r="DD70" s="34" t="n">
        <f aca="false">DD$60+DD$63</f>
        <v>30916.9183072693</v>
      </c>
      <c r="DE70" s="34" t="n">
        <f aca="false">DE$60+DE$63</f>
        <v>30916.9183072693</v>
      </c>
      <c r="DF70" s="34" t="n">
        <f aca="false">DF$60+DF$63</f>
        <v>30916.9183072693</v>
      </c>
      <c r="DG70" s="34" t="n">
        <f aca="false">DG$60+DG$63</f>
        <v>30916.9183072693</v>
      </c>
      <c r="DH70" s="34" t="n">
        <f aca="false">DH$60+DH$63</f>
        <v>30916.9183072693</v>
      </c>
      <c r="DI70" s="34" t="n">
        <f aca="false">DI$60+DI$63</f>
        <v>30916.9183072693</v>
      </c>
      <c r="DJ70" s="34" t="n">
        <f aca="false">DJ$60+DJ$63</f>
        <v>31101.3800539588</v>
      </c>
      <c r="DK70" s="34" t="n">
        <f aca="false">DK$60+DK$63</f>
        <v>31101.3800539588</v>
      </c>
      <c r="DL70" s="34" t="n">
        <f aca="false">DL$60+DL$63</f>
        <v>31101.3800539588</v>
      </c>
      <c r="DM70" s="34" t="n">
        <f aca="false">DM$60+DM$63</f>
        <v>31101.3800539588</v>
      </c>
      <c r="DN70" s="34" t="n">
        <f aca="false">DN$60+DN$63</f>
        <v>31101.3800539588</v>
      </c>
      <c r="DO70" s="34" t="n">
        <f aca="false">DO$60+DO$63</f>
        <v>31101.3800539588</v>
      </c>
      <c r="DP70" s="34" t="n">
        <f aca="false">DP$60+DP$63</f>
        <v>31101.3800539588</v>
      </c>
      <c r="DQ70" s="34" t="n">
        <f aca="false">DQ$60+DQ$63</f>
        <v>31101.3800539588</v>
      </c>
      <c r="DR70" s="34" t="n">
        <f aca="false">DR$60+DR$63</f>
        <v>31101.3800539588</v>
      </c>
      <c r="DS70" s="34" t="n">
        <f aca="false">DS$60+DS$63</f>
        <v>31101.3800539588</v>
      </c>
      <c r="DT70" s="34" t="n">
        <f aca="false">DT$60+DT$63</f>
        <v>31101.3800539588</v>
      </c>
      <c r="DU70" s="34" t="n">
        <f aca="false">DU$60+DU$63</f>
        <v>31101.3800539588</v>
      </c>
      <c r="DV70" s="34" t="n">
        <f aca="false">DV$60+DV$63</f>
        <v>0</v>
      </c>
      <c r="DW70" s="34" t="n">
        <f aca="false">DW$60+DW$63</f>
        <v>0</v>
      </c>
      <c r="DX70" s="34" t="n">
        <f aca="false">DX$60+DX$63</f>
        <v>0</v>
      </c>
      <c r="DY70" s="34" t="n">
        <f aca="false">DY$60+DY$63</f>
        <v>0</v>
      </c>
      <c r="DZ70" s="34" t="n">
        <f aca="false">DZ$60+DZ$63</f>
        <v>0</v>
      </c>
      <c r="EA70" s="34" t="n">
        <f aca="false">EA$60+EA$63</f>
        <v>0</v>
      </c>
      <c r="EB70" s="34" t="n">
        <f aca="false">EB$60+EB$63</f>
        <v>0</v>
      </c>
      <c r="EC70" s="34" t="n">
        <f aca="false">EC$60+EC$63</f>
        <v>0</v>
      </c>
      <c r="ED70" s="34" t="n">
        <f aca="false">ED$60+ED$63</f>
        <v>0</v>
      </c>
      <c r="EE70" s="34" t="n">
        <f aca="false">EE$60+EE$63</f>
        <v>0</v>
      </c>
      <c r="EF70" s="34" t="n">
        <f aca="false">EF$60+EF$63</f>
        <v>0</v>
      </c>
      <c r="EG70" s="34" t="n">
        <f aca="false">EG$60+EG$63</f>
        <v>0</v>
      </c>
      <c r="EH70" s="34" t="n">
        <f aca="false">EH$60+EH$63</f>
        <v>0</v>
      </c>
      <c r="EI70" s="34" t="n">
        <f aca="false">EI$60+EI$63</f>
        <v>0</v>
      </c>
      <c r="EJ70" s="34" t="n">
        <f aca="false">EJ$60+EJ$63</f>
        <v>0</v>
      </c>
      <c r="EK70" s="34" t="n">
        <f aca="false">EK$60+EK$63</f>
        <v>0</v>
      </c>
      <c r="EL70" s="34" t="n">
        <f aca="false">EL$60+EL$63</f>
        <v>0</v>
      </c>
      <c r="EM70" s="34" t="n">
        <f aca="false">EM$60+EM$63</f>
        <v>0</v>
      </c>
      <c r="EN70" s="34" t="n">
        <f aca="false">EN$60+EN$63</f>
        <v>0</v>
      </c>
      <c r="EO70" s="34" t="n">
        <f aca="false">EO$60+EO$63</f>
        <v>0</v>
      </c>
      <c r="EP70" s="34" t="n">
        <f aca="false">EP$60+EP$63</f>
        <v>0</v>
      </c>
      <c r="EQ70" s="34" t="n">
        <f aca="false">EQ$60+EQ$63</f>
        <v>0</v>
      </c>
      <c r="ER70" s="34" t="n">
        <f aca="false">ER$60+ER$63</f>
        <v>0</v>
      </c>
      <c r="ES70" s="34" t="n">
        <f aca="false">ES$60+ES$63</f>
        <v>0</v>
      </c>
    </row>
    <row r="71" customFormat="false" ht="15" hidden="false" customHeight="false" outlineLevel="0" collapsed="false">
      <c r="A71" s="2" t="s">
        <v>632</v>
      </c>
      <c r="B71" s="52" t="s">
        <v>633</v>
      </c>
      <c r="C71" s="6" t="s">
        <v>250</v>
      </c>
      <c r="E71" s="40" t="n">
        <f aca="false">SUM(F71:ES71)</f>
        <v>21340920.4743363</v>
      </c>
      <c r="F71" s="10" t="n">
        <f aca="false">F$45-F$67-F$68-F$69-F$70</f>
        <v>79096.469288216</v>
      </c>
      <c r="G71" s="10" t="n">
        <f aca="false">G$45-G$67-G$68-G$69-G$70</f>
        <v>79096.469288216</v>
      </c>
      <c r="H71" s="10" t="n">
        <f aca="false">H$45-H$67-H$68-H$69-H$70</f>
        <v>79096.469288216</v>
      </c>
      <c r="I71" s="10" t="n">
        <f aca="false">I$45-I$67-I$68-I$69-I$70</f>
        <v>79096.469288216</v>
      </c>
      <c r="J71" s="10" t="n">
        <f aca="false">J$45-J$67-J$68-J$69-J$70</f>
        <v>79096.469288216</v>
      </c>
      <c r="K71" s="10" t="n">
        <f aca="false">K$45-K$67-K$68-K$69-K$70</f>
        <v>79096.469288216</v>
      </c>
      <c r="L71" s="10" t="n">
        <f aca="false">L$45-L$67-L$68-L$69-L$70</f>
        <v>79096.469288216</v>
      </c>
      <c r="M71" s="10" t="n">
        <f aca="false">M$45-M$67-M$68-M$69-M$70</f>
        <v>79096.469288216</v>
      </c>
      <c r="N71" s="10" t="n">
        <f aca="false">N$45-N$67-N$68-N$69-N$70</f>
        <v>79096.469288216</v>
      </c>
      <c r="O71" s="10" t="n">
        <f aca="false">O$45-O$67-O$68-O$69-O$70</f>
        <v>79096.469288216</v>
      </c>
      <c r="P71" s="10" t="n">
        <f aca="false">P$45-P$67-P$68-P$69-P$70</f>
        <v>79096.469288216</v>
      </c>
      <c r="Q71" s="10" t="n">
        <f aca="false">Q$45-Q$67-Q$68-Q$69-Q$70</f>
        <v>79096.469288216</v>
      </c>
      <c r="R71" s="10" t="n">
        <f aca="false">R$45-R$67-R$68-R$69-R$70</f>
        <v>118738.075139924</v>
      </c>
      <c r="S71" s="10" t="n">
        <f aca="false">S$45-S$67-S$68-S$69-S$70</f>
        <v>118738.075139924</v>
      </c>
      <c r="T71" s="10" t="n">
        <f aca="false">T$45-T$67-T$68-T$69-T$70</f>
        <v>118738.075139924</v>
      </c>
      <c r="U71" s="10" t="n">
        <f aca="false">U$45-U$67-U$68-U$69-U$70</f>
        <v>118738.075139924</v>
      </c>
      <c r="V71" s="10" t="n">
        <f aca="false">V$45-V$67-V$68-V$69-V$70</f>
        <v>118738.075139924</v>
      </c>
      <c r="W71" s="10" t="n">
        <f aca="false">W$45-W$67-W$68-W$69-W$70</f>
        <v>118738.075139924</v>
      </c>
      <c r="X71" s="10" t="n">
        <f aca="false">X$45-X$67-X$68-X$69-X$70</f>
        <v>118738.075139924</v>
      </c>
      <c r="Y71" s="10" t="n">
        <f aca="false">Y$45-Y$67-Y$68-Y$69-Y$70</f>
        <v>118738.075139924</v>
      </c>
      <c r="Z71" s="10" t="n">
        <f aca="false">Z$45-Z$67-Z$68-Z$69-Z$70</f>
        <v>118738.075139924</v>
      </c>
      <c r="AA71" s="10" t="n">
        <f aca="false">AA$45-AA$67-AA$68-AA$69-AA$70</f>
        <v>118738.075139924</v>
      </c>
      <c r="AB71" s="10" t="n">
        <f aca="false">AB$45-AB$67-AB$68-AB$69-AB$70</f>
        <v>118738.075139924</v>
      </c>
      <c r="AC71" s="10" t="n">
        <f aca="false">AC$45-AC$67-AC$68-AC$69-AC$70</f>
        <v>118738.075139924</v>
      </c>
      <c r="AD71" s="10" t="n">
        <f aca="false">AD$45-AD$67-AD$68-AD$69-AD$70</f>
        <v>157007.189944418</v>
      </c>
      <c r="AE71" s="10" t="n">
        <f aca="false">AE$45-AE$67-AE$68-AE$69-AE$70</f>
        <v>157007.189944418</v>
      </c>
      <c r="AF71" s="10" t="n">
        <f aca="false">AF$45-AF$67-AF$68-AF$69-AF$70</f>
        <v>157007.189944418</v>
      </c>
      <c r="AG71" s="10" t="n">
        <f aca="false">AG$45-AG$67-AG$68-AG$69-AG$70</f>
        <v>157007.189944418</v>
      </c>
      <c r="AH71" s="10" t="n">
        <f aca="false">AH$45-AH$67-AH$68-AH$69-AH$70</f>
        <v>157007.189944418</v>
      </c>
      <c r="AI71" s="10" t="n">
        <f aca="false">AI$45-AI$67-AI$68-AI$69-AI$70</f>
        <v>157007.189944418</v>
      </c>
      <c r="AJ71" s="10" t="n">
        <f aca="false">AJ$45-AJ$67-AJ$68-AJ$69-AJ$70</f>
        <v>157007.189944418</v>
      </c>
      <c r="AK71" s="10" t="n">
        <f aca="false">AK$45-AK$67-AK$68-AK$69-AK$70</f>
        <v>157007.189944418</v>
      </c>
      <c r="AL71" s="10" t="n">
        <f aca="false">AL$45-AL$67-AL$68-AL$69-AL$70</f>
        <v>157007.189944418</v>
      </c>
      <c r="AM71" s="10" t="n">
        <f aca="false">AM$45-AM$67-AM$68-AM$69-AM$70</f>
        <v>157007.189944418</v>
      </c>
      <c r="AN71" s="10" t="n">
        <f aca="false">AN$45-AN$67-AN$68-AN$69-AN$70</f>
        <v>157007.189944418</v>
      </c>
      <c r="AO71" s="10" t="n">
        <f aca="false">AO$45-AO$67-AO$68-AO$69-AO$70</f>
        <v>157007.189944418</v>
      </c>
      <c r="AP71" s="10" t="n">
        <f aca="false">AP$45-AP$67-AP$68-AP$69-AP$70</f>
        <v>191337.339883818</v>
      </c>
      <c r="AQ71" s="10" t="n">
        <f aca="false">AQ$45-AQ$67-AQ$68-AQ$69-AQ$70</f>
        <v>191337.339883818</v>
      </c>
      <c r="AR71" s="10" t="n">
        <f aca="false">AR$45-AR$67-AR$68-AR$69-AR$70</f>
        <v>191337.339883818</v>
      </c>
      <c r="AS71" s="10" t="n">
        <f aca="false">AS$45-AS$67-AS$68-AS$69-AS$70</f>
        <v>191337.339883818</v>
      </c>
      <c r="AT71" s="10" t="n">
        <f aca="false">AT$45-AT$67-AT$68-AT$69-AT$70</f>
        <v>191337.339883818</v>
      </c>
      <c r="AU71" s="10" t="n">
        <f aca="false">AU$45-AU$67-AU$68-AU$69-AU$70</f>
        <v>191337.339883818</v>
      </c>
      <c r="AV71" s="10" t="n">
        <f aca="false">AV$45-AV$67-AV$68-AV$69-AV$70</f>
        <v>191337.339883818</v>
      </c>
      <c r="AW71" s="10" t="n">
        <f aca="false">AW$45-AW$67-AW$68-AW$69-AW$70</f>
        <v>191337.339883818</v>
      </c>
      <c r="AX71" s="10" t="n">
        <f aca="false">AX$45-AX$67-AX$68-AX$69-AX$70</f>
        <v>191337.339883818</v>
      </c>
      <c r="AY71" s="10" t="n">
        <f aca="false">AY$45-AY$67-AY$68-AY$69-AY$70</f>
        <v>191337.339883818</v>
      </c>
      <c r="AZ71" s="10" t="n">
        <f aca="false">AZ$45-AZ$67-AZ$68-AZ$69-AZ$70</f>
        <v>191337.339883818</v>
      </c>
      <c r="BA71" s="10" t="n">
        <f aca="false">BA$45-BA$67-BA$68-BA$69-BA$70</f>
        <v>191337.339883818</v>
      </c>
      <c r="BB71" s="10" t="n">
        <f aca="false">BB$45-BB$67-BB$68-BB$69-BB$70</f>
        <v>193312.131325573</v>
      </c>
      <c r="BC71" s="10" t="n">
        <f aca="false">BC$45-BC$67-BC$68-BC$69-BC$70</f>
        <v>193312.131325573</v>
      </c>
      <c r="BD71" s="10" t="n">
        <f aca="false">BD$45-BD$67-BD$68-BD$69-BD$70</f>
        <v>193312.131325573</v>
      </c>
      <c r="BE71" s="10" t="n">
        <f aca="false">BE$45-BE$67-BE$68-BE$69-BE$70</f>
        <v>193312.131325573</v>
      </c>
      <c r="BF71" s="10" t="n">
        <f aca="false">BF$45-BF$67-BF$68-BF$69-BF$70</f>
        <v>193312.131325573</v>
      </c>
      <c r="BG71" s="10" t="n">
        <f aca="false">BG$45-BG$67-BG$68-BG$69-BG$70</f>
        <v>193312.131325573</v>
      </c>
      <c r="BH71" s="10" t="n">
        <f aca="false">BH$45-BH$67-BH$68-BH$69-BH$70</f>
        <v>193312.131325573</v>
      </c>
      <c r="BI71" s="10" t="n">
        <f aca="false">BI$45-BI$67-BI$68-BI$69-BI$70</f>
        <v>193312.131325573</v>
      </c>
      <c r="BJ71" s="10" t="n">
        <f aca="false">BJ$45-BJ$67-BJ$68-BJ$69-BJ$70</f>
        <v>193312.131325573</v>
      </c>
      <c r="BK71" s="10" t="n">
        <f aca="false">BK$45-BK$67-BK$68-BK$69-BK$70</f>
        <v>193312.131325573</v>
      </c>
      <c r="BL71" s="10" t="n">
        <f aca="false">BL$45-BL$67-BL$68-BL$69-BL$70</f>
        <v>193312.131325573</v>
      </c>
      <c r="BM71" s="10" t="n">
        <f aca="false">BM$45-BM$67-BM$68-BM$69-BM$70</f>
        <v>193312.131325573</v>
      </c>
      <c r="BN71" s="10" t="n">
        <f aca="false">BN$45-BN$67-BN$68-BN$69-BN$70</f>
        <v>198072.823312718</v>
      </c>
      <c r="BO71" s="10" t="n">
        <f aca="false">BO$45-BO$67-BO$68-BO$69-BO$70</f>
        <v>198072.823312718</v>
      </c>
      <c r="BP71" s="10" t="n">
        <f aca="false">BP$45-BP$67-BP$68-BP$69-BP$70</f>
        <v>198072.823312718</v>
      </c>
      <c r="BQ71" s="10" t="n">
        <f aca="false">BQ$45-BQ$67-BQ$68-BQ$69-BQ$70</f>
        <v>198072.823312718</v>
      </c>
      <c r="BR71" s="10" t="n">
        <f aca="false">BR$45-BR$67-BR$68-BR$69-BR$70</f>
        <v>198072.823312718</v>
      </c>
      <c r="BS71" s="10" t="n">
        <f aca="false">BS$45-BS$67-BS$68-BS$69-BS$70</f>
        <v>198072.823312718</v>
      </c>
      <c r="BT71" s="10" t="n">
        <f aca="false">BT$45-BT$67-BT$68-BT$69-BT$70</f>
        <v>198072.823312718</v>
      </c>
      <c r="BU71" s="10" t="n">
        <f aca="false">BU$45-BU$67-BU$68-BU$69-BU$70</f>
        <v>198072.823312718</v>
      </c>
      <c r="BV71" s="10" t="n">
        <f aca="false">BV$45-BV$67-BV$68-BV$69-BV$70</f>
        <v>198072.823312718</v>
      </c>
      <c r="BW71" s="10" t="n">
        <f aca="false">BW$45-BW$67-BW$68-BW$69-BW$70</f>
        <v>198072.823312718</v>
      </c>
      <c r="BX71" s="10" t="n">
        <f aca="false">BX$45-BX$67-BX$68-BX$69-BX$70</f>
        <v>198072.823312718</v>
      </c>
      <c r="BY71" s="10" t="n">
        <f aca="false">BY$45-BY$67-BY$68-BY$69-BY$70</f>
        <v>198072.823312718</v>
      </c>
      <c r="BZ71" s="10" t="n">
        <f aca="false">BZ$45-BZ$67-BZ$68-BZ$69-BZ$70</f>
        <v>202880.55947332</v>
      </c>
      <c r="CA71" s="10" t="n">
        <f aca="false">CA$45-CA$67-CA$68-CA$69-CA$70</f>
        <v>202880.55947332</v>
      </c>
      <c r="CB71" s="10" t="n">
        <f aca="false">CB$45-CB$67-CB$68-CB$69-CB$70</f>
        <v>202880.55947332</v>
      </c>
      <c r="CC71" s="10" t="n">
        <f aca="false">CC$45-CC$67-CC$68-CC$69-CC$70</f>
        <v>202880.55947332</v>
      </c>
      <c r="CD71" s="10" t="n">
        <f aca="false">CD$45-CD$67-CD$68-CD$69-CD$70</f>
        <v>202880.55947332</v>
      </c>
      <c r="CE71" s="10" t="n">
        <f aca="false">CE$45-CE$67-CE$68-CE$69-CE$70</f>
        <v>202880.55947332</v>
      </c>
      <c r="CF71" s="10" t="n">
        <f aca="false">CF$45-CF$67-CF$68-CF$69-CF$70</f>
        <v>202880.55947332</v>
      </c>
      <c r="CG71" s="10" t="n">
        <f aca="false">CG$45-CG$67-CG$68-CG$69-CG$70</f>
        <v>202880.55947332</v>
      </c>
      <c r="CH71" s="10" t="n">
        <f aca="false">CH$45-CH$67-CH$68-CH$69-CH$70</f>
        <v>202880.55947332</v>
      </c>
      <c r="CI71" s="10" t="n">
        <f aca="false">CI$45-CI$67-CI$68-CI$69-CI$70</f>
        <v>202880.55947332</v>
      </c>
      <c r="CJ71" s="10" t="n">
        <f aca="false">CJ$45-CJ$67-CJ$68-CJ$69-CJ$70</f>
        <v>202880.55947332</v>
      </c>
      <c r="CK71" s="10" t="n">
        <f aca="false">CK$45-CK$67-CK$68-CK$69-CK$70</f>
        <v>202880.55947332</v>
      </c>
      <c r="CL71" s="10" t="n">
        <f aca="false">CL$45-CL$67-CL$68-CL$69-CL$70</f>
        <v>207735.798994188</v>
      </c>
      <c r="CM71" s="10" t="n">
        <f aca="false">CM$45-CM$67-CM$68-CM$69-CM$70</f>
        <v>207735.798994188</v>
      </c>
      <c r="CN71" s="10" t="n">
        <f aca="false">CN$45-CN$67-CN$68-CN$69-CN$70</f>
        <v>207735.798994188</v>
      </c>
      <c r="CO71" s="10" t="n">
        <f aca="false">CO$45-CO$67-CO$68-CO$69-CO$70</f>
        <v>207735.798994188</v>
      </c>
      <c r="CP71" s="10" t="n">
        <f aca="false">CP$45-CP$67-CP$68-CP$69-CP$70</f>
        <v>207735.798994188</v>
      </c>
      <c r="CQ71" s="10" t="n">
        <f aca="false">CQ$45-CQ$67-CQ$68-CQ$69-CQ$70</f>
        <v>207735.798994188</v>
      </c>
      <c r="CR71" s="10" t="n">
        <f aca="false">CR$45-CR$67-CR$68-CR$69-CR$70</f>
        <v>207735.798994188</v>
      </c>
      <c r="CS71" s="10" t="n">
        <f aca="false">CS$45-CS$67-CS$68-CS$69-CS$70</f>
        <v>207735.798994188</v>
      </c>
      <c r="CT71" s="10" t="n">
        <f aca="false">CT$45-CT$67-CT$68-CT$69-CT$70</f>
        <v>207735.798994188</v>
      </c>
      <c r="CU71" s="10" t="n">
        <f aca="false">CU$45-CU$67-CU$68-CU$69-CU$70</f>
        <v>207735.798994188</v>
      </c>
      <c r="CV71" s="10" t="n">
        <f aca="false">CV$45-CV$67-CV$68-CV$69-CV$70</f>
        <v>207735.798994188</v>
      </c>
      <c r="CW71" s="10" t="n">
        <f aca="false">CW$45-CW$67-CW$68-CW$69-CW$70</f>
        <v>207735.798994188</v>
      </c>
      <c r="CX71" s="10" t="n">
        <f aca="false">CX$45-CX$67-CX$68-CX$69-CX$70</f>
        <v>212639.005428895</v>
      </c>
      <c r="CY71" s="10" t="n">
        <f aca="false">CY$45-CY$67-CY$68-CY$69-CY$70</f>
        <v>212639.005428895</v>
      </c>
      <c r="CZ71" s="10" t="n">
        <f aca="false">CZ$45-CZ$67-CZ$68-CZ$69-CZ$70</f>
        <v>212639.005428895</v>
      </c>
      <c r="DA71" s="10" t="n">
        <f aca="false">DA$45-DA$67-DA$68-DA$69-DA$70</f>
        <v>212639.005428895</v>
      </c>
      <c r="DB71" s="10" t="n">
        <f aca="false">DB$45-DB$67-DB$68-DB$69-DB$70</f>
        <v>212639.005428895</v>
      </c>
      <c r="DC71" s="10" t="n">
        <f aca="false">DC$45-DC$67-DC$68-DC$69-DC$70</f>
        <v>212639.005428895</v>
      </c>
      <c r="DD71" s="10" t="n">
        <f aca="false">DD$45-DD$67-DD$68-DD$69-DD$70</f>
        <v>212639.005428895</v>
      </c>
      <c r="DE71" s="10" t="n">
        <f aca="false">DE$45-DE$67-DE$68-DE$69-DE$70</f>
        <v>212639.005428895</v>
      </c>
      <c r="DF71" s="10" t="n">
        <f aca="false">DF$45-DF$67-DF$68-DF$69-DF$70</f>
        <v>212639.005428895</v>
      </c>
      <c r="DG71" s="10" t="n">
        <f aca="false">DG$45-DG$67-DG$68-DG$69-DG$70</f>
        <v>212639.005428895</v>
      </c>
      <c r="DH71" s="10" t="n">
        <f aca="false">DH$45-DH$67-DH$68-DH$69-DH$70</f>
        <v>212639.005428895</v>
      </c>
      <c r="DI71" s="10" t="n">
        <f aca="false">DI$45-DI$67-DI$68-DI$69-DI$70</f>
        <v>212639.005428895</v>
      </c>
      <c r="DJ71" s="10" t="n">
        <f aca="false">DJ$45-DJ$67-DJ$68-DJ$69-DJ$70</f>
        <v>217590.646736953</v>
      </c>
      <c r="DK71" s="10" t="n">
        <f aca="false">DK$45-DK$67-DK$68-DK$69-DK$70</f>
        <v>217590.646736953</v>
      </c>
      <c r="DL71" s="10" t="n">
        <f aca="false">DL$45-DL$67-DL$68-DL$69-DL$70</f>
        <v>217590.646736953</v>
      </c>
      <c r="DM71" s="10" t="n">
        <f aca="false">DM$45-DM$67-DM$68-DM$69-DM$70</f>
        <v>217590.646736953</v>
      </c>
      <c r="DN71" s="10" t="n">
        <f aca="false">DN$45-DN$67-DN$68-DN$69-DN$70</f>
        <v>217590.646736953</v>
      </c>
      <c r="DO71" s="10" t="n">
        <f aca="false">DO$45-DO$67-DO$68-DO$69-DO$70</f>
        <v>217590.646736953</v>
      </c>
      <c r="DP71" s="10" t="n">
        <f aca="false">DP$45-DP$67-DP$68-DP$69-DP$70</f>
        <v>217590.646736953</v>
      </c>
      <c r="DQ71" s="10" t="n">
        <f aca="false">DQ$45-DQ$67-DQ$68-DQ$69-DQ$70</f>
        <v>217590.646736953</v>
      </c>
      <c r="DR71" s="10" t="n">
        <f aca="false">DR$45-DR$67-DR$68-DR$69-DR$70</f>
        <v>217590.646736953</v>
      </c>
      <c r="DS71" s="10" t="n">
        <f aca="false">DS$45-DS$67-DS$68-DS$69-DS$70</f>
        <v>217590.646736953</v>
      </c>
      <c r="DT71" s="10" t="n">
        <f aca="false">DT$45-DT$67-DT$68-DT$69-DT$70</f>
        <v>217590.646736953</v>
      </c>
      <c r="DU71" s="10" t="n">
        <f aca="false">DU$45-DU$67-DU$68-DU$69-DU$70</f>
        <v>217590.646736953</v>
      </c>
      <c r="DV71" s="10" t="n">
        <f aca="false">DV$45-DV$67-DV$68-DV$69-DV$70</f>
        <v>0</v>
      </c>
      <c r="DW71" s="10" t="n">
        <f aca="false">DW$45-DW$67-DW$68-DW$69-DW$70</f>
        <v>0</v>
      </c>
      <c r="DX71" s="10" t="n">
        <f aca="false">DX$45-DX$67-DX$68-DX$69-DX$70</f>
        <v>0</v>
      </c>
      <c r="DY71" s="10" t="n">
        <f aca="false">DY$45-DY$67-DY$68-DY$69-DY$70</f>
        <v>0</v>
      </c>
      <c r="DZ71" s="10" t="n">
        <f aca="false">DZ$45-DZ$67-DZ$68-DZ$69-DZ$70</f>
        <v>0</v>
      </c>
      <c r="EA71" s="10" t="n">
        <f aca="false">EA$45-EA$67-EA$68-EA$69-EA$70</f>
        <v>0</v>
      </c>
      <c r="EB71" s="10" t="n">
        <f aca="false">EB$45-EB$67-EB$68-EB$69-EB$70</f>
        <v>0</v>
      </c>
      <c r="EC71" s="10" t="n">
        <f aca="false">EC$45-EC$67-EC$68-EC$69-EC$70</f>
        <v>0</v>
      </c>
      <c r="ED71" s="10" t="n">
        <f aca="false">ED$45-ED$67-ED$68-ED$69-ED$70</f>
        <v>0</v>
      </c>
      <c r="EE71" s="10" t="n">
        <f aca="false">EE$45-EE$67-EE$68-EE$69-EE$70</f>
        <v>0</v>
      </c>
      <c r="EF71" s="10" t="n">
        <f aca="false">EF$45-EF$67-EF$68-EF$69-EF$70</f>
        <v>0</v>
      </c>
      <c r="EG71" s="10" t="n">
        <f aca="false">EG$45-EG$67-EG$68-EG$69-EG$70</f>
        <v>0</v>
      </c>
      <c r="EH71" s="10" t="n">
        <f aca="false">EH$45-EH$67-EH$68-EH$69-EH$70</f>
        <v>0</v>
      </c>
      <c r="EI71" s="10" t="n">
        <f aca="false">EI$45-EI$67-EI$68-EI$69-EI$70</f>
        <v>0</v>
      </c>
      <c r="EJ71" s="10" t="n">
        <f aca="false">EJ$45-EJ$67-EJ$68-EJ$69-EJ$70</f>
        <v>0</v>
      </c>
      <c r="EK71" s="10" t="n">
        <f aca="false">EK$45-EK$67-EK$68-EK$69-EK$70</f>
        <v>0</v>
      </c>
      <c r="EL71" s="10" t="n">
        <f aca="false">EL$45-EL$67-EL$68-EL$69-EL$70</f>
        <v>0</v>
      </c>
      <c r="EM71" s="10" t="n">
        <f aca="false">EM$45-EM$67-EM$68-EM$69-EM$70</f>
        <v>0</v>
      </c>
      <c r="EN71" s="10" t="n">
        <f aca="false">EN$45-EN$67-EN$68-EN$69-EN$70</f>
        <v>0</v>
      </c>
      <c r="EO71" s="10" t="n">
        <f aca="false">EO$45-EO$67-EO$68-EO$69-EO$70</f>
        <v>0</v>
      </c>
      <c r="EP71" s="10" t="n">
        <f aca="false">EP$45-EP$67-EP$68-EP$69-EP$70</f>
        <v>0</v>
      </c>
      <c r="EQ71" s="10" t="n">
        <f aca="false">EQ$45-EQ$67-EQ$68-EQ$69-EQ$70</f>
        <v>0</v>
      </c>
      <c r="ER71" s="10" t="n">
        <f aca="false">ER$45-ER$67-ER$68-ER$69-ER$70</f>
        <v>0</v>
      </c>
      <c r="ES71" s="10" t="n">
        <f aca="false">ES$45-ES$67-ES$68-ES$69-ES$70</f>
        <v>0</v>
      </c>
    </row>
    <row r="72" customFormat="false" ht="15" hidden="false" customHeight="false" outlineLevel="0" collapsed="false">
      <c r="A72" s="2" t="s">
        <v>634</v>
      </c>
      <c r="B72" s="6" t="s">
        <v>635</v>
      </c>
      <c r="C72" s="6" t="s">
        <v>250</v>
      </c>
      <c r="E72" s="40" t="n">
        <f aca="false">SUM(F72:ES72)</f>
        <v>1075198.52627014</v>
      </c>
      <c r="F72" s="34" t="n">
        <f aca="false">F$56</f>
        <v>8959.98771891781</v>
      </c>
      <c r="G72" s="34" t="n">
        <f aca="false">G$56</f>
        <v>8959.98771891781</v>
      </c>
      <c r="H72" s="34" t="n">
        <f aca="false">H$56</f>
        <v>8959.98771891781</v>
      </c>
      <c r="I72" s="34" t="n">
        <f aca="false">I$56</f>
        <v>8959.98771891781</v>
      </c>
      <c r="J72" s="34" t="n">
        <f aca="false">J$56</f>
        <v>8959.98771891781</v>
      </c>
      <c r="K72" s="34" t="n">
        <f aca="false">K$56</f>
        <v>8959.98771891781</v>
      </c>
      <c r="L72" s="34" t="n">
        <f aca="false">L$56</f>
        <v>8959.98771891781</v>
      </c>
      <c r="M72" s="34" t="n">
        <f aca="false">M$56</f>
        <v>8959.98771891781</v>
      </c>
      <c r="N72" s="34" t="n">
        <f aca="false">N$56</f>
        <v>8959.98771891781</v>
      </c>
      <c r="O72" s="34" t="n">
        <f aca="false">O$56</f>
        <v>8959.98771891781</v>
      </c>
      <c r="P72" s="34" t="n">
        <f aca="false">P$56</f>
        <v>8959.98771891781</v>
      </c>
      <c r="Q72" s="34" t="n">
        <f aca="false">Q$56</f>
        <v>8959.98771891781</v>
      </c>
      <c r="R72" s="34" t="n">
        <f aca="false">R$56</f>
        <v>8959.98771891781</v>
      </c>
      <c r="S72" s="34" t="n">
        <f aca="false">S$56</f>
        <v>8959.98771891781</v>
      </c>
      <c r="T72" s="34" t="n">
        <f aca="false">T$56</f>
        <v>8959.98771891781</v>
      </c>
      <c r="U72" s="34" t="n">
        <f aca="false">U$56</f>
        <v>8959.98771891781</v>
      </c>
      <c r="V72" s="34" t="n">
        <f aca="false">V$56</f>
        <v>8959.98771891781</v>
      </c>
      <c r="W72" s="34" t="n">
        <f aca="false">W$56</f>
        <v>8959.98771891781</v>
      </c>
      <c r="X72" s="34" t="n">
        <f aca="false">X$56</f>
        <v>8959.98771891781</v>
      </c>
      <c r="Y72" s="34" t="n">
        <f aca="false">Y$56</f>
        <v>8959.98771891781</v>
      </c>
      <c r="Z72" s="34" t="n">
        <f aca="false">Z$56</f>
        <v>8959.98771891781</v>
      </c>
      <c r="AA72" s="34" t="n">
        <f aca="false">AA$56</f>
        <v>8959.98771891781</v>
      </c>
      <c r="AB72" s="34" t="n">
        <f aca="false">AB$56</f>
        <v>8959.98771891781</v>
      </c>
      <c r="AC72" s="34" t="n">
        <f aca="false">AC$56</f>
        <v>8959.98771891781</v>
      </c>
      <c r="AD72" s="34" t="n">
        <f aca="false">AD$56</f>
        <v>8959.98771891781</v>
      </c>
      <c r="AE72" s="34" t="n">
        <f aca="false">AE$56</f>
        <v>8959.98771891781</v>
      </c>
      <c r="AF72" s="34" t="n">
        <f aca="false">AF$56</f>
        <v>8959.98771891781</v>
      </c>
      <c r="AG72" s="34" t="n">
        <f aca="false">AG$56</f>
        <v>8959.98771891781</v>
      </c>
      <c r="AH72" s="34" t="n">
        <f aca="false">AH$56</f>
        <v>8959.98771891781</v>
      </c>
      <c r="AI72" s="34" t="n">
        <f aca="false">AI$56</f>
        <v>8959.98771891781</v>
      </c>
      <c r="AJ72" s="34" t="n">
        <f aca="false">AJ$56</f>
        <v>8959.98771891781</v>
      </c>
      <c r="AK72" s="34" t="n">
        <f aca="false">AK$56</f>
        <v>8959.98771891781</v>
      </c>
      <c r="AL72" s="34" t="n">
        <f aca="false">AL$56</f>
        <v>8959.98771891781</v>
      </c>
      <c r="AM72" s="34" t="n">
        <f aca="false">AM$56</f>
        <v>8959.98771891781</v>
      </c>
      <c r="AN72" s="34" t="n">
        <f aca="false">AN$56</f>
        <v>8959.98771891781</v>
      </c>
      <c r="AO72" s="34" t="n">
        <f aca="false">AO$56</f>
        <v>8959.98771891781</v>
      </c>
      <c r="AP72" s="34" t="n">
        <f aca="false">AP$56</f>
        <v>8959.98771891781</v>
      </c>
      <c r="AQ72" s="34" t="n">
        <f aca="false">AQ$56</f>
        <v>8959.98771891781</v>
      </c>
      <c r="AR72" s="34" t="n">
        <f aca="false">AR$56</f>
        <v>8959.98771891781</v>
      </c>
      <c r="AS72" s="34" t="n">
        <f aca="false">AS$56</f>
        <v>8959.98771891781</v>
      </c>
      <c r="AT72" s="34" t="n">
        <f aca="false">AT$56</f>
        <v>8959.98771891781</v>
      </c>
      <c r="AU72" s="34" t="n">
        <f aca="false">AU$56</f>
        <v>8959.98771891781</v>
      </c>
      <c r="AV72" s="34" t="n">
        <f aca="false">AV$56</f>
        <v>8959.98771891781</v>
      </c>
      <c r="AW72" s="34" t="n">
        <f aca="false">AW$56</f>
        <v>8959.98771891781</v>
      </c>
      <c r="AX72" s="34" t="n">
        <f aca="false">AX$56</f>
        <v>8959.98771891781</v>
      </c>
      <c r="AY72" s="34" t="n">
        <f aca="false">AY$56</f>
        <v>8959.98771891781</v>
      </c>
      <c r="AZ72" s="34" t="n">
        <f aca="false">AZ$56</f>
        <v>8959.98771891781</v>
      </c>
      <c r="BA72" s="34" t="n">
        <f aca="false">BA$56</f>
        <v>8959.98771891781</v>
      </c>
      <c r="BB72" s="34" t="n">
        <f aca="false">BB$56</f>
        <v>8959.98771891781</v>
      </c>
      <c r="BC72" s="34" t="n">
        <f aca="false">BC$56</f>
        <v>8959.98771891781</v>
      </c>
      <c r="BD72" s="34" t="n">
        <f aca="false">BD$56</f>
        <v>8959.98771891781</v>
      </c>
      <c r="BE72" s="34" t="n">
        <f aca="false">BE$56</f>
        <v>8959.98771891781</v>
      </c>
      <c r="BF72" s="34" t="n">
        <f aca="false">BF$56</f>
        <v>8959.98771891781</v>
      </c>
      <c r="BG72" s="34" t="n">
        <f aca="false">BG$56</f>
        <v>8959.98771891781</v>
      </c>
      <c r="BH72" s="34" t="n">
        <f aca="false">BH$56</f>
        <v>8959.98771891781</v>
      </c>
      <c r="BI72" s="34" t="n">
        <f aca="false">BI$56</f>
        <v>8959.98771891781</v>
      </c>
      <c r="BJ72" s="34" t="n">
        <f aca="false">BJ$56</f>
        <v>8959.98771891781</v>
      </c>
      <c r="BK72" s="34" t="n">
        <f aca="false">BK$56</f>
        <v>8959.98771891781</v>
      </c>
      <c r="BL72" s="34" t="n">
        <f aca="false">BL$56</f>
        <v>8959.98771891781</v>
      </c>
      <c r="BM72" s="34" t="n">
        <f aca="false">BM$56</f>
        <v>8959.98771891781</v>
      </c>
      <c r="BN72" s="34" t="n">
        <f aca="false">BN$56</f>
        <v>8959.98771891781</v>
      </c>
      <c r="BO72" s="34" t="n">
        <f aca="false">BO$56</f>
        <v>8959.98771891781</v>
      </c>
      <c r="BP72" s="34" t="n">
        <f aca="false">BP$56</f>
        <v>8959.98771891781</v>
      </c>
      <c r="BQ72" s="34" t="n">
        <f aca="false">BQ$56</f>
        <v>8959.98771891781</v>
      </c>
      <c r="BR72" s="34" t="n">
        <f aca="false">BR$56</f>
        <v>8959.98771891781</v>
      </c>
      <c r="BS72" s="34" t="n">
        <f aca="false">BS$56</f>
        <v>8959.98771891781</v>
      </c>
      <c r="BT72" s="34" t="n">
        <f aca="false">BT$56</f>
        <v>8959.98771891781</v>
      </c>
      <c r="BU72" s="34" t="n">
        <f aca="false">BU$56</f>
        <v>8959.98771891781</v>
      </c>
      <c r="BV72" s="34" t="n">
        <f aca="false">BV$56</f>
        <v>8959.98771891781</v>
      </c>
      <c r="BW72" s="34" t="n">
        <f aca="false">BW$56</f>
        <v>8959.98771891781</v>
      </c>
      <c r="BX72" s="34" t="n">
        <f aca="false">BX$56</f>
        <v>8959.98771891781</v>
      </c>
      <c r="BY72" s="34" t="n">
        <f aca="false">BY$56</f>
        <v>8959.98771891781</v>
      </c>
      <c r="BZ72" s="34" t="n">
        <f aca="false">BZ$56</f>
        <v>8959.98771891781</v>
      </c>
      <c r="CA72" s="34" t="n">
        <f aca="false">CA$56</f>
        <v>8959.98771891781</v>
      </c>
      <c r="CB72" s="34" t="n">
        <f aca="false">CB$56</f>
        <v>8959.98771891781</v>
      </c>
      <c r="CC72" s="34" t="n">
        <f aca="false">CC$56</f>
        <v>8959.98771891781</v>
      </c>
      <c r="CD72" s="34" t="n">
        <f aca="false">CD$56</f>
        <v>8959.98771891781</v>
      </c>
      <c r="CE72" s="34" t="n">
        <f aca="false">CE$56</f>
        <v>8959.98771891781</v>
      </c>
      <c r="CF72" s="34" t="n">
        <f aca="false">CF$56</f>
        <v>8959.98771891781</v>
      </c>
      <c r="CG72" s="34" t="n">
        <f aca="false">CG$56</f>
        <v>8959.98771891781</v>
      </c>
      <c r="CH72" s="34" t="n">
        <f aca="false">CH$56</f>
        <v>8959.98771891781</v>
      </c>
      <c r="CI72" s="34" t="n">
        <f aca="false">CI$56</f>
        <v>8959.98771891781</v>
      </c>
      <c r="CJ72" s="34" t="n">
        <f aca="false">CJ$56</f>
        <v>8959.98771891781</v>
      </c>
      <c r="CK72" s="34" t="n">
        <f aca="false">CK$56</f>
        <v>8959.98771891781</v>
      </c>
      <c r="CL72" s="34" t="n">
        <f aca="false">CL$56</f>
        <v>8959.98771891781</v>
      </c>
      <c r="CM72" s="34" t="n">
        <f aca="false">CM$56</f>
        <v>8959.98771891781</v>
      </c>
      <c r="CN72" s="34" t="n">
        <f aca="false">CN$56</f>
        <v>8959.98771891781</v>
      </c>
      <c r="CO72" s="34" t="n">
        <f aca="false">CO$56</f>
        <v>8959.98771891781</v>
      </c>
      <c r="CP72" s="34" t="n">
        <f aca="false">CP$56</f>
        <v>8959.98771891781</v>
      </c>
      <c r="CQ72" s="34" t="n">
        <f aca="false">CQ$56</f>
        <v>8959.98771891781</v>
      </c>
      <c r="CR72" s="34" t="n">
        <f aca="false">CR$56</f>
        <v>8959.98771891781</v>
      </c>
      <c r="CS72" s="34" t="n">
        <f aca="false">CS$56</f>
        <v>8959.98771891781</v>
      </c>
      <c r="CT72" s="34" t="n">
        <f aca="false">CT$56</f>
        <v>8959.98771891781</v>
      </c>
      <c r="CU72" s="34" t="n">
        <f aca="false">CU$56</f>
        <v>8959.98771891781</v>
      </c>
      <c r="CV72" s="34" t="n">
        <f aca="false">CV$56</f>
        <v>8959.98771891781</v>
      </c>
      <c r="CW72" s="34" t="n">
        <f aca="false">CW$56</f>
        <v>8959.98771891781</v>
      </c>
      <c r="CX72" s="34" t="n">
        <f aca="false">CX$56</f>
        <v>8959.98771891781</v>
      </c>
      <c r="CY72" s="34" t="n">
        <f aca="false">CY$56</f>
        <v>8959.98771891781</v>
      </c>
      <c r="CZ72" s="34" t="n">
        <f aca="false">CZ$56</f>
        <v>8959.98771891781</v>
      </c>
      <c r="DA72" s="34" t="n">
        <f aca="false">DA$56</f>
        <v>8959.98771891781</v>
      </c>
      <c r="DB72" s="34" t="n">
        <f aca="false">DB$56</f>
        <v>8959.98771891781</v>
      </c>
      <c r="DC72" s="34" t="n">
        <f aca="false">DC$56</f>
        <v>8959.98771891781</v>
      </c>
      <c r="DD72" s="34" t="n">
        <f aca="false">DD$56</f>
        <v>8959.98771891781</v>
      </c>
      <c r="DE72" s="34" t="n">
        <f aca="false">DE$56</f>
        <v>8959.98771891781</v>
      </c>
      <c r="DF72" s="34" t="n">
        <f aca="false">DF$56</f>
        <v>8959.98771891781</v>
      </c>
      <c r="DG72" s="34" t="n">
        <f aca="false">DG$56</f>
        <v>8959.98771891781</v>
      </c>
      <c r="DH72" s="34" t="n">
        <f aca="false">DH$56</f>
        <v>8959.98771891781</v>
      </c>
      <c r="DI72" s="34" t="n">
        <f aca="false">DI$56</f>
        <v>8959.98771891781</v>
      </c>
      <c r="DJ72" s="34" t="n">
        <f aca="false">DJ$56</f>
        <v>8959.98771891781</v>
      </c>
      <c r="DK72" s="34" t="n">
        <f aca="false">DK$56</f>
        <v>8959.98771891781</v>
      </c>
      <c r="DL72" s="34" t="n">
        <f aca="false">DL$56</f>
        <v>8959.98771891781</v>
      </c>
      <c r="DM72" s="34" t="n">
        <f aca="false">DM$56</f>
        <v>8959.98771891781</v>
      </c>
      <c r="DN72" s="34" t="n">
        <f aca="false">DN$56</f>
        <v>8959.98771891781</v>
      </c>
      <c r="DO72" s="34" t="n">
        <f aca="false">DO$56</f>
        <v>8959.98771891781</v>
      </c>
      <c r="DP72" s="34" t="n">
        <f aca="false">DP$56</f>
        <v>8959.98771891781</v>
      </c>
      <c r="DQ72" s="34" t="n">
        <f aca="false">DQ$56</f>
        <v>8959.98771891781</v>
      </c>
      <c r="DR72" s="34" t="n">
        <f aca="false">DR$56</f>
        <v>8959.98771891781</v>
      </c>
      <c r="DS72" s="34" t="n">
        <f aca="false">DS$56</f>
        <v>8959.98771891781</v>
      </c>
      <c r="DT72" s="34" t="n">
        <f aca="false">DT$56</f>
        <v>8959.98771891781</v>
      </c>
      <c r="DU72" s="34" t="n">
        <f aca="false">DU$56</f>
        <v>8959.98771891781</v>
      </c>
      <c r="DV72" s="34" t="n">
        <f aca="false">DV$56</f>
        <v>0</v>
      </c>
      <c r="DW72" s="34" t="n">
        <f aca="false">DW$56</f>
        <v>0</v>
      </c>
      <c r="DX72" s="34" t="n">
        <f aca="false">DX$56</f>
        <v>0</v>
      </c>
      <c r="DY72" s="34" t="n">
        <f aca="false">DY$56</f>
        <v>0</v>
      </c>
      <c r="DZ72" s="34" t="n">
        <f aca="false">DZ$56</f>
        <v>0</v>
      </c>
      <c r="EA72" s="34" t="n">
        <f aca="false">EA$56</f>
        <v>0</v>
      </c>
      <c r="EB72" s="34" t="n">
        <f aca="false">EB$56</f>
        <v>0</v>
      </c>
      <c r="EC72" s="34" t="n">
        <f aca="false">EC$56</f>
        <v>0</v>
      </c>
      <c r="ED72" s="34" t="n">
        <f aca="false">ED$56</f>
        <v>0</v>
      </c>
      <c r="EE72" s="34" t="n">
        <f aca="false">EE$56</f>
        <v>0</v>
      </c>
      <c r="EF72" s="34" t="n">
        <f aca="false">EF$56</f>
        <v>0</v>
      </c>
      <c r="EG72" s="34" t="n">
        <f aca="false">EG$56</f>
        <v>0</v>
      </c>
      <c r="EH72" s="34" t="n">
        <f aca="false">EH$56</f>
        <v>0</v>
      </c>
      <c r="EI72" s="34" t="n">
        <f aca="false">EI$56</f>
        <v>0</v>
      </c>
      <c r="EJ72" s="34" t="n">
        <f aca="false">EJ$56</f>
        <v>0</v>
      </c>
      <c r="EK72" s="34" t="n">
        <f aca="false">EK$56</f>
        <v>0</v>
      </c>
      <c r="EL72" s="34" t="n">
        <f aca="false">EL$56</f>
        <v>0</v>
      </c>
      <c r="EM72" s="34" t="n">
        <f aca="false">EM$56</f>
        <v>0</v>
      </c>
      <c r="EN72" s="34" t="n">
        <f aca="false">EN$56</f>
        <v>0</v>
      </c>
      <c r="EO72" s="34" t="n">
        <f aca="false">EO$56</f>
        <v>0</v>
      </c>
      <c r="EP72" s="34" t="n">
        <f aca="false">EP$56</f>
        <v>0</v>
      </c>
      <c r="EQ72" s="34" t="n">
        <f aca="false">EQ$56</f>
        <v>0</v>
      </c>
      <c r="ER72" s="34" t="n">
        <f aca="false">ER$56</f>
        <v>0</v>
      </c>
      <c r="ES72" s="34" t="n">
        <f aca="false">ES$56</f>
        <v>0</v>
      </c>
    </row>
    <row r="73" customFormat="false" ht="15" hidden="false" customHeight="false" outlineLevel="0" collapsed="false">
      <c r="A73" s="2" t="s">
        <v>636</v>
      </c>
      <c r="B73" s="6" t="s">
        <v>637</v>
      </c>
      <c r="C73" s="6" t="s">
        <v>250</v>
      </c>
      <c r="E73" s="40" t="n">
        <f aca="false">SUM(F73:ES73)</f>
        <v>3143993.45458867</v>
      </c>
      <c r="F73" s="34" t="n">
        <f aca="false">F$61+F$64</f>
        <v>23597.3144270418</v>
      </c>
      <c r="G73" s="34" t="n">
        <f aca="false">G$61+G$64</f>
        <v>23597.3144270418</v>
      </c>
      <c r="H73" s="34" t="n">
        <f aca="false">H$61+H$64</f>
        <v>23597.3144270418</v>
      </c>
      <c r="I73" s="34" t="n">
        <f aca="false">I$61+I$64</f>
        <v>23597.3144270418</v>
      </c>
      <c r="J73" s="34" t="n">
        <f aca="false">J$61+J$64</f>
        <v>23597.3144270418</v>
      </c>
      <c r="K73" s="34" t="n">
        <f aca="false">K$61+K$64</f>
        <v>23597.3144270418</v>
      </c>
      <c r="L73" s="34" t="n">
        <f aca="false">L$61+L$64</f>
        <v>23597.3144270418</v>
      </c>
      <c r="M73" s="34" t="n">
        <f aca="false">M$61+M$64</f>
        <v>23597.3144270418</v>
      </c>
      <c r="N73" s="34" t="n">
        <f aca="false">N$61+N$64</f>
        <v>23597.3144270418</v>
      </c>
      <c r="O73" s="34" t="n">
        <f aca="false">O$61+O$64</f>
        <v>23597.3144270418</v>
      </c>
      <c r="P73" s="34" t="n">
        <f aca="false">P$61+P$64</f>
        <v>23597.3144270418</v>
      </c>
      <c r="Q73" s="34" t="n">
        <f aca="false">Q$61+Q$64</f>
        <v>23597.3144270418</v>
      </c>
      <c r="R73" s="34" t="n">
        <f aca="false">R$61+R$64</f>
        <v>24130.6844270418</v>
      </c>
      <c r="S73" s="34" t="n">
        <f aca="false">S$61+S$64</f>
        <v>24130.6844270418</v>
      </c>
      <c r="T73" s="34" t="n">
        <f aca="false">T$61+T$64</f>
        <v>24130.6844270418</v>
      </c>
      <c r="U73" s="34" t="n">
        <f aca="false">U$61+U$64</f>
        <v>24130.6844270418</v>
      </c>
      <c r="V73" s="34" t="n">
        <f aca="false">V$61+V$64</f>
        <v>24130.6844270418</v>
      </c>
      <c r="W73" s="34" t="n">
        <f aca="false">W$61+W$64</f>
        <v>24130.6844270418</v>
      </c>
      <c r="X73" s="34" t="n">
        <f aca="false">X$61+X$64</f>
        <v>24130.6844270418</v>
      </c>
      <c r="Y73" s="34" t="n">
        <f aca="false">Y$61+Y$64</f>
        <v>24130.6844270418</v>
      </c>
      <c r="Z73" s="34" t="n">
        <f aca="false">Z$61+Z$64</f>
        <v>24130.6844270418</v>
      </c>
      <c r="AA73" s="34" t="n">
        <f aca="false">AA$61+AA$64</f>
        <v>24130.6844270418</v>
      </c>
      <c r="AB73" s="34" t="n">
        <f aca="false">AB$61+AB$64</f>
        <v>24130.6844270418</v>
      </c>
      <c r="AC73" s="34" t="n">
        <f aca="false">AC$61+AC$64</f>
        <v>24130.6844270418</v>
      </c>
      <c r="AD73" s="34" t="n">
        <f aca="false">AD$61+AD$64</f>
        <v>24680.0555270418</v>
      </c>
      <c r="AE73" s="34" t="n">
        <f aca="false">AE$61+AE$64</f>
        <v>24680.0555270418</v>
      </c>
      <c r="AF73" s="34" t="n">
        <f aca="false">AF$61+AF$64</f>
        <v>24680.0555270418</v>
      </c>
      <c r="AG73" s="34" t="n">
        <f aca="false">AG$61+AG$64</f>
        <v>24680.0555270418</v>
      </c>
      <c r="AH73" s="34" t="n">
        <f aca="false">AH$61+AH$64</f>
        <v>24680.0555270418</v>
      </c>
      <c r="AI73" s="34" t="n">
        <f aca="false">AI$61+AI$64</f>
        <v>24680.0555270418</v>
      </c>
      <c r="AJ73" s="34" t="n">
        <f aca="false">AJ$61+AJ$64</f>
        <v>24680.0555270418</v>
      </c>
      <c r="AK73" s="34" t="n">
        <f aca="false">AK$61+AK$64</f>
        <v>24680.0555270418</v>
      </c>
      <c r="AL73" s="34" t="n">
        <f aca="false">AL$61+AL$64</f>
        <v>24680.0555270418</v>
      </c>
      <c r="AM73" s="34" t="n">
        <f aca="false">AM$61+AM$64</f>
        <v>24680.0555270418</v>
      </c>
      <c r="AN73" s="34" t="n">
        <f aca="false">AN$61+AN$64</f>
        <v>24680.0555270418</v>
      </c>
      <c r="AO73" s="34" t="n">
        <f aca="false">AO$61+AO$64</f>
        <v>24680.0555270418</v>
      </c>
      <c r="AP73" s="34" t="n">
        <f aca="false">AP$61+AP$64</f>
        <v>25245.9077600418</v>
      </c>
      <c r="AQ73" s="34" t="n">
        <f aca="false">AQ$61+AQ$64</f>
        <v>25245.9077600418</v>
      </c>
      <c r="AR73" s="34" t="n">
        <f aca="false">AR$61+AR$64</f>
        <v>25245.9077600418</v>
      </c>
      <c r="AS73" s="34" t="n">
        <f aca="false">AS$61+AS$64</f>
        <v>25245.9077600418</v>
      </c>
      <c r="AT73" s="34" t="n">
        <f aca="false">AT$61+AT$64</f>
        <v>25245.9077600418</v>
      </c>
      <c r="AU73" s="34" t="n">
        <f aca="false">AU$61+AU$64</f>
        <v>25245.9077600418</v>
      </c>
      <c r="AV73" s="34" t="n">
        <f aca="false">AV$61+AV$64</f>
        <v>25245.9077600418</v>
      </c>
      <c r="AW73" s="34" t="n">
        <f aca="false">AW$61+AW$64</f>
        <v>25245.9077600418</v>
      </c>
      <c r="AX73" s="34" t="n">
        <f aca="false">AX$61+AX$64</f>
        <v>25245.9077600418</v>
      </c>
      <c r="AY73" s="34" t="n">
        <f aca="false">AY$61+AY$64</f>
        <v>25245.9077600418</v>
      </c>
      <c r="AZ73" s="34" t="n">
        <f aca="false">AZ$61+AZ$64</f>
        <v>25245.9077600418</v>
      </c>
      <c r="BA73" s="34" t="n">
        <f aca="false">BA$61+BA$64</f>
        <v>25245.9077600418</v>
      </c>
      <c r="BB73" s="34" t="n">
        <f aca="false">BB$61+BB$64</f>
        <v>25828.7355600318</v>
      </c>
      <c r="BC73" s="34" t="n">
        <f aca="false">BC$61+BC$64</f>
        <v>25828.7355600318</v>
      </c>
      <c r="BD73" s="34" t="n">
        <f aca="false">BD$61+BD$64</f>
        <v>25828.7355600318</v>
      </c>
      <c r="BE73" s="34" t="n">
        <f aca="false">BE$61+BE$64</f>
        <v>25828.7355600318</v>
      </c>
      <c r="BF73" s="34" t="n">
        <f aca="false">BF$61+BF$64</f>
        <v>25828.7355600318</v>
      </c>
      <c r="BG73" s="34" t="n">
        <f aca="false">BG$61+BG$64</f>
        <v>25828.7355600318</v>
      </c>
      <c r="BH73" s="34" t="n">
        <f aca="false">BH$61+BH$64</f>
        <v>25828.7355600318</v>
      </c>
      <c r="BI73" s="34" t="n">
        <f aca="false">BI$61+BI$64</f>
        <v>25828.7355600318</v>
      </c>
      <c r="BJ73" s="34" t="n">
        <f aca="false">BJ$61+BJ$64</f>
        <v>25828.7355600318</v>
      </c>
      <c r="BK73" s="34" t="n">
        <f aca="false">BK$61+BK$64</f>
        <v>25828.7355600318</v>
      </c>
      <c r="BL73" s="34" t="n">
        <f aca="false">BL$61+BL$64</f>
        <v>25828.7355600318</v>
      </c>
      <c r="BM73" s="34" t="n">
        <f aca="false">BM$61+BM$64</f>
        <v>25828.7355600318</v>
      </c>
      <c r="BN73" s="34" t="n">
        <f aca="false">BN$61+BN$64</f>
        <v>26429.0481940215</v>
      </c>
      <c r="BO73" s="34" t="n">
        <f aca="false">BO$61+BO$64</f>
        <v>26429.0481940215</v>
      </c>
      <c r="BP73" s="34" t="n">
        <f aca="false">BP$61+BP$64</f>
        <v>26429.0481940215</v>
      </c>
      <c r="BQ73" s="34" t="n">
        <f aca="false">BQ$61+BQ$64</f>
        <v>26429.0481940215</v>
      </c>
      <c r="BR73" s="34" t="n">
        <f aca="false">BR$61+BR$64</f>
        <v>26429.0481940215</v>
      </c>
      <c r="BS73" s="34" t="n">
        <f aca="false">BS$61+BS$64</f>
        <v>26429.0481940215</v>
      </c>
      <c r="BT73" s="34" t="n">
        <f aca="false">BT$61+BT$64</f>
        <v>26429.0481940215</v>
      </c>
      <c r="BU73" s="34" t="n">
        <f aca="false">BU$61+BU$64</f>
        <v>26429.0481940215</v>
      </c>
      <c r="BV73" s="34" t="n">
        <f aca="false">BV$61+BV$64</f>
        <v>26429.0481940215</v>
      </c>
      <c r="BW73" s="34" t="n">
        <f aca="false">BW$61+BW$64</f>
        <v>26429.0481940215</v>
      </c>
      <c r="BX73" s="34" t="n">
        <f aca="false">BX$61+BX$64</f>
        <v>26429.0481940215</v>
      </c>
      <c r="BY73" s="34" t="n">
        <f aca="false">BY$61+BY$64</f>
        <v>26429.0481940215</v>
      </c>
      <c r="BZ73" s="34" t="n">
        <f aca="false">BZ$61+BZ$64</f>
        <v>27047.3702070309</v>
      </c>
      <c r="CA73" s="34" t="n">
        <f aca="false">CA$61+CA$64</f>
        <v>27047.3702070309</v>
      </c>
      <c r="CB73" s="34" t="n">
        <f aca="false">CB$61+CB$64</f>
        <v>27047.3702070309</v>
      </c>
      <c r="CC73" s="34" t="n">
        <f aca="false">CC$61+CC$64</f>
        <v>27047.3702070309</v>
      </c>
      <c r="CD73" s="34" t="n">
        <f aca="false">CD$61+CD$64</f>
        <v>27047.3702070309</v>
      </c>
      <c r="CE73" s="34" t="n">
        <f aca="false">CE$61+CE$64</f>
        <v>27047.3702070309</v>
      </c>
      <c r="CF73" s="34" t="n">
        <f aca="false">CF$61+CF$64</f>
        <v>27047.3702070309</v>
      </c>
      <c r="CG73" s="34" t="n">
        <f aca="false">CG$61+CG$64</f>
        <v>27047.3702070309</v>
      </c>
      <c r="CH73" s="34" t="n">
        <f aca="false">CH$61+CH$64</f>
        <v>27047.3702070309</v>
      </c>
      <c r="CI73" s="34" t="n">
        <f aca="false">CI$61+CI$64</f>
        <v>27047.3702070309</v>
      </c>
      <c r="CJ73" s="34" t="n">
        <f aca="false">CJ$61+CJ$64</f>
        <v>27047.3702070309</v>
      </c>
      <c r="CK73" s="34" t="n">
        <f aca="false">CK$61+CK$64</f>
        <v>27047.3702070309</v>
      </c>
      <c r="CL73" s="34" t="n">
        <f aca="false">CL$61+CL$64</f>
        <v>27684.2418804306</v>
      </c>
      <c r="CM73" s="34" t="n">
        <f aca="false">CM$61+CM$64</f>
        <v>27684.2418804306</v>
      </c>
      <c r="CN73" s="34" t="n">
        <f aca="false">CN$61+CN$64</f>
        <v>27684.2418804306</v>
      </c>
      <c r="CO73" s="34" t="n">
        <f aca="false">CO$61+CO$64</f>
        <v>27684.2418804306</v>
      </c>
      <c r="CP73" s="34" t="n">
        <f aca="false">CP$61+CP$64</f>
        <v>27684.2418804306</v>
      </c>
      <c r="CQ73" s="34" t="n">
        <f aca="false">CQ$61+CQ$64</f>
        <v>27684.2418804306</v>
      </c>
      <c r="CR73" s="34" t="n">
        <f aca="false">CR$61+CR$64</f>
        <v>27684.2418804306</v>
      </c>
      <c r="CS73" s="34" t="n">
        <f aca="false">CS$61+CS$64</f>
        <v>27684.2418804306</v>
      </c>
      <c r="CT73" s="34" t="n">
        <f aca="false">CT$61+CT$64</f>
        <v>27684.2418804306</v>
      </c>
      <c r="CU73" s="34" t="n">
        <f aca="false">CU$61+CU$64</f>
        <v>27684.2418804306</v>
      </c>
      <c r="CV73" s="34" t="n">
        <f aca="false">CV$61+CV$64</f>
        <v>27684.2418804306</v>
      </c>
      <c r="CW73" s="34" t="n">
        <f aca="false">CW$61+CW$64</f>
        <v>27684.2418804306</v>
      </c>
      <c r="CX73" s="34" t="n">
        <f aca="false">CX$61+CX$64</f>
        <v>28340.2197040322</v>
      </c>
      <c r="CY73" s="34" t="n">
        <f aca="false">CY$61+CY$64</f>
        <v>28340.2197040322</v>
      </c>
      <c r="CZ73" s="34" t="n">
        <f aca="false">CZ$61+CZ$64</f>
        <v>28340.2197040322</v>
      </c>
      <c r="DA73" s="34" t="n">
        <f aca="false">DA$61+DA$64</f>
        <v>28340.2197040322</v>
      </c>
      <c r="DB73" s="34" t="n">
        <f aca="false">DB$61+DB$64</f>
        <v>28340.2197040322</v>
      </c>
      <c r="DC73" s="34" t="n">
        <f aca="false">DC$61+DC$64</f>
        <v>28340.2197040322</v>
      </c>
      <c r="DD73" s="34" t="n">
        <f aca="false">DD$61+DD$64</f>
        <v>28340.2197040322</v>
      </c>
      <c r="DE73" s="34" t="n">
        <f aca="false">DE$61+DE$64</f>
        <v>28340.2197040322</v>
      </c>
      <c r="DF73" s="34" t="n">
        <f aca="false">DF$61+DF$64</f>
        <v>28340.2197040322</v>
      </c>
      <c r="DG73" s="34" t="n">
        <f aca="false">DG$61+DG$64</f>
        <v>28340.2197040322</v>
      </c>
      <c r="DH73" s="34" t="n">
        <f aca="false">DH$61+DH$64</f>
        <v>28340.2197040322</v>
      </c>
      <c r="DI73" s="34" t="n">
        <f aca="false">DI$61+DI$64</f>
        <v>28340.2197040322</v>
      </c>
      <c r="DJ73" s="34" t="n">
        <f aca="false">DJ$61+DJ$64</f>
        <v>29015.8768623419</v>
      </c>
      <c r="DK73" s="34" t="n">
        <f aca="false">DK$61+DK$64</f>
        <v>29015.8768623419</v>
      </c>
      <c r="DL73" s="34" t="n">
        <f aca="false">DL$61+DL$64</f>
        <v>29015.8768623419</v>
      </c>
      <c r="DM73" s="34" t="n">
        <f aca="false">DM$61+DM$64</f>
        <v>29015.8768623419</v>
      </c>
      <c r="DN73" s="34" t="n">
        <f aca="false">DN$61+DN$64</f>
        <v>29015.8768623419</v>
      </c>
      <c r="DO73" s="34" t="n">
        <f aca="false">DO$61+DO$64</f>
        <v>29015.8768623419</v>
      </c>
      <c r="DP73" s="34" t="n">
        <f aca="false">DP$61+DP$64</f>
        <v>29015.8768623419</v>
      </c>
      <c r="DQ73" s="34" t="n">
        <f aca="false">DQ$61+DQ$64</f>
        <v>29015.8768623419</v>
      </c>
      <c r="DR73" s="34" t="n">
        <f aca="false">DR$61+DR$64</f>
        <v>29015.8768623419</v>
      </c>
      <c r="DS73" s="34" t="n">
        <f aca="false">DS$61+DS$64</f>
        <v>29015.8768623419</v>
      </c>
      <c r="DT73" s="34" t="n">
        <f aca="false">DT$61+DT$64</f>
        <v>29015.8768623419</v>
      </c>
      <c r="DU73" s="34" t="n">
        <f aca="false">DU$61+DU$64</f>
        <v>29015.8768623419</v>
      </c>
      <c r="DV73" s="34" t="n">
        <f aca="false">DV$61+DV$64</f>
        <v>0</v>
      </c>
      <c r="DW73" s="34" t="n">
        <f aca="false">DW$61+DW$64</f>
        <v>0</v>
      </c>
      <c r="DX73" s="34" t="n">
        <f aca="false">DX$61+DX$64</f>
        <v>0</v>
      </c>
      <c r="DY73" s="34" t="n">
        <f aca="false">DY$61+DY$64</f>
        <v>0</v>
      </c>
      <c r="DZ73" s="34" t="n">
        <f aca="false">DZ$61+DZ$64</f>
        <v>0</v>
      </c>
      <c r="EA73" s="34" t="n">
        <f aca="false">EA$61+EA$64</f>
        <v>0</v>
      </c>
      <c r="EB73" s="34" t="n">
        <f aca="false">EB$61+EB$64</f>
        <v>0</v>
      </c>
      <c r="EC73" s="34" t="n">
        <f aca="false">EC$61+EC$64</f>
        <v>0</v>
      </c>
      <c r="ED73" s="34" t="n">
        <f aca="false">ED$61+ED$64</f>
        <v>0</v>
      </c>
      <c r="EE73" s="34" t="n">
        <f aca="false">EE$61+EE$64</f>
        <v>0</v>
      </c>
      <c r="EF73" s="34" t="n">
        <f aca="false">EF$61+EF$64</f>
        <v>0</v>
      </c>
      <c r="EG73" s="34" t="n">
        <f aca="false">EG$61+EG$64</f>
        <v>0</v>
      </c>
      <c r="EH73" s="34" t="n">
        <f aca="false">EH$61+EH$64</f>
        <v>0</v>
      </c>
      <c r="EI73" s="34" t="n">
        <f aca="false">EI$61+EI$64</f>
        <v>0</v>
      </c>
      <c r="EJ73" s="34" t="n">
        <f aca="false">EJ$61+EJ$64</f>
        <v>0</v>
      </c>
      <c r="EK73" s="34" t="n">
        <f aca="false">EK$61+EK$64</f>
        <v>0</v>
      </c>
      <c r="EL73" s="34" t="n">
        <f aca="false">EL$61+EL$64</f>
        <v>0</v>
      </c>
      <c r="EM73" s="34" t="n">
        <f aca="false">EM$61+EM$64</f>
        <v>0</v>
      </c>
      <c r="EN73" s="34" t="n">
        <f aca="false">EN$61+EN$64</f>
        <v>0</v>
      </c>
      <c r="EO73" s="34" t="n">
        <f aca="false">EO$61+EO$64</f>
        <v>0</v>
      </c>
      <c r="EP73" s="34" t="n">
        <f aca="false">EP$61+EP$64</f>
        <v>0</v>
      </c>
      <c r="EQ73" s="34" t="n">
        <f aca="false">EQ$61+EQ$64</f>
        <v>0</v>
      </c>
      <c r="ER73" s="34" t="n">
        <f aca="false">ER$61+ER$64</f>
        <v>0</v>
      </c>
      <c r="ES73" s="34" t="n">
        <f aca="false">ES$61+ES$64</f>
        <v>0</v>
      </c>
    </row>
    <row r="74" customFormat="false" ht="15" hidden="false" customHeight="false" outlineLevel="0" collapsed="false">
      <c r="A74" s="2" t="s">
        <v>638</v>
      </c>
      <c r="B74" s="6" t="s">
        <v>503</v>
      </c>
      <c r="C74" s="6" t="s">
        <v>250</v>
      </c>
      <c r="E74" s="40" t="n">
        <f aca="false">SUM(F74:ES74)</f>
        <v>812224.477216454</v>
      </c>
      <c r="F74" s="34" t="n">
        <f aca="false">F$59</f>
        <v>4041.66666666667</v>
      </c>
      <c r="G74" s="34" t="n">
        <f aca="false">G$59</f>
        <v>4041.66666666667</v>
      </c>
      <c r="H74" s="34" t="n">
        <f aca="false">H$59</f>
        <v>4041.66666666667</v>
      </c>
      <c r="I74" s="34" t="n">
        <f aca="false">I$59</f>
        <v>4041.66666666667</v>
      </c>
      <c r="J74" s="34" t="n">
        <f aca="false">J$59</f>
        <v>4041.66666666667</v>
      </c>
      <c r="K74" s="34" t="n">
        <f aca="false">K$59</f>
        <v>4041.66666666667</v>
      </c>
      <c r="L74" s="34" t="n">
        <f aca="false">L$59</f>
        <v>4041.66666666667</v>
      </c>
      <c r="M74" s="34" t="n">
        <f aca="false">M$59</f>
        <v>4041.66666666667</v>
      </c>
      <c r="N74" s="34" t="n">
        <f aca="false">N$59</f>
        <v>4041.66666666667</v>
      </c>
      <c r="O74" s="34" t="n">
        <f aca="false">O$59</f>
        <v>4041.66666666667</v>
      </c>
      <c r="P74" s="34" t="n">
        <f aca="false">P$59</f>
        <v>4041.66666666667</v>
      </c>
      <c r="Q74" s="34" t="n">
        <f aca="false">Q$59</f>
        <v>4041.66666666667</v>
      </c>
      <c r="R74" s="34" t="n">
        <f aca="false">R$59</f>
        <v>5151</v>
      </c>
      <c r="S74" s="34" t="n">
        <f aca="false">S$59</f>
        <v>5151</v>
      </c>
      <c r="T74" s="34" t="n">
        <f aca="false">T$59</f>
        <v>5151</v>
      </c>
      <c r="U74" s="34" t="n">
        <f aca="false">U$59</f>
        <v>5151</v>
      </c>
      <c r="V74" s="34" t="n">
        <f aca="false">V$59</f>
        <v>5151</v>
      </c>
      <c r="W74" s="34" t="n">
        <f aca="false">W$59</f>
        <v>5151</v>
      </c>
      <c r="X74" s="34" t="n">
        <f aca="false">X$59</f>
        <v>5151</v>
      </c>
      <c r="Y74" s="34" t="n">
        <f aca="false">Y$59</f>
        <v>5151</v>
      </c>
      <c r="Z74" s="34" t="n">
        <f aca="false">Z$59</f>
        <v>5151</v>
      </c>
      <c r="AA74" s="34" t="n">
        <f aca="false">AA$59</f>
        <v>5151</v>
      </c>
      <c r="AB74" s="34" t="n">
        <f aca="false">AB$59</f>
        <v>5151</v>
      </c>
      <c r="AC74" s="34" t="n">
        <f aca="false">AC$59</f>
        <v>5151</v>
      </c>
      <c r="AD74" s="34" t="n">
        <f aca="false">AD$59</f>
        <v>6282.11583333333</v>
      </c>
      <c r="AE74" s="34" t="n">
        <f aca="false">AE$59</f>
        <v>6282.11583333333</v>
      </c>
      <c r="AF74" s="34" t="n">
        <f aca="false">AF$59</f>
        <v>6282.11583333333</v>
      </c>
      <c r="AG74" s="34" t="n">
        <f aca="false">AG$59</f>
        <v>6282.11583333333</v>
      </c>
      <c r="AH74" s="34" t="n">
        <f aca="false">AH$59</f>
        <v>6282.11583333333</v>
      </c>
      <c r="AI74" s="34" t="n">
        <f aca="false">AI$59</f>
        <v>6282.11583333333</v>
      </c>
      <c r="AJ74" s="34" t="n">
        <f aca="false">AJ$59</f>
        <v>6282.11583333333</v>
      </c>
      <c r="AK74" s="34" t="n">
        <f aca="false">AK$59</f>
        <v>6282.11583333333</v>
      </c>
      <c r="AL74" s="34" t="n">
        <f aca="false">AL$59</f>
        <v>6282.11583333333</v>
      </c>
      <c r="AM74" s="34" t="n">
        <f aca="false">AM$59</f>
        <v>6282.11583333333</v>
      </c>
      <c r="AN74" s="34" t="n">
        <f aca="false">AN$59</f>
        <v>6282.11583333333</v>
      </c>
      <c r="AO74" s="34" t="n">
        <f aca="false">AO$59</f>
        <v>6282.11583333333</v>
      </c>
      <c r="AP74" s="34" t="n">
        <f aca="false">AP$59</f>
        <v>7237.864525</v>
      </c>
      <c r="AQ74" s="34" t="n">
        <f aca="false">AQ$59</f>
        <v>7237.864525</v>
      </c>
      <c r="AR74" s="34" t="n">
        <f aca="false">AR$59</f>
        <v>7237.864525</v>
      </c>
      <c r="AS74" s="34" t="n">
        <f aca="false">AS$59</f>
        <v>7237.864525</v>
      </c>
      <c r="AT74" s="34" t="n">
        <f aca="false">AT$59</f>
        <v>7237.864525</v>
      </c>
      <c r="AU74" s="34" t="n">
        <f aca="false">AU$59</f>
        <v>7237.864525</v>
      </c>
      <c r="AV74" s="34" t="n">
        <f aca="false">AV$59</f>
        <v>7237.864525</v>
      </c>
      <c r="AW74" s="34" t="n">
        <f aca="false">AW$59</f>
        <v>7237.864525</v>
      </c>
      <c r="AX74" s="34" t="n">
        <f aca="false">AX$59</f>
        <v>7237.864525</v>
      </c>
      <c r="AY74" s="34" t="n">
        <f aca="false">AY$59</f>
        <v>7237.864525</v>
      </c>
      <c r="AZ74" s="34" t="n">
        <f aca="false">AZ$59</f>
        <v>7237.864525</v>
      </c>
      <c r="BA74" s="34" t="n">
        <f aca="false">BA$59</f>
        <v>7237.864525</v>
      </c>
      <c r="BB74" s="34" t="n">
        <f aca="false">BB$59</f>
        <v>7310.24317025</v>
      </c>
      <c r="BC74" s="34" t="n">
        <f aca="false">BC$59</f>
        <v>7310.24317025</v>
      </c>
      <c r="BD74" s="34" t="n">
        <f aca="false">BD$59</f>
        <v>7310.24317025</v>
      </c>
      <c r="BE74" s="34" t="n">
        <f aca="false">BE$59</f>
        <v>7310.24317025</v>
      </c>
      <c r="BF74" s="34" t="n">
        <f aca="false">BF$59</f>
        <v>7310.24317025</v>
      </c>
      <c r="BG74" s="34" t="n">
        <f aca="false">BG$59</f>
        <v>7310.24317025</v>
      </c>
      <c r="BH74" s="34" t="n">
        <f aca="false">BH$59</f>
        <v>7310.24317025</v>
      </c>
      <c r="BI74" s="34" t="n">
        <f aca="false">BI$59</f>
        <v>7310.24317025</v>
      </c>
      <c r="BJ74" s="34" t="n">
        <f aca="false">BJ$59</f>
        <v>7310.24317025</v>
      </c>
      <c r="BK74" s="34" t="n">
        <f aca="false">BK$59</f>
        <v>7310.24317025</v>
      </c>
      <c r="BL74" s="34" t="n">
        <f aca="false">BL$59</f>
        <v>7310.24317025</v>
      </c>
      <c r="BM74" s="34" t="n">
        <f aca="false">BM$59</f>
        <v>7310.24317025</v>
      </c>
      <c r="BN74" s="34" t="n">
        <f aca="false">BN$59</f>
        <v>7383.3456019525</v>
      </c>
      <c r="BO74" s="34" t="n">
        <f aca="false">BO$59</f>
        <v>7383.3456019525</v>
      </c>
      <c r="BP74" s="34" t="n">
        <f aca="false">BP$59</f>
        <v>7383.3456019525</v>
      </c>
      <c r="BQ74" s="34" t="n">
        <f aca="false">BQ$59</f>
        <v>7383.3456019525</v>
      </c>
      <c r="BR74" s="34" t="n">
        <f aca="false">BR$59</f>
        <v>7383.3456019525</v>
      </c>
      <c r="BS74" s="34" t="n">
        <f aca="false">BS$59</f>
        <v>7383.3456019525</v>
      </c>
      <c r="BT74" s="34" t="n">
        <f aca="false">BT$59</f>
        <v>7383.3456019525</v>
      </c>
      <c r="BU74" s="34" t="n">
        <f aca="false">BU$59</f>
        <v>7383.3456019525</v>
      </c>
      <c r="BV74" s="34" t="n">
        <f aca="false">BV$59</f>
        <v>7383.3456019525</v>
      </c>
      <c r="BW74" s="34" t="n">
        <f aca="false">BW$59</f>
        <v>7383.3456019525</v>
      </c>
      <c r="BX74" s="34" t="n">
        <f aca="false">BX$59</f>
        <v>7383.3456019525</v>
      </c>
      <c r="BY74" s="34" t="n">
        <f aca="false">BY$59</f>
        <v>7383.3456019525</v>
      </c>
      <c r="BZ74" s="34" t="n">
        <f aca="false">BZ$59</f>
        <v>7457.17905797202</v>
      </c>
      <c r="CA74" s="34" t="n">
        <f aca="false">CA$59</f>
        <v>7457.17905797202</v>
      </c>
      <c r="CB74" s="34" t="n">
        <f aca="false">CB$59</f>
        <v>7457.17905797202</v>
      </c>
      <c r="CC74" s="34" t="n">
        <f aca="false">CC$59</f>
        <v>7457.17905797202</v>
      </c>
      <c r="CD74" s="34" t="n">
        <f aca="false">CD$59</f>
        <v>7457.17905797202</v>
      </c>
      <c r="CE74" s="34" t="n">
        <f aca="false">CE$59</f>
        <v>7457.17905797202</v>
      </c>
      <c r="CF74" s="34" t="n">
        <f aca="false">CF$59</f>
        <v>7457.17905797202</v>
      </c>
      <c r="CG74" s="34" t="n">
        <f aca="false">CG$59</f>
        <v>7457.17905797202</v>
      </c>
      <c r="CH74" s="34" t="n">
        <f aca="false">CH$59</f>
        <v>7457.17905797202</v>
      </c>
      <c r="CI74" s="34" t="n">
        <f aca="false">CI$59</f>
        <v>7457.17905797202</v>
      </c>
      <c r="CJ74" s="34" t="n">
        <f aca="false">CJ$59</f>
        <v>7457.17905797202</v>
      </c>
      <c r="CK74" s="34" t="n">
        <f aca="false">CK$59</f>
        <v>7457.17905797202</v>
      </c>
      <c r="CL74" s="34" t="n">
        <f aca="false">CL$59</f>
        <v>7531.75084855175</v>
      </c>
      <c r="CM74" s="34" t="n">
        <f aca="false">CM$59</f>
        <v>7531.75084855175</v>
      </c>
      <c r="CN74" s="34" t="n">
        <f aca="false">CN$59</f>
        <v>7531.75084855175</v>
      </c>
      <c r="CO74" s="34" t="n">
        <f aca="false">CO$59</f>
        <v>7531.75084855175</v>
      </c>
      <c r="CP74" s="34" t="n">
        <f aca="false">CP$59</f>
        <v>7531.75084855175</v>
      </c>
      <c r="CQ74" s="34" t="n">
        <f aca="false">CQ$59</f>
        <v>7531.75084855175</v>
      </c>
      <c r="CR74" s="34" t="n">
        <f aca="false">CR$59</f>
        <v>7531.75084855175</v>
      </c>
      <c r="CS74" s="34" t="n">
        <f aca="false">CS$59</f>
        <v>7531.75084855175</v>
      </c>
      <c r="CT74" s="34" t="n">
        <f aca="false">CT$59</f>
        <v>7531.75084855175</v>
      </c>
      <c r="CU74" s="34" t="n">
        <f aca="false">CU$59</f>
        <v>7531.75084855175</v>
      </c>
      <c r="CV74" s="34" t="n">
        <f aca="false">CV$59</f>
        <v>7531.75084855175</v>
      </c>
      <c r="CW74" s="34" t="n">
        <f aca="false">CW$59</f>
        <v>7531.75084855175</v>
      </c>
      <c r="CX74" s="34" t="n">
        <f aca="false">CX$59</f>
        <v>7607.06835703726</v>
      </c>
      <c r="CY74" s="34" t="n">
        <f aca="false">CY$59</f>
        <v>7607.06835703726</v>
      </c>
      <c r="CZ74" s="34" t="n">
        <f aca="false">CZ$59</f>
        <v>7607.06835703726</v>
      </c>
      <c r="DA74" s="34" t="n">
        <f aca="false">DA$59</f>
        <v>7607.06835703726</v>
      </c>
      <c r="DB74" s="34" t="n">
        <f aca="false">DB$59</f>
        <v>7607.06835703726</v>
      </c>
      <c r="DC74" s="34" t="n">
        <f aca="false">DC$59</f>
        <v>7607.06835703726</v>
      </c>
      <c r="DD74" s="34" t="n">
        <f aca="false">DD$59</f>
        <v>7607.06835703726</v>
      </c>
      <c r="DE74" s="34" t="n">
        <f aca="false">DE$59</f>
        <v>7607.06835703726</v>
      </c>
      <c r="DF74" s="34" t="n">
        <f aca="false">DF$59</f>
        <v>7607.06835703726</v>
      </c>
      <c r="DG74" s="34" t="n">
        <f aca="false">DG$59</f>
        <v>7607.06835703726</v>
      </c>
      <c r="DH74" s="34" t="n">
        <f aca="false">DH$59</f>
        <v>7607.06835703726</v>
      </c>
      <c r="DI74" s="34" t="n">
        <f aca="false">DI$59</f>
        <v>7607.06835703726</v>
      </c>
      <c r="DJ74" s="34" t="n">
        <f aca="false">DJ$59</f>
        <v>7683.13904060764</v>
      </c>
      <c r="DK74" s="34" t="n">
        <f aca="false">DK$59</f>
        <v>7683.13904060764</v>
      </c>
      <c r="DL74" s="34" t="n">
        <f aca="false">DL$59</f>
        <v>7683.13904060764</v>
      </c>
      <c r="DM74" s="34" t="n">
        <f aca="false">DM$59</f>
        <v>7683.13904060764</v>
      </c>
      <c r="DN74" s="34" t="n">
        <f aca="false">DN$59</f>
        <v>7683.13904060764</v>
      </c>
      <c r="DO74" s="34" t="n">
        <f aca="false">DO$59</f>
        <v>7683.13904060764</v>
      </c>
      <c r="DP74" s="34" t="n">
        <f aca="false">DP$59</f>
        <v>7683.13904060764</v>
      </c>
      <c r="DQ74" s="34" t="n">
        <f aca="false">DQ$59</f>
        <v>7683.13904060764</v>
      </c>
      <c r="DR74" s="34" t="n">
        <f aca="false">DR$59</f>
        <v>7683.13904060764</v>
      </c>
      <c r="DS74" s="34" t="n">
        <f aca="false">DS$59</f>
        <v>7683.13904060764</v>
      </c>
      <c r="DT74" s="34" t="n">
        <f aca="false">DT$59</f>
        <v>7683.13904060764</v>
      </c>
      <c r="DU74" s="34" t="n">
        <f aca="false">DU$59</f>
        <v>7683.13904060764</v>
      </c>
      <c r="DV74" s="34" t="n">
        <f aca="false">DV$59</f>
        <v>0</v>
      </c>
      <c r="DW74" s="34" t="n">
        <f aca="false">DW$59</f>
        <v>0</v>
      </c>
      <c r="DX74" s="34" t="n">
        <f aca="false">DX$59</f>
        <v>0</v>
      </c>
      <c r="DY74" s="34" t="n">
        <f aca="false">DY$59</f>
        <v>0</v>
      </c>
      <c r="DZ74" s="34" t="n">
        <f aca="false">DZ$59</f>
        <v>0</v>
      </c>
      <c r="EA74" s="34" t="n">
        <f aca="false">EA$59</f>
        <v>0</v>
      </c>
      <c r="EB74" s="34" t="n">
        <f aca="false">EB$59</f>
        <v>0</v>
      </c>
      <c r="EC74" s="34" t="n">
        <f aca="false">EC$59</f>
        <v>0</v>
      </c>
      <c r="ED74" s="34" t="n">
        <f aca="false">ED$59</f>
        <v>0</v>
      </c>
      <c r="EE74" s="34" t="n">
        <f aca="false">EE$59</f>
        <v>0</v>
      </c>
      <c r="EF74" s="34" t="n">
        <f aca="false">EF$59</f>
        <v>0</v>
      </c>
      <c r="EG74" s="34" t="n">
        <f aca="false">EG$59</f>
        <v>0</v>
      </c>
      <c r="EH74" s="34" t="n">
        <f aca="false">EH$59</f>
        <v>0</v>
      </c>
      <c r="EI74" s="34" t="n">
        <f aca="false">EI$59</f>
        <v>0</v>
      </c>
      <c r="EJ74" s="34" t="n">
        <f aca="false">EJ$59</f>
        <v>0</v>
      </c>
      <c r="EK74" s="34" t="n">
        <f aca="false">EK$59</f>
        <v>0</v>
      </c>
      <c r="EL74" s="34" t="n">
        <f aca="false">EL$59</f>
        <v>0</v>
      </c>
      <c r="EM74" s="34" t="n">
        <f aca="false">EM$59</f>
        <v>0</v>
      </c>
      <c r="EN74" s="34" t="n">
        <f aca="false">EN$59</f>
        <v>0</v>
      </c>
      <c r="EO74" s="34" t="n">
        <f aca="false">EO$59</f>
        <v>0</v>
      </c>
      <c r="EP74" s="34" t="n">
        <f aca="false">EP$59</f>
        <v>0</v>
      </c>
      <c r="EQ74" s="34" t="n">
        <f aca="false">EQ$59</f>
        <v>0</v>
      </c>
      <c r="ER74" s="34" t="n">
        <f aca="false">ER$59</f>
        <v>0</v>
      </c>
      <c r="ES74" s="34" t="n">
        <f aca="false">ES$59</f>
        <v>0</v>
      </c>
    </row>
    <row r="75" customFormat="false" ht="15" hidden="false" customHeight="false" outlineLevel="0" collapsed="false">
      <c r="A75" s="2" t="s">
        <v>639</v>
      </c>
      <c r="B75" s="6" t="s">
        <v>640</v>
      </c>
      <c r="C75" s="6" t="s">
        <v>250</v>
      </c>
      <c r="E75" s="40" t="n">
        <f aca="false">SUM(F75:ES75)</f>
        <v>0</v>
      </c>
      <c r="F75" s="34" t="n">
        <f aca="false">F$65*P_IVArec</f>
        <v>0</v>
      </c>
      <c r="G75" s="34" t="n">
        <f aca="false">G$65*P_IVArec</f>
        <v>0</v>
      </c>
      <c r="H75" s="34" t="n">
        <f aca="false">H$65*P_IVArec</f>
        <v>0</v>
      </c>
      <c r="I75" s="34" t="n">
        <f aca="false">I$65*P_IVArec</f>
        <v>0</v>
      </c>
      <c r="J75" s="34" t="n">
        <f aca="false">J$65*P_IVArec</f>
        <v>0</v>
      </c>
      <c r="K75" s="34" t="n">
        <f aca="false">K$65*P_IVArec</f>
        <v>0</v>
      </c>
      <c r="L75" s="34" t="n">
        <f aca="false">L$65*P_IVArec</f>
        <v>0</v>
      </c>
      <c r="M75" s="34" t="n">
        <f aca="false">M$65*P_IVArec</f>
        <v>0</v>
      </c>
      <c r="N75" s="34" t="n">
        <f aca="false">N$65*P_IVArec</f>
        <v>0</v>
      </c>
      <c r="O75" s="34" t="n">
        <f aca="false">O$65*P_IVArec</f>
        <v>0</v>
      </c>
      <c r="P75" s="34" t="n">
        <f aca="false">P$65*P_IVArec</f>
        <v>0</v>
      </c>
      <c r="Q75" s="34" t="n">
        <f aca="false">Q$65*P_IVArec</f>
        <v>0</v>
      </c>
      <c r="R75" s="34" t="n">
        <f aca="false">R$65*P_IVArec</f>
        <v>0</v>
      </c>
      <c r="S75" s="34" t="n">
        <f aca="false">S$65*P_IVArec</f>
        <v>0</v>
      </c>
      <c r="T75" s="34" t="n">
        <f aca="false">T$65*P_IVArec</f>
        <v>0</v>
      </c>
      <c r="U75" s="34" t="n">
        <f aca="false">U$65*P_IVArec</f>
        <v>0</v>
      </c>
      <c r="V75" s="34" t="n">
        <f aca="false">V$65*P_IVArec</f>
        <v>0</v>
      </c>
      <c r="W75" s="34" t="n">
        <f aca="false">W$65*P_IVArec</f>
        <v>0</v>
      </c>
      <c r="X75" s="34" t="n">
        <f aca="false">X$65*P_IVArec</f>
        <v>0</v>
      </c>
      <c r="Y75" s="34" t="n">
        <f aca="false">Y$65*P_IVArec</f>
        <v>0</v>
      </c>
      <c r="Z75" s="34" t="n">
        <f aca="false">Z$65*P_IVArec</f>
        <v>0</v>
      </c>
      <c r="AA75" s="34" t="n">
        <f aca="false">AA$65*P_IVArec</f>
        <v>0</v>
      </c>
      <c r="AB75" s="34" t="n">
        <f aca="false">AB$65*P_IVArec</f>
        <v>0</v>
      </c>
      <c r="AC75" s="34" t="n">
        <f aca="false">AC$65*P_IVArec</f>
        <v>0</v>
      </c>
      <c r="AD75" s="34" t="n">
        <f aca="false">AD$65*P_IVArec</f>
        <v>0</v>
      </c>
      <c r="AE75" s="34" t="n">
        <f aca="false">AE$65*P_IVArec</f>
        <v>0</v>
      </c>
      <c r="AF75" s="34" t="n">
        <f aca="false">AF$65*P_IVArec</f>
        <v>0</v>
      </c>
      <c r="AG75" s="34" t="n">
        <f aca="false">AG$65*P_IVArec</f>
        <v>0</v>
      </c>
      <c r="AH75" s="34" t="n">
        <f aca="false">AH$65*P_IVArec</f>
        <v>0</v>
      </c>
      <c r="AI75" s="34" t="n">
        <f aca="false">AI$65*P_IVArec</f>
        <v>0</v>
      </c>
      <c r="AJ75" s="34" t="n">
        <f aca="false">AJ$65*P_IVArec</f>
        <v>0</v>
      </c>
      <c r="AK75" s="34" t="n">
        <f aca="false">AK$65*P_IVArec</f>
        <v>0</v>
      </c>
      <c r="AL75" s="34" t="n">
        <f aca="false">AL$65*P_IVArec</f>
        <v>0</v>
      </c>
      <c r="AM75" s="34" t="n">
        <f aca="false">AM$65*P_IVArec</f>
        <v>0</v>
      </c>
      <c r="AN75" s="34" t="n">
        <f aca="false">AN$65*P_IVArec</f>
        <v>0</v>
      </c>
      <c r="AO75" s="34" t="n">
        <f aca="false">AO$65*P_IVArec</f>
        <v>0</v>
      </c>
      <c r="AP75" s="34" t="n">
        <f aca="false">AP$65*P_IVArec</f>
        <v>0</v>
      </c>
      <c r="AQ75" s="34" t="n">
        <f aca="false">AQ$65*P_IVArec</f>
        <v>0</v>
      </c>
      <c r="AR75" s="34" t="n">
        <f aca="false">AR$65*P_IVArec</f>
        <v>0</v>
      </c>
      <c r="AS75" s="34" t="n">
        <f aca="false">AS$65*P_IVArec</f>
        <v>0</v>
      </c>
      <c r="AT75" s="34" t="n">
        <f aca="false">AT$65*P_IVArec</f>
        <v>0</v>
      </c>
      <c r="AU75" s="34" t="n">
        <f aca="false">AU$65*P_IVArec</f>
        <v>0</v>
      </c>
      <c r="AV75" s="34" t="n">
        <f aca="false">AV$65*P_IVArec</f>
        <v>0</v>
      </c>
      <c r="AW75" s="34" t="n">
        <f aca="false">AW$65*P_IVArec</f>
        <v>0</v>
      </c>
      <c r="AX75" s="34" t="n">
        <f aca="false">AX$65*P_IVArec</f>
        <v>0</v>
      </c>
      <c r="AY75" s="34" t="n">
        <f aca="false">AY$65*P_IVArec</f>
        <v>0</v>
      </c>
      <c r="AZ75" s="34" t="n">
        <f aca="false">AZ$65*P_IVArec</f>
        <v>0</v>
      </c>
      <c r="BA75" s="34" t="n">
        <f aca="false">BA$65*P_IVArec</f>
        <v>0</v>
      </c>
      <c r="BB75" s="34" t="n">
        <f aca="false">BB$65*P_IVArec</f>
        <v>0</v>
      </c>
      <c r="BC75" s="34" t="n">
        <f aca="false">BC$65*P_IVArec</f>
        <v>0</v>
      </c>
      <c r="BD75" s="34" t="n">
        <f aca="false">BD$65*P_IVArec</f>
        <v>0</v>
      </c>
      <c r="BE75" s="34" t="n">
        <f aca="false">BE$65*P_IVArec</f>
        <v>0</v>
      </c>
      <c r="BF75" s="34" t="n">
        <f aca="false">BF$65*P_IVArec</f>
        <v>0</v>
      </c>
      <c r="BG75" s="34" t="n">
        <f aca="false">BG$65*P_IVArec</f>
        <v>0</v>
      </c>
      <c r="BH75" s="34" t="n">
        <f aca="false">BH$65*P_IVArec</f>
        <v>0</v>
      </c>
      <c r="BI75" s="34" t="n">
        <f aca="false">BI$65*P_IVArec</f>
        <v>0</v>
      </c>
      <c r="BJ75" s="34" t="n">
        <f aca="false">BJ$65*P_IVArec</f>
        <v>0</v>
      </c>
      <c r="BK75" s="34" t="n">
        <f aca="false">BK$65*P_IVArec</f>
        <v>0</v>
      </c>
      <c r="BL75" s="34" t="n">
        <f aca="false">BL$65*P_IVArec</f>
        <v>0</v>
      </c>
      <c r="BM75" s="34" t="n">
        <f aca="false">BM$65*P_IVArec</f>
        <v>0</v>
      </c>
      <c r="BN75" s="34" t="n">
        <f aca="false">BN$65*P_IVArec</f>
        <v>0</v>
      </c>
      <c r="BO75" s="34" t="n">
        <f aca="false">BO$65*P_IVArec</f>
        <v>0</v>
      </c>
      <c r="BP75" s="34" t="n">
        <f aca="false">BP$65*P_IVArec</f>
        <v>0</v>
      </c>
      <c r="BQ75" s="34" t="n">
        <f aca="false">BQ$65*P_IVArec</f>
        <v>0</v>
      </c>
      <c r="BR75" s="34" t="n">
        <f aca="false">BR$65*P_IVArec</f>
        <v>0</v>
      </c>
      <c r="BS75" s="34" t="n">
        <f aca="false">BS$65*P_IVArec</f>
        <v>0</v>
      </c>
      <c r="BT75" s="34" t="n">
        <f aca="false">BT$65*P_IVArec</f>
        <v>0</v>
      </c>
      <c r="BU75" s="34" t="n">
        <f aca="false">BU$65*P_IVArec</f>
        <v>0</v>
      </c>
      <c r="BV75" s="34" t="n">
        <f aca="false">BV$65*P_IVArec</f>
        <v>0</v>
      </c>
      <c r="BW75" s="34" t="n">
        <f aca="false">BW$65*P_IVArec</f>
        <v>0</v>
      </c>
      <c r="BX75" s="34" t="n">
        <f aca="false">BX$65*P_IVArec</f>
        <v>0</v>
      </c>
      <c r="BY75" s="34" t="n">
        <f aca="false">BY$65*P_IVArec</f>
        <v>0</v>
      </c>
      <c r="BZ75" s="34" t="n">
        <f aca="false">BZ$65*P_IVArec</f>
        <v>0</v>
      </c>
      <c r="CA75" s="34" t="n">
        <f aca="false">CA$65*P_IVArec</f>
        <v>0</v>
      </c>
      <c r="CB75" s="34" t="n">
        <f aca="false">CB$65*P_IVArec</f>
        <v>0</v>
      </c>
      <c r="CC75" s="34" t="n">
        <f aca="false">CC$65*P_IVArec</f>
        <v>0</v>
      </c>
      <c r="CD75" s="34" t="n">
        <f aca="false">CD$65*P_IVArec</f>
        <v>0</v>
      </c>
      <c r="CE75" s="34" t="n">
        <f aca="false">CE$65*P_IVArec</f>
        <v>0</v>
      </c>
      <c r="CF75" s="34" t="n">
        <f aca="false">CF$65*P_IVArec</f>
        <v>0</v>
      </c>
      <c r="CG75" s="34" t="n">
        <f aca="false">CG$65*P_IVArec</f>
        <v>0</v>
      </c>
      <c r="CH75" s="34" t="n">
        <f aca="false">CH$65*P_IVArec</f>
        <v>0</v>
      </c>
      <c r="CI75" s="34" t="n">
        <f aca="false">CI$65*P_IVArec</f>
        <v>0</v>
      </c>
      <c r="CJ75" s="34" t="n">
        <f aca="false">CJ$65*P_IVArec</f>
        <v>0</v>
      </c>
      <c r="CK75" s="34" t="n">
        <f aca="false">CK$65*P_IVArec</f>
        <v>0</v>
      </c>
      <c r="CL75" s="34" t="n">
        <f aca="false">CL$65*P_IVArec</f>
        <v>0</v>
      </c>
      <c r="CM75" s="34" t="n">
        <f aca="false">CM$65*P_IVArec</f>
        <v>0</v>
      </c>
      <c r="CN75" s="34" t="n">
        <f aca="false">CN$65*P_IVArec</f>
        <v>0</v>
      </c>
      <c r="CO75" s="34" t="n">
        <f aca="false">CO$65*P_IVArec</f>
        <v>0</v>
      </c>
      <c r="CP75" s="34" t="n">
        <f aca="false">CP$65*P_IVArec</f>
        <v>0</v>
      </c>
      <c r="CQ75" s="34" t="n">
        <f aca="false">CQ$65*P_IVArec</f>
        <v>0</v>
      </c>
      <c r="CR75" s="34" t="n">
        <f aca="false">CR$65*P_IVArec</f>
        <v>0</v>
      </c>
      <c r="CS75" s="34" t="n">
        <f aca="false">CS$65*P_IVArec</f>
        <v>0</v>
      </c>
      <c r="CT75" s="34" t="n">
        <f aca="false">CT$65*P_IVArec</f>
        <v>0</v>
      </c>
      <c r="CU75" s="34" t="n">
        <f aca="false">CU$65*P_IVArec</f>
        <v>0</v>
      </c>
      <c r="CV75" s="34" t="n">
        <f aca="false">CV$65*P_IVArec</f>
        <v>0</v>
      </c>
      <c r="CW75" s="34" t="n">
        <f aca="false">CW$65*P_IVArec</f>
        <v>0</v>
      </c>
      <c r="CX75" s="34" t="n">
        <f aca="false">CX$65*P_IVArec</f>
        <v>0</v>
      </c>
      <c r="CY75" s="34" t="n">
        <f aca="false">CY$65*P_IVArec</f>
        <v>0</v>
      </c>
      <c r="CZ75" s="34" t="n">
        <f aca="false">CZ$65*P_IVArec</f>
        <v>0</v>
      </c>
      <c r="DA75" s="34" t="n">
        <f aca="false">DA$65*P_IVArec</f>
        <v>0</v>
      </c>
      <c r="DB75" s="34" t="n">
        <f aca="false">DB$65*P_IVArec</f>
        <v>0</v>
      </c>
      <c r="DC75" s="34" t="n">
        <f aca="false">DC$65*P_IVArec</f>
        <v>0</v>
      </c>
      <c r="DD75" s="34" t="n">
        <f aca="false">DD$65*P_IVArec</f>
        <v>0</v>
      </c>
      <c r="DE75" s="34" t="n">
        <f aca="false">DE$65*P_IVArec</f>
        <v>0</v>
      </c>
      <c r="DF75" s="34" t="n">
        <f aca="false">DF$65*P_IVArec</f>
        <v>0</v>
      </c>
      <c r="DG75" s="34" t="n">
        <f aca="false">DG$65*P_IVArec</f>
        <v>0</v>
      </c>
      <c r="DH75" s="34" t="n">
        <f aca="false">DH$65*P_IVArec</f>
        <v>0</v>
      </c>
      <c r="DI75" s="34" t="n">
        <f aca="false">DI$65*P_IVArec</f>
        <v>0</v>
      </c>
      <c r="DJ75" s="34" t="n">
        <f aca="false">DJ$65*P_IVArec</f>
        <v>0</v>
      </c>
      <c r="DK75" s="34" t="n">
        <f aca="false">DK$65*P_IVArec</f>
        <v>0</v>
      </c>
      <c r="DL75" s="34" t="n">
        <f aca="false">DL$65*P_IVArec</f>
        <v>0</v>
      </c>
      <c r="DM75" s="34" t="n">
        <f aca="false">DM$65*P_IVArec</f>
        <v>0</v>
      </c>
      <c r="DN75" s="34" t="n">
        <f aca="false">DN$65*P_IVArec</f>
        <v>0</v>
      </c>
      <c r="DO75" s="34" t="n">
        <f aca="false">DO$65*P_IVArec</f>
        <v>0</v>
      </c>
      <c r="DP75" s="34" t="n">
        <f aca="false">DP$65*P_IVArec</f>
        <v>0</v>
      </c>
      <c r="DQ75" s="34" t="n">
        <f aca="false">DQ$65*P_IVArec</f>
        <v>0</v>
      </c>
      <c r="DR75" s="34" t="n">
        <f aca="false">DR$65*P_IVArec</f>
        <v>0</v>
      </c>
      <c r="DS75" s="34" t="n">
        <f aca="false">DS$65*P_IVArec</f>
        <v>0</v>
      </c>
      <c r="DT75" s="34" t="n">
        <f aca="false">DT$65*P_IVArec</f>
        <v>0</v>
      </c>
      <c r="DU75" s="34" t="n">
        <f aca="false">DU$65*P_IVArec</f>
        <v>0</v>
      </c>
      <c r="DV75" s="34" t="n">
        <f aca="false">DV$65*P_IVArec</f>
        <v>0</v>
      </c>
      <c r="DW75" s="34" t="n">
        <f aca="false">DW$65*P_IVArec</f>
        <v>0</v>
      </c>
      <c r="DX75" s="34" t="n">
        <f aca="false">DX$65*P_IVArec</f>
        <v>0</v>
      </c>
      <c r="DY75" s="34" t="n">
        <f aca="false">DY$65*P_IVArec</f>
        <v>0</v>
      </c>
      <c r="DZ75" s="34" t="n">
        <f aca="false">DZ$65*P_IVArec</f>
        <v>0</v>
      </c>
      <c r="EA75" s="34" t="n">
        <f aca="false">EA$65*P_IVArec</f>
        <v>0</v>
      </c>
      <c r="EB75" s="34" t="n">
        <f aca="false">EB$65*P_IVArec</f>
        <v>0</v>
      </c>
      <c r="EC75" s="34" t="n">
        <f aca="false">EC$65*P_IVArec</f>
        <v>0</v>
      </c>
      <c r="ED75" s="34" t="n">
        <f aca="false">ED$65*P_IVArec</f>
        <v>0</v>
      </c>
      <c r="EE75" s="34" t="n">
        <f aca="false">EE$65*P_IVArec</f>
        <v>0</v>
      </c>
      <c r="EF75" s="34" t="n">
        <f aca="false">EF$65*P_IVArec</f>
        <v>0</v>
      </c>
      <c r="EG75" s="34" t="n">
        <f aca="false">EG$65*P_IVArec</f>
        <v>0</v>
      </c>
      <c r="EH75" s="34" t="n">
        <f aca="false">EH$65*P_IVArec</f>
        <v>0</v>
      </c>
      <c r="EI75" s="34" t="n">
        <f aca="false">EI$65*P_IVArec</f>
        <v>0</v>
      </c>
      <c r="EJ75" s="34" t="n">
        <f aca="false">EJ$65*P_IVArec</f>
        <v>0</v>
      </c>
      <c r="EK75" s="34" t="n">
        <f aca="false">EK$65*P_IVArec</f>
        <v>0</v>
      </c>
      <c r="EL75" s="34" t="n">
        <f aca="false">EL$65*P_IVArec</f>
        <v>0</v>
      </c>
      <c r="EM75" s="34" t="n">
        <f aca="false">EM$65*P_IVArec</f>
        <v>0</v>
      </c>
      <c r="EN75" s="34" t="n">
        <f aca="false">EN$65*P_IVArec</f>
        <v>0</v>
      </c>
      <c r="EO75" s="34" t="n">
        <f aca="false">EO$65*P_IVArec</f>
        <v>0</v>
      </c>
      <c r="EP75" s="34" t="n">
        <f aca="false">EP$65*P_IVArec</f>
        <v>0</v>
      </c>
      <c r="EQ75" s="34" t="n">
        <f aca="false">EQ$65*P_IVArec</f>
        <v>0</v>
      </c>
      <c r="ER75" s="34" t="n">
        <f aca="false">ER$65*P_IVArec</f>
        <v>0</v>
      </c>
      <c r="ES75" s="34" t="n">
        <f aca="false">ES$65*P_IVArec</f>
        <v>0</v>
      </c>
    </row>
    <row r="76" customFormat="false" ht="15" hidden="false" customHeight="false" outlineLevel="0" collapsed="false">
      <c r="A76" s="2" t="s">
        <v>641</v>
      </c>
      <c r="B76" s="52" t="s">
        <v>251</v>
      </c>
      <c r="C76" s="6" t="s">
        <v>250</v>
      </c>
      <c r="E76" s="40" t="n">
        <f aca="false">SUM(F76:ES76)</f>
        <v>16309504.016261</v>
      </c>
      <c r="F76" s="10" t="n">
        <f aca="false">F$71-F$72-F$73-F$74+F$75</f>
        <v>42497.5004755897</v>
      </c>
      <c r="G76" s="10" t="n">
        <f aca="false">G$71-G$72-G$73-G$74+G$75</f>
        <v>42497.5004755897</v>
      </c>
      <c r="H76" s="10" t="n">
        <f aca="false">H$71-H$72-H$73-H$74+H$75</f>
        <v>42497.5004755897</v>
      </c>
      <c r="I76" s="10" t="n">
        <f aca="false">I$71-I$72-I$73-I$74+I$75</f>
        <v>42497.5004755897</v>
      </c>
      <c r="J76" s="10" t="n">
        <f aca="false">J$71-J$72-J$73-J$74+J$75</f>
        <v>42497.5004755897</v>
      </c>
      <c r="K76" s="10" t="n">
        <f aca="false">K$71-K$72-K$73-K$74+K$75</f>
        <v>42497.5004755897</v>
      </c>
      <c r="L76" s="10" t="n">
        <f aca="false">L$71-L$72-L$73-L$74+L$75</f>
        <v>42497.5004755897</v>
      </c>
      <c r="M76" s="10" t="n">
        <f aca="false">M$71-M$72-M$73-M$74+M$75</f>
        <v>42497.5004755897</v>
      </c>
      <c r="N76" s="10" t="n">
        <f aca="false">N$71-N$72-N$73-N$74+N$75</f>
        <v>42497.5004755897</v>
      </c>
      <c r="O76" s="10" t="n">
        <f aca="false">O$71-O$72-O$73-O$74+O$75</f>
        <v>42497.5004755897</v>
      </c>
      <c r="P76" s="10" t="n">
        <f aca="false">P$71-P$72-P$73-P$74+P$75</f>
        <v>42497.5004755897</v>
      </c>
      <c r="Q76" s="10" t="n">
        <f aca="false">Q$71-Q$72-Q$73-Q$74+Q$75</f>
        <v>42497.5004755897</v>
      </c>
      <c r="R76" s="10" t="n">
        <f aca="false">R$71-R$72-R$73-R$74+R$75</f>
        <v>80496.4029939648</v>
      </c>
      <c r="S76" s="10" t="n">
        <f aca="false">S$71-S$72-S$73-S$74+S$75</f>
        <v>80496.4029939648</v>
      </c>
      <c r="T76" s="10" t="n">
        <f aca="false">T$71-T$72-T$73-T$74+T$75</f>
        <v>80496.4029939648</v>
      </c>
      <c r="U76" s="10" t="n">
        <f aca="false">U$71-U$72-U$73-U$74+U$75</f>
        <v>80496.4029939648</v>
      </c>
      <c r="V76" s="10" t="n">
        <f aca="false">V$71-V$72-V$73-V$74+V$75</f>
        <v>80496.4029939648</v>
      </c>
      <c r="W76" s="10" t="n">
        <f aca="false">W$71-W$72-W$73-W$74+W$75</f>
        <v>80496.4029939648</v>
      </c>
      <c r="X76" s="10" t="n">
        <f aca="false">X$71-X$72-X$73-X$74+X$75</f>
        <v>80496.4029939648</v>
      </c>
      <c r="Y76" s="10" t="n">
        <f aca="false">Y$71-Y$72-Y$73-Y$74+Y$75</f>
        <v>80496.4029939648</v>
      </c>
      <c r="Z76" s="10" t="n">
        <f aca="false">Z$71-Z$72-Z$73-Z$74+Z$75</f>
        <v>80496.4029939648</v>
      </c>
      <c r="AA76" s="10" t="n">
        <f aca="false">AA$71-AA$72-AA$73-AA$74+AA$75</f>
        <v>80496.4029939648</v>
      </c>
      <c r="AB76" s="10" t="n">
        <f aca="false">AB$71-AB$72-AB$73-AB$74+AB$75</f>
        <v>80496.4029939648</v>
      </c>
      <c r="AC76" s="10" t="n">
        <f aca="false">AC$71-AC$72-AC$73-AC$74+AC$75</f>
        <v>80496.4029939648</v>
      </c>
      <c r="AD76" s="10" t="n">
        <f aca="false">AD$71-AD$72-AD$73-AD$74+AD$75</f>
        <v>117085.030865125</v>
      </c>
      <c r="AE76" s="10" t="n">
        <f aca="false">AE$71-AE$72-AE$73-AE$74+AE$75</f>
        <v>117085.030865125</v>
      </c>
      <c r="AF76" s="10" t="n">
        <f aca="false">AF$71-AF$72-AF$73-AF$74+AF$75</f>
        <v>117085.030865125</v>
      </c>
      <c r="AG76" s="10" t="n">
        <f aca="false">AG$71-AG$72-AG$73-AG$74+AG$75</f>
        <v>117085.030865125</v>
      </c>
      <c r="AH76" s="10" t="n">
        <f aca="false">AH$71-AH$72-AH$73-AH$74+AH$75</f>
        <v>117085.030865125</v>
      </c>
      <c r="AI76" s="10" t="n">
        <f aca="false">AI$71-AI$72-AI$73-AI$74+AI$75</f>
        <v>117085.030865125</v>
      </c>
      <c r="AJ76" s="10" t="n">
        <f aca="false">AJ$71-AJ$72-AJ$73-AJ$74+AJ$75</f>
        <v>117085.030865125</v>
      </c>
      <c r="AK76" s="10" t="n">
        <f aca="false">AK$71-AK$72-AK$73-AK$74+AK$75</f>
        <v>117085.030865125</v>
      </c>
      <c r="AL76" s="10" t="n">
        <f aca="false">AL$71-AL$72-AL$73-AL$74+AL$75</f>
        <v>117085.030865125</v>
      </c>
      <c r="AM76" s="10" t="n">
        <f aca="false">AM$71-AM$72-AM$73-AM$74+AM$75</f>
        <v>117085.030865125</v>
      </c>
      <c r="AN76" s="10" t="n">
        <f aca="false">AN$71-AN$72-AN$73-AN$74+AN$75</f>
        <v>117085.030865125</v>
      </c>
      <c r="AO76" s="10" t="n">
        <f aca="false">AO$71-AO$72-AO$73-AO$74+AO$75</f>
        <v>117085.030865125</v>
      </c>
      <c r="AP76" s="10" t="n">
        <f aca="false">AP$71-AP$72-AP$73-AP$74+AP$75</f>
        <v>149893.579879858</v>
      </c>
      <c r="AQ76" s="10" t="n">
        <f aca="false">AQ$71-AQ$72-AQ$73-AQ$74+AQ$75</f>
        <v>149893.579879858</v>
      </c>
      <c r="AR76" s="10" t="n">
        <f aca="false">AR$71-AR$72-AR$73-AR$74+AR$75</f>
        <v>149893.579879858</v>
      </c>
      <c r="AS76" s="10" t="n">
        <f aca="false">AS$71-AS$72-AS$73-AS$74+AS$75</f>
        <v>149893.579879858</v>
      </c>
      <c r="AT76" s="10" t="n">
        <f aca="false">AT$71-AT$72-AT$73-AT$74+AT$75</f>
        <v>149893.579879858</v>
      </c>
      <c r="AU76" s="10" t="n">
        <f aca="false">AU$71-AU$72-AU$73-AU$74+AU$75</f>
        <v>149893.579879858</v>
      </c>
      <c r="AV76" s="10" t="n">
        <f aca="false">AV$71-AV$72-AV$73-AV$74+AV$75</f>
        <v>149893.579879858</v>
      </c>
      <c r="AW76" s="10" t="n">
        <f aca="false">AW$71-AW$72-AW$73-AW$74+AW$75</f>
        <v>149893.579879858</v>
      </c>
      <c r="AX76" s="10" t="n">
        <f aca="false">AX$71-AX$72-AX$73-AX$74+AX$75</f>
        <v>149893.579879858</v>
      </c>
      <c r="AY76" s="10" t="n">
        <f aca="false">AY$71-AY$72-AY$73-AY$74+AY$75</f>
        <v>149893.579879858</v>
      </c>
      <c r="AZ76" s="10" t="n">
        <f aca="false">AZ$71-AZ$72-AZ$73-AZ$74+AZ$75</f>
        <v>149893.579879858</v>
      </c>
      <c r="BA76" s="10" t="n">
        <f aca="false">BA$71-BA$72-BA$73-BA$74+BA$75</f>
        <v>149893.579879858</v>
      </c>
      <c r="BB76" s="10" t="n">
        <f aca="false">BB$71-BB$72-BB$73-BB$74+BB$75</f>
        <v>151213.164876374</v>
      </c>
      <c r="BC76" s="10" t="n">
        <f aca="false">BC$71-BC$72-BC$73-BC$74+BC$75</f>
        <v>151213.164876374</v>
      </c>
      <c r="BD76" s="10" t="n">
        <f aca="false">BD$71-BD$72-BD$73-BD$74+BD$75</f>
        <v>151213.164876374</v>
      </c>
      <c r="BE76" s="10" t="n">
        <f aca="false">BE$71-BE$72-BE$73-BE$74+BE$75</f>
        <v>151213.164876374</v>
      </c>
      <c r="BF76" s="10" t="n">
        <f aca="false">BF$71-BF$72-BF$73-BF$74+BF$75</f>
        <v>151213.164876374</v>
      </c>
      <c r="BG76" s="10" t="n">
        <f aca="false">BG$71-BG$72-BG$73-BG$74+BG$75</f>
        <v>151213.164876374</v>
      </c>
      <c r="BH76" s="10" t="n">
        <f aca="false">BH$71-BH$72-BH$73-BH$74+BH$75</f>
        <v>151213.164876374</v>
      </c>
      <c r="BI76" s="10" t="n">
        <f aca="false">BI$71-BI$72-BI$73-BI$74+BI$75</f>
        <v>151213.164876374</v>
      </c>
      <c r="BJ76" s="10" t="n">
        <f aca="false">BJ$71-BJ$72-BJ$73-BJ$74+BJ$75</f>
        <v>151213.164876374</v>
      </c>
      <c r="BK76" s="10" t="n">
        <f aca="false">BK$71-BK$72-BK$73-BK$74+BK$75</f>
        <v>151213.164876374</v>
      </c>
      <c r="BL76" s="10" t="n">
        <f aca="false">BL$71-BL$72-BL$73-BL$74+BL$75</f>
        <v>151213.164876374</v>
      </c>
      <c r="BM76" s="10" t="n">
        <f aca="false">BM$71-BM$72-BM$73-BM$74+BM$75</f>
        <v>151213.164876374</v>
      </c>
      <c r="BN76" s="10" t="n">
        <f aca="false">BN$71-BN$72-BN$73-BN$74+BN$75</f>
        <v>155300.441797826</v>
      </c>
      <c r="BO76" s="10" t="n">
        <f aca="false">BO$71-BO$72-BO$73-BO$74+BO$75</f>
        <v>155300.441797826</v>
      </c>
      <c r="BP76" s="10" t="n">
        <f aca="false">BP$71-BP$72-BP$73-BP$74+BP$75</f>
        <v>155300.441797826</v>
      </c>
      <c r="BQ76" s="10" t="n">
        <f aca="false">BQ$71-BQ$72-BQ$73-BQ$74+BQ$75</f>
        <v>155300.441797826</v>
      </c>
      <c r="BR76" s="10" t="n">
        <f aca="false">BR$71-BR$72-BR$73-BR$74+BR$75</f>
        <v>155300.441797826</v>
      </c>
      <c r="BS76" s="10" t="n">
        <f aca="false">BS$71-BS$72-BS$73-BS$74+BS$75</f>
        <v>155300.441797826</v>
      </c>
      <c r="BT76" s="10" t="n">
        <f aca="false">BT$71-BT$72-BT$73-BT$74+BT$75</f>
        <v>155300.441797826</v>
      </c>
      <c r="BU76" s="10" t="n">
        <f aca="false">BU$71-BU$72-BU$73-BU$74+BU$75</f>
        <v>155300.441797826</v>
      </c>
      <c r="BV76" s="10" t="n">
        <f aca="false">BV$71-BV$72-BV$73-BV$74+BV$75</f>
        <v>155300.441797826</v>
      </c>
      <c r="BW76" s="10" t="n">
        <f aca="false">BW$71-BW$72-BW$73-BW$74+BW$75</f>
        <v>155300.441797826</v>
      </c>
      <c r="BX76" s="10" t="n">
        <f aca="false">BX$71-BX$72-BX$73-BX$74+BX$75</f>
        <v>155300.441797826</v>
      </c>
      <c r="BY76" s="10" t="n">
        <f aca="false">BY$71-BY$72-BY$73-BY$74+BY$75</f>
        <v>155300.441797826</v>
      </c>
      <c r="BZ76" s="10" t="n">
        <f aca="false">BZ$71-BZ$72-BZ$73-BZ$74+BZ$75</f>
        <v>159416.0224894</v>
      </c>
      <c r="CA76" s="10" t="n">
        <f aca="false">CA$71-CA$72-CA$73-CA$74+CA$75</f>
        <v>159416.0224894</v>
      </c>
      <c r="CB76" s="10" t="n">
        <f aca="false">CB$71-CB$72-CB$73-CB$74+CB$75</f>
        <v>159416.0224894</v>
      </c>
      <c r="CC76" s="10" t="n">
        <f aca="false">CC$71-CC$72-CC$73-CC$74+CC$75</f>
        <v>159416.0224894</v>
      </c>
      <c r="CD76" s="10" t="n">
        <f aca="false">CD$71-CD$72-CD$73-CD$74+CD$75</f>
        <v>159416.0224894</v>
      </c>
      <c r="CE76" s="10" t="n">
        <f aca="false">CE$71-CE$72-CE$73-CE$74+CE$75</f>
        <v>159416.0224894</v>
      </c>
      <c r="CF76" s="10" t="n">
        <f aca="false">CF$71-CF$72-CF$73-CF$74+CF$75</f>
        <v>159416.0224894</v>
      </c>
      <c r="CG76" s="10" t="n">
        <f aca="false">CG$71-CG$72-CG$73-CG$74+CG$75</f>
        <v>159416.0224894</v>
      </c>
      <c r="CH76" s="10" t="n">
        <f aca="false">CH$71-CH$72-CH$73-CH$74+CH$75</f>
        <v>159416.0224894</v>
      </c>
      <c r="CI76" s="10" t="n">
        <f aca="false">CI$71-CI$72-CI$73-CI$74+CI$75</f>
        <v>159416.0224894</v>
      </c>
      <c r="CJ76" s="10" t="n">
        <f aca="false">CJ$71-CJ$72-CJ$73-CJ$74+CJ$75</f>
        <v>159416.0224894</v>
      </c>
      <c r="CK76" s="10" t="n">
        <f aca="false">CK$71-CK$72-CK$73-CK$74+CK$75</f>
        <v>159416.0224894</v>
      </c>
      <c r="CL76" s="10" t="n">
        <f aca="false">CL$71-CL$72-CL$73-CL$74+CL$75</f>
        <v>163559.818546288</v>
      </c>
      <c r="CM76" s="10" t="n">
        <f aca="false">CM$71-CM$72-CM$73-CM$74+CM$75</f>
        <v>163559.818546288</v>
      </c>
      <c r="CN76" s="10" t="n">
        <f aca="false">CN$71-CN$72-CN$73-CN$74+CN$75</f>
        <v>163559.818546288</v>
      </c>
      <c r="CO76" s="10" t="n">
        <f aca="false">CO$71-CO$72-CO$73-CO$74+CO$75</f>
        <v>163559.818546288</v>
      </c>
      <c r="CP76" s="10" t="n">
        <f aca="false">CP$71-CP$72-CP$73-CP$74+CP$75</f>
        <v>163559.818546288</v>
      </c>
      <c r="CQ76" s="10" t="n">
        <f aca="false">CQ$71-CQ$72-CQ$73-CQ$74+CQ$75</f>
        <v>163559.818546288</v>
      </c>
      <c r="CR76" s="10" t="n">
        <f aca="false">CR$71-CR$72-CR$73-CR$74+CR$75</f>
        <v>163559.818546288</v>
      </c>
      <c r="CS76" s="10" t="n">
        <f aca="false">CS$71-CS$72-CS$73-CS$74+CS$75</f>
        <v>163559.818546288</v>
      </c>
      <c r="CT76" s="10" t="n">
        <f aca="false">CT$71-CT$72-CT$73-CT$74+CT$75</f>
        <v>163559.818546288</v>
      </c>
      <c r="CU76" s="10" t="n">
        <f aca="false">CU$71-CU$72-CU$73-CU$74+CU$75</f>
        <v>163559.818546288</v>
      </c>
      <c r="CV76" s="10" t="n">
        <f aca="false">CV$71-CV$72-CV$73-CV$74+CV$75</f>
        <v>163559.818546288</v>
      </c>
      <c r="CW76" s="10" t="n">
        <f aca="false">CW$71-CW$72-CW$73-CW$74+CW$75</f>
        <v>163559.818546288</v>
      </c>
      <c r="CX76" s="10" t="n">
        <f aca="false">CX$71-CX$72-CX$73-CX$74+CX$75</f>
        <v>167731.729648908</v>
      </c>
      <c r="CY76" s="10" t="n">
        <f aca="false">CY$71-CY$72-CY$73-CY$74+CY$75</f>
        <v>167731.729648908</v>
      </c>
      <c r="CZ76" s="10" t="n">
        <f aca="false">CZ$71-CZ$72-CZ$73-CZ$74+CZ$75</f>
        <v>167731.729648908</v>
      </c>
      <c r="DA76" s="10" t="n">
        <f aca="false">DA$71-DA$72-DA$73-DA$74+DA$75</f>
        <v>167731.729648908</v>
      </c>
      <c r="DB76" s="10" t="n">
        <f aca="false">DB$71-DB$72-DB$73-DB$74+DB$75</f>
        <v>167731.729648908</v>
      </c>
      <c r="DC76" s="10" t="n">
        <f aca="false">DC$71-DC$72-DC$73-DC$74+DC$75</f>
        <v>167731.729648908</v>
      </c>
      <c r="DD76" s="10" t="n">
        <f aca="false">DD$71-DD$72-DD$73-DD$74+DD$75</f>
        <v>167731.729648908</v>
      </c>
      <c r="DE76" s="10" t="n">
        <f aca="false">DE$71-DE$72-DE$73-DE$74+DE$75</f>
        <v>167731.729648908</v>
      </c>
      <c r="DF76" s="10" t="n">
        <f aca="false">DF$71-DF$72-DF$73-DF$74+DF$75</f>
        <v>167731.729648908</v>
      </c>
      <c r="DG76" s="10" t="n">
        <f aca="false">DG$71-DG$72-DG$73-DG$74+DG$75</f>
        <v>167731.729648908</v>
      </c>
      <c r="DH76" s="10" t="n">
        <f aca="false">DH$71-DH$72-DH$73-DH$74+DH$75</f>
        <v>167731.729648908</v>
      </c>
      <c r="DI76" s="10" t="n">
        <f aca="false">DI$71-DI$72-DI$73-DI$74+DI$75</f>
        <v>167731.729648908</v>
      </c>
      <c r="DJ76" s="10" t="n">
        <f aca="false">DJ$71-DJ$72-DJ$73-DJ$74+DJ$75</f>
        <v>171931.643115086</v>
      </c>
      <c r="DK76" s="10" t="n">
        <f aca="false">DK$71-DK$72-DK$73-DK$74+DK$75</f>
        <v>171931.643115086</v>
      </c>
      <c r="DL76" s="10" t="n">
        <f aca="false">DL$71-DL$72-DL$73-DL$74+DL$75</f>
        <v>171931.643115086</v>
      </c>
      <c r="DM76" s="10" t="n">
        <f aca="false">DM$71-DM$72-DM$73-DM$74+DM$75</f>
        <v>171931.643115086</v>
      </c>
      <c r="DN76" s="10" t="n">
        <f aca="false">DN$71-DN$72-DN$73-DN$74+DN$75</f>
        <v>171931.643115086</v>
      </c>
      <c r="DO76" s="10" t="n">
        <f aca="false">DO$71-DO$72-DO$73-DO$74+DO$75</f>
        <v>171931.643115086</v>
      </c>
      <c r="DP76" s="10" t="n">
        <f aca="false">DP$71-DP$72-DP$73-DP$74+DP$75</f>
        <v>171931.643115086</v>
      </c>
      <c r="DQ76" s="10" t="n">
        <f aca="false">DQ$71-DQ$72-DQ$73-DQ$74+DQ$75</f>
        <v>171931.643115086</v>
      </c>
      <c r="DR76" s="10" t="n">
        <f aca="false">DR$71-DR$72-DR$73-DR$74+DR$75</f>
        <v>171931.643115086</v>
      </c>
      <c r="DS76" s="10" t="n">
        <f aca="false">DS$71-DS$72-DS$73-DS$74+DS$75</f>
        <v>171931.643115086</v>
      </c>
      <c r="DT76" s="10" t="n">
        <f aca="false">DT$71-DT$72-DT$73-DT$74+DT$75</f>
        <v>171931.643115086</v>
      </c>
      <c r="DU76" s="10" t="n">
        <f aca="false">DU$71-DU$72-DU$73-DU$74+DU$75</f>
        <v>171931.643115086</v>
      </c>
      <c r="DV76" s="10" t="n">
        <f aca="false">DV$71-DV$72-DV$73-DV$74+DV$75</f>
        <v>0</v>
      </c>
      <c r="DW76" s="10" t="n">
        <f aca="false">DW$71-DW$72-DW$73-DW$74+DW$75</f>
        <v>0</v>
      </c>
      <c r="DX76" s="10" t="n">
        <f aca="false">DX$71-DX$72-DX$73-DX$74+DX$75</f>
        <v>0</v>
      </c>
      <c r="DY76" s="10" t="n">
        <f aca="false">DY$71-DY$72-DY$73-DY$74+DY$75</f>
        <v>0</v>
      </c>
      <c r="DZ76" s="10" t="n">
        <f aca="false">DZ$71-DZ$72-DZ$73-DZ$74+DZ$75</f>
        <v>0</v>
      </c>
      <c r="EA76" s="10" t="n">
        <f aca="false">EA$71-EA$72-EA$73-EA$74+EA$75</f>
        <v>0</v>
      </c>
      <c r="EB76" s="10" t="n">
        <f aca="false">EB$71-EB$72-EB$73-EB$74+EB$75</f>
        <v>0</v>
      </c>
      <c r="EC76" s="10" t="n">
        <f aca="false">EC$71-EC$72-EC$73-EC$74+EC$75</f>
        <v>0</v>
      </c>
      <c r="ED76" s="10" t="n">
        <f aca="false">ED$71-ED$72-ED$73-ED$74+ED$75</f>
        <v>0</v>
      </c>
      <c r="EE76" s="10" t="n">
        <f aca="false">EE$71-EE$72-EE$73-EE$74+EE$75</f>
        <v>0</v>
      </c>
      <c r="EF76" s="10" t="n">
        <f aca="false">EF$71-EF$72-EF$73-EF$74+EF$75</f>
        <v>0</v>
      </c>
      <c r="EG76" s="10" t="n">
        <f aca="false">EG$71-EG$72-EG$73-EG$74+EG$75</f>
        <v>0</v>
      </c>
      <c r="EH76" s="10" t="n">
        <f aca="false">EH$71-EH$72-EH$73-EH$74+EH$75</f>
        <v>0</v>
      </c>
      <c r="EI76" s="10" t="n">
        <f aca="false">EI$71-EI$72-EI$73-EI$74+EI$75</f>
        <v>0</v>
      </c>
      <c r="EJ76" s="10" t="n">
        <f aca="false">EJ$71-EJ$72-EJ$73-EJ$74+EJ$75</f>
        <v>0</v>
      </c>
      <c r="EK76" s="10" t="n">
        <f aca="false">EK$71-EK$72-EK$73-EK$74+EK$75</f>
        <v>0</v>
      </c>
      <c r="EL76" s="10" t="n">
        <f aca="false">EL$71-EL$72-EL$73-EL$74+EL$75</f>
        <v>0</v>
      </c>
      <c r="EM76" s="10" t="n">
        <f aca="false">EM$71-EM$72-EM$73-EM$74+EM$75</f>
        <v>0</v>
      </c>
      <c r="EN76" s="10" t="n">
        <f aca="false">EN$71-EN$72-EN$73-EN$74+EN$75</f>
        <v>0</v>
      </c>
      <c r="EO76" s="10" t="n">
        <f aca="false">EO$71-EO$72-EO$73-EO$74+EO$75</f>
        <v>0</v>
      </c>
      <c r="EP76" s="10" t="n">
        <f aca="false">EP$71-EP$72-EP$73-EP$74+EP$75</f>
        <v>0</v>
      </c>
      <c r="EQ76" s="10" t="n">
        <f aca="false">EQ$71-EQ$72-EQ$73-EQ$74+EQ$75</f>
        <v>0</v>
      </c>
      <c r="ER76" s="10" t="n">
        <f aca="false">ER$71-ER$72-ER$73-ER$74+ER$75</f>
        <v>0</v>
      </c>
      <c r="ES76" s="10" t="n">
        <f aca="false">ES$71-ES$72-ES$73-ES$74+ES$75</f>
        <v>0</v>
      </c>
    </row>
    <row r="77" customFormat="false" ht="15" hidden="false" customHeight="false" outlineLevel="0" collapsed="false">
      <c r="A77" s="2" t="s">
        <v>642</v>
      </c>
      <c r="B77" s="6" t="s">
        <v>643</v>
      </c>
      <c r="C77" s="6" t="s">
        <v>250</v>
      </c>
      <c r="E77" s="40" t="n">
        <f aca="false">SUM(F77:ES77)</f>
        <v>745044.09</v>
      </c>
      <c r="F77" s="34" t="n">
        <f aca="false">SUMPRODUCT(Inv_D*(Inv_F&gt;0)*(1&gt;=Inv_SvcP)*(1&lt;Inv_SvcP+Inv_F*12)/(Inv_F*12+(Inv_F=0)))*F$9</f>
        <v>5966.01741666667</v>
      </c>
      <c r="G77" s="34" t="n">
        <f aca="false">SUMPRODUCT(Inv_D*(Inv_F&gt;0)*(2&gt;=Inv_SvcP)*(2&lt;Inv_SvcP+Inv_F*12)/(Inv_F*12+(Inv_F=0)))*G$9</f>
        <v>5966.01741666667</v>
      </c>
      <c r="H77" s="34" t="n">
        <f aca="false">SUMPRODUCT(Inv_D*(Inv_F&gt;0)*(3&gt;=Inv_SvcP)*(3&lt;Inv_SvcP+Inv_F*12)/(Inv_F*12+(Inv_F=0)))*H$9</f>
        <v>5966.01741666667</v>
      </c>
      <c r="I77" s="34" t="n">
        <f aca="false">SUMPRODUCT(Inv_D*(Inv_F&gt;0)*(4&gt;=Inv_SvcP)*(4&lt;Inv_SvcP+Inv_F*12)/(Inv_F*12+(Inv_F=0)))*I$9</f>
        <v>5966.01741666667</v>
      </c>
      <c r="J77" s="34" t="n">
        <f aca="false">SUMPRODUCT(Inv_D*(Inv_F&gt;0)*(5&gt;=Inv_SvcP)*(5&lt;Inv_SvcP+Inv_F*12)/(Inv_F*12+(Inv_F=0)))*J$9</f>
        <v>5966.01741666667</v>
      </c>
      <c r="K77" s="34" t="n">
        <f aca="false">SUMPRODUCT(Inv_D*(Inv_F&gt;0)*(6&gt;=Inv_SvcP)*(6&lt;Inv_SvcP+Inv_F*12)/(Inv_F*12+(Inv_F=0)))*K$9</f>
        <v>5966.01741666667</v>
      </c>
      <c r="L77" s="34" t="n">
        <f aca="false">SUMPRODUCT(Inv_D*(Inv_F&gt;0)*(7&gt;=Inv_SvcP)*(7&lt;Inv_SvcP+Inv_F*12)/(Inv_F*12+(Inv_F=0)))*L$9</f>
        <v>5966.01741666667</v>
      </c>
      <c r="M77" s="34" t="n">
        <f aca="false">SUMPRODUCT(Inv_D*(Inv_F&gt;0)*(8&gt;=Inv_SvcP)*(8&lt;Inv_SvcP+Inv_F*12)/(Inv_F*12+(Inv_F=0)))*M$9</f>
        <v>5966.01741666667</v>
      </c>
      <c r="N77" s="34" t="n">
        <f aca="false">SUMPRODUCT(Inv_D*(Inv_F&gt;0)*(9&gt;=Inv_SvcP)*(9&lt;Inv_SvcP+Inv_F*12)/(Inv_F*12+(Inv_F=0)))*N$9</f>
        <v>5966.01741666667</v>
      </c>
      <c r="O77" s="34" t="n">
        <f aca="false">SUMPRODUCT(Inv_D*(Inv_F&gt;0)*(10&gt;=Inv_SvcP)*(10&lt;Inv_SvcP+Inv_F*12)/(Inv_F*12+(Inv_F=0)))*O$9</f>
        <v>5966.01741666667</v>
      </c>
      <c r="P77" s="34" t="n">
        <f aca="false">SUMPRODUCT(Inv_D*(Inv_F&gt;0)*(11&gt;=Inv_SvcP)*(11&lt;Inv_SvcP+Inv_F*12)/(Inv_F*12+(Inv_F=0)))*P$9</f>
        <v>5966.01741666667</v>
      </c>
      <c r="Q77" s="34" t="n">
        <f aca="false">SUMPRODUCT(Inv_D*(Inv_F&gt;0)*(12&gt;=Inv_SvcP)*(12&lt;Inv_SvcP+Inv_F*12)/(Inv_F*12+(Inv_F=0)))*Q$9</f>
        <v>5966.01741666667</v>
      </c>
      <c r="R77" s="34" t="n">
        <f aca="false">SUMPRODUCT(Inv_D*(Inv_F&gt;0)*(13&gt;=Inv_SvcP)*(13&lt;Inv_SvcP+Inv_F*12)/(Inv_F*12+(Inv_F=0)))*R$9</f>
        <v>6799.35075</v>
      </c>
      <c r="S77" s="34" t="n">
        <f aca="false">SUMPRODUCT(Inv_D*(Inv_F&gt;0)*(14&gt;=Inv_SvcP)*(14&lt;Inv_SvcP+Inv_F*12)/(Inv_F*12+(Inv_F=0)))*S$9</f>
        <v>6799.35075</v>
      </c>
      <c r="T77" s="34" t="n">
        <f aca="false">SUMPRODUCT(Inv_D*(Inv_F&gt;0)*(15&gt;=Inv_SvcP)*(15&lt;Inv_SvcP+Inv_F*12)/(Inv_F*12+(Inv_F=0)))*T$9</f>
        <v>6799.35075</v>
      </c>
      <c r="U77" s="34" t="n">
        <f aca="false">SUMPRODUCT(Inv_D*(Inv_F&gt;0)*(16&gt;=Inv_SvcP)*(16&lt;Inv_SvcP+Inv_F*12)/(Inv_F*12+(Inv_F=0)))*U$9</f>
        <v>6799.35075</v>
      </c>
      <c r="V77" s="34" t="n">
        <f aca="false">SUMPRODUCT(Inv_D*(Inv_F&gt;0)*(17&gt;=Inv_SvcP)*(17&lt;Inv_SvcP+Inv_F*12)/(Inv_F*12+(Inv_F=0)))*V$9</f>
        <v>6799.35075</v>
      </c>
      <c r="W77" s="34" t="n">
        <f aca="false">SUMPRODUCT(Inv_D*(Inv_F&gt;0)*(18&gt;=Inv_SvcP)*(18&lt;Inv_SvcP+Inv_F*12)/(Inv_F*12+(Inv_F=0)))*W$9</f>
        <v>6799.35075</v>
      </c>
      <c r="X77" s="34" t="n">
        <f aca="false">SUMPRODUCT(Inv_D*(Inv_F&gt;0)*(19&gt;=Inv_SvcP)*(19&lt;Inv_SvcP+Inv_F*12)/(Inv_F*12+(Inv_F=0)))*X$9</f>
        <v>6799.35075</v>
      </c>
      <c r="Y77" s="34" t="n">
        <f aca="false">SUMPRODUCT(Inv_D*(Inv_F&gt;0)*(20&gt;=Inv_SvcP)*(20&lt;Inv_SvcP+Inv_F*12)/(Inv_F*12+(Inv_F=0)))*Y$9</f>
        <v>6799.35075</v>
      </c>
      <c r="Z77" s="34" t="n">
        <f aca="false">SUMPRODUCT(Inv_D*(Inv_F&gt;0)*(21&gt;=Inv_SvcP)*(21&lt;Inv_SvcP+Inv_F*12)/(Inv_F*12+(Inv_F=0)))*Z$9</f>
        <v>6799.35075</v>
      </c>
      <c r="AA77" s="34" t="n">
        <f aca="false">SUMPRODUCT(Inv_D*(Inv_F&gt;0)*(22&gt;=Inv_SvcP)*(22&lt;Inv_SvcP+Inv_F*12)/(Inv_F*12+(Inv_F=0)))*AA$9</f>
        <v>6799.35075</v>
      </c>
      <c r="AB77" s="34" t="n">
        <f aca="false">SUMPRODUCT(Inv_D*(Inv_F&gt;0)*(23&gt;=Inv_SvcP)*(23&lt;Inv_SvcP+Inv_F*12)/(Inv_F*12+(Inv_F=0)))*AB$9</f>
        <v>6799.35075</v>
      </c>
      <c r="AC77" s="34" t="n">
        <f aca="false">SUMPRODUCT(Inv_D*(Inv_F&gt;0)*(24&gt;=Inv_SvcP)*(24&lt;Inv_SvcP+Inv_F*12)/(Inv_F*12+(Inv_F=0)))*AC$9</f>
        <v>6799.35075</v>
      </c>
      <c r="AD77" s="34" t="n">
        <f aca="false">SUMPRODUCT(Inv_D*(Inv_F&gt;0)*(25&gt;=Inv_SvcP)*(25&lt;Inv_SvcP+Inv_F*12)/(Inv_F*12+(Inv_F=0)))*AD$9</f>
        <v>6799.35075</v>
      </c>
      <c r="AE77" s="34" t="n">
        <f aca="false">SUMPRODUCT(Inv_D*(Inv_F&gt;0)*(26&gt;=Inv_SvcP)*(26&lt;Inv_SvcP+Inv_F*12)/(Inv_F*12+(Inv_F=0)))*AE$9</f>
        <v>6799.35075</v>
      </c>
      <c r="AF77" s="34" t="n">
        <f aca="false">SUMPRODUCT(Inv_D*(Inv_F&gt;0)*(27&gt;=Inv_SvcP)*(27&lt;Inv_SvcP+Inv_F*12)/(Inv_F*12+(Inv_F=0)))*AF$9</f>
        <v>6799.35075</v>
      </c>
      <c r="AG77" s="34" t="n">
        <f aca="false">SUMPRODUCT(Inv_D*(Inv_F&gt;0)*(28&gt;=Inv_SvcP)*(28&lt;Inv_SvcP+Inv_F*12)/(Inv_F*12+(Inv_F=0)))*AG$9</f>
        <v>6799.35075</v>
      </c>
      <c r="AH77" s="34" t="n">
        <f aca="false">SUMPRODUCT(Inv_D*(Inv_F&gt;0)*(29&gt;=Inv_SvcP)*(29&lt;Inv_SvcP+Inv_F*12)/(Inv_F*12+(Inv_F=0)))*AH$9</f>
        <v>6799.35075</v>
      </c>
      <c r="AI77" s="34" t="n">
        <f aca="false">SUMPRODUCT(Inv_D*(Inv_F&gt;0)*(30&gt;=Inv_SvcP)*(30&lt;Inv_SvcP+Inv_F*12)/(Inv_F*12+(Inv_F=0)))*AI$9</f>
        <v>6799.35075</v>
      </c>
      <c r="AJ77" s="34" t="n">
        <f aca="false">SUMPRODUCT(Inv_D*(Inv_F&gt;0)*(31&gt;=Inv_SvcP)*(31&lt;Inv_SvcP+Inv_F*12)/(Inv_F*12+(Inv_F=0)))*AJ$9</f>
        <v>6799.35075</v>
      </c>
      <c r="AK77" s="34" t="n">
        <f aca="false">SUMPRODUCT(Inv_D*(Inv_F&gt;0)*(32&gt;=Inv_SvcP)*(32&lt;Inv_SvcP+Inv_F*12)/(Inv_F*12+(Inv_F=0)))*AK$9</f>
        <v>6799.35075</v>
      </c>
      <c r="AL77" s="34" t="n">
        <f aca="false">SUMPRODUCT(Inv_D*(Inv_F&gt;0)*(33&gt;=Inv_SvcP)*(33&lt;Inv_SvcP+Inv_F*12)/(Inv_F*12+(Inv_F=0)))*AL$9</f>
        <v>6799.35075</v>
      </c>
      <c r="AM77" s="34" t="n">
        <f aca="false">SUMPRODUCT(Inv_D*(Inv_F&gt;0)*(34&gt;=Inv_SvcP)*(34&lt;Inv_SvcP+Inv_F*12)/(Inv_F*12+(Inv_F=0)))*AM$9</f>
        <v>6799.35075</v>
      </c>
      <c r="AN77" s="34" t="n">
        <f aca="false">SUMPRODUCT(Inv_D*(Inv_F&gt;0)*(35&gt;=Inv_SvcP)*(35&lt;Inv_SvcP+Inv_F*12)/(Inv_F*12+(Inv_F=0)))*AN$9</f>
        <v>6799.35075</v>
      </c>
      <c r="AO77" s="34" t="n">
        <f aca="false">SUMPRODUCT(Inv_D*(Inv_F&gt;0)*(36&gt;=Inv_SvcP)*(36&lt;Inv_SvcP+Inv_F*12)/(Inv_F*12+(Inv_F=0)))*AO$9</f>
        <v>6799.35075</v>
      </c>
      <c r="AP77" s="34" t="n">
        <f aca="false">SUMPRODUCT(Inv_D*(Inv_F&gt;0)*(37&gt;=Inv_SvcP)*(37&lt;Inv_SvcP+Inv_F*12)/(Inv_F*12+(Inv_F=0)))*AP$9</f>
        <v>6799.35075</v>
      </c>
      <c r="AQ77" s="34" t="n">
        <f aca="false">SUMPRODUCT(Inv_D*(Inv_F&gt;0)*(38&gt;=Inv_SvcP)*(38&lt;Inv_SvcP+Inv_F*12)/(Inv_F*12+(Inv_F=0)))*AQ$9</f>
        <v>6799.35075</v>
      </c>
      <c r="AR77" s="34" t="n">
        <f aca="false">SUMPRODUCT(Inv_D*(Inv_F&gt;0)*(39&gt;=Inv_SvcP)*(39&lt;Inv_SvcP+Inv_F*12)/(Inv_F*12+(Inv_F=0)))*AR$9</f>
        <v>6799.35075</v>
      </c>
      <c r="AS77" s="34" t="n">
        <f aca="false">SUMPRODUCT(Inv_D*(Inv_F&gt;0)*(40&gt;=Inv_SvcP)*(40&lt;Inv_SvcP+Inv_F*12)/(Inv_F*12+(Inv_F=0)))*AS$9</f>
        <v>6799.35075</v>
      </c>
      <c r="AT77" s="34" t="n">
        <f aca="false">SUMPRODUCT(Inv_D*(Inv_F&gt;0)*(41&gt;=Inv_SvcP)*(41&lt;Inv_SvcP+Inv_F*12)/(Inv_F*12+(Inv_F=0)))*AT$9</f>
        <v>6799.35075</v>
      </c>
      <c r="AU77" s="34" t="n">
        <f aca="false">SUMPRODUCT(Inv_D*(Inv_F&gt;0)*(42&gt;=Inv_SvcP)*(42&lt;Inv_SvcP+Inv_F*12)/(Inv_F*12+(Inv_F=0)))*AU$9</f>
        <v>6799.35075</v>
      </c>
      <c r="AV77" s="34" t="n">
        <f aca="false">SUMPRODUCT(Inv_D*(Inv_F&gt;0)*(43&gt;=Inv_SvcP)*(43&lt;Inv_SvcP+Inv_F*12)/(Inv_F*12+(Inv_F=0)))*AV$9</f>
        <v>6799.35075</v>
      </c>
      <c r="AW77" s="34" t="n">
        <f aca="false">SUMPRODUCT(Inv_D*(Inv_F&gt;0)*(44&gt;=Inv_SvcP)*(44&lt;Inv_SvcP+Inv_F*12)/(Inv_F*12+(Inv_F=0)))*AW$9</f>
        <v>6799.35075</v>
      </c>
      <c r="AX77" s="34" t="n">
        <f aca="false">SUMPRODUCT(Inv_D*(Inv_F&gt;0)*(45&gt;=Inv_SvcP)*(45&lt;Inv_SvcP+Inv_F*12)/(Inv_F*12+(Inv_F=0)))*AX$9</f>
        <v>6799.35075</v>
      </c>
      <c r="AY77" s="34" t="n">
        <f aca="false">SUMPRODUCT(Inv_D*(Inv_F&gt;0)*(46&gt;=Inv_SvcP)*(46&lt;Inv_SvcP+Inv_F*12)/(Inv_F*12+(Inv_F=0)))*AY$9</f>
        <v>6799.35075</v>
      </c>
      <c r="AZ77" s="34" t="n">
        <f aca="false">SUMPRODUCT(Inv_D*(Inv_F&gt;0)*(47&gt;=Inv_SvcP)*(47&lt;Inv_SvcP+Inv_F*12)/(Inv_F*12+(Inv_F=0)))*AZ$9</f>
        <v>6799.35075</v>
      </c>
      <c r="BA77" s="34" t="n">
        <f aca="false">SUMPRODUCT(Inv_D*(Inv_F&gt;0)*(48&gt;=Inv_SvcP)*(48&lt;Inv_SvcP+Inv_F*12)/(Inv_F*12+(Inv_F=0)))*BA$9</f>
        <v>6799.35075</v>
      </c>
      <c r="BB77" s="34" t="n">
        <f aca="false">SUMPRODUCT(Inv_D*(Inv_F&gt;0)*(49&gt;=Inv_SvcP)*(49&lt;Inv_SvcP+Inv_F*12)/(Inv_F*12+(Inv_F=0)))*BB$9</f>
        <v>6799.35075</v>
      </c>
      <c r="BC77" s="34" t="n">
        <f aca="false">SUMPRODUCT(Inv_D*(Inv_F&gt;0)*(50&gt;=Inv_SvcP)*(50&lt;Inv_SvcP+Inv_F*12)/(Inv_F*12+(Inv_F=0)))*BC$9</f>
        <v>6799.35075</v>
      </c>
      <c r="BD77" s="34" t="n">
        <f aca="false">SUMPRODUCT(Inv_D*(Inv_F&gt;0)*(51&gt;=Inv_SvcP)*(51&lt;Inv_SvcP+Inv_F*12)/(Inv_F*12+(Inv_F=0)))*BD$9</f>
        <v>6799.35075</v>
      </c>
      <c r="BE77" s="34" t="n">
        <f aca="false">SUMPRODUCT(Inv_D*(Inv_F&gt;0)*(52&gt;=Inv_SvcP)*(52&lt;Inv_SvcP+Inv_F*12)/(Inv_F*12+(Inv_F=0)))*BE$9</f>
        <v>6799.35075</v>
      </c>
      <c r="BF77" s="34" t="n">
        <f aca="false">SUMPRODUCT(Inv_D*(Inv_F&gt;0)*(53&gt;=Inv_SvcP)*(53&lt;Inv_SvcP+Inv_F*12)/(Inv_F*12+(Inv_F=0)))*BF$9</f>
        <v>6799.35075</v>
      </c>
      <c r="BG77" s="34" t="n">
        <f aca="false">SUMPRODUCT(Inv_D*(Inv_F&gt;0)*(54&gt;=Inv_SvcP)*(54&lt;Inv_SvcP+Inv_F*12)/(Inv_F*12+(Inv_F=0)))*BG$9</f>
        <v>6799.35075</v>
      </c>
      <c r="BH77" s="34" t="n">
        <f aca="false">SUMPRODUCT(Inv_D*(Inv_F&gt;0)*(55&gt;=Inv_SvcP)*(55&lt;Inv_SvcP+Inv_F*12)/(Inv_F*12+(Inv_F=0)))*BH$9</f>
        <v>6799.35075</v>
      </c>
      <c r="BI77" s="34" t="n">
        <f aca="false">SUMPRODUCT(Inv_D*(Inv_F&gt;0)*(56&gt;=Inv_SvcP)*(56&lt;Inv_SvcP+Inv_F*12)/(Inv_F*12+(Inv_F=0)))*BI$9</f>
        <v>6799.35075</v>
      </c>
      <c r="BJ77" s="34" t="n">
        <f aca="false">SUMPRODUCT(Inv_D*(Inv_F&gt;0)*(57&gt;=Inv_SvcP)*(57&lt;Inv_SvcP+Inv_F*12)/(Inv_F*12+(Inv_F=0)))*BJ$9</f>
        <v>6799.35075</v>
      </c>
      <c r="BK77" s="34" t="n">
        <f aca="false">SUMPRODUCT(Inv_D*(Inv_F&gt;0)*(58&gt;=Inv_SvcP)*(58&lt;Inv_SvcP+Inv_F*12)/(Inv_F*12+(Inv_F=0)))*BK$9</f>
        <v>6799.35075</v>
      </c>
      <c r="BL77" s="34" t="n">
        <f aca="false">SUMPRODUCT(Inv_D*(Inv_F&gt;0)*(59&gt;=Inv_SvcP)*(59&lt;Inv_SvcP+Inv_F*12)/(Inv_F*12+(Inv_F=0)))*BL$9</f>
        <v>6799.35075</v>
      </c>
      <c r="BM77" s="34" t="n">
        <f aca="false">SUMPRODUCT(Inv_D*(Inv_F&gt;0)*(60&gt;=Inv_SvcP)*(60&lt;Inv_SvcP+Inv_F*12)/(Inv_F*12+(Inv_F=0)))*BM$9</f>
        <v>6799.35075</v>
      </c>
      <c r="BN77" s="34" t="n">
        <f aca="false">SUMPRODUCT(Inv_D*(Inv_F&gt;0)*(61&gt;=Inv_SvcP)*(61&lt;Inv_SvcP+Inv_F*12)/(Inv_F*12+(Inv_F=0)))*BN$9</f>
        <v>5784.71741666667</v>
      </c>
      <c r="BO77" s="34" t="n">
        <f aca="false">SUMPRODUCT(Inv_D*(Inv_F&gt;0)*(62&gt;=Inv_SvcP)*(62&lt;Inv_SvcP+Inv_F*12)/(Inv_F*12+(Inv_F=0)))*BO$9</f>
        <v>5784.71741666667</v>
      </c>
      <c r="BP77" s="34" t="n">
        <f aca="false">SUMPRODUCT(Inv_D*(Inv_F&gt;0)*(63&gt;=Inv_SvcP)*(63&lt;Inv_SvcP+Inv_F*12)/(Inv_F*12+(Inv_F=0)))*BP$9</f>
        <v>5784.71741666667</v>
      </c>
      <c r="BQ77" s="34" t="n">
        <f aca="false">SUMPRODUCT(Inv_D*(Inv_F&gt;0)*(64&gt;=Inv_SvcP)*(64&lt;Inv_SvcP+Inv_F*12)/(Inv_F*12+(Inv_F=0)))*BQ$9</f>
        <v>5784.71741666667</v>
      </c>
      <c r="BR77" s="34" t="n">
        <f aca="false">SUMPRODUCT(Inv_D*(Inv_F&gt;0)*(65&gt;=Inv_SvcP)*(65&lt;Inv_SvcP+Inv_F*12)/(Inv_F*12+(Inv_F=0)))*BR$9</f>
        <v>5784.71741666667</v>
      </c>
      <c r="BS77" s="34" t="n">
        <f aca="false">SUMPRODUCT(Inv_D*(Inv_F&gt;0)*(66&gt;=Inv_SvcP)*(66&lt;Inv_SvcP+Inv_F*12)/(Inv_F*12+(Inv_F=0)))*BS$9</f>
        <v>5784.71741666667</v>
      </c>
      <c r="BT77" s="34" t="n">
        <f aca="false">SUMPRODUCT(Inv_D*(Inv_F&gt;0)*(67&gt;=Inv_SvcP)*(67&lt;Inv_SvcP+Inv_F*12)/(Inv_F*12+(Inv_F=0)))*BT$9</f>
        <v>5784.71741666667</v>
      </c>
      <c r="BU77" s="34" t="n">
        <f aca="false">SUMPRODUCT(Inv_D*(Inv_F&gt;0)*(68&gt;=Inv_SvcP)*(68&lt;Inv_SvcP+Inv_F*12)/(Inv_F*12+(Inv_F=0)))*BU$9</f>
        <v>5784.71741666667</v>
      </c>
      <c r="BV77" s="34" t="n">
        <f aca="false">SUMPRODUCT(Inv_D*(Inv_F&gt;0)*(69&gt;=Inv_SvcP)*(69&lt;Inv_SvcP+Inv_F*12)/(Inv_F*12+(Inv_F=0)))*BV$9</f>
        <v>5784.71741666667</v>
      </c>
      <c r="BW77" s="34" t="n">
        <f aca="false">SUMPRODUCT(Inv_D*(Inv_F&gt;0)*(70&gt;=Inv_SvcP)*(70&lt;Inv_SvcP+Inv_F*12)/(Inv_F*12+(Inv_F=0)))*BW$9</f>
        <v>5784.71741666667</v>
      </c>
      <c r="BX77" s="34" t="n">
        <f aca="false">SUMPRODUCT(Inv_D*(Inv_F&gt;0)*(71&gt;=Inv_SvcP)*(71&lt;Inv_SvcP+Inv_F*12)/(Inv_F*12+(Inv_F=0)))*BX$9</f>
        <v>5784.71741666667</v>
      </c>
      <c r="BY77" s="34" t="n">
        <f aca="false">SUMPRODUCT(Inv_D*(Inv_F&gt;0)*(72&gt;=Inv_SvcP)*(72&lt;Inv_SvcP+Inv_F*12)/(Inv_F*12+(Inv_F=0)))*BY$9</f>
        <v>5784.71741666667</v>
      </c>
      <c r="BZ77" s="34" t="n">
        <f aca="false">SUMPRODUCT(Inv_D*(Inv_F&gt;0)*(73&gt;=Inv_SvcP)*(73&lt;Inv_SvcP+Inv_F*12)/(Inv_F*12+(Inv_F=0)))*BZ$9</f>
        <v>5784.71741666667</v>
      </c>
      <c r="CA77" s="34" t="n">
        <f aca="false">SUMPRODUCT(Inv_D*(Inv_F&gt;0)*(74&gt;=Inv_SvcP)*(74&lt;Inv_SvcP+Inv_F*12)/(Inv_F*12+(Inv_F=0)))*CA$9</f>
        <v>5784.71741666667</v>
      </c>
      <c r="CB77" s="34" t="n">
        <f aca="false">SUMPRODUCT(Inv_D*(Inv_F&gt;0)*(75&gt;=Inv_SvcP)*(75&lt;Inv_SvcP+Inv_F*12)/(Inv_F*12+(Inv_F=0)))*CB$9</f>
        <v>5784.71741666667</v>
      </c>
      <c r="CC77" s="34" t="n">
        <f aca="false">SUMPRODUCT(Inv_D*(Inv_F&gt;0)*(76&gt;=Inv_SvcP)*(76&lt;Inv_SvcP+Inv_F*12)/(Inv_F*12+(Inv_F=0)))*CC$9</f>
        <v>5784.71741666667</v>
      </c>
      <c r="CD77" s="34" t="n">
        <f aca="false">SUMPRODUCT(Inv_D*(Inv_F&gt;0)*(77&gt;=Inv_SvcP)*(77&lt;Inv_SvcP+Inv_F*12)/(Inv_F*12+(Inv_F=0)))*CD$9</f>
        <v>5784.71741666667</v>
      </c>
      <c r="CE77" s="34" t="n">
        <f aca="false">SUMPRODUCT(Inv_D*(Inv_F&gt;0)*(78&gt;=Inv_SvcP)*(78&lt;Inv_SvcP+Inv_F*12)/(Inv_F*12+(Inv_F=0)))*CE$9</f>
        <v>5784.71741666667</v>
      </c>
      <c r="CF77" s="34" t="n">
        <f aca="false">SUMPRODUCT(Inv_D*(Inv_F&gt;0)*(79&gt;=Inv_SvcP)*(79&lt;Inv_SvcP+Inv_F*12)/(Inv_F*12+(Inv_F=0)))*CF$9</f>
        <v>5784.71741666667</v>
      </c>
      <c r="CG77" s="34" t="n">
        <f aca="false">SUMPRODUCT(Inv_D*(Inv_F&gt;0)*(80&gt;=Inv_SvcP)*(80&lt;Inv_SvcP+Inv_F*12)/(Inv_F*12+(Inv_F=0)))*CG$9</f>
        <v>5784.71741666667</v>
      </c>
      <c r="CH77" s="34" t="n">
        <f aca="false">SUMPRODUCT(Inv_D*(Inv_F&gt;0)*(81&gt;=Inv_SvcP)*(81&lt;Inv_SvcP+Inv_F*12)/(Inv_F*12+(Inv_F=0)))*CH$9</f>
        <v>5784.71741666667</v>
      </c>
      <c r="CI77" s="34" t="n">
        <f aca="false">SUMPRODUCT(Inv_D*(Inv_F&gt;0)*(82&gt;=Inv_SvcP)*(82&lt;Inv_SvcP+Inv_F*12)/(Inv_F*12+(Inv_F=0)))*CI$9</f>
        <v>5784.71741666667</v>
      </c>
      <c r="CJ77" s="34" t="n">
        <f aca="false">SUMPRODUCT(Inv_D*(Inv_F&gt;0)*(83&gt;=Inv_SvcP)*(83&lt;Inv_SvcP+Inv_F*12)/(Inv_F*12+(Inv_F=0)))*CJ$9</f>
        <v>5784.71741666667</v>
      </c>
      <c r="CK77" s="34" t="n">
        <f aca="false">SUMPRODUCT(Inv_D*(Inv_F&gt;0)*(84&gt;=Inv_SvcP)*(84&lt;Inv_SvcP+Inv_F*12)/(Inv_F*12+(Inv_F=0)))*CK$9</f>
        <v>5784.71741666667</v>
      </c>
      <c r="CL77" s="34" t="n">
        <f aca="false">SUMPRODUCT(Inv_D*(Inv_F&gt;0)*(85&gt;=Inv_SvcP)*(85&lt;Inv_SvcP+Inv_F*12)/(Inv_F*12+(Inv_F=0)))*CL$9</f>
        <v>5784.71741666667</v>
      </c>
      <c r="CM77" s="34" t="n">
        <f aca="false">SUMPRODUCT(Inv_D*(Inv_F&gt;0)*(86&gt;=Inv_SvcP)*(86&lt;Inv_SvcP+Inv_F*12)/(Inv_F*12+(Inv_F=0)))*CM$9</f>
        <v>5784.71741666667</v>
      </c>
      <c r="CN77" s="34" t="n">
        <f aca="false">SUMPRODUCT(Inv_D*(Inv_F&gt;0)*(87&gt;=Inv_SvcP)*(87&lt;Inv_SvcP+Inv_F*12)/(Inv_F*12+(Inv_F=0)))*CN$9</f>
        <v>5784.71741666667</v>
      </c>
      <c r="CO77" s="34" t="n">
        <f aca="false">SUMPRODUCT(Inv_D*(Inv_F&gt;0)*(88&gt;=Inv_SvcP)*(88&lt;Inv_SvcP+Inv_F*12)/(Inv_F*12+(Inv_F=0)))*CO$9</f>
        <v>5784.71741666667</v>
      </c>
      <c r="CP77" s="34" t="n">
        <f aca="false">SUMPRODUCT(Inv_D*(Inv_F&gt;0)*(89&gt;=Inv_SvcP)*(89&lt;Inv_SvcP+Inv_F*12)/(Inv_F*12+(Inv_F=0)))*CP$9</f>
        <v>5784.71741666667</v>
      </c>
      <c r="CQ77" s="34" t="n">
        <f aca="false">SUMPRODUCT(Inv_D*(Inv_F&gt;0)*(90&gt;=Inv_SvcP)*(90&lt;Inv_SvcP+Inv_F*12)/(Inv_F*12+(Inv_F=0)))*CQ$9</f>
        <v>5784.71741666667</v>
      </c>
      <c r="CR77" s="34" t="n">
        <f aca="false">SUMPRODUCT(Inv_D*(Inv_F&gt;0)*(91&gt;=Inv_SvcP)*(91&lt;Inv_SvcP+Inv_F*12)/(Inv_F*12+(Inv_F=0)))*CR$9</f>
        <v>5784.71741666667</v>
      </c>
      <c r="CS77" s="34" t="n">
        <f aca="false">SUMPRODUCT(Inv_D*(Inv_F&gt;0)*(92&gt;=Inv_SvcP)*(92&lt;Inv_SvcP+Inv_F*12)/(Inv_F*12+(Inv_F=0)))*CS$9</f>
        <v>5784.71741666667</v>
      </c>
      <c r="CT77" s="34" t="n">
        <f aca="false">SUMPRODUCT(Inv_D*(Inv_F&gt;0)*(93&gt;=Inv_SvcP)*(93&lt;Inv_SvcP+Inv_F*12)/(Inv_F*12+(Inv_F=0)))*CT$9</f>
        <v>5784.71741666667</v>
      </c>
      <c r="CU77" s="34" t="n">
        <f aca="false">SUMPRODUCT(Inv_D*(Inv_F&gt;0)*(94&gt;=Inv_SvcP)*(94&lt;Inv_SvcP+Inv_F*12)/(Inv_F*12+(Inv_F=0)))*CU$9</f>
        <v>5784.71741666667</v>
      </c>
      <c r="CV77" s="34" t="n">
        <f aca="false">SUMPRODUCT(Inv_D*(Inv_F&gt;0)*(95&gt;=Inv_SvcP)*(95&lt;Inv_SvcP+Inv_F*12)/(Inv_F*12+(Inv_F=0)))*CV$9</f>
        <v>5784.71741666667</v>
      </c>
      <c r="CW77" s="34" t="n">
        <f aca="false">SUMPRODUCT(Inv_D*(Inv_F&gt;0)*(96&gt;=Inv_SvcP)*(96&lt;Inv_SvcP+Inv_F*12)/(Inv_F*12+(Inv_F=0)))*CW$9</f>
        <v>5784.71741666667</v>
      </c>
      <c r="CX77" s="34" t="n">
        <f aca="false">SUMPRODUCT(Inv_D*(Inv_F&gt;0)*(97&gt;=Inv_SvcP)*(97&lt;Inv_SvcP+Inv_F*12)/(Inv_F*12+(Inv_F=0)))*CX$9</f>
        <v>5784.71741666667</v>
      </c>
      <c r="CY77" s="34" t="n">
        <f aca="false">SUMPRODUCT(Inv_D*(Inv_F&gt;0)*(98&gt;=Inv_SvcP)*(98&lt;Inv_SvcP+Inv_F*12)/(Inv_F*12+(Inv_F=0)))*CY$9</f>
        <v>5784.71741666667</v>
      </c>
      <c r="CZ77" s="34" t="n">
        <f aca="false">SUMPRODUCT(Inv_D*(Inv_F&gt;0)*(99&gt;=Inv_SvcP)*(99&lt;Inv_SvcP+Inv_F*12)/(Inv_F*12+(Inv_F=0)))*CZ$9</f>
        <v>5784.71741666667</v>
      </c>
      <c r="DA77" s="34" t="n">
        <f aca="false">SUMPRODUCT(Inv_D*(Inv_F&gt;0)*(100&gt;=Inv_SvcP)*(100&lt;Inv_SvcP+Inv_F*12)/(Inv_F*12+(Inv_F=0)))*DA$9</f>
        <v>5784.71741666667</v>
      </c>
      <c r="DB77" s="34" t="n">
        <f aca="false">SUMPRODUCT(Inv_D*(Inv_F&gt;0)*(101&gt;=Inv_SvcP)*(101&lt;Inv_SvcP+Inv_F*12)/(Inv_F*12+(Inv_F=0)))*DB$9</f>
        <v>5784.71741666667</v>
      </c>
      <c r="DC77" s="34" t="n">
        <f aca="false">SUMPRODUCT(Inv_D*(Inv_F&gt;0)*(102&gt;=Inv_SvcP)*(102&lt;Inv_SvcP+Inv_F*12)/(Inv_F*12+(Inv_F=0)))*DC$9</f>
        <v>5784.71741666667</v>
      </c>
      <c r="DD77" s="34" t="n">
        <f aca="false">SUMPRODUCT(Inv_D*(Inv_F&gt;0)*(103&gt;=Inv_SvcP)*(103&lt;Inv_SvcP+Inv_F*12)/(Inv_F*12+(Inv_F=0)))*DD$9</f>
        <v>5784.71741666667</v>
      </c>
      <c r="DE77" s="34" t="n">
        <f aca="false">SUMPRODUCT(Inv_D*(Inv_F&gt;0)*(104&gt;=Inv_SvcP)*(104&lt;Inv_SvcP+Inv_F*12)/(Inv_F*12+(Inv_F=0)))*DE$9</f>
        <v>5784.71741666667</v>
      </c>
      <c r="DF77" s="34" t="n">
        <f aca="false">SUMPRODUCT(Inv_D*(Inv_F&gt;0)*(105&gt;=Inv_SvcP)*(105&lt;Inv_SvcP+Inv_F*12)/(Inv_F*12+(Inv_F=0)))*DF$9</f>
        <v>5784.71741666667</v>
      </c>
      <c r="DG77" s="34" t="n">
        <f aca="false">SUMPRODUCT(Inv_D*(Inv_F&gt;0)*(106&gt;=Inv_SvcP)*(106&lt;Inv_SvcP+Inv_F*12)/(Inv_F*12+(Inv_F=0)))*DG$9</f>
        <v>5784.71741666667</v>
      </c>
      <c r="DH77" s="34" t="n">
        <f aca="false">SUMPRODUCT(Inv_D*(Inv_F&gt;0)*(107&gt;=Inv_SvcP)*(107&lt;Inv_SvcP+Inv_F*12)/(Inv_F*12+(Inv_F=0)))*DH$9</f>
        <v>5784.71741666667</v>
      </c>
      <c r="DI77" s="34" t="n">
        <f aca="false">SUMPRODUCT(Inv_D*(Inv_F&gt;0)*(108&gt;=Inv_SvcP)*(108&lt;Inv_SvcP+Inv_F*12)/(Inv_F*12+(Inv_F=0)))*DI$9</f>
        <v>5784.71741666667</v>
      </c>
      <c r="DJ77" s="34" t="n">
        <f aca="false">SUMPRODUCT(Inv_D*(Inv_F&gt;0)*(109&gt;=Inv_SvcP)*(109&lt;Inv_SvcP+Inv_F*12)/(Inv_F*12+(Inv_F=0)))*DJ$9</f>
        <v>5784.71741666667</v>
      </c>
      <c r="DK77" s="34" t="n">
        <f aca="false">SUMPRODUCT(Inv_D*(Inv_F&gt;0)*(110&gt;=Inv_SvcP)*(110&lt;Inv_SvcP+Inv_F*12)/(Inv_F*12+(Inv_F=0)))*DK$9</f>
        <v>5784.71741666667</v>
      </c>
      <c r="DL77" s="34" t="n">
        <f aca="false">SUMPRODUCT(Inv_D*(Inv_F&gt;0)*(111&gt;=Inv_SvcP)*(111&lt;Inv_SvcP+Inv_F*12)/(Inv_F*12+(Inv_F=0)))*DL$9</f>
        <v>5784.71741666667</v>
      </c>
      <c r="DM77" s="34" t="n">
        <f aca="false">SUMPRODUCT(Inv_D*(Inv_F&gt;0)*(112&gt;=Inv_SvcP)*(112&lt;Inv_SvcP+Inv_F*12)/(Inv_F*12+(Inv_F=0)))*DM$9</f>
        <v>5784.71741666667</v>
      </c>
      <c r="DN77" s="34" t="n">
        <f aca="false">SUMPRODUCT(Inv_D*(Inv_F&gt;0)*(113&gt;=Inv_SvcP)*(113&lt;Inv_SvcP+Inv_F*12)/(Inv_F*12+(Inv_F=0)))*DN$9</f>
        <v>5784.71741666667</v>
      </c>
      <c r="DO77" s="34" t="n">
        <f aca="false">SUMPRODUCT(Inv_D*(Inv_F&gt;0)*(114&gt;=Inv_SvcP)*(114&lt;Inv_SvcP+Inv_F*12)/(Inv_F*12+(Inv_F=0)))*DO$9</f>
        <v>5784.71741666667</v>
      </c>
      <c r="DP77" s="34" t="n">
        <f aca="false">SUMPRODUCT(Inv_D*(Inv_F&gt;0)*(115&gt;=Inv_SvcP)*(115&lt;Inv_SvcP+Inv_F*12)/(Inv_F*12+(Inv_F=0)))*DP$9</f>
        <v>5784.71741666667</v>
      </c>
      <c r="DQ77" s="34" t="n">
        <f aca="false">SUMPRODUCT(Inv_D*(Inv_F&gt;0)*(116&gt;=Inv_SvcP)*(116&lt;Inv_SvcP+Inv_F*12)/(Inv_F*12+(Inv_F=0)))*DQ$9</f>
        <v>5784.71741666667</v>
      </c>
      <c r="DR77" s="34" t="n">
        <f aca="false">SUMPRODUCT(Inv_D*(Inv_F&gt;0)*(117&gt;=Inv_SvcP)*(117&lt;Inv_SvcP+Inv_F*12)/(Inv_F*12+(Inv_F=0)))*DR$9</f>
        <v>5784.71741666667</v>
      </c>
      <c r="DS77" s="34" t="n">
        <f aca="false">SUMPRODUCT(Inv_D*(Inv_F&gt;0)*(118&gt;=Inv_SvcP)*(118&lt;Inv_SvcP+Inv_F*12)/(Inv_F*12+(Inv_F=0)))*DS$9</f>
        <v>5784.71741666667</v>
      </c>
      <c r="DT77" s="34" t="n">
        <f aca="false">SUMPRODUCT(Inv_D*(Inv_F&gt;0)*(119&gt;=Inv_SvcP)*(119&lt;Inv_SvcP+Inv_F*12)/(Inv_F*12+(Inv_F=0)))*DT$9</f>
        <v>5784.71741666667</v>
      </c>
      <c r="DU77" s="34" t="n">
        <f aca="false">SUMPRODUCT(Inv_D*(Inv_F&gt;0)*(120&gt;=Inv_SvcP)*(120&lt;Inv_SvcP+Inv_F*12)/(Inv_F*12+(Inv_F=0)))*DU$9</f>
        <v>5784.71741666667</v>
      </c>
      <c r="DV77" s="34" t="n">
        <f aca="false">SUMPRODUCT(Inv_D*(Inv_F&gt;0)*(121&gt;=Inv_SvcP)*(121&lt;Inv_SvcP+Inv_F*12)/(Inv_F*12+(Inv_F=0)))*DV$9</f>
        <v>0</v>
      </c>
      <c r="DW77" s="34" t="n">
        <f aca="false">SUMPRODUCT(Inv_D*(Inv_F&gt;0)*(122&gt;=Inv_SvcP)*(122&lt;Inv_SvcP+Inv_F*12)/(Inv_F*12+(Inv_F=0)))*DW$9</f>
        <v>0</v>
      </c>
      <c r="DX77" s="34" t="n">
        <f aca="false">SUMPRODUCT(Inv_D*(Inv_F&gt;0)*(123&gt;=Inv_SvcP)*(123&lt;Inv_SvcP+Inv_F*12)/(Inv_F*12+(Inv_F=0)))*DX$9</f>
        <v>0</v>
      </c>
      <c r="DY77" s="34" t="n">
        <f aca="false">SUMPRODUCT(Inv_D*(Inv_F&gt;0)*(124&gt;=Inv_SvcP)*(124&lt;Inv_SvcP+Inv_F*12)/(Inv_F*12+(Inv_F=0)))*DY$9</f>
        <v>0</v>
      </c>
      <c r="DZ77" s="34" t="n">
        <f aca="false">SUMPRODUCT(Inv_D*(Inv_F&gt;0)*(125&gt;=Inv_SvcP)*(125&lt;Inv_SvcP+Inv_F*12)/(Inv_F*12+(Inv_F=0)))*DZ$9</f>
        <v>0</v>
      </c>
      <c r="EA77" s="34" t="n">
        <f aca="false">SUMPRODUCT(Inv_D*(Inv_F&gt;0)*(126&gt;=Inv_SvcP)*(126&lt;Inv_SvcP+Inv_F*12)/(Inv_F*12+(Inv_F=0)))*EA$9</f>
        <v>0</v>
      </c>
      <c r="EB77" s="34" t="n">
        <f aca="false">SUMPRODUCT(Inv_D*(Inv_F&gt;0)*(127&gt;=Inv_SvcP)*(127&lt;Inv_SvcP+Inv_F*12)/(Inv_F*12+(Inv_F=0)))*EB$9</f>
        <v>0</v>
      </c>
      <c r="EC77" s="34" t="n">
        <f aca="false">SUMPRODUCT(Inv_D*(Inv_F&gt;0)*(128&gt;=Inv_SvcP)*(128&lt;Inv_SvcP+Inv_F*12)/(Inv_F*12+(Inv_F=0)))*EC$9</f>
        <v>0</v>
      </c>
      <c r="ED77" s="34" t="n">
        <f aca="false">SUMPRODUCT(Inv_D*(Inv_F&gt;0)*(129&gt;=Inv_SvcP)*(129&lt;Inv_SvcP+Inv_F*12)/(Inv_F*12+(Inv_F=0)))*ED$9</f>
        <v>0</v>
      </c>
      <c r="EE77" s="34" t="n">
        <f aca="false">SUMPRODUCT(Inv_D*(Inv_F&gt;0)*(130&gt;=Inv_SvcP)*(130&lt;Inv_SvcP+Inv_F*12)/(Inv_F*12+(Inv_F=0)))*EE$9</f>
        <v>0</v>
      </c>
      <c r="EF77" s="34" t="n">
        <f aca="false">SUMPRODUCT(Inv_D*(Inv_F&gt;0)*(131&gt;=Inv_SvcP)*(131&lt;Inv_SvcP+Inv_F*12)/(Inv_F*12+(Inv_F=0)))*EF$9</f>
        <v>0</v>
      </c>
      <c r="EG77" s="34" t="n">
        <f aca="false">SUMPRODUCT(Inv_D*(Inv_F&gt;0)*(132&gt;=Inv_SvcP)*(132&lt;Inv_SvcP+Inv_F*12)/(Inv_F*12+(Inv_F=0)))*EG$9</f>
        <v>0</v>
      </c>
      <c r="EH77" s="34" t="n">
        <f aca="false">SUMPRODUCT(Inv_D*(Inv_F&gt;0)*(133&gt;=Inv_SvcP)*(133&lt;Inv_SvcP+Inv_F*12)/(Inv_F*12+(Inv_F=0)))*EH$9</f>
        <v>0</v>
      </c>
      <c r="EI77" s="34" t="n">
        <f aca="false">SUMPRODUCT(Inv_D*(Inv_F&gt;0)*(134&gt;=Inv_SvcP)*(134&lt;Inv_SvcP+Inv_F*12)/(Inv_F*12+(Inv_F=0)))*EI$9</f>
        <v>0</v>
      </c>
      <c r="EJ77" s="34" t="n">
        <f aca="false">SUMPRODUCT(Inv_D*(Inv_F&gt;0)*(135&gt;=Inv_SvcP)*(135&lt;Inv_SvcP+Inv_F*12)/(Inv_F*12+(Inv_F=0)))*EJ$9</f>
        <v>0</v>
      </c>
      <c r="EK77" s="34" t="n">
        <f aca="false">SUMPRODUCT(Inv_D*(Inv_F&gt;0)*(136&gt;=Inv_SvcP)*(136&lt;Inv_SvcP+Inv_F*12)/(Inv_F*12+(Inv_F=0)))*EK$9</f>
        <v>0</v>
      </c>
      <c r="EL77" s="34" t="n">
        <f aca="false">SUMPRODUCT(Inv_D*(Inv_F&gt;0)*(137&gt;=Inv_SvcP)*(137&lt;Inv_SvcP+Inv_F*12)/(Inv_F*12+(Inv_F=0)))*EL$9</f>
        <v>0</v>
      </c>
      <c r="EM77" s="34" t="n">
        <f aca="false">SUMPRODUCT(Inv_D*(Inv_F&gt;0)*(138&gt;=Inv_SvcP)*(138&lt;Inv_SvcP+Inv_F*12)/(Inv_F*12+(Inv_F=0)))*EM$9</f>
        <v>0</v>
      </c>
      <c r="EN77" s="34" t="n">
        <f aca="false">SUMPRODUCT(Inv_D*(Inv_F&gt;0)*(139&gt;=Inv_SvcP)*(139&lt;Inv_SvcP+Inv_F*12)/(Inv_F*12+(Inv_F=0)))*EN$9</f>
        <v>0</v>
      </c>
      <c r="EO77" s="34" t="n">
        <f aca="false">SUMPRODUCT(Inv_D*(Inv_F&gt;0)*(140&gt;=Inv_SvcP)*(140&lt;Inv_SvcP+Inv_F*12)/(Inv_F*12+(Inv_F=0)))*EO$9</f>
        <v>0</v>
      </c>
      <c r="EP77" s="34" t="n">
        <f aca="false">SUMPRODUCT(Inv_D*(Inv_F&gt;0)*(141&gt;=Inv_SvcP)*(141&lt;Inv_SvcP+Inv_F*12)/(Inv_F*12+(Inv_F=0)))*EP$9</f>
        <v>0</v>
      </c>
      <c r="EQ77" s="34" t="n">
        <f aca="false">SUMPRODUCT(Inv_D*(Inv_F&gt;0)*(142&gt;=Inv_SvcP)*(142&lt;Inv_SvcP+Inv_F*12)/(Inv_F*12+(Inv_F=0)))*EQ$9</f>
        <v>0</v>
      </c>
      <c r="ER77" s="34" t="n">
        <f aca="false">SUMPRODUCT(Inv_D*(Inv_F&gt;0)*(143&gt;=Inv_SvcP)*(143&lt;Inv_SvcP+Inv_F*12)/(Inv_F*12+(Inv_F=0)))*ER$9</f>
        <v>0</v>
      </c>
      <c r="ES77" s="34" t="n">
        <f aca="false">SUMPRODUCT(Inv_D*(Inv_F&gt;0)*(144&gt;=Inv_SvcP)*(144&lt;Inv_SvcP+Inv_F*12)/(Inv_F*12+(Inv_F=0)))*ES$9</f>
        <v>0</v>
      </c>
    </row>
    <row r="78" customFormat="false" ht="15" hidden="false" customHeight="false" outlineLevel="0" collapsed="false">
      <c r="A78" s="2" t="s">
        <v>644</v>
      </c>
      <c r="B78" s="6" t="s">
        <v>645</v>
      </c>
      <c r="C78" s="6" t="s">
        <v>250</v>
      </c>
      <c r="E78" s="40" t="n">
        <f aca="false">SUM(F78:ES78)</f>
        <v>15564459.926261</v>
      </c>
      <c r="F78" s="34" t="n">
        <f aca="false">F$76-F$77</f>
        <v>36531.4830589231</v>
      </c>
      <c r="G78" s="34" t="n">
        <f aca="false">G$76-G$77</f>
        <v>36531.4830589231</v>
      </c>
      <c r="H78" s="34" t="n">
        <f aca="false">H$76-H$77</f>
        <v>36531.4830589231</v>
      </c>
      <c r="I78" s="34" t="n">
        <f aca="false">I$76-I$77</f>
        <v>36531.4830589231</v>
      </c>
      <c r="J78" s="34" t="n">
        <f aca="false">J$76-J$77</f>
        <v>36531.4830589231</v>
      </c>
      <c r="K78" s="34" t="n">
        <f aca="false">K$76-K$77</f>
        <v>36531.4830589231</v>
      </c>
      <c r="L78" s="34" t="n">
        <f aca="false">L$76-L$77</f>
        <v>36531.4830589231</v>
      </c>
      <c r="M78" s="34" t="n">
        <f aca="false">M$76-M$77</f>
        <v>36531.4830589231</v>
      </c>
      <c r="N78" s="34" t="n">
        <f aca="false">N$76-N$77</f>
        <v>36531.4830589231</v>
      </c>
      <c r="O78" s="34" t="n">
        <f aca="false">O$76-O$77</f>
        <v>36531.4830589231</v>
      </c>
      <c r="P78" s="34" t="n">
        <f aca="false">P$76-P$77</f>
        <v>36531.4830589231</v>
      </c>
      <c r="Q78" s="34" t="n">
        <f aca="false">Q$76-Q$77</f>
        <v>36531.4830589231</v>
      </c>
      <c r="R78" s="34" t="n">
        <f aca="false">R$76-R$77</f>
        <v>73697.0522439648</v>
      </c>
      <c r="S78" s="34" t="n">
        <f aca="false">S$76-S$77</f>
        <v>73697.0522439648</v>
      </c>
      <c r="T78" s="34" t="n">
        <f aca="false">T$76-T$77</f>
        <v>73697.0522439648</v>
      </c>
      <c r="U78" s="34" t="n">
        <f aca="false">U$76-U$77</f>
        <v>73697.0522439648</v>
      </c>
      <c r="V78" s="34" t="n">
        <f aca="false">V$76-V$77</f>
        <v>73697.0522439648</v>
      </c>
      <c r="W78" s="34" t="n">
        <f aca="false">W$76-W$77</f>
        <v>73697.0522439648</v>
      </c>
      <c r="X78" s="34" t="n">
        <f aca="false">X$76-X$77</f>
        <v>73697.0522439648</v>
      </c>
      <c r="Y78" s="34" t="n">
        <f aca="false">Y$76-Y$77</f>
        <v>73697.0522439648</v>
      </c>
      <c r="Z78" s="34" t="n">
        <f aca="false">Z$76-Z$77</f>
        <v>73697.0522439648</v>
      </c>
      <c r="AA78" s="34" t="n">
        <f aca="false">AA$76-AA$77</f>
        <v>73697.0522439648</v>
      </c>
      <c r="AB78" s="34" t="n">
        <f aca="false">AB$76-AB$77</f>
        <v>73697.0522439648</v>
      </c>
      <c r="AC78" s="34" t="n">
        <f aca="false">AC$76-AC$77</f>
        <v>73697.0522439648</v>
      </c>
      <c r="AD78" s="34" t="n">
        <f aca="false">AD$76-AD$77</f>
        <v>110285.680115125</v>
      </c>
      <c r="AE78" s="34" t="n">
        <f aca="false">AE$76-AE$77</f>
        <v>110285.680115125</v>
      </c>
      <c r="AF78" s="34" t="n">
        <f aca="false">AF$76-AF$77</f>
        <v>110285.680115125</v>
      </c>
      <c r="AG78" s="34" t="n">
        <f aca="false">AG$76-AG$77</f>
        <v>110285.680115125</v>
      </c>
      <c r="AH78" s="34" t="n">
        <f aca="false">AH$76-AH$77</f>
        <v>110285.680115125</v>
      </c>
      <c r="AI78" s="34" t="n">
        <f aca="false">AI$76-AI$77</f>
        <v>110285.680115125</v>
      </c>
      <c r="AJ78" s="34" t="n">
        <f aca="false">AJ$76-AJ$77</f>
        <v>110285.680115125</v>
      </c>
      <c r="AK78" s="34" t="n">
        <f aca="false">AK$76-AK$77</f>
        <v>110285.680115125</v>
      </c>
      <c r="AL78" s="34" t="n">
        <f aca="false">AL$76-AL$77</f>
        <v>110285.680115125</v>
      </c>
      <c r="AM78" s="34" t="n">
        <f aca="false">AM$76-AM$77</f>
        <v>110285.680115125</v>
      </c>
      <c r="AN78" s="34" t="n">
        <f aca="false">AN$76-AN$77</f>
        <v>110285.680115125</v>
      </c>
      <c r="AO78" s="34" t="n">
        <f aca="false">AO$76-AO$77</f>
        <v>110285.680115125</v>
      </c>
      <c r="AP78" s="34" t="n">
        <f aca="false">AP$76-AP$77</f>
        <v>143094.229129858</v>
      </c>
      <c r="AQ78" s="34" t="n">
        <f aca="false">AQ$76-AQ$77</f>
        <v>143094.229129858</v>
      </c>
      <c r="AR78" s="34" t="n">
        <f aca="false">AR$76-AR$77</f>
        <v>143094.229129858</v>
      </c>
      <c r="AS78" s="34" t="n">
        <f aca="false">AS$76-AS$77</f>
        <v>143094.229129858</v>
      </c>
      <c r="AT78" s="34" t="n">
        <f aca="false">AT$76-AT$77</f>
        <v>143094.229129858</v>
      </c>
      <c r="AU78" s="34" t="n">
        <f aca="false">AU$76-AU$77</f>
        <v>143094.229129858</v>
      </c>
      <c r="AV78" s="34" t="n">
        <f aca="false">AV$76-AV$77</f>
        <v>143094.229129858</v>
      </c>
      <c r="AW78" s="34" t="n">
        <f aca="false">AW$76-AW$77</f>
        <v>143094.229129858</v>
      </c>
      <c r="AX78" s="34" t="n">
        <f aca="false">AX$76-AX$77</f>
        <v>143094.229129858</v>
      </c>
      <c r="AY78" s="34" t="n">
        <f aca="false">AY$76-AY$77</f>
        <v>143094.229129858</v>
      </c>
      <c r="AZ78" s="34" t="n">
        <f aca="false">AZ$76-AZ$77</f>
        <v>143094.229129858</v>
      </c>
      <c r="BA78" s="34" t="n">
        <f aca="false">BA$76-BA$77</f>
        <v>143094.229129858</v>
      </c>
      <c r="BB78" s="34" t="n">
        <f aca="false">BB$76-BB$77</f>
        <v>144413.814126374</v>
      </c>
      <c r="BC78" s="34" t="n">
        <f aca="false">BC$76-BC$77</f>
        <v>144413.814126374</v>
      </c>
      <c r="BD78" s="34" t="n">
        <f aca="false">BD$76-BD$77</f>
        <v>144413.814126374</v>
      </c>
      <c r="BE78" s="34" t="n">
        <f aca="false">BE$76-BE$77</f>
        <v>144413.814126374</v>
      </c>
      <c r="BF78" s="34" t="n">
        <f aca="false">BF$76-BF$77</f>
        <v>144413.814126374</v>
      </c>
      <c r="BG78" s="34" t="n">
        <f aca="false">BG$76-BG$77</f>
        <v>144413.814126374</v>
      </c>
      <c r="BH78" s="34" t="n">
        <f aca="false">BH$76-BH$77</f>
        <v>144413.814126374</v>
      </c>
      <c r="BI78" s="34" t="n">
        <f aca="false">BI$76-BI$77</f>
        <v>144413.814126374</v>
      </c>
      <c r="BJ78" s="34" t="n">
        <f aca="false">BJ$76-BJ$77</f>
        <v>144413.814126374</v>
      </c>
      <c r="BK78" s="34" t="n">
        <f aca="false">BK$76-BK$77</f>
        <v>144413.814126374</v>
      </c>
      <c r="BL78" s="34" t="n">
        <f aca="false">BL$76-BL$77</f>
        <v>144413.814126374</v>
      </c>
      <c r="BM78" s="34" t="n">
        <f aca="false">BM$76-BM$77</f>
        <v>144413.814126374</v>
      </c>
      <c r="BN78" s="34" t="n">
        <f aca="false">BN$76-BN$77</f>
        <v>149515.724381159</v>
      </c>
      <c r="BO78" s="34" t="n">
        <f aca="false">BO$76-BO$77</f>
        <v>149515.724381159</v>
      </c>
      <c r="BP78" s="34" t="n">
        <f aca="false">BP$76-BP$77</f>
        <v>149515.724381159</v>
      </c>
      <c r="BQ78" s="34" t="n">
        <f aca="false">BQ$76-BQ$77</f>
        <v>149515.724381159</v>
      </c>
      <c r="BR78" s="34" t="n">
        <f aca="false">BR$76-BR$77</f>
        <v>149515.724381159</v>
      </c>
      <c r="BS78" s="34" t="n">
        <f aca="false">BS$76-BS$77</f>
        <v>149515.724381159</v>
      </c>
      <c r="BT78" s="34" t="n">
        <f aca="false">BT$76-BT$77</f>
        <v>149515.724381159</v>
      </c>
      <c r="BU78" s="34" t="n">
        <f aca="false">BU$76-BU$77</f>
        <v>149515.724381159</v>
      </c>
      <c r="BV78" s="34" t="n">
        <f aca="false">BV$76-BV$77</f>
        <v>149515.724381159</v>
      </c>
      <c r="BW78" s="34" t="n">
        <f aca="false">BW$76-BW$77</f>
        <v>149515.724381159</v>
      </c>
      <c r="BX78" s="34" t="n">
        <f aca="false">BX$76-BX$77</f>
        <v>149515.724381159</v>
      </c>
      <c r="BY78" s="34" t="n">
        <f aca="false">BY$76-BY$77</f>
        <v>149515.724381159</v>
      </c>
      <c r="BZ78" s="34" t="n">
        <f aca="false">BZ$76-BZ$77</f>
        <v>153631.305072733</v>
      </c>
      <c r="CA78" s="34" t="n">
        <f aca="false">CA$76-CA$77</f>
        <v>153631.305072733</v>
      </c>
      <c r="CB78" s="34" t="n">
        <f aca="false">CB$76-CB$77</f>
        <v>153631.305072733</v>
      </c>
      <c r="CC78" s="34" t="n">
        <f aca="false">CC$76-CC$77</f>
        <v>153631.305072733</v>
      </c>
      <c r="CD78" s="34" t="n">
        <f aca="false">CD$76-CD$77</f>
        <v>153631.305072733</v>
      </c>
      <c r="CE78" s="34" t="n">
        <f aca="false">CE$76-CE$77</f>
        <v>153631.305072733</v>
      </c>
      <c r="CF78" s="34" t="n">
        <f aca="false">CF$76-CF$77</f>
        <v>153631.305072733</v>
      </c>
      <c r="CG78" s="34" t="n">
        <f aca="false">CG$76-CG$77</f>
        <v>153631.305072733</v>
      </c>
      <c r="CH78" s="34" t="n">
        <f aca="false">CH$76-CH$77</f>
        <v>153631.305072733</v>
      </c>
      <c r="CI78" s="34" t="n">
        <f aca="false">CI$76-CI$77</f>
        <v>153631.305072733</v>
      </c>
      <c r="CJ78" s="34" t="n">
        <f aca="false">CJ$76-CJ$77</f>
        <v>153631.305072733</v>
      </c>
      <c r="CK78" s="34" t="n">
        <f aca="false">CK$76-CK$77</f>
        <v>153631.305072733</v>
      </c>
      <c r="CL78" s="34" t="n">
        <f aca="false">CL$76-CL$77</f>
        <v>157775.101129621</v>
      </c>
      <c r="CM78" s="34" t="n">
        <f aca="false">CM$76-CM$77</f>
        <v>157775.101129621</v>
      </c>
      <c r="CN78" s="34" t="n">
        <f aca="false">CN$76-CN$77</f>
        <v>157775.101129621</v>
      </c>
      <c r="CO78" s="34" t="n">
        <f aca="false">CO$76-CO$77</f>
        <v>157775.101129621</v>
      </c>
      <c r="CP78" s="34" t="n">
        <f aca="false">CP$76-CP$77</f>
        <v>157775.101129621</v>
      </c>
      <c r="CQ78" s="34" t="n">
        <f aca="false">CQ$76-CQ$77</f>
        <v>157775.101129621</v>
      </c>
      <c r="CR78" s="34" t="n">
        <f aca="false">CR$76-CR$77</f>
        <v>157775.101129621</v>
      </c>
      <c r="CS78" s="34" t="n">
        <f aca="false">CS$76-CS$77</f>
        <v>157775.101129621</v>
      </c>
      <c r="CT78" s="34" t="n">
        <f aca="false">CT$76-CT$77</f>
        <v>157775.101129621</v>
      </c>
      <c r="CU78" s="34" t="n">
        <f aca="false">CU$76-CU$77</f>
        <v>157775.101129621</v>
      </c>
      <c r="CV78" s="34" t="n">
        <f aca="false">CV$76-CV$77</f>
        <v>157775.101129621</v>
      </c>
      <c r="CW78" s="34" t="n">
        <f aca="false">CW$76-CW$77</f>
        <v>157775.101129621</v>
      </c>
      <c r="CX78" s="34" t="n">
        <f aca="false">CX$76-CX$77</f>
        <v>161947.012232241</v>
      </c>
      <c r="CY78" s="34" t="n">
        <f aca="false">CY$76-CY$77</f>
        <v>161947.012232241</v>
      </c>
      <c r="CZ78" s="34" t="n">
        <f aca="false">CZ$76-CZ$77</f>
        <v>161947.012232241</v>
      </c>
      <c r="DA78" s="34" t="n">
        <f aca="false">DA$76-DA$77</f>
        <v>161947.012232241</v>
      </c>
      <c r="DB78" s="34" t="n">
        <f aca="false">DB$76-DB$77</f>
        <v>161947.012232241</v>
      </c>
      <c r="DC78" s="34" t="n">
        <f aca="false">DC$76-DC$77</f>
        <v>161947.012232241</v>
      </c>
      <c r="DD78" s="34" t="n">
        <f aca="false">DD$76-DD$77</f>
        <v>161947.012232241</v>
      </c>
      <c r="DE78" s="34" t="n">
        <f aca="false">DE$76-DE$77</f>
        <v>161947.012232241</v>
      </c>
      <c r="DF78" s="34" t="n">
        <f aca="false">DF$76-DF$77</f>
        <v>161947.012232241</v>
      </c>
      <c r="DG78" s="34" t="n">
        <f aca="false">DG$76-DG$77</f>
        <v>161947.012232241</v>
      </c>
      <c r="DH78" s="34" t="n">
        <f aca="false">DH$76-DH$77</f>
        <v>161947.012232241</v>
      </c>
      <c r="DI78" s="34" t="n">
        <f aca="false">DI$76-DI$77</f>
        <v>161947.012232241</v>
      </c>
      <c r="DJ78" s="34" t="n">
        <f aca="false">DJ$76-DJ$77</f>
        <v>166146.925698419</v>
      </c>
      <c r="DK78" s="34" t="n">
        <f aca="false">DK$76-DK$77</f>
        <v>166146.925698419</v>
      </c>
      <c r="DL78" s="34" t="n">
        <f aca="false">DL$76-DL$77</f>
        <v>166146.925698419</v>
      </c>
      <c r="DM78" s="34" t="n">
        <f aca="false">DM$76-DM$77</f>
        <v>166146.925698419</v>
      </c>
      <c r="DN78" s="34" t="n">
        <f aca="false">DN$76-DN$77</f>
        <v>166146.925698419</v>
      </c>
      <c r="DO78" s="34" t="n">
        <f aca="false">DO$76-DO$77</f>
        <v>166146.925698419</v>
      </c>
      <c r="DP78" s="34" t="n">
        <f aca="false">DP$76-DP$77</f>
        <v>166146.925698419</v>
      </c>
      <c r="DQ78" s="34" t="n">
        <f aca="false">DQ$76-DQ$77</f>
        <v>166146.925698419</v>
      </c>
      <c r="DR78" s="34" t="n">
        <f aca="false">DR$76-DR$77</f>
        <v>166146.925698419</v>
      </c>
      <c r="DS78" s="34" t="n">
        <f aca="false">DS$76-DS$77</f>
        <v>166146.925698419</v>
      </c>
      <c r="DT78" s="34" t="n">
        <f aca="false">DT$76-DT$77</f>
        <v>166146.925698419</v>
      </c>
      <c r="DU78" s="34" t="n">
        <f aca="false">DU$76-DU$77</f>
        <v>166146.925698419</v>
      </c>
      <c r="DV78" s="34" t="n">
        <f aca="false">DV$76-DV$77</f>
        <v>0</v>
      </c>
      <c r="DW78" s="34" t="n">
        <f aca="false">DW$76-DW$77</f>
        <v>0</v>
      </c>
      <c r="DX78" s="34" t="n">
        <f aca="false">DX$76-DX$77</f>
        <v>0</v>
      </c>
      <c r="DY78" s="34" t="n">
        <f aca="false">DY$76-DY$77</f>
        <v>0</v>
      </c>
      <c r="DZ78" s="34" t="n">
        <f aca="false">DZ$76-DZ$77</f>
        <v>0</v>
      </c>
      <c r="EA78" s="34" t="n">
        <f aca="false">EA$76-EA$77</f>
        <v>0</v>
      </c>
      <c r="EB78" s="34" t="n">
        <f aca="false">EB$76-EB$77</f>
        <v>0</v>
      </c>
      <c r="EC78" s="34" t="n">
        <f aca="false">EC$76-EC$77</f>
        <v>0</v>
      </c>
      <c r="ED78" s="34" t="n">
        <f aca="false">ED$76-ED$77</f>
        <v>0</v>
      </c>
      <c r="EE78" s="34" t="n">
        <f aca="false">EE$76-EE$77</f>
        <v>0</v>
      </c>
      <c r="EF78" s="34" t="n">
        <f aca="false">EF$76-EF$77</f>
        <v>0</v>
      </c>
      <c r="EG78" s="34" t="n">
        <f aca="false">EG$76-EG$77</f>
        <v>0</v>
      </c>
      <c r="EH78" s="34" t="n">
        <f aca="false">EH$76-EH$77</f>
        <v>0</v>
      </c>
      <c r="EI78" s="34" t="n">
        <f aca="false">EI$76-EI$77</f>
        <v>0</v>
      </c>
      <c r="EJ78" s="34" t="n">
        <f aca="false">EJ$76-EJ$77</f>
        <v>0</v>
      </c>
      <c r="EK78" s="34" t="n">
        <f aca="false">EK$76-EK$77</f>
        <v>0</v>
      </c>
      <c r="EL78" s="34" t="n">
        <f aca="false">EL$76-EL$77</f>
        <v>0</v>
      </c>
      <c r="EM78" s="34" t="n">
        <f aca="false">EM$76-EM$77</f>
        <v>0</v>
      </c>
      <c r="EN78" s="34" t="n">
        <f aca="false">EN$76-EN$77</f>
        <v>0</v>
      </c>
      <c r="EO78" s="34" t="n">
        <f aca="false">EO$76-EO$77</f>
        <v>0</v>
      </c>
      <c r="EP78" s="34" t="n">
        <f aca="false">EP$76-EP$77</f>
        <v>0</v>
      </c>
      <c r="EQ78" s="34" t="n">
        <f aca="false">EQ$76-EQ$77</f>
        <v>0</v>
      </c>
      <c r="ER78" s="34" t="n">
        <f aca="false">ER$76-ER$77</f>
        <v>0</v>
      </c>
      <c r="ES78" s="34" t="n">
        <f aca="false">ES$76-ES$77</f>
        <v>0</v>
      </c>
    </row>
    <row r="79" customFormat="false" ht="15" hidden="false" customHeight="false" outlineLevel="0" collapsed="false">
      <c r="A79" s="2" t="s">
        <v>646</v>
      </c>
      <c r="B79" s="6" t="s">
        <v>647</v>
      </c>
      <c r="C79" s="6" t="s">
        <v>250</v>
      </c>
      <c r="E79" s="40" t="n">
        <f aca="false">SUM(F79:ES79)</f>
        <v>813214.128224454</v>
      </c>
      <c r="F79" s="34" t="n">
        <f aca="false">(F$98+F$102+F$106+F$114)*(1+P_IVAint)</f>
        <v>23030.59275</v>
      </c>
      <c r="G79" s="34" t="n">
        <f aca="false">(G$98+G$102+G$106+G$114)*(1+P_IVAint)</f>
        <v>23030.59275</v>
      </c>
      <c r="H79" s="34" t="n">
        <f aca="false">(H$98+H$102+H$106+H$114)*(1+P_IVAint)</f>
        <v>23030.59275</v>
      </c>
      <c r="I79" s="34" t="n">
        <f aca="false">(I$98+I$102+I$106+I$114)*(1+P_IVAint)</f>
        <v>23030.59275</v>
      </c>
      <c r="J79" s="34" t="n">
        <f aca="false">(J$98+J$102+J$106+J$114)*(1+P_IVAint)</f>
        <v>23030.59275</v>
      </c>
      <c r="K79" s="34" t="n">
        <f aca="false">(K$98+K$102+K$106+K$114)*(1+P_IVAint)</f>
        <v>23030.59275</v>
      </c>
      <c r="L79" s="34" t="n">
        <f aca="false">(L$98+L$102+L$106+L$114)*(1+P_IVAint)</f>
        <v>23030.59275</v>
      </c>
      <c r="M79" s="34" t="n">
        <f aca="false">(M$98+M$102+M$106+M$114)*(1+P_IVAint)</f>
        <v>22683.0754912188</v>
      </c>
      <c r="N79" s="34" t="n">
        <f aca="false">(N$98+N$102+N$106+N$114)*(1+P_IVAint)</f>
        <v>22332.9518529968</v>
      </c>
      <c r="O79" s="34" t="n">
        <f aca="false">(O$98+O$102+O$106+O$114)*(1+P_IVAint)</f>
        <v>21980.2022874881</v>
      </c>
      <c r="P79" s="34" t="n">
        <f aca="false">(P$98+P$102+P$106+P$114)*(1+P_IVAint)</f>
        <v>21624.8071002381</v>
      </c>
      <c r="Q79" s="34" t="n">
        <f aca="false">(Q$98+Q$102+Q$106+Q$114)*(1+P_IVAint)</f>
        <v>21266.7464490837</v>
      </c>
      <c r="R79" s="34" t="n">
        <f aca="false">(R$98+R$102+R$106+R$114)*(1+P_IVAint)</f>
        <v>20906.0003430457</v>
      </c>
      <c r="S79" s="34" t="n">
        <f aca="false">(S$98+S$102+S$106+S$114)*(1+P_IVAint)</f>
        <v>20542.5486412123</v>
      </c>
      <c r="T79" s="34" t="n">
        <f aca="false">(T$98+T$102+T$106+T$114)*(1+P_IVAint)</f>
        <v>20176.3710516152</v>
      </c>
      <c r="U79" s="34" t="n">
        <f aca="false">(U$98+U$102+U$106+U$114)*(1+P_IVAint)</f>
        <v>19807.4471300962</v>
      </c>
      <c r="V79" s="34" t="n">
        <f aca="false">(V$98+V$102+V$106+V$114)*(1+P_IVAint)</f>
        <v>19435.7562791657</v>
      </c>
      <c r="W79" s="34" t="n">
        <f aca="false">(W$98+W$102+W$106+W$114)*(1+P_IVAint)</f>
        <v>19061.2777468533</v>
      </c>
      <c r="X79" s="34" t="n">
        <f aca="false">(X$98+X$102+X$106+X$114)*(1+P_IVAint)</f>
        <v>18683.9906255485</v>
      </c>
      <c r="Y79" s="34" t="n">
        <f aca="false">(Y$98+Y$102+Y$106+Y$114)*(1+P_IVAint)</f>
        <v>18303.873850834</v>
      </c>
      <c r="Z79" s="34" t="n">
        <f aca="false">(Z$98+Z$102+Z$106+Z$114)*(1+P_IVAint)</f>
        <v>17920.906200309</v>
      </c>
      <c r="AA79" s="34" t="n">
        <f aca="false">(AA$98+AA$102+AA$106+AA$114)*(1+P_IVAint)</f>
        <v>17535.0662924052</v>
      </c>
      <c r="AB79" s="34" t="n">
        <f aca="false">(AB$98+AB$102+AB$106+AB$114)*(1+P_IVAint)</f>
        <v>17146.3325851921</v>
      </c>
      <c r="AC79" s="34" t="n">
        <f aca="false">(AC$98+AC$102+AC$106+AC$114)*(1+P_IVAint)</f>
        <v>16754.6833751748</v>
      </c>
      <c r="AD79" s="34" t="n">
        <f aca="false">(AD$98+AD$102+AD$106+AD$114)*(1+P_IVAint)</f>
        <v>16360.0967960825</v>
      </c>
      <c r="AE79" s="34" t="n">
        <f aca="false">(AE$98+AE$102+AE$106+AE$114)*(1+P_IVAint)</f>
        <v>15962.5508176469</v>
      </c>
      <c r="AF79" s="34" t="n">
        <f aca="false">(AF$98+AF$102+AF$106+AF$114)*(1+P_IVAint)</f>
        <v>15562.0232443731</v>
      </c>
      <c r="AG79" s="34" t="n">
        <f aca="false">(AG$98+AG$102+AG$106+AG$114)*(1+P_IVAint)</f>
        <v>15158.4917142997</v>
      </c>
      <c r="AH79" s="34" t="n">
        <f aca="false">(AH$98+AH$102+AH$106+AH$114)*(1+P_IVAint)</f>
        <v>14751.9336977508</v>
      </c>
      <c r="AI79" s="34" t="n">
        <f aca="false">(AI$98+AI$102+AI$106+AI$114)*(1+P_IVAint)</f>
        <v>14342.3264960777</v>
      </c>
      <c r="AJ79" s="34" t="n">
        <f aca="false">(AJ$98+AJ$102+AJ$106+AJ$114)*(1+P_IVAint)</f>
        <v>13929.6472403921</v>
      </c>
      <c r="AK79" s="34" t="n">
        <f aca="false">(AK$98+AK$102+AK$106+AK$114)*(1+P_IVAint)</f>
        <v>13513.8728902889</v>
      </c>
      <c r="AL79" s="34" t="n">
        <f aca="false">(AL$98+AL$102+AL$106+AL$114)*(1+P_IVAint)</f>
        <v>13094.9802325599</v>
      </c>
      <c r="AM79" s="34" t="n">
        <f aca="false">(AM$98+AM$102+AM$106+AM$114)*(1+P_IVAint)</f>
        <v>12672.9458798979</v>
      </c>
      <c r="AN79" s="34" t="n">
        <f aca="false">(AN$98+AN$102+AN$106+AN$114)*(1+P_IVAint)</f>
        <v>12247.746269591</v>
      </c>
      <c r="AO79" s="34" t="n">
        <f aca="false">(AO$98+AO$102+AO$106+AO$114)*(1+P_IVAint)</f>
        <v>11819.3576622067</v>
      </c>
      <c r="AP79" s="34" t="n">
        <f aca="false">(AP$98+AP$102+AP$106+AP$114)*(1+P_IVAint)</f>
        <v>11387.7561402671</v>
      </c>
      <c r="AQ79" s="34" t="n">
        <f aca="false">(AQ$98+AQ$102+AQ$106+AQ$114)*(1+P_IVAint)</f>
        <v>10952.917606913</v>
      </c>
      <c r="AR79" s="34" t="n">
        <f aca="false">(AR$98+AR$102+AR$106+AR$114)*(1+P_IVAint)</f>
        <v>10514.8177845586</v>
      </c>
      <c r="AS79" s="34" t="n">
        <f aca="false">(AS$98+AS$102+AS$106+AS$114)*(1+P_IVAint)</f>
        <v>10073.4322135366</v>
      </c>
      <c r="AT79" s="34" t="n">
        <f aca="false">(AT$98+AT$102+AT$106+AT$114)*(1+P_IVAint)</f>
        <v>9628.736250732</v>
      </c>
      <c r="AU79" s="34" t="n">
        <f aca="false">(AU$98+AU$102+AU$106+AU$114)*(1+P_IVAint)</f>
        <v>9180.70506820631</v>
      </c>
      <c r="AV79" s="34" t="n">
        <f aca="false">(AV$98+AV$102+AV$106+AV$114)*(1+P_IVAint)</f>
        <v>8729.31365181168</v>
      </c>
      <c r="AW79" s="34" t="n">
        <f aca="false">(AW$98+AW$102+AW$106+AW$114)*(1+P_IVAint)</f>
        <v>8274.5367997941</v>
      </c>
      <c r="AX79" s="34" t="n">
        <f aca="false">(AX$98+AX$102+AX$106+AX$114)*(1+P_IVAint)</f>
        <v>7816.34912138638</v>
      </c>
      <c r="AY79" s="34" t="n">
        <f aca="false">(AY$98+AY$102+AY$106+AY$114)*(1+P_IVAint)</f>
        <v>7354.7250353906</v>
      </c>
      <c r="AZ79" s="34" t="n">
        <f aca="false">(AZ$98+AZ$102+AZ$106+AZ$114)*(1+P_IVAint)</f>
        <v>6889.63876874986</v>
      </c>
      <c r="BA79" s="34" t="n">
        <f aca="false">(BA$98+BA$102+BA$106+BA$114)*(1+P_IVAint)</f>
        <v>6421.06435510931</v>
      </c>
      <c r="BB79" s="34" t="n">
        <f aca="false">(BB$98+BB$102+BB$106+BB$114)*(1+P_IVAint)</f>
        <v>5948.97563336646</v>
      </c>
      <c r="BC79" s="34" t="n">
        <f aca="false">(BC$98+BC$102+BC$106+BC$114)*(1+P_IVAint)</f>
        <v>5473.34624621053</v>
      </c>
      <c r="BD79" s="34" t="n">
        <f aca="false">(BD$98+BD$102+BD$106+BD$114)*(1+P_IVAint)</f>
        <v>4994.14963865093</v>
      </c>
      <c r="BE79" s="34" t="n">
        <f aca="false">(BE$98+BE$102+BE$106+BE$114)*(1+P_IVAint)</f>
        <v>4511.35905653464</v>
      </c>
      <c r="BF79" s="34" t="n">
        <f aca="false">(BF$98+BF$102+BF$106+BF$114)*(1+P_IVAint)</f>
        <v>4024.94754505248</v>
      </c>
      <c r="BG79" s="34" t="n">
        <f aca="false">(BG$98+BG$102+BG$106+BG$114)*(1+P_IVAint)</f>
        <v>3534.8879472342</v>
      </c>
      <c r="BH79" s="34" t="n">
        <f aca="false">(BH$98+BH$102+BH$106+BH$114)*(1+P_IVAint)</f>
        <v>3041.15290243228</v>
      </c>
      <c r="BI79" s="34" t="n">
        <f aca="false">(BI$98+BI$102+BI$106+BI$114)*(1+P_IVAint)</f>
        <v>2543.71484479435</v>
      </c>
      <c r="BJ79" s="34" t="n">
        <f aca="false">(BJ$98+BJ$102+BJ$106+BJ$114)*(1+P_IVAint)</f>
        <v>2042.54600172413</v>
      </c>
      <c r="BK79" s="34" t="n">
        <f aca="false">(BK$98+BK$102+BK$106+BK$114)*(1+P_IVAint)</f>
        <v>1537.61839233089</v>
      </c>
      <c r="BL79" s="34" t="n">
        <f aca="false">(BL$98+BL$102+BL$106+BL$114)*(1+P_IVAint)</f>
        <v>1028.9038258672</v>
      </c>
      <c r="BM79" s="34" t="n">
        <f aca="false">(BM$98+BM$102+BM$106+BM$114)*(1+P_IVAint)</f>
        <v>516.373900155025</v>
      </c>
      <c r="BN79" s="34" t="n">
        <f aca="false">(BN$98+BN$102+BN$106+BN$114)*(1+P_IVAint)</f>
        <v>0</v>
      </c>
      <c r="BO79" s="34" t="n">
        <f aca="false">(BO$98+BO$102+BO$106+BO$114)*(1+P_IVAint)</f>
        <v>0</v>
      </c>
      <c r="BP79" s="34" t="n">
        <f aca="false">(BP$98+BP$102+BP$106+BP$114)*(1+P_IVAint)</f>
        <v>0</v>
      </c>
      <c r="BQ79" s="34" t="n">
        <f aca="false">(BQ$98+BQ$102+BQ$106+BQ$114)*(1+P_IVAint)</f>
        <v>0</v>
      </c>
      <c r="BR79" s="34" t="n">
        <f aca="false">(BR$98+BR$102+BR$106+BR$114)*(1+P_IVAint)</f>
        <v>0</v>
      </c>
      <c r="BS79" s="34" t="n">
        <f aca="false">(BS$98+BS$102+BS$106+BS$114)*(1+P_IVAint)</f>
        <v>0</v>
      </c>
      <c r="BT79" s="34" t="n">
        <f aca="false">(BT$98+BT$102+BT$106+BT$114)*(1+P_IVAint)</f>
        <v>0</v>
      </c>
      <c r="BU79" s="34" t="n">
        <f aca="false">(BU$98+BU$102+BU$106+BU$114)*(1+P_IVAint)</f>
        <v>0</v>
      </c>
      <c r="BV79" s="34" t="n">
        <f aca="false">(BV$98+BV$102+BV$106+BV$114)*(1+P_IVAint)</f>
        <v>0</v>
      </c>
      <c r="BW79" s="34" t="n">
        <f aca="false">(BW$98+BW$102+BW$106+BW$114)*(1+P_IVAint)</f>
        <v>0</v>
      </c>
      <c r="BX79" s="34" t="n">
        <f aca="false">(BX$98+BX$102+BX$106+BX$114)*(1+P_IVAint)</f>
        <v>0</v>
      </c>
      <c r="BY79" s="34" t="n">
        <f aca="false">(BY$98+BY$102+BY$106+BY$114)*(1+P_IVAint)</f>
        <v>0</v>
      </c>
      <c r="BZ79" s="34" t="n">
        <f aca="false">(BZ$98+BZ$102+BZ$106+BZ$114)*(1+P_IVAint)</f>
        <v>0</v>
      </c>
      <c r="CA79" s="34" t="n">
        <f aca="false">(CA$98+CA$102+CA$106+CA$114)*(1+P_IVAint)</f>
        <v>0</v>
      </c>
      <c r="CB79" s="34" t="n">
        <f aca="false">(CB$98+CB$102+CB$106+CB$114)*(1+P_IVAint)</f>
        <v>0</v>
      </c>
      <c r="CC79" s="34" t="n">
        <f aca="false">(CC$98+CC$102+CC$106+CC$114)*(1+P_IVAint)</f>
        <v>0</v>
      </c>
      <c r="CD79" s="34" t="n">
        <f aca="false">(CD$98+CD$102+CD$106+CD$114)*(1+P_IVAint)</f>
        <v>0</v>
      </c>
      <c r="CE79" s="34" t="n">
        <f aca="false">(CE$98+CE$102+CE$106+CE$114)*(1+P_IVAint)</f>
        <v>0</v>
      </c>
      <c r="CF79" s="34" t="n">
        <f aca="false">(CF$98+CF$102+CF$106+CF$114)*(1+P_IVAint)</f>
        <v>0</v>
      </c>
      <c r="CG79" s="34" t="n">
        <f aca="false">(CG$98+CG$102+CG$106+CG$114)*(1+P_IVAint)</f>
        <v>0</v>
      </c>
      <c r="CH79" s="34" t="n">
        <f aca="false">(CH$98+CH$102+CH$106+CH$114)*(1+P_IVAint)</f>
        <v>0</v>
      </c>
      <c r="CI79" s="34" t="n">
        <f aca="false">(CI$98+CI$102+CI$106+CI$114)*(1+P_IVAint)</f>
        <v>0</v>
      </c>
      <c r="CJ79" s="34" t="n">
        <f aca="false">(CJ$98+CJ$102+CJ$106+CJ$114)*(1+P_IVAint)</f>
        <v>0</v>
      </c>
      <c r="CK79" s="34" t="n">
        <f aca="false">(CK$98+CK$102+CK$106+CK$114)*(1+P_IVAint)</f>
        <v>0</v>
      </c>
      <c r="CL79" s="34" t="n">
        <f aca="false">(CL$98+CL$102+CL$106+CL$114)*(1+P_IVAint)</f>
        <v>0</v>
      </c>
      <c r="CM79" s="34" t="n">
        <f aca="false">(CM$98+CM$102+CM$106+CM$114)*(1+P_IVAint)</f>
        <v>0</v>
      </c>
      <c r="CN79" s="34" t="n">
        <f aca="false">(CN$98+CN$102+CN$106+CN$114)*(1+P_IVAint)</f>
        <v>0</v>
      </c>
      <c r="CO79" s="34" t="n">
        <f aca="false">(CO$98+CO$102+CO$106+CO$114)*(1+P_IVAint)</f>
        <v>0</v>
      </c>
      <c r="CP79" s="34" t="n">
        <f aca="false">(CP$98+CP$102+CP$106+CP$114)*(1+P_IVAint)</f>
        <v>0</v>
      </c>
      <c r="CQ79" s="34" t="n">
        <f aca="false">(CQ$98+CQ$102+CQ$106+CQ$114)*(1+P_IVAint)</f>
        <v>0</v>
      </c>
      <c r="CR79" s="34" t="n">
        <f aca="false">(CR$98+CR$102+CR$106+CR$114)*(1+P_IVAint)</f>
        <v>0</v>
      </c>
      <c r="CS79" s="34" t="n">
        <f aca="false">(CS$98+CS$102+CS$106+CS$114)*(1+P_IVAint)</f>
        <v>0</v>
      </c>
      <c r="CT79" s="34" t="n">
        <f aca="false">(CT$98+CT$102+CT$106+CT$114)*(1+P_IVAint)</f>
        <v>0</v>
      </c>
      <c r="CU79" s="34" t="n">
        <f aca="false">(CU$98+CU$102+CU$106+CU$114)*(1+P_IVAint)</f>
        <v>0</v>
      </c>
      <c r="CV79" s="34" t="n">
        <f aca="false">(CV$98+CV$102+CV$106+CV$114)*(1+P_IVAint)</f>
        <v>0</v>
      </c>
      <c r="CW79" s="34" t="n">
        <f aca="false">(CW$98+CW$102+CW$106+CW$114)*(1+P_IVAint)</f>
        <v>0</v>
      </c>
      <c r="CX79" s="34" t="n">
        <f aca="false">(CX$98+CX$102+CX$106+CX$114)*(1+P_IVAint)</f>
        <v>0</v>
      </c>
      <c r="CY79" s="34" t="n">
        <f aca="false">(CY$98+CY$102+CY$106+CY$114)*(1+P_IVAint)</f>
        <v>0</v>
      </c>
      <c r="CZ79" s="34" t="n">
        <f aca="false">(CZ$98+CZ$102+CZ$106+CZ$114)*(1+P_IVAint)</f>
        <v>0</v>
      </c>
      <c r="DA79" s="34" t="n">
        <f aca="false">(DA$98+DA$102+DA$106+DA$114)*(1+P_IVAint)</f>
        <v>0</v>
      </c>
      <c r="DB79" s="34" t="n">
        <f aca="false">(DB$98+DB$102+DB$106+DB$114)*(1+P_IVAint)</f>
        <v>0</v>
      </c>
      <c r="DC79" s="34" t="n">
        <f aca="false">(DC$98+DC$102+DC$106+DC$114)*(1+P_IVAint)</f>
        <v>0</v>
      </c>
      <c r="DD79" s="34" t="n">
        <f aca="false">(DD$98+DD$102+DD$106+DD$114)*(1+P_IVAint)</f>
        <v>0</v>
      </c>
      <c r="DE79" s="34" t="n">
        <f aca="false">(DE$98+DE$102+DE$106+DE$114)*(1+P_IVAint)</f>
        <v>0</v>
      </c>
      <c r="DF79" s="34" t="n">
        <f aca="false">(DF$98+DF$102+DF$106+DF$114)*(1+P_IVAint)</f>
        <v>0</v>
      </c>
      <c r="DG79" s="34" t="n">
        <f aca="false">(DG$98+DG$102+DG$106+DG$114)*(1+P_IVAint)</f>
        <v>0</v>
      </c>
      <c r="DH79" s="34" t="n">
        <f aca="false">(DH$98+DH$102+DH$106+DH$114)*(1+P_IVAint)</f>
        <v>0</v>
      </c>
      <c r="DI79" s="34" t="n">
        <f aca="false">(DI$98+DI$102+DI$106+DI$114)*(1+P_IVAint)</f>
        <v>0</v>
      </c>
      <c r="DJ79" s="34" t="n">
        <f aca="false">(DJ$98+DJ$102+DJ$106+DJ$114)*(1+P_IVAint)</f>
        <v>0</v>
      </c>
      <c r="DK79" s="34" t="n">
        <f aca="false">(DK$98+DK$102+DK$106+DK$114)*(1+P_IVAint)</f>
        <v>0</v>
      </c>
      <c r="DL79" s="34" t="n">
        <f aca="false">(DL$98+DL$102+DL$106+DL$114)*(1+P_IVAint)</f>
        <v>0</v>
      </c>
      <c r="DM79" s="34" t="n">
        <f aca="false">(DM$98+DM$102+DM$106+DM$114)*(1+P_IVAint)</f>
        <v>0</v>
      </c>
      <c r="DN79" s="34" t="n">
        <f aca="false">(DN$98+DN$102+DN$106+DN$114)*(1+P_IVAint)</f>
        <v>0</v>
      </c>
      <c r="DO79" s="34" t="n">
        <f aca="false">(DO$98+DO$102+DO$106+DO$114)*(1+P_IVAint)</f>
        <v>0</v>
      </c>
      <c r="DP79" s="34" t="n">
        <f aca="false">(DP$98+DP$102+DP$106+DP$114)*(1+P_IVAint)</f>
        <v>0</v>
      </c>
      <c r="DQ79" s="34" t="n">
        <f aca="false">(DQ$98+DQ$102+DQ$106+DQ$114)*(1+P_IVAint)</f>
        <v>0</v>
      </c>
      <c r="DR79" s="34" t="n">
        <f aca="false">(DR$98+DR$102+DR$106+DR$114)*(1+P_IVAint)</f>
        <v>0</v>
      </c>
      <c r="DS79" s="34" t="n">
        <f aca="false">(DS$98+DS$102+DS$106+DS$114)*(1+P_IVAint)</f>
        <v>0</v>
      </c>
      <c r="DT79" s="34" t="n">
        <f aca="false">(DT$98+DT$102+DT$106+DT$114)*(1+P_IVAint)</f>
        <v>0</v>
      </c>
      <c r="DU79" s="34" t="n">
        <f aca="false">(DU$98+DU$102+DU$106+DU$114)*(1+P_IVAint)</f>
        <v>0</v>
      </c>
      <c r="DV79" s="34" t="n">
        <f aca="false">(DV$98+DV$102+DV$106+DV$114)*(1+P_IVAint)</f>
        <v>0</v>
      </c>
      <c r="DW79" s="34" t="n">
        <f aca="false">(DW$98+DW$102+DW$106+DW$114)*(1+P_IVAint)</f>
        <v>0</v>
      </c>
      <c r="DX79" s="34" t="n">
        <f aca="false">(DX$98+DX$102+DX$106+DX$114)*(1+P_IVAint)</f>
        <v>0</v>
      </c>
      <c r="DY79" s="34" t="n">
        <f aca="false">(DY$98+DY$102+DY$106+DY$114)*(1+P_IVAint)</f>
        <v>0</v>
      </c>
      <c r="DZ79" s="34" t="n">
        <f aca="false">(DZ$98+DZ$102+DZ$106+DZ$114)*(1+P_IVAint)</f>
        <v>0</v>
      </c>
      <c r="EA79" s="34" t="n">
        <f aca="false">(EA$98+EA$102+EA$106+EA$114)*(1+P_IVAint)</f>
        <v>0</v>
      </c>
      <c r="EB79" s="34" t="n">
        <f aca="false">(EB$98+EB$102+EB$106+EB$114)*(1+P_IVAint)</f>
        <v>0</v>
      </c>
      <c r="EC79" s="34" t="n">
        <f aca="false">(EC$98+EC$102+EC$106+EC$114)*(1+P_IVAint)</f>
        <v>0</v>
      </c>
      <c r="ED79" s="34" t="n">
        <f aca="false">(ED$98+ED$102+ED$106+ED$114)*(1+P_IVAint)</f>
        <v>0</v>
      </c>
      <c r="EE79" s="34" t="n">
        <f aca="false">(EE$98+EE$102+EE$106+EE$114)*(1+P_IVAint)</f>
        <v>0</v>
      </c>
      <c r="EF79" s="34" t="n">
        <f aca="false">(EF$98+EF$102+EF$106+EF$114)*(1+P_IVAint)</f>
        <v>0</v>
      </c>
      <c r="EG79" s="34" t="n">
        <f aca="false">(EG$98+EG$102+EG$106+EG$114)*(1+P_IVAint)</f>
        <v>0</v>
      </c>
      <c r="EH79" s="34" t="n">
        <f aca="false">(EH$98+EH$102+EH$106+EH$114)*(1+P_IVAint)</f>
        <v>0</v>
      </c>
      <c r="EI79" s="34" t="n">
        <f aca="false">(EI$98+EI$102+EI$106+EI$114)*(1+P_IVAint)</f>
        <v>0</v>
      </c>
      <c r="EJ79" s="34" t="n">
        <f aca="false">(EJ$98+EJ$102+EJ$106+EJ$114)*(1+P_IVAint)</f>
        <v>0</v>
      </c>
      <c r="EK79" s="34" t="n">
        <f aca="false">(EK$98+EK$102+EK$106+EK$114)*(1+P_IVAint)</f>
        <v>0</v>
      </c>
      <c r="EL79" s="34" t="n">
        <f aca="false">(EL$98+EL$102+EL$106+EL$114)*(1+P_IVAint)</f>
        <v>0</v>
      </c>
      <c r="EM79" s="34" t="n">
        <f aca="false">(EM$98+EM$102+EM$106+EM$114)*(1+P_IVAint)</f>
        <v>0</v>
      </c>
      <c r="EN79" s="34" t="n">
        <f aca="false">(EN$98+EN$102+EN$106+EN$114)*(1+P_IVAint)</f>
        <v>0</v>
      </c>
      <c r="EO79" s="34" t="n">
        <f aca="false">(EO$98+EO$102+EO$106+EO$114)*(1+P_IVAint)</f>
        <v>0</v>
      </c>
      <c r="EP79" s="34" t="n">
        <f aca="false">(EP$98+EP$102+EP$106+EP$114)*(1+P_IVAint)</f>
        <v>0</v>
      </c>
      <c r="EQ79" s="34" t="n">
        <f aca="false">(EQ$98+EQ$102+EQ$106+EQ$114)*(1+P_IVAint)</f>
        <v>0</v>
      </c>
      <c r="ER79" s="34" t="n">
        <f aca="false">(ER$98+ER$102+ER$106+ER$114)*(1+P_IVAint)</f>
        <v>0</v>
      </c>
      <c r="ES79" s="34" t="n">
        <f aca="false">(ES$98+ES$102+ES$106+ES$114)*(1+P_IVAint)</f>
        <v>0</v>
      </c>
    </row>
    <row r="80" customFormat="false" ht="15" hidden="false" customHeight="false" outlineLevel="0" collapsed="false">
      <c r="A80" s="2" t="s">
        <v>648</v>
      </c>
      <c r="B80" s="6" t="s">
        <v>649</v>
      </c>
      <c r="C80" s="6" t="s">
        <v>250</v>
      </c>
      <c r="E80" s="40" t="n">
        <f aca="false">SUM(F80:ES80)</f>
        <v>0</v>
      </c>
      <c r="F80" s="34" t="n">
        <f aca="false">P_IRE*(F$78-F$79)</f>
        <v>0</v>
      </c>
      <c r="G80" s="34" t="n">
        <f aca="false">P_IRE*(G$78-G$79)</f>
        <v>0</v>
      </c>
      <c r="H80" s="34" t="n">
        <f aca="false">P_IRE*(H$78-H$79)</f>
        <v>0</v>
      </c>
      <c r="I80" s="34" t="n">
        <f aca="false">P_IRE*(I$78-I$79)</f>
        <v>0</v>
      </c>
      <c r="J80" s="34" t="n">
        <f aca="false">P_IRE*(J$78-J$79)</f>
        <v>0</v>
      </c>
      <c r="K80" s="34" t="n">
        <f aca="false">P_IRE*(K$78-K$79)</f>
        <v>0</v>
      </c>
      <c r="L80" s="34" t="n">
        <f aca="false">P_IRE*(L$78-L$79)</f>
        <v>0</v>
      </c>
      <c r="M80" s="34" t="n">
        <f aca="false">P_IRE*(M$78-M$79)</f>
        <v>0</v>
      </c>
      <c r="N80" s="34" t="n">
        <f aca="false">P_IRE*(N$78-N$79)</f>
        <v>0</v>
      </c>
      <c r="O80" s="34" t="n">
        <f aca="false">P_IRE*(O$78-O$79)</f>
        <v>0</v>
      </c>
      <c r="P80" s="34" t="n">
        <f aca="false">P_IRE*(P$78-P$79)</f>
        <v>0</v>
      </c>
      <c r="Q80" s="34" t="n">
        <f aca="false">P_IRE*(Q$78-Q$79)</f>
        <v>0</v>
      </c>
      <c r="R80" s="34" t="n">
        <f aca="false">P_IRE*(R$78-R$79)</f>
        <v>0</v>
      </c>
      <c r="S80" s="34" t="n">
        <f aca="false">P_IRE*(S$78-S$79)</f>
        <v>0</v>
      </c>
      <c r="T80" s="34" t="n">
        <f aca="false">P_IRE*(T$78-T$79)</f>
        <v>0</v>
      </c>
      <c r="U80" s="34" t="n">
        <f aca="false">P_IRE*(U$78-U$79)</f>
        <v>0</v>
      </c>
      <c r="V80" s="34" t="n">
        <f aca="false">P_IRE*(V$78-V$79)</f>
        <v>0</v>
      </c>
      <c r="W80" s="34" t="n">
        <f aca="false">P_IRE*(W$78-W$79)</f>
        <v>0</v>
      </c>
      <c r="X80" s="34" t="n">
        <f aca="false">P_IRE*(X$78-X$79)</f>
        <v>0</v>
      </c>
      <c r="Y80" s="34" t="n">
        <f aca="false">P_IRE*(Y$78-Y$79)</f>
        <v>0</v>
      </c>
      <c r="Z80" s="34" t="n">
        <f aca="false">P_IRE*(Z$78-Z$79)</f>
        <v>0</v>
      </c>
      <c r="AA80" s="34" t="n">
        <f aca="false">P_IRE*(AA$78-AA$79)</f>
        <v>0</v>
      </c>
      <c r="AB80" s="34" t="n">
        <f aca="false">P_IRE*(AB$78-AB$79)</f>
        <v>0</v>
      </c>
      <c r="AC80" s="34" t="n">
        <f aca="false">P_IRE*(AC$78-AC$79)</f>
        <v>0</v>
      </c>
      <c r="AD80" s="34" t="n">
        <f aca="false">P_IRE*(AD$78-AD$79)</f>
        <v>0</v>
      </c>
      <c r="AE80" s="34" t="n">
        <f aca="false">P_IRE*(AE$78-AE$79)</f>
        <v>0</v>
      </c>
      <c r="AF80" s="34" t="n">
        <f aca="false">P_IRE*(AF$78-AF$79)</f>
        <v>0</v>
      </c>
      <c r="AG80" s="34" t="n">
        <f aca="false">P_IRE*(AG$78-AG$79)</f>
        <v>0</v>
      </c>
      <c r="AH80" s="34" t="n">
        <f aca="false">P_IRE*(AH$78-AH$79)</f>
        <v>0</v>
      </c>
      <c r="AI80" s="34" t="n">
        <f aca="false">P_IRE*(AI$78-AI$79)</f>
        <v>0</v>
      </c>
      <c r="AJ80" s="34" t="n">
        <f aca="false">P_IRE*(AJ$78-AJ$79)</f>
        <v>0</v>
      </c>
      <c r="AK80" s="34" t="n">
        <f aca="false">P_IRE*(AK$78-AK$79)</f>
        <v>0</v>
      </c>
      <c r="AL80" s="34" t="n">
        <f aca="false">P_IRE*(AL$78-AL$79)</f>
        <v>0</v>
      </c>
      <c r="AM80" s="34" t="n">
        <f aca="false">P_IRE*(AM$78-AM$79)</f>
        <v>0</v>
      </c>
      <c r="AN80" s="34" t="n">
        <f aca="false">P_IRE*(AN$78-AN$79)</f>
        <v>0</v>
      </c>
      <c r="AO80" s="34" t="n">
        <f aca="false">P_IRE*(AO$78-AO$79)</f>
        <v>0</v>
      </c>
      <c r="AP80" s="34" t="n">
        <f aca="false">P_IRE*(AP$78-AP$79)</f>
        <v>0</v>
      </c>
      <c r="AQ80" s="34" t="n">
        <f aca="false">P_IRE*(AQ$78-AQ$79)</f>
        <v>0</v>
      </c>
      <c r="AR80" s="34" t="n">
        <f aca="false">P_IRE*(AR$78-AR$79)</f>
        <v>0</v>
      </c>
      <c r="AS80" s="34" t="n">
        <f aca="false">P_IRE*(AS$78-AS$79)</f>
        <v>0</v>
      </c>
      <c r="AT80" s="34" t="n">
        <f aca="false">P_IRE*(AT$78-AT$79)</f>
        <v>0</v>
      </c>
      <c r="AU80" s="34" t="n">
        <f aca="false">P_IRE*(AU$78-AU$79)</f>
        <v>0</v>
      </c>
      <c r="AV80" s="34" t="n">
        <f aca="false">P_IRE*(AV$78-AV$79)</f>
        <v>0</v>
      </c>
      <c r="AW80" s="34" t="n">
        <f aca="false">P_IRE*(AW$78-AW$79)</f>
        <v>0</v>
      </c>
      <c r="AX80" s="34" t="n">
        <f aca="false">P_IRE*(AX$78-AX$79)</f>
        <v>0</v>
      </c>
      <c r="AY80" s="34" t="n">
        <f aca="false">P_IRE*(AY$78-AY$79)</f>
        <v>0</v>
      </c>
      <c r="AZ80" s="34" t="n">
        <f aca="false">P_IRE*(AZ$78-AZ$79)</f>
        <v>0</v>
      </c>
      <c r="BA80" s="34" t="n">
        <f aca="false">P_IRE*(BA$78-BA$79)</f>
        <v>0</v>
      </c>
      <c r="BB80" s="34" t="n">
        <f aca="false">P_IRE*(BB$78-BB$79)</f>
        <v>0</v>
      </c>
      <c r="BC80" s="34" t="n">
        <f aca="false">P_IRE*(BC$78-BC$79)</f>
        <v>0</v>
      </c>
      <c r="BD80" s="34" t="n">
        <f aca="false">P_IRE*(BD$78-BD$79)</f>
        <v>0</v>
      </c>
      <c r="BE80" s="34" t="n">
        <f aca="false">P_IRE*(BE$78-BE$79)</f>
        <v>0</v>
      </c>
      <c r="BF80" s="34" t="n">
        <f aca="false">P_IRE*(BF$78-BF$79)</f>
        <v>0</v>
      </c>
      <c r="BG80" s="34" t="n">
        <f aca="false">P_IRE*(BG$78-BG$79)</f>
        <v>0</v>
      </c>
      <c r="BH80" s="34" t="n">
        <f aca="false">P_IRE*(BH$78-BH$79)</f>
        <v>0</v>
      </c>
      <c r="BI80" s="34" t="n">
        <f aca="false">P_IRE*(BI$78-BI$79)</f>
        <v>0</v>
      </c>
      <c r="BJ80" s="34" t="n">
        <f aca="false">P_IRE*(BJ$78-BJ$79)</f>
        <v>0</v>
      </c>
      <c r="BK80" s="34" t="n">
        <f aca="false">P_IRE*(BK$78-BK$79)</f>
        <v>0</v>
      </c>
      <c r="BL80" s="34" t="n">
        <f aca="false">P_IRE*(BL$78-BL$79)</f>
        <v>0</v>
      </c>
      <c r="BM80" s="34" t="n">
        <f aca="false">P_IRE*(BM$78-BM$79)</f>
        <v>0</v>
      </c>
      <c r="BN80" s="34" t="n">
        <f aca="false">P_IRE*(BN$78-BN$79)</f>
        <v>0</v>
      </c>
      <c r="BO80" s="34" t="n">
        <f aca="false">P_IRE*(BO$78-BO$79)</f>
        <v>0</v>
      </c>
      <c r="BP80" s="34" t="n">
        <f aca="false">P_IRE*(BP$78-BP$79)</f>
        <v>0</v>
      </c>
      <c r="BQ80" s="34" t="n">
        <f aca="false">P_IRE*(BQ$78-BQ$79)</f>
        <v>0</v>
      </c>
      <c r="BR80" s="34" t="n">
        <f aca="false">P_IRE*(BR$78-BR$79)</f>
        <v>0</v>
      </c>
      <c r="BS80" s="34" t="n">
        <f aca="false">P_IRE*(BS$78-BS$79)</f>
        <v>0</v>
      </c>
      <c r="BT80" s="34" t="n">
        <f aca="false">P_IRE*(BT$78-BT$79)</f>
        <v>0</v>
      </c>
      <c r="BU80" s="34" t="n">
        <f aca="false">P_IRE*(BU$78-BU$79)</f>
        <v>0</v>
      </c>
      <c r="BV80" s="34" t="n">
        <f aca="false">P_IRE*(BV$78-BV$79)</f>
        <v>0</v>
      </c>
      <c r="BW80" s="34" t="n">
        <f aca="false">P_IRE*(BW$78-BW$79)</f>
        <v>0</v>
      </c>
      <c r="BX80" s="34" t="n">
        <f aca="false">P_IRE*(BX$78-BX$79)</f>
        <v>0</v>
      </c>
      <c r="BY80" s="34" t="n">
        <f aca="false">P_IRE*(BY$78-BY$79)</f>
        <v>0</v>
      </c>
      <c r="BZ80" s="34" t="n">
        <f aca="false">P_IRE*(BZ$78-BZ$79)</f>
        <v>0</v>
      </c>
      <c r="CA80" s="34" t="n">
        <f aca="false">P_IRE*(CA$78-CA$79)</f>
        <v>0</v>
      </c>
      <c r="CB80" s="34" t="n">
        <f aca="false">P_IRE*(CB$78-CB$79)</f>
        <v>0</v>
      </c>
      <c r="CC80" s="34" t="n">
        <f aca="false">P_IRE*(CC$78-CC$79)</f>
        <v>0</v>
      </c>
      <c r="CD80" s="34" t="n">
        <f aca="false">P_IRE*(CD$78-CD$79)</f>
        <v>0</v>
      </c>
      <c r="CE80" s="34" t="n">
        <f aca="false">P_IRE*(CE$78-CE$79)</f>
        <v>0</v>
      </c>
      <c r="CF80" s="34" t="n">
        <f aca="false">P_IRE*(CF$78-CF$79)</f>
        <v>0</v>
      </c>
      <c r="CG80" s="34" t="n">
        <f aca="false">P_IRE*(CG$78-CG$79)</f>
        <v>0</v>
      </c>
      <c r="CH80" s="34" t="n">
        <f aca="false">P_IRE*(CH$78-CH$79)</f>
        <v>0</v>
      </c>
      <c r="CI80" s="34" t="n">
        <f aca="false">P_IRE*(CI$78-CI$79)</f>
        <v>0</v>
      </c>
      <c r="CJ80" s="34" t="n">
        <f aca="false">P_IRE*(CJ$78-CJ$79)</f>
        <v>0</v>
      </c>
      <c r="CK80" s="34" t="n">
        <f aca="false">P_IRE*(CK$78-CK$79)</f>
        <v>0</v>
      </c>
      <c r="CL80" s="34" t="n">
        <f aca="false">P_IRE*(CL$78-CL$79)</f>
        <v>0</v>
      </c>
      <c r="CM80" s="34" t="n">
        <f aca="false">P_IRE*(CM$78-CM$79)</f>
        <v>0</v>
      </c>
      <c r="CN80" s="34" t="n">
        <f aca="false">P_IRE*(CN$78-CN$79)</f>
        <v>0</v>
      </c>
      <c r="CO80" s="34" t="n">
        <f aca="false">P_IRE*(CO$78-CO$79)</f>
        <v>0</v>
      </c>
      <c r="CP80" s="34" t="n">
        <f aca="false">P_IRE*(CP$78-CP$79)</f>
        <v>0</v>
      </c>
      <c r="CQ80" s="34" t="n">
        <f aca="false">P_IRE*(CQ$78-CQ$79)</f>
        <v>0</v>
      </c>
      <c r="CR80" s="34" t="n">
        <f aca="false">P_IRE*(CR$78-CR$79)</f>
        <v>0</v>
      </c>
      <c r="CS80" s="34" t="n">
        <f aca="false">P_IRE*(CS$78-CS$79)</f>
        <v>0</v>
      </c>
      <c r="CT80" s="34" t="n">
        <f aca="false">P_IRE*(CT$78-CT$79)</f>
        <v>0</v>
      </c>
      <c r="CU80" s="34" t="n">
        <f aca="false">P_IRE*(CU$78-CU$79)</f>
        <v>0</v>
      </c>
      <c r="CV80" s="34" t="n">
        <f aca="false">P_IRE*(CV$78-CV$79)</f>
        <v>0</v>
      </c>
      <c r="CW80" s="34" t="n">
        <f aca="false">P_IRE*(CW$78-CW$79)</f>
        <v>0</v>
      </c>
      <c r="CX80" s="34" t="n">
        <f aca="false">P_IRE*(CX$78-CX$79)</f>
        <v>0</v>
      </c>
      <c r="CY80" s="34" t="n">
        <f aca="false">P_IRE*(CY$78-CY$79)</f>
        <v>0</v>
      </c>
      <c r="CZ80" s="34" t="n">
        <f aca="false">P_IRE*(CZ$78-CZ$79)</f>
        <v>0</v>
      </c>
      <c r="DA80" s="34" t="n">
        <f aca="false">P_IRE*(DA$78-DA$79)</f>
        <v>0</v>
      </c>
      <c r="DB80" s="34" t="n">
        <f aca="false">P_IRE*(DB$78-DB$79)</f>
        <v>0</v>
      </c>
      <c r="DC80" s="34" t="n">
        <f aca="false">P_IRE*(DC$78-DC$79)</f>
        <v>0</v>
      </c>
      <c r="DD80" s="34" t="n">
        <f aca="false">P_IRE*(DD$78-DD$79)</f>
        <v>0</v>
      </c>
      <c r="DE80" s="34" t="n">
        <f aca="false">P_IRE*(DE$78-DE$79)</f>
        <v>0</v>
      </c>
      <c r="DF80" s="34" t="n">
        <f aca="false">P_IRE*(DF$78-DF$79)</f>
        <v>0</v>
      </c>
      <c r="DG80" s="34" t="n">
        <f aca="false">P_IRE*(DG$78-DG$79)</f>
        <v>0</v>
      </c>
      <c r="DH80" s="34" t="n">
        <f aca="false">P_IRE*(DH$78-DH$79)</f>
        <v>0</v>
      </c>
      <c r="DI80" s="34" t="n">
        <f aca="false">P_IRE*(DI$78-DI$79)</f>
        <v>0</v>
      </c>
      <c r="DJ80" s="34" t="n">
        <f aca="false">P_IRE*(DJ$78-DJ$79)</f>
        <v>0</v>
      </c>
      <c r="DK80" s="34" t="n">
        <f aca="false">P_IRE*(DK$78-DK$79)</f>
        <v>0</v>
      </c>
      <c r="DL80" s="34" t="n">
        <f aca="false">P_IRE*(DL$78-DL$79)</f>
        <v>0</v>
      </c>
      <c r="DM80" s="34" t="n">
        <f aca="false">P_IRE*(DM$78-DM$79)</f>
        <v>0</v>
      </c>
      <c r="DN80" s="34" t="n">
        <f aca="false">P_IRE*(DN$78-DN$79)</f>
        <v>0</v>
      </c>
      <c r="DO80" s="34" t="n">
        <f aca="false">P_IRE*(DO$78-DO$79)</f>
        <v>0</v>
      </c>
      <c r="DP80" s="34" t="n">
        <f aca="false">P_IRE*(DP$78-DP$79)</f>
        <v>0</v>
      </c>
      <c r="DQ80" s="34" t="n">
        <f aca="false">P_IRE*(DQ$78-DQ$79)</f>
        <v>0</v>
      </c>
      <c r="DR80" s="34" t="n">
        <f aca="false">P_IRE*(DR$78-DR$79)</f>
        <v>0</v>
      </c>
      <c r="DS80" s="34" t="n">
        <f aca="false">P_IRE*(DS$78-DS$79)</f>
        <v>0</v>
      </c>
      <c r="DT80" s="34" t="n">
        <f aca="false">P_IRE*(DT$78-DT$79)</f>
        <v>0</v>
      </c>
      <c r="DU80" s="34" t="n">
        <f aca="false">P_IRE*(DU$78-DU$79)</f>
        <v>0</v>
      </c>
      <c r="DV80" s="34" t="n">
        <f aca="false">P_IRE*(DV$78-DV$79)</f>
        <v>0</v>
      </c>
      <c r="DW80" s="34" t="n">
        <f aca="false">P_IRE*(DW$78-DW$79)</f>
        <v>0</v>
      </c>
      <c r="DX80" s="34" t="n">
        <f aca="false">P_IRE*(DX$78-DX$79)</f>
        <v>0</v>
      </c>
      <c r="DY80" s="34" t="n">
        <f aca="false">P_IRE*(DY$78-DY$79)</f>
        <v>0</v>
      </c>
      <c r="DZ80" s="34" t="n">
        <f aca="false">P_IRE*(DZ$78-DZ$79)</f>
        <v>0</v>
      </c>
      <c r="EA80" s="34" t="n">
        <f aca="false">P_IRE*(EA$78-EA$79)</f>
        <v>0</v>
      </c>
      <c r="EB80" s="34" t="n">
        <f aca="false">P_IRE*(EB$78-EB$79)</f>
        <v>0</v>
      </c>
      <c r="EC80" s="34" t="n">
        <f aca="false">P_IRE*(EC$78-EC$79)</f>
        <v>0</v>
      </c>
      <c r="ED80" s="34" t="n">
        <f aca="false">P_IRE*(ED$78-ED$79)</f>
        <v>0</v>
      </c>
      <c r="EE80" s="34" t="n">
        <f aca="false">P_IRE*(EE$78-EE$79)</f>
        <v>0</v>
      </c>
      <c r="EF80" s="34" t="n">
        <f aca="false">P_IRE*(EF$78-EF$79)</f>
        <v>0</v>
      </c>
      <c r="EG80" s="34" t="n">
        <f aca="false">P_IRE*(EG$78-EG$79)</f>
        <v>0</v>
      </c>
      <c r="EH80" s="34" t="n">
        <f aca="false">P_IRE*(EH$78-EH$79)</f>
        <v>0</v>
      </c>
      <c r="EI80" s="34" t="n">
        <f aca="false">P_IRE*(EI$78-EI$79)</f>
        <v>0</v>
      </c>
      <c r="EJ80" s="34" t="n">
        <f aca="false">P_IRE*(EJ$78-EJ$79)</f>
        <v>0</v>
      </c>
      <c r="EK80" s="34" t="n">
        <f aca="false">P_IRE*(EK$78-EK$79)</f>
        <v>0</v>
      </c>
      <c r="EL80" s="34" t="n">
        <f aca="false">P_IRE*(EL$78-EL$79)</f>
        <v>0</v>
      </c>
      <c r="EM80" s="34" t="n">
        <f aca="false">P_IRE*(EM$78-EM$79)</f>
        <v>0</v>
      </c>
      <c r="EN80" s="34" t="n">
        <f aca="false">P_IRE*(EN$78-EN$79)</f>
        <v>0</v>
      </c>
      <c r="EO80" s="34" t="n">
        <f aca="false">P_IRE*(EO$78-EO$79)</f>
        <v>0</v>
      </c>
      <c r="EP80" s="34" t="n">
        <f aca="false">P_IRE*(EP$78-EP$79)</f>
        <v>0</v>
      </c>
      <c r="EQ80" s="34" t="n">
        <f aca="false">P_IRE*(EQ$78-EQ$79)</f>
        <v>0</v>
      </c>
      <c r="ER80" s="34" t="n">
        <f aca="false">P_IRE*(ER$78-ER$79)</f>
        <v>0</v>
      </c>
      <c r="ES80" s="34" t="n">
        <f aca="false">P_IRE*(ES$78-ES$79)</f>
        <v>0</v>
      </c>
    </row>
    <row r="81" customFormat="false" ht="15" hidden="false" customHeight="false" outlineLevel="0" collapsed="false">
      <c r="A81" s="2" t="s">
        <v>650</v>
      </c>
      <c r="B81" s="52" t="s">
        <v>651</v>
      </c>
      <c r="C81" s="6" t="s">
        <v>250</v>
      </c>
      <c r="E81" s="40" t="n">
        <f aca="false">SUM(F81:ES81)</f>
        <v>14751245.7980366</v>
      </c>
      <c r="F81" s="10" t="n">
        <f aca="false">F$78-F$79-F$80</f>
        <v>13500.8903089231</v>
      </c>
      <c r="G81" s="10" t="n">
        <f aca="false">G$78-G$79-G$80</f>
        <v>13500.8903089231</v>
      </c>
      <c r="H81" s="10" t="n">
        <f aca="false">H$78-H$79-H$80</f>
        <v>13500.8903089231</v>
      </c>
      <c r="I81" s="10" t="n">
        <f aca="false">I$78-I$79-I$80</f>
        <v>13500.8903089231</v>
      </c>
      <c r="J81" s="10" t="n">
        <f aca="false">J$78-J$79-J$80</f>
        <v>13500.8903089231</v>
      </c>
      <c r="K81" s="10" t="n">
        <f aca="false">K$78-K$79-K$80</f>
        <v>13500.8903089231</v>
      </c>
      <c r="L81" s="10" t="n">
        <f aca="false">L$78-L$79-L$80</f>
        <v>13500.8903089231</v>
      </c>
      <c r="M81" s="10" t="n">
        <f aca="false">M$78-M$79-M$80</f>
        <v>13848.4075677042</v>
      </c>
      <c r="N81" s="10" t="n">
        <f aca="false">N$78-N$79-N$80</f>
        <v>14198.5312059263</v>
      </c>
      <c r="O81" s="10" t="n">
        <f aca="false">O$78-O$79-O$80</f>
        <v>14551.280771435</v>
      </c>
      <c r="P81" s="10" t="n">
        <f aca="false">P$78-P$79-P$80</f>
        <v>14906.675958685</v>
      </c>
      <c r="Q81" s="10" t="n">
        <f aca="false">Q$78-Q$79-Q$80</f>
        <v>15264.7366098394</v>
      </c>
      <c r="R81" s="10" t="n">
        <f aca="false">R$78-R$79-R$80</f>
        <v>52791.0519009191</v>
      </c>
      <c r="S81" s="10" t="n">
        <f aca="false">S$78-S$79-S$80</f>
        <v>53154.5036027525</v>
      </c>
      <c r="T81" s="10" t="n">
        <f aca="false">T$78-T$79-T$80</f>
        <v>53520.6811923496</v>
      </c>
      <c r="U81" s="10" t="n">
        <f aca="false">U$78-U$79-U$80</f>
        <v>53889.6051138686</v>
      </c>
      <c r="V81" s="10" t="n">
        <f aca="false">V$78-V$79-V$80</f>
        <v>54261.2959647991</v>
      </c>
      <c r="W81" s="10" t="n">
        <f aca="false">W$78-W$79-W$80</f>
        <v>54635.7744971115</v>
      </c>
      <c r="X81" s="10" t="n">
        <f aca="false">X$78-X$79-X$80</f>
        <v>55013.0616184163</v>
      </c>
      <c r="Y81" s="10" t="n">
        <f aca="false">Y$78-Y$79-Y$80</f>
        <v>55393.1783931308</v>
      </c>
      <c r="Z81" s="10" t="n">
        <f aca="false">Z$78-Z$79-Z$80</f>
        <v>55776.1460436557</v>
      </c>
      <c r="AA81" s="10" t="n">
        <f aca="false">AA$78-AA$79-AA$80</f>
        <v>56161.9859515596</v>
      </c>
      <c r="AB81" s="10" t="n">
        <f aca="false">AB$78-AB$79-AB$80</f>
        <v>56550.7196587727</v>
      </c>
      <c r="AC81" s="10" t="n">
        <f aca="false">AC$78-AC$79-AC$80</f>
        <v>56942.36886879</v>
      </c>
      <c r="AD81" s="10" t="n">
        <f aca="false">AD$78-AD$79-AD$80</f>
        <v>93925.5833190422</v>
      </c>
      <c r="AE81" s="10" t="n">
        <f aca="false">AE$78-AE$79-AE$80</f>
        <v>94323.1292974778</v>
      </c>
      <c r="AF81" s="10" t="n">
        <f aca="false">AF$78-AF$79-AF$80</f>
        <v>94723.6568707516</v>
      </c>
      <c r="AG81" s="10" t="n">
        <f aca="false">AG$78-AG$79-AG$80</f>
        <v>95127.188400825</v>
      </c>
      <c r="AH81" s="10" t="n">
        <f aca="false">AH$78-AH$79-AH$80</f>
        <v>95533.7464173739</v>
      </c>
      <c r="AI81" s="10" t="n">
        <f aca="false">AI$78-AI$79-AI$80</f>
        <v>95943.353619047</v>
      </c>
      <c r="AJ81" s="10" t="n">
        <f aca="false">AJ$78-AJ$79-AJ$80</f>
        <v>96356.0328747325</v>
      </c>
      <c r="AK81" s="10" t="n">
        <f aca="false">AK$78-AK$79-AK$80</f>
        <v>96771.8072248358</v>
      </c>
      <c r="AL81" s="10" t="n">
        <f aca="false">AL$78-AL$79-AL$80</f>
        <v>97190.6998825648</v>
      </c>
      <c r="AM81" s="10" t="n">
        <f aca="false">AM$78-AM$79-AM$80</f>
        <v>97612.7342352267</v>
      </c>
      <c r="AN81" s="10" t="n">
        <f aca="false">AN$78-AN$79-AN$80</f>
        <v>98037.9338455337</v>
      </c>
      <c r="AO81" s="10" t="n">
        <f aca="false">AO$78-AO$79-AO$80</f>
        <v>98466.3224529179</v>
      </c>
      <c r="AP81" s="10" t="n">
        <f aca="false">AP$78-AP$79-AP$80</f>
        <v>131706.472989591</v>
      </c>
      <c r="AQ81" s="10" t="n">
        <f aca="false">AQ$78-AQ$79-AQ$80</f>
        <v>132141.311522945</v>
      </c>
      <c r="AR81" s="10" t="n">
        <f aca="false">AR$78-AR$79-AR$80</f>
        <v>132579.4113453</v>
      </c>
      <c r="AS81" s="10" t="n">
        <f aca="false">AS$78-AS$79-AS$80</f>
        <v>133020.796916322</v>
      </c>
      <c r="AT81" s="10" t="n">
        <f aca="false">AT$78-AT$79-AT$80</f>
        <v>133465.492879126</v>
      </c>
      <c r="AU81" s="10" t="n">
        <f aca="false">AU$78-AU$79-AU$80</f>
        <v>133913.524061652</v>
      </c>
      <c r="AV81" s="10" t="n">
        <f aca="false">AV$78-AV$79-AV$80</f>
        <v>134364.915478047</v>
      </c>
      <c r="AW81" s="10" t="n">
        <f aca="false">AW$78-AW$79-AW$80</f>
        <v>134819.692330064</v>
      </c>
      <c r="AX81" s="10" t="n">
        <f aca="false">AX$78-AX$79-AX$80</f>
        <v>135277.880008472</v>
      </c>
      <c r="AY81" s="10" t="n">
        <f aca="false">AY$78-AY$79-AY$80</f>
        <v>135739.504094468</v>
      </c>
      <c r="AZ81" s="10" t="n">
        <f aca="false">AZ$78-AZ$79-AZ$80</f>
        <v>136204.590361108</v>
      </c>
      <c r="BA81" s="10" t="n">
        <f aca="false">BA$78-BA$79-BA$80</f>
        <v>136673.164774749</v>
      </c>
      <c r="BB81" s="10" t="n">
        <f aca="false">BB$78-BB$79-BB$80</f>
        <v>138464.838493007</v>
      </c>
      <c r="BC81" s="10" t="n">
        <f aca="false">BC$78-BC$79-BC$80</f>
        <v>138940.467880163</v>
      </c>
      <c r="BD81" s="10" t="n">
        <f aca="false">BD$78-BD$79-BD$80</f>
        <v>139419.664487723</v>
      </c>
      <c r="BE81" s="10" t="n">
        <f aca="false">BE$78-BE$79-BE$80</f>
        <v>139902.455069839</v>
      </c>
      <c r="BF81" s="10" t="n">
        <f aca="false">BF$78-BF$79-BF$80</f>
        <v>140388.866581321</v>
      </c>
      <c r="BG81" s="10" t="n">
        <f aca="false">BG$78-BG$79-BG$80</f>
        <v>140878.926179139</v>
      </c>
      <c r="BH81" s="10" t="n">
        <f aca="false">BH$78-BH$79-BH$80</f>
        <v>141372.661223941</v>
      </c>
      <c r="BI81" s="10" t="n">
        <f aca="false">BI$78-BI$79-BI$80</f>
        <v>141870.099281579</v>
      </c>
      <c r="BJ81" s="10" t="n">
        <f aca="false">BJ$78-BJ$79-BJ$80</f>
        <v>142371.26812465</v>
      </c>
      <c r="BK81" s="10" t="n">
        <f aca="false">BK$78-BK$79-BK$80</f>
        <v>142876.195734043</v>
      </c>
      <c r="BL81" s="10" t="n">
        <f aca="false">BL$78-BL$79-BL$80</f>
        <v>143384.910300506</v>
      </c>
      <c r="BM81" s="10" t="n">
        <f aca="false">BM$78-BM$79-BM$80</f>
        <v>143897.440226219</v>
      </c>
      <c r="BN81" s="10" t="n">
        <f aca="false">BN$78-BN$79-BN$80</f>
        <v>149515.724381159</v>
      </c>
      <c r="BO81" s="10" t="n">
        <f aca="false">BO$78-BO$79-BO$80</f>
        <v>149515.724381159</v>
      </c>
      <c r="BP81" s="10" t="n">
        <f aca="false">BP$78-BP$79-BP$80</f>
        <v>149515.724381159</v>
      </c>
      <c r="BQ81" s="10" t="n">
        <f aca="false">BQ$78-BQ$79-BQ$80</f>
        <v>149515.724381159</v>
      </c>
      <c r="BR81" s="10" t="n">
        <f aca="false">BR$78-BR$79-BR$80</f>
        <v>149515.724381159</v>
      </c>
      <c r="BS81" s="10" t="n">
        <f aca="false">BS$78-BS$79-BS$80</f>
        <v>149515.724381159</v>
      </c>
      <c r="BT81" s="10" t="n">
        <f aca="false">BT$78-BT$79-BT$80</f>
        <v>149515.724381159</v>
      </c>
      <c r="BU81" s="10" t="n">
        <f aca="false">BU$78-BU$79-BU$80</f>
        <v>149515.724381159</v>
      </c>
      <c r="BV81" s="10" t="n">
        <f aca="false">BV$78-BV$79-BV$80</f>
        <v>149515.724381159</v>
      </c>
      <c r="BW81" s="10" t="n">
        <f aca="false">BW$78-BW$79-BW$80</f>
        <v>149515.724381159</v>
      </c>
      <c r="BX81" s="10" t="n">
        <f aca="false">BX$78-BX$79-BX$80</f>
        <v>149515.724381159</v>
      </c>
      <c r="BY81" s="10" t="n">
        <f aca="false">BY$78-BY$79-BY$80</f>
        <v>149515.724381159</v>
      </c>
      <c r="BZ81" s="10" t="n">
        <f aca="false">BZ$78-BZ$79-BZ$80</f>
        <v>153631.305072733</v>
      </c>
      <c r="CA81" s="10" t="n">
        <f aca="false">CA$78-CA$79-CA$80</f>
        <v>153631.305072733</v>
      </c>
      <c r="CB81" s="10" t="n">
        <f aca="false">CB$78-CB$79-CB$80</f>
        <v>153631.305072733</v>
      </c>
      <c r="CC81" s="10" t="n">
        <f aca="false">CC$78-CC$79-CC$80</f>
        <v>153631.305072733</v>
      </c>
      <c r="CD81" s="10" t="n">
        <f aca="false">CD$78-CD$79-CD$80</f>
        <v>153631.305072733</v>
      </c>
      <c r="CE81" s="10" t="n">
        <f aca="false">CE$78-CE$79-CE$80</f>
        <v>153631.305072733</v>
      </c>
      <c r="CF81" s="10" t="n">
        <f aca="false">CF$78-CF$79-CF$80</f>
        <v>153631.305072733</v>
      </c>
      <c r="CG81" s="10" t="n">
        <f aca="false">CG$78-CG$79-CG$80</f>
        <v>153631.305072733</v>
      </c>
      <c r="CH81" s="10" t="n">
        <f aca="false">CH$78-CH$79-CH$80</f>
        <v>153631.305072733</v>
      </c>
      <c r="CI81" s="10" t="n">
        <f aca="false">CI$78-CI$79-CI$80</f>
        <v>153631.305072733</v>
      </c>
      <c r="CJ81" s="10" t="n">
        <f aca="false">CJ$78-CJ$79-CJ$80</f>
        <v>153631.305072733</v>
      </c>
      <c r="CK81" s="10" t="n">
        <f aca="false">CK$78-CK$79-CK$80</f>
        <v>153631.305072733</v>
      </c>
      <c r="CL81" s="10" t="n">
        <f aca="false">CL$78-CL$79-CL$80</f>
        <v>157775.101129621</v>
      </c>
      <c r="CM81" s="10" t="n">
        <f aca="false">CM$78-CM$79-CM$80</f>
        <v>157775.101129621</v>
      </c>
      <c r="CN81" s="10" t="n">
        <f aca="false">CN$78-CN$79-CN$80</f>
        <v>157775.101129621</v>
      </c>
      <c r="CO81" s="10" t="n">
        <f aca="false">CO$78-CO$79-CO$80</f>
        <v>157775.101129621</v>
      </c>
      <c r="CP81" s="10" t="n">
        <f aca="false">CP$78-CP$79-CP$80</f>
        <v>157775.101129621</v>
      </c>
      <c r="CQ81" s="10" t="n">
        <f aca="false">CQ$78-CQ$79-CQ$80</f>
        <v>157775.101129621</v>
      </c>
      <c r="CR81" s="10" t="n">
        <f aca="false">CR$78-CR$79-CR$80</f>
        <v>157775.101129621</v>
      </c>
      <c r="CS81" s="10" t="n">
        <f aca="false">CS$78-CS$79-CS$80</f>
        <v>157775.101129621</v>
      </c>
      <c r="CT81" s="10" t="n">
        <f aca="false">CT$78-CT$79-CT$80</f>
        <v>157775.101129621</v>
      </c>
      <c r="CU81" s="10" t="n">
        <f aca="false">CU$78-CU$79-CU$80</f>
        <v>157775.101129621</v>
      </c>
      <c r="CV81" s="10" t="n">
        <f aca="false">CV$78-CV$79-CV$80</f>
        <v>157775.101129621</v>
      </c>
      <c r="CW81" s="10" t="n">
        <f aca="false">CW$78-CW$79-CW$80</f>
        <v>157775.101129621</v>
      </c>
      <c r="CX81" s="10" t="n">
        <f aca="false">CX$78-CX$79-CX$80</f>
        <v>161947.012232241</v>
      </c>
      <c r="CY81" s="10" t="n">
        <f aca="false">CY$78-CY$79-CY$80</f>
        <v>161947.012232241</v>
      </c>
      <c r="CZ81" s="10" t="n">
        <f aca="false">CZ$78-CZ$79-CZ$80</f>
        <v>161947.012232241</v>
      </c>
      <c r="DA81" s="10" t="n">
        <f aca="false">DA$78-DA$79-DA$80</f>
        <v>161947.012232241</v>
      </c>
      <c r="DB81" s="10" t="n">
        <f aca="false">DB$78-DB$79-DB$80</f>
        <v>161947.012232241</v>
      </c>
      <c r="DC81" s="10" t="n">
        <f aca="false">DC$78-DC$79-DC$80</f>
        <v>161947.012232241</v>
      </c>
      <c r="DD81" s="10" t="n">
        <f aca="false">DD$78-DD$79-DD$80</f>
        <v>161947.012232241</v>
      </c>
      <c r="DE81" s="10" t="n">
        <f aca="false">DE$78-DE$79-DE$80</f>
        <v>161947.012232241</v>
      </c>
      <c r="DF81" s="10" t="n">
        <f aca="false">DF$78-DF$79-DF$80</f>
        <v>161947.012232241</v>
      </c>
      <c r="DG81" s="10" t="n">
        <f aca="false">DG$78-DG$79-DG$80</f>
        <v>161947.012232241</v>
      </c>
      <c r="DH81" s="10" t="n">
        <f aca="false">DH$78-DH$79-DH$80</f>
        <v>161947.012232241</v>
      </c>
      <c r="DI81" s="10" t="n">
        <f aca="false">DI$78-DI$79-DI$80</f>
        <v>161947.012232241</v>
      </c>
      <c r="DJ81" s="10" t="n">
        <f aca="false">DJ$78-DJ$79-DJ$80</f>
        <v>166146.925698419</v>
      </c>
      <c r="DK81" s="10" t="n">
        <f aca="false">DK$78-DK$79-DK$80</f>
        <v>166146.925698419</v>
      </c>
      <c r="DL81" s="10" t="n">
        <f aca="false">DL$78-DL$79-DL$80</f>
        <v>166146.925698419</v>
      </c>
      <c r="DM81" s="10" t="n">
        <f aca="false">DM$78-DM$79-DM$80</f>
        <v>166146.925698419</v>
      </c>
      <c r="DN81" s="10" t="n">
        <f aca="false">DN$78-DN$79-DN$80</f>
        <v>166146.925698419</v>
      </c>
      <c r="DO81" s="10" t="n">
        <f aca="false">DO$78-DO$79-DO$80</f>
        <v>166146.925698419</v>
      </c>
      <c r="DP81" s="10" t="n">
        <f aca="false">DP$78-DP$79-DP$80</f>
        <v>166146.925698419</v>
      </c>
      <c r="DQ81" s="10" t="n">
        <f aca="false">DQ$78-DQ$79-DQ$80</f>
        <v>166146.925698419</v>
      </c>
      <c r="DR81" s="10" t="n">
        <f aca="false">DR$78-DR$79-DR$80</f>
        <v>166146.925698419</v>
      </c>
      <c r="DS81" s="10" t="n">
        <f aca="false">DS$78-DS$79-DS$80</f>
        <v>166146.925698419</v>
      </c>
      <c r="DT81" s="10" t="n">
        <f aca="false">DT$78-DT$79-DT$80</f>
        <v>166146.925698419</v>
      </c>
      <c r="DU81" s="10" t="n">
        <f aca="false">DU$78-DU$79-DU$80</f>
        <v>166146.925698419</v>
      </c>
      <c r="DV81" s="10" t="n">
        <f aca="false">DV$78-DV$79-DV$80</f>
        <v>0</v>
      </c>
      <c r="DW81" s="10" t="n">
        <f aca="false">DW$78-DW$79-DW$80</f>
        <v>0</v>
      </c>
      <c r="DX81" s="10" t="n">
        <f aca="false">DX$78-DX$79-DX$80</f>
        <v>0</v>
      </c>
      <c r="DY81" s="10" t="n">
        <f aca="false">DY$78-DY$79-DY$80</f>
        <v>0</v>
      </c>
      <c r="DZ81" s="10" t="n">
        <f aca="false">DZ$78-DZ$79-DZ$80</f>
        <v>0</v>
      </c>
      <c r="EA81" s="10" t="n">
        <f aca="false">EA$78-EA$79-EA$80</f>
        <v>0</v>
      </c>
      <c r="EB81" s="10" t="n">
        <f aca="false">EB$78-EB$79-EB$80</f>
        <v>0</v>
      </c>
      <c r="EC81" s="10" t="n">
        <f aca="false">EC$78-EC$79-EC$80</f>
        <v>0</v>
      </c>
      <c r="ED81" s="10" t="n">
        <f aca="false">ED$78-ED$79-ED$80</f>
        <v>0</v>
      </c>
      <c r="EE81" s="10" t="n">
        <f aca="false">EE$78-EE$79-EE$80</f>
        <v>0</v>
      </c>
      <c r="EF81" s="10" t="n">
        <f aca="false">EF$78-EF$79-EF$80</f>
        <v>0</v>
      </c>
      <c r="EG81" s="10" t="n">
        <f aca="false">EG$78-EG$79-EG$80</f>
        <v>0</v>
      </c>
      <c r="EH81" s="10" t="n">
        <f aca="false">EH$78-EH$79-EH$80</f>
        <v>0</v>
      </c>
      <c r="EI81" s="10" t="n">
        <f aca="false">EI$78-EI$79-EI$80</f>
        <v>0</v>
      </c>
      <c r="EJ81" s="10" t="n">
        <f aca="false">EJ$78-EJ$79-EJ$80</f>
        <v>0</v>
      </c>
      <c r="EK81" s="10" t="n">
        <f aca="false">EK$78-EK$79-EK$80</f>
        <v>0</v>
      </c>
      <c r="EL81" s="10" t="n">
        <f aca="false">EL$78-EL$79-EL$80</f>
        <v>0</v>
      </c>
      <c r="EM81" s="10" t="n">
        <f aca="false">EM$78-EM$79-EM$80</f>
        <v>0</v>
      </c>
      <c r="EN81" s="10" t="n">
        <f aca="false">EN$78-EN$79-EN$80</f>
        <v>0</v>
      </c>
      <c r="EO81" s="10" t="n">
        <f aca="false">EO$78-EO$79-EO$80</f>
        <v>0</v>
      </c>
      <c r="EP81" s="10" t="n">
        <f aca="false">EP$78-EP$79-EP$80</f>
        <v>0</v>
      </c>
      <c r="EQ81" s="10" t="n">
        <f aca="false">EQ$78-EQ$79-EQ$80</f>
        <v>0</v>
      </c>
      <c r="ER81" s="10" t="n">
        <f aca="false">ER$78-ER$79-ER$80</f>
        <v>0</v>
      </c>
      <c r="ES81" s="10" t="n">
        <f aca="false">ES$78-ES$79-ES$80</f>
        <v>0</v>
      </c>
    </row>
    <row r="82" customFormat="false" ht="15" hidden="false" customHeight="false" outlineLevel="0" collapsed="false">
      <c r="A82" s="4"/>
      <c r="B82" s="3" t="s">
        <v>652</v>
      </c>
      <c r="C82" s="4"/>
      <c r="D82" s="4"/>
      <c r="E82" s="4"/>
    </row>
    <row r="83" customFormat="false" ht="15" hidden="false" customHeight="false" outlineLevel="0" collapsed="false">
      <c r="A83" s="2" t="s">
        <v>653</v>
      </c>
      <c r="B83" s="6" t="s">
        <v>654</v>
      </c>
      <c r="C83" s="6" t="s">
        <v>250</v>
      </c>
      <c r="E83" s="40" t="n">
        <f aca="false">INDEX(F83:ES83,1,MIN(144,Fin))</f>
        <v>3031156.22423972</v>
      </c>
      <c r="F83" s="34" t="n">
        <f aca="false">IF(1&gt;Fin,0,F$45*P_DSO/DiasMes)</f>
        <v>1594520.54794521</v>
      </c>
      <c r="G83" s="34" t="n">
        <f aca="false">IF(2&gt;Fin,F$83,G$45*P_DSO/DiasMes)</f>
        <v>1594520.54794521</v>
      </c>
      <c r="H83" s="34" t="n">
        <f aca="false">IF(3&gt;Fin,G$83,H$45*P_DSO/DiasMes)</f>
        <v>1594520.54794521</v>
      </c>
      <c r="I83" s="34" t="n">
        <f aca="false">IF(4&gt;Fin,H$83,I$45*P_DSO/DiasMes)</f>
        <v>1594520.54794521</v>
      </c>
      <c r="J83" s="34" t="n">
        <f aca="false">IF(5&gt;Fin,I$83,J$45*P_DSO/DiasMes)</f>
        <v>1594520.54794521</v>
      </c>
      <c r="K83" s="34" t="n">
        <f aca="false">IF(6&gt;Fin,J$83,K$45*P_DSO/DiasMes)</f>
        <v>1594520.54794521</v>
      </c>
      <c r="L83" s="34" t="n">
        <f aca="false">IF(7&gt;Fin,K$83,L$45*P_DSO/DiasMes)</f>
        <v>1594520.54794521</v>
      </c>
      <c r="M83" s="34" t="n">
        <f aca="false">IF(8&gt;Fin,L$83,M$45*P_DSO/DiasMes)</f>
        <v>1594520.54794521</v>
      </c>
      <c r="N83" s="34" t="n">
        <f aca="false">IF(9&gt;Fin,M$83,N$45*P_DSO/DiasMes)</f>
        <v>1594520.54794521</v>
      </c>
      <c r="O83" s="34" t="n">
        <f aca="false">IF(10&gt;Fin,N$83,O$45*P_DSO/DiasMes)</f>
        <v>1594520.54794521</v>
      </c>
      <c r="P83" s="34" t="n">
        <f aca="false">IF(11&gt;Fin,O$83,P$45*P_DSO/DiasMes)</f>
        <v>1594520.54794521</v>
      </c>
      <c r="Q83" s="34" t="n">
        <f aca="false">IF(12&gt;Fin,P$83,Q$45*P_DSO/DiasMes)</f>
        <v>1594520.54794521</v>
      </c>
      <c r="R83" s="34" t="n">
        <f aca="false">IF(13&gt;Fin,Q$83,R$45*P_DSO/DiasMes)</f>
        <v>2032175.34246575</v>
      </c>
      <c r="S83" s="34" t="n">
        <f aca="false">IF(14&gt;Fin,R$83,S$45*P_DSO/DiasMes)</f>
        <v>2032175.34246575</v>
      </c>
      <c r="T83" s="34" t="n">
        <f aca="false">IF(15&gt;Fin,S$83,T$45*P_DSO/DiasMes)</f>
        <v>2032175.34246575</v>
      </c>
      <c r="U83" s="34" t="n">
        <f aca="false">IF(16&gt;Fin,T$83,U$45*P_DSO/DiasMes)</f>
        <v>2032175.34246575</v>
      </c>
      <c r="V83" s="34" t="n">
        <f aca="false">IF(17&gt;Fin,U$83,V$45*P_DSO/DiasMes)</f>
        <v>2032175.34246575</v>
      </c>
      <c r="W83" s="34" t="n">
        <f aca="false">IF(18&gt;Fin,V$83,W$45*P_DSO/DiasMes)</f>
        <v>2032175.34246575</v>
      </c>
      <c r="X83" s="34" t="n">
        <f aca="false">IF(19&gt;Fin,W$83,X$45*P_DSO/DiasMes)</f>
        <v>2032175.34246575</v>
      </c>
      <c r="Y83" s="34" t="n">
        <f aca="false">IF(20&gt;Fin,X$83,Y$45*P_DSO/DiasMes)</f>
        <v>2032175.34246575</v>
      </c>
      <c r="Z83" s="34" t="n">
        <f aca="false">IF(21&gt;Fin,Y$83,Z$45*P_DSO/DiasMes)</f>
        <v>2032175.34246575</v>
      </c>
      <c r="AA83" s="34" t="n">
        <f aca="false">IF(22&gt;Fin,Z$83,AA$45*P_DSO/DiasMes)</f>
        <v>2032175.34246575</v>
      </c>
      <c r="AB83" s="34" t="n">
        <f aca="false">IF(23&gt;Fin,AA$83,AB$45*P_DSO/DiasMes)</f>
        <v>2032175.34246575</v>
      </c>
      <c r="AC83" s="34" t="n">
        <f aca="false">IF(24&gt;Fin,AB$83,AC$45*P_DSO/DiasMes)</f>
        <v>2032175.34246575</v>
      </c>
      <c r="AD83" s="34" t="n">
        <f aca="false">IF(25&gt;Fin,AC$83,AD$45*P_DSO/DiasMes)</f>
        <v>2478423.78082192</v>
      </c>
      <c r="AE83" s="34" t="n">
        <f aca="false">IF(26&gt;Fin,AD$83,AE$45*P_DSO/DiasMes)</f>
        <v>2478423.78082192</v>
      </c>
      <c r="AF83" s="34" t="n">
        <f aca="false">IF(27&gt;Fin,AE$83,AF$45*P_DSO/DiasMes)</f>
        <v>2478423.78082192</v>
      </c>
      <c r="AG83" s="34" t="n">
        <f aca="false">IF(28&gt;Fin,AF$83,AG$45*P_DSO/DiasMes)</f>
        <v>2478423.78082192</v>
      </c>
      <c r="AH83" s="34" t="n">
        <f aca="false">IF(29&gt;Fin,AG$83,AH$45*P_DSO/DiasMes)</f>
        <v>2478423.78082192</v>
      </c>
      <c r="AI83" s="34" t="n">
        <f aca="false">IF(30&gt;Fin,AH$83,AI$45*P_DSO/DiasMes)</f>
        <v>2478423.78082192</v>
      </c>
      <c r="AJ83" s="34" t="n">
        <f aca="false">IF(31&gt;Fin,AI$83,AJ$45*P_DSO/DiasMes)</f>
        <v>2478423.78082192</v>
      </c>
      <c r="AK83" s="34" t="n">
        <f aca="false">IF(32&gt;Fin,AJ$83,AK$45*P_DSO/DiasMes)</f>
        <v>2478423.78082192</v>
      </c>
      <c r="AL83" s="34" t="n">
        <f aca="false">IF(33&gt;Fin,AK$83,AL$45*P_DSO/DiasMes)</f>
        <v>2478423.78082192</v>
      </c>
      <c r="AM83" s="34" t="n">
        <f aca="false">IF(34&gt;Fin,AL$83,AM$45*P_DSO/DiasMes)</f>
        <v>2478423.78082192</v>
      </c>
      <c r="AN83" s="34" t="n">
        <f aca="false">IF(35&gt;Fin,AM$83,AN$45*P_DSO/DiasMes)</f>
        <v>2478423.78082192</v>
      </c>
      <c r="AO83" s="34" t="n">
        <f aca="false">IF(36&gt;Fin,AN$83,AO$45*P_DSO/DiasMes)</f>
        <v>2478423.78082192</v>
      </c>
      <c r="AP83" s="34" t="n">
        <f aca="false">IF(37&gt;Fin,AO$83,AP$45*P_DSO/DiasMes)</f>
        <v>2855486.27835616</v>
      </c>
      <c r="AQ83" s="34" t="n">
        <f aca="false">IF(38&gt;Fin,AP$83,AQ$45*P_DSO/DiasMes)</f>
        <v>2855486.27835616</v>
      </c>
      <c r="AR83" s="34" t="n">
        <f aca="false">IF(39&gt;Fin,AQ$83,AR$45*P_DSO/DiasMes)</f>
        <v>2855486.27835616</v>
      </c>
      <c r="AS83" s="34" t="n">
        <f aca="false">IF(40&gt;Fin,AR$83,AS$45*P_DSO/DiasMes)</f>
        <v>2855486.27835616</v>
      </c>
      <c r="AT83" s="34" t="n">
        <f aca="false">IF(41&gt;Fin,AS$83,AT$45*P_DSO/DiasMes)</f>
        <v>2855486.27835616</v>
      </c>
      <c r="AU83" s="34" t="n">
        <f aca="false">IF(42&gt;Fin,AT$83,AU$45*P_DSO/DiasMes)</f>
        <v>2855486.27835616</v>
      </c>
      <c r="AV83" s="34" t="n">
        <f aca="false">IF(43&gt;Fin,AU$83,AV$45*P_DSO/DiasMes)</f>
        <v>2855486.27835616</v>
      </c>
      <c r="AW83" s="34" t="n">
        <f aca="false">IF(44&gt;Fin,AV$83,AW$45*P_DSO/DiasMes)</f>
        <v>2855486.27835616</v>
      </c>
      <c r="AX83" s="34" t="n">
        <f aca="false">IF(45&gt;Fin,AW$83,AX$45*P_DSO/DiasMes)</f>
        <v>2855486.27835616</v>
      </c>
      <c r="AY83" s="34" t="n">
        <f aca="false">IF(46&gt;Fin,AX$83,AY$45*P_DSO/DiasMes)</f>
        <v>2855486.27835616</v>
      </c>
      <c r="AZ83" s="34" t="n">
        <f aca="false">IF(47&gt;Fin,AY$83,AZ$45*P_DSO/DiasMes)</f>
        <v>2855486.27835616</v>
      </c>
      <c r="BA83" s="34" t="n">
        <f aca="false">IF(48&gt;Fin,AZ$83,BA$45*P_DSO/DiasMes)</f>
        <v>2855486.27835616</v>
      </c>
      <c r="BB83" s="34" t="n">
        <f aca="false">IF(49&gt;Fin,BA$83,BB$45*P_DSO/DiasMes)</f>
        <v>2884041.14113973</v>
      </c>
      <c r="BC83" s="34" t="n">
        <f aca="false">IF(50&gt;Fin,BB$83,BC$45*P_DSO/DiasMes)</f>
        <v>2884041.14113973</v>
      </c>
      <c r="BD83" s="34" t="n">
        <f aca="false">IF(51&gt;Fin,BC$83,BD$45*P_DSO/DiasMes)</f>
        <v>2884041.14113973</v>
      </c>
      <c r="BE83" s="34" t="n">
        <f aca="false">IF(52&gt;Fin,BD$83,BE$45*P_DSO/DiasMes)</f>
        <v>2884041.14113973</v>
      </c>
      <c r="BF83" s="34" t="n">
        <f aca="false">IF(53&gt;Fin,BE$83,BF$45*P_DSO/DiasMes)</f>
        <v>2884041.14113973</v>
      </c>
      <c r="BG83" s="34" t="n">
        <f aca="false">IF(54&gt;Fin,BF$83,BG$45*P_DSO/DiasMes)</f>
        <v>2884041.14113973</v>
      </c>
      <c r="BH83" s="34" t="n">
        <f aca="false">IF(55&gt;Fin,BG$83,BH$45*P_DSO/DiasMes)</f>
        <v>2884041.14113973</v>
      </c>
      <c r="BI83" s="34" t="n">
        <f aca="false">IF(56&gt;Fin,BH$83,BI$45*P_DSO/DiasMes)</f>
        <v>2884041.14113973</v>
      </c>
      <c r="BJ83" s="34" t="n">
        <f aca="false">IF(57&gt;Fin,BI$83,BJ$45*P_DSO/DiasMes)</f>
        <v>2884041.14113973</v>
      </c>
      <c r="BK83" s="34" t="n">
        <f aca="false">IF(58&gt;Fin,BJ$83,BK$45*P_DSO/DiasMes)</f>
        <v>2884041.14113973</v>
      </c>
      <c r="BL83" s="34" t="n">
        <f aca="false">IF(59&gt;Fin,BK$83,BL$45*P_DSO/DiasMes)</f>
        <v>2884041.14113973</v>
      </c>
      <c r="BM83" s="34" t="n">
        <f aca="false">IF(60&gt;Fin,BL$83,BM$45*P_DSO/DiasMes)</f>
        <v>2884041.14113973</v>
      </c>
      <c r="BN83" s="34" t="n">
        <f aca="false">IF(61&gt;Fin,BM$83,BN$45*P_DSO/DiasMes)</f>
        <v>2912881.55255112</v>
      </c>
      <c r="BO83" s="34" t="n">
        <f aca="false">IF(62&gt;Fin,BN$83,BO$45*P_DSO/DiasMes)</f>
        <v>2912881.55255112</v>
      </c>
      <c r="BP83" s="34" t="n">
        <f aca="false">IF(63&gt;Fin,BO$83,BP$45*P_DSO/DiasMes)</f>
        <v>2912881.55255112</v>
      </c>
      <c r="BQ83" s="34" t="n">
        <f aca="false">IF(64&gt;Fin,BP$83,BQ$45*P_DSO/DiasMes)</f>
        <v>2912881.55255112</v>
      </c>
      <c r="BR83" s="34" t="n">
        <f aca="false">IF(65&gt;Fin,BQ$83,BR$45*P_DSO/DiasMes)</f>
        <v>2912881.55255112</v>
      </c>
      <c r="BS83" s="34" t="n">
        <f aca="false">IF(66&gt;Fin,BR$83,BS$45*P_DSO/DiasMes)</f>
        <v>2912881.55255112</v>
      </c>
      <c r="BT83" s="34" t="n">
        <f aca="false">IF(67&gt;Fin,BS$83,BT$45*P_DSO/DiasMes)</f>
        <v>2912881.55255112</v>
      </c>
      <c r="BU83" s="34" t="n">
        <f aca="false">IF(68&gt;Fin,BT$83,BU$45*P_DSO/DiasMes)</f>
        <v>2912881.55255112</v>
      </c>
      <c r="BV83" s="34" t="n">
        <f aca="false">IF(69&gt;Fin,BU$83,BV$45*P_DSO/DiasMes)</f>
        <v>2912881.55255112</v>
      </c>
      <c r="BW83" s="34" t="n">
        <f aca="false">IF(70&gt;Fin,BV$83,BW$45*P_DSO/DiasMes)</f>
        <v>2912881.55255112</v>
      </c>
      <c r="BX83" s="34" t="n">
        <f aca="false">IF(71&gt;Fin,BW$83,BX$45*P_DSO/DiasMes)</f>
        <v>2912881.55255112</v>
      </c>
      <c r="BY83" s="34" t="n">
        <f aca="false">IF(72&gt;Fin,BX$83,BY$45*P_DSO/DiasMes)</f>
        <v>2912881.55255112</v>
      </c>
      <c r="BZ83" s="34" t="n">
        <f aca="false">IF(73&gt;Fin,BY$83,BZ$45*P_DSO/DiasMes)</f>
        <v>2942010.36807663</v>
      </c>
      <c r="CA83" s="34" t="n">
        <f aca="false">IF(74&gt;Fin,BZ$83,CA$45*P_DSO/DiasMes)</f>
        <v>2942010.36807663</v>
      </c>
      <c r="CB83" s="34" t="n">
        <f aca="false">IF(75&gt;Fin,CA$83,CB$45*P_DSO/DiasMes)</f>
        <v>2942010.36807663</v>
      </c>
      <c r="CC83" s="34" t="n">
        <f aca="false">IF(76&gt;Fin,CB$83,CC$45*P_DSO/DiasMes)</f>
        <v>2942010.36807663</v>
      </c>
      <c r="CD83" s="34" t="n">
        <f aca="false">IF(77&gt;Fin,CC$83,CD$45*P_DSO/DiasMes)</f>
        <v>2942010.36807663</v>
      </c>
      <c r="CE83" s="34" t="n">
        <f aca="false">IF(78&gt;Fin,CD$83,CE$45*P_DSO/DiasMes)</f>
        <v>2942010.36807663</v>
      </c>
      <c r="CF83" s="34" t="n">
        <f aca="false">IF(79&gt;Fin,CE$83,CF$45*P_DSO/DiasMes)</f>
        <v>2942010.36807663</v>
      </c>
      <c r="CG83" s="34" t="n">
        <f aca="false">IF(80&gt;Fin,CF$83,CG$45*P_DSO/DiasMes)</f>
        <v>2942010.36807663</v>
      </c>
      <c r="CH83" s="34" t="n">
        <f aca="false">IF(81&gt;Fin,CG$83,CH$45*P_DSO/DiasMes)</f>
        <v>2942010.36807663</v>
      </c>
      <c r="CI83" s="34" t="n">
        <f aca="false">IF(82&gt;Fin,CH$83,CI$45*P_DSO/DiasMes)</f>
        <v>2942010.36807663</v>
      </c>
      <c r="CJ83" s="34" t="n">
        <f aca="false">IF(83&gt;Fin,CI$83,CJ$45*P_DSO/DiasMes)</f>
        <v>2942010.36807663</v>
      </c>
      <c r="CK83" s="34" t="n">
        <f aca="false">IF(84&gt;Fin,CJ$83,CK$45*P_DSO/DiasMes)</f>
        <v>2942010.36807663</v>
      </c>
      <c r="CL83" s="34" t="n">
        <f aca="false">IF(85&gt;Fin,CK$83,CL$45*P_DSO/DiasMes)</f>
        <v>2971430.4717574</v>
      </c>
      <c r="CM83" s="34" t="n">
        <f aca="false">IF(86&gt;Fin,CL$83,CM$45*P_DSO/DiasMes)</f>
        <v>2971430.4717574</v>
      </c>
      <c r="CN83" s="34" t="n">
        <f aca="false">IF(87&gt;Fin,CM$83,CN$45*P_DSO/DiasMes)</f>
        <v>2971430.4717574</v>
      </c>
      <c r="CO83" s="34" t="n">
        <f aca="false">IF(88&gt;Fin,CN$83,CO$45*P_DSO/DiasMes)</f>
        <v>2971430.4717574</v>
      </c>
      <c r="CP83" s="34" t="n">
        <f aca="false">IF(89&gt;Fin,CO$83,CP$45*P_DSO/DiasMes)</f>
        <v>2971430.4717574</v>
      </c>
      <c r="CQ83" s="34" t="n">
        <f aca="false">IF(90&gt;Fin,CP$83,CQ$45*P_DSO/DiasMes)</f>
        <v>2971430.4717574</v>
      </c>
      <c r="CR83" s="34" t="n">
        <f aca="false">IF(91&gt;Fin,CQ$83,CR$45*P_DSO/DiasMes)</f>
        <v>2971430.4717574</v>
      </c>
      <c r="CS83" s="34" t="n">
        <f aca="false">IF(92&gt;Fin,CR$83,CS$45*P_DSO/DiasMes)</f>
        <v>2971430.4717574</v>
      </c>
      <c r="CT83" s="34" t="n">
        <f aca="false">IF(93&gt;Fin,CS$83,CT$45*P_DSO/DiasMes)</f>
        <v>2971430.4717574</v>
      </c>
      <c r="CU83" s="34" t="n">
        <f aca="false">IF(94&gt;Fin,CT$83,CU$45*P_DSO/DiasMes)</f>
        <v>2971430.4717574</v>
      </c>
      <c r="CV83" s="34" t="n">
        <f aca="false">IF(95&gt;Fin,CU$83,CV$45*P_DSO/DiasMes)</f>
        <v>2971430.4717574</v>
      </c>
      <c r="CW83" s="34" t="n">
        <f aca="false">IF(96&gt;Fin,CV$83,CW$45*P_DSO/DiasMes)</f>
        <v>2971430.4717574</v>
      </c>
      <c r="CX83" s="34" t="n">
        <f aca="false">IF(97&gt;Fin,CW$83,CX$45*P_DSO/DiasMes)</f>
        <v>3001144.77647497</v>
      </c>
      <c r="CY83" s="34" t="n">
        <f aca="false">IF(98&gt;Fin,CX$83,CY$45*P_DSO/DiasMes)</f>
        <v>3001144.77647497</v>
      </c>
      <c r="CZ83" s="34" t="n">
        <f aca="false">IF(99&gt;Fin,CY$83,CZ$45*P_DSO/DiasMes)</f>
        <v>3001144.77647497</v>
      </c>
      <c r="DA83" s="34" t="n">
        <f aca="false">IF(100&gt;Fin,CZ$83,DA$45*P_DSO/DiasMes)</f>
        <v>3001144.77647497</v>
      </c>
      <c r="DB83" s="34" t="n">
        <f aca="false">IF(101&gt;Fin,DA$83,DB$45*P_DSO/DiasMes)</f>
        <v>3001144.77647497</v>
      </c>
      <c r="DC83" s="34" t="n">
        <f aca="false">IF(102&gt;Fin,DB$83,DC$45*P_DSO/DiasMes)</f>
        <v>3001144.77647497</v>
      </c>
      <c r="DD83" s="34" t="n">
        <f aca="false">IF(103&gt;Fin,DC$83,DD$45*P_DSO/DiasMes)</f>
        <v>3001144.77647497</v>
      </c>
      <c r="DE83" s="34" t="n">
        <f aca="false">IF(104&gt;Fin,DD$83,DE$45*P_DSO/DiasMes)</f>
        <v>3001144.77647497</v>
      </c>
      <c r="DF83" s="34" t="n">
        <f aca="false">IF(105&gt;Fin,DE$83,DF$45*P_DSO/DiasMes)</f>
        <v>3001144.77647497</v>
      </c>
      <c r="DG83" s="34" t="n">
        <f aca="false">IF(106&gt;Fin,DF$83,DG$45*P_DSO/DiasMes)</f>
        <v>3001144.77647497</v>
      </c>
      <c r="DH83" s="34" t="n">
        <f aca="false">IF(107&gt;Fin,DG$83,DH$45*P_DSO/DiasMes)</f>
        <v>3001144.77647497</v>
      </c>
      <c r="DI83" s="34" t="n">
        <f aca="false">IF(108&gt;Fin,DH$83,DI$45*P_DSO/DiasMes)</f>
        <v>3001144.77647497</v>
      </c>
      <c r="DJ83" s="34" t="n">
        <f aca="false">IF(109&gt;Fin,DI$83,DJ$45*P_DSO/DiasMes)</f>
        <v>3031156.22423972</v>
      </c>
      <c r="DK83" s="34" t="n">
        <f aca="false">IF(110&gt;Fin,DJ$83,DK$45*P_DSO/DiasMes)</f>
        <v>3031156.22423972</v>
      </c>
      <c r="DL83" s="34" t="n">
        <f aca="false">IF(111&gt;Fin,DK$83,DL$45*P_DSO/DiasMes)</f>
        <v>3031156.22423972</v>
      </c>
      <c r="DM83" s="34" t="n">
        <f aca="false">IF(112&gt;Fin,DL$83,DM$45*P_DSO/DiasMes)</f>
        <v>3031156.22423972</v>
      </c>
      <c r="DN83" s="34" t="n">
        <f aca="false">IF(113&gt;Fin,DM$83,DN$45*P_DSO/DiasMes)</f>
        <v>3031156.22423972</v>
      </c>
      <c r="DO83" s="34" t="n">
        <f aca="false">IF(114&gt;Fin,DN$83,DO$45*P_DSO/DiasMes)</f>
        <v>3031156.22423972</v>
      </c>
      <c r="DP83" s="34" t="n">
        <f aca="false">IF(115&gt;Fin,DO$83,DP$45*P_DSO/DiasMes)</f>
        <v>3031156.22423972</v>
      </c>
      <c r="DQ83" s="34" t="n">
        <f aca="false">IF(116&gt;Fin,DP$83,DQ$45*P_DSO/DiasMes)</f>
        <v>3031156.22423972</v>
      </c>
      <c r="DR83" s="34" t="n">
        <f aca="false">IF(117&gt;Fin,DQ$83,DR$45*P_DSO/DiasMes)</f>
        <v>3031156.22423972</v>
      </c>
      <c r="DS83" s="34" t="n">
        <f aca="false">IF(118&gt;Fin,DR$83,DS$45*P_DSO/DiasMes)</f>
        <v>3031156.22423972</v>
      </c>
      <c r="DT83" s="34" t="n">
        <f aca="false">IF(119&gt;Fin,DS$83,DT$45*P_DSO/DiasMes)</f>
        <v>3031156.22423972</v>
      </c>
      <c r="DU83" s="34" t="n">
        <f aca="false">IF(120&gt;Fin,DT$83,DU$45*P_DSO/DiasMes)</f>
        <v>3031156.22423972</v>
      </c>
      <c r="DV83" s="34" t="n">
        <f aca="false">IF(121&gt;Fin,DU$83,DV$45*P_DSO/DiasMes)</f>
        <v>3031156.22423972</v>
      </c>
      <c r="DW83" s="34" t="n">
        <f aca="false">IF(122&gt;Fin,DV$83,DW$45*P_DSO/DiasMes)</f>
        <v>3031156.22423972</v>
      </c>
      <c r="DX83" s="34" t="n">
        <f aca="false">IF(123&gt;Fin,DW$83,DX$45*P_DSO/DiasMes)</f>
        <v>3031156.22423972</v>
      </c>
      <c r="DY83" s="34" t="n">
        <f aca="false">IF(124&gt;Fin,DX$83,DY$45*P_DSO/DiasMes)</f>
        <v>3031156.22423972</v>
      </c>
      <c r="DZ83" s="34" t="n">
        <f aca="false">IF(125&gt;Fin,DY$83,DZ$45*P_DSO/DiasMes)</f>
        <v>3031156.22423972</v>
      </c>
      <c r="EA83" s="34" t="n">
        <f aca="false">IF(126&gt;Fin,DZ$83,EA$45*P_DSO/DiasMes)</f>
        <v>3031156.22423972</v>
      </c>
      <c r="EB83" s="34" t="n">
        <f aca="false">IF(127&gt;Fin,EA$83,EB$45*P_DSO/DiasMes)</f>
        <v>3031156.22423972</v>
      </c>
      <c r="EC83" s="34" t="n">
        <f aca="false">IF(128&gt;Fin,EB$83,EC$45*P_DSO/DiasMes)</f>
        <v>3031156.22423972</v>
      </c>
      <c r="ED83" s="34" t="n">
        <f aca="false">IF(129&gt;Fin,EC$83,ED$45*P_DSO/DiasMes)</f>
        <v>3031156.22423972</v>
      </c>
      <c r="EE83" s="34" t="n">
        <f aca="false">IF(130&gt;Fin,ED$83,EE$45*P_DSO/DiasMes)</f>
        <v>3031156.22423972</v>
      </c>
      <c r="EF83" s="34" t="n">
        <f aca="false">IF(131&gt;Fin,EE$83,EF$45*P_DSO/DiasMes)</f>
        <v>3031156.22423972</v>
      </c>
      <c r="EG83" s="34" t="n">
        <f aca="false">IF(132&gt;Fin,EF$83,EG$45*P_DSO/DiasMes)</f>
        <v>3031156.22423972</v>
      </c>
      <c r="EH83" s="34" t="n">
        <f aca="false">IF(133&gt;Fin,EG$83,EH$45*P_DSO/DiasMes)</f>
        <v>3031156.22423972</v>
      </c>
      <c r="EI83" s="34" t="n">
        <f aca="false">IF(134&gt;Fin,EH$83,EI$45*P_DSO/DiasMes)</f>
        <v>3031156.22423972</v>
      </c>
      <c r="EJ83" s="34" t="n">
        <f aca="false">IF(135&gt;Fin,EI$83,EJ$45*P_DSO/DiasMes)</f>
        <v>3031156.22423972</v>
      </c>
      <c r="EK83" s="34" t="n">
        <f aca="false">IF(136&gt;Fin,EJ$83,EK$45*P_DSO/DiasMes)</f>
        <v>3031156.22423972</v>
      </c>
      <c r="EL83" s="34" t="n">
        <f aca="false">IF(137&gt;Fin,EK$83,EL$45*P_DSO/DiasMes)</f>
        <v>3031156.22423972</v>
      </c>
      <c r="EM83" s="34" t="n">
        <f aca="false">IF(138&gt;Fin,EL$83,EM$45*P_DSO/DiasMes)</f>
        <v>3031156.22423972</v>
      </c>
      <c r="EN83" s="34" t="n">
        <f aca="false">IF(139&gt;Fin,EM$83,EN$45*P_DSO/DiasMes)</f>
        <v>3031156.22423972</v>
      </c>
      <c r="EO83" s="34" t="n">
        <f aca="false">IF(140&gt;Fin,EN$83,EO$45*P_DSO/DiasMes)</f>
        <v>3031156.22423972</v>
      </c>
      <c r="EP83" s="34" t="n">
        <f aca="false">IF(141&gt;Fin,EO$83,EP$45*P_DSO/DiasMes)</f>
        <v>3031156.22423972</v>
      </c>
      <c r="EQ83" s="34" t="n">
        <f aca="false">IF(142&gt;Fin,EP$83,EQ$45*P_DSO/DiasMes)</f>
        <v>3031156.22423972</v>
      </c>
      <c r="ER83" s="34" t="n">
        <f aca="false">IF(143&gt;Fin,EQ$83,ER$45*P_DSO/DiasMes)</f>
        <v>3031156.22423972</v>
      </c>
      <c r="ES83" s="34" t="n">
        <f aca="false">IF(144&gt;Fin,ER$83,ES$45*P_DSO/DiasMes)</f>
        <v>3031156.22423972</v>
      </c>
    </row>
    <row r="84" customFormat="false" ht="15" hidden="false" customHeight="false" outlineLevel="0" collapsed="false">
      <c r="A84" s="2" t="s">
        <v>655</v>
      </c>
      <c r="B84" s="6" t="s">
        <v>523</v>
      </c>
      <c r="C84" s="6" t="s">
        <v>250</v>
      </c>
      <c r="E84" s="40" t="n">
        <f aca="false">INDEX(F84:ES84,1,MIN(144,Fin))</f>
        <v>1626937.98750554</v>
      </c>
      <c r="F84" s="34" t="n">
        <f aca="false">IF(1&gt;Fin,0,F$67*P_DInv/DiasMes+(F$67+F$68+F$69+F$70)*P_DPT/DiasMes)</f>
        <v>892648.832014833</v>
      </c>
      <c r="G84" s="34" t="n">
        <f aca="false">IF(2&gt;Fin,F$84,G$67*P_DInv/DiasMes+(G$67+G$68+G$69+G$70)*P_DPT/DiasMes)</f>
        <v>892648.832014833</v>
      </c>
      <c r="H84" s="34" t="n">
        <f aca="false">IF(3&gt;Fin,G$84,H$67*P_DInv/DiasMes+(H$67+H$68+H$69+H$70)*P_DPT/DiasMes)</f>
        <v>892648.832014833</v>
      </c>
      <c r="I84" s="34" t="n">
        <f aca="false">IF(4&gt;Fin,H$84,I$67*P_DInv/DiasMes+(I$67+I$68+I$69+I$70)*P_DPT/DiasMes)</f>
        <v>892648.832014833</v>
      </c>
      <c r="J84" s="34" t="n">
        <f aca="false">IF(5&gt;Fin,I$84,J$67*P_DInv/DiasMes+(J$67+J$68+J$69+J$70)*P_DPT/DiasMes)</f>
        <v>892648.832014833</v>
      </c>
      <c r="K84" s="34" t="n">
        <f aca="false">IF(6&gt;Fin,J$84,K$67*P_DInv/DiasMes+(K$67+K$68+K$69+K$70)*P_DPT/DiasMes)</f>
        <v>892648.832014833</v>
      </c>
      <c r="L84" s="34" t="n">
        <f aca="false">IF(7&gt;Fin,K$84,L$67*P_DInv/DiasMes+(L$67+L$68+L$69+L$70)*P_DPT/DiasMes)</f>
        <v>892648.832014833</v>
      </c>
      <c r="M84" s="34" t="n">
        <f aca="false">IF(8&gt;Fin,L$84,M$67*P_DInv/DiasMes+(M$67+M$68+M$69+M$70)*P_DPT/DiasMes)</f>
        <v>892648.832014833</v>
      </c>
      <c r="N84" s="34" t="n">
        <f aca="false">IF(9&gt;Fin,M$84,N$67*P_DInv/DiasMes+(N$67+N$68+N$69+N$70)*P_DPT/DiasMes)</f>
        <v>892648.832014833</v>
      </c>
      <c r="O84" s="34" t="n">
        <f aca="false">IF(10&gt;Fin,N$84,O$67*P_DInv/DiasMes+(O$67+O$68+O$69+O$70)*P_DPT/DiasMes)</f>
        <v>892648.832014833</v>
      </c>
      <c r="P84" s="34" t="n">
        <f aca="false">IF(11&gt;Fin,O$84,P$67*P_DInv/DiasMes+(P$67+P$68+P$69+P$70)*P_DPT/DiasMes)</f>
        <v>892648.832014833</v>
      </c>
      <c r="Q84" s="34" t="n">
        <f aca="false">IF(12&gt;Fin,P$84,Q$67*P_DInv/DiasMes+(Q$67+Q$68+Q$69+Q$70)*P_DPT/DiasMes)</f>
        <v>892648.832014833</v>
      </c>
      <c r="R84" s="34" t="n">
        <f aca="false">IF(13&gt;Fin,Q$84,R$67*P_DInv/DiasMes+(R$67+R$68+R$69+R$70)*P_DPT/DiasMes)</f>
        <v>1128877.29036496</v>
      </c>
      <c r="S84" s="34" t="n">
        <f aca="false">IF(14&gt;Fin,R$84,S$67*P_DInv/DiasMes+(S$67+S$68+S$69+S$70)*P_DPT/DiasMes)</f>
        <v>1128877.29036496</v>
      </c>
      <c r="T84" s="34" t="n">
        <f aca="false">IF(15&gt;Fin,S$84,T$67*P_DInv/DiasMes+(T$67+T$68+T$69+T$70)*P_DPT/DiasMes)</f>
        <v>1128877.29036496</v>
      </c>
      <c r="U84" s="34" t="n">
        <f aca="false">IF(16&gt;Fin,T$84,U$67*P_DInv/DiasMes+(U$67+U$68+U$69+U$70)*P_DPT/DiasMes)</f>
        <v>1128877.29036496</v>
      </c>
      <c r="V84" s="34" t="n">
        <f aca="false">IF(17&gt;Fin,U$84,V$67*P_DInv/DiasMes+(V$67+V$68+V$69+V$70)*P_DPT/DiasMes)</f>
        <v>1128877.29036496</v>
      </c>
      <c r="W84" s="34" t="n">
        <f aca="false">IF(18&gt;Fin,V$84,W$67*P_DInv/DiasMes+(W$67+W$68+W$69+W$70)*P_DPT/DiasMes)</f>
        <v>1128877.29036496</v>
      </c>
      <c r="X84" s="34" t="n">
        <f aca="false">IF(19&gt;Fin,W$84,X$67*P_DInv/DiasMes+(X$67+X$68+X$69+X$70)*P_DPT/DiasMes)</f>
        <v>1128877.29036496</v>
      </c>
      <c r="Y84" s="34" t="n">
        <f aca="false">IF(20&gt;Fin,X$84,Y$67*P_DInv/DiasMes+(Y$67+Y$68+Y$69+Y$70)*P_DPT/DiasMes)</f>
        <v>1128877.29036496</v>
      </c>
      <c r="Z84" s="34" t="n">
        <f aca="false">IF(21&gt;Fin,Y$84,Z$67*P_DInv/DiasMes+(Z$67+Z$68+Z$69+Z$70)*P_DPT/DiasMes)</f>
        <v>1128877.29036496</v>
      </c>
      <c r="AA84" s="34" t="n">
        <f aca="false">IF(22&gt;Fin,Z$84,AA$67*P_DInv/DiasMes+(AA$67+AA$68+AA$69+AA$70)*P_DPT/DiasMes)</f>
        <v>1128877.29036496</v>
      </c>
      <c r="AB84" s="34" t="n">
        <f aca="false">IF(23&gt;Fin,AA$84,AB$67*P_DInv/DiasMes+(AB$67+AB$68+AB$69+AB$70)*P_DPT/DiasMes)</f>
        <v>1128877.29036496</v>
      </c>
      <c r="AC84" s="34" t="n">
        <f aca="false">IF(24&gt;Fin,AB$84,AC$67*P_DInv/DiasMes+(AC$67+AC$68+AC$69+AC$70)*P_DPT/DiasMes)</f>
        <v>1128877.29036496</v>
      </c>
      <c r="AD84" s="34" t="n">
        <f aca="false">IF(25&gt;Fin,AC$84,AD$67*P_DInv/DiasMes+(AD$67+AD$68+AD$69+AD$70)*P_DPT/DiasMes)</f>
        <v>1368953.64604567</v>
      </c>
      <c r="AE84" s="34" t="n">
        <f aca="false">IF(26&gt;Fin,AD$84,AE$67*P_DInv/DiasMes+(AE$67+AE$68+AE$69+AE$70)*P_DPT/DiasMes)</f>
        <v>1368953.64604567</v>
      </c>
      <c r="AF84" s="34" t="n">
        <f aca="false">IF(27&gt;Fin,AE$84,AF$67*P_DInv/DiasMes+(AF$67+AF$68+AF$69+AF$70)*P_DPT/DiasMes)</f>
        <v>1368953.64604567</v>
      </c>
      <c r="AG84" s="34" t="n">
        <f aca="false">IF(28&gt;Fin,AF$84,AG$67*P_DInv/DiasMes+(AG$67+AG$68+AG$69+AG$70)*P_DPT/DiasMes)</f>
        <v>1368953.64604567</v>
      </c>
      <c r="AH84" s="34" t="n">
        <f aca="false">IF(29&gt;Fin,AG$84,AH$67*P_DInv/DiasMes+(AH$67+AH$68+AH$69+AH$70)*P_DPT/DiasMes)</f>
        <v>1368953.64604567</v>
      </c>
      <c r="AI84" s="34" t="n">
        <f aca="false">IF(30&gt;Fin,AH$84,AI$67*P_DInv/DiasMes+(AI$67+AI$68+AI$69+AI$70)*P_DPT/DiasMes)</f>
        <v>1368953.64604567</v>
      </c>
      <c r="AJ84" s="34" t="n">
        <f aca="false">IF(31&gt;Fin,AI$84,AJ$67*P_DInv/DiasMes+(AJ$67+AJ$68+AJ$69+AJ$70)*P_DPT/DiasMes)</f>
        <v>1368953.64604567</v>
      </c>
      <c r="AK84" s="34" t="n">
        <f aca="false">IF(32&gt;Fin,AJ$84,AK$67*P_DInv/DiasMes+(AK$67+AK$68+AK$69+AK$70)*P_DPT/DiasMes)</f>
        <v>1368953.64604567</v>
      </c>
      <c r="AL84" s="34" t="n">
        <f aca="false">IF(33&gt;Fin,AK$84,AL$67*P_DInv/DiasMes+(AL$67+AL$68+AL$69+AL$70)*P_DPT/DiasMes)</f>
        <v>1368953.64604567</v>
      </c>
      <c r="AM84" s="34" t="n">
        <f aca="false">IF(34&gt;Fin,AL$84,AM$67*P_DInv/DiasMes+(AM$67+AM$68+AM$69+AM$70)*P_DPT/DiasMes)</f>
        <v>1368953.64604567</v>
      </c>
      <c r="AN84" s="34" t="n">
        <f aca="false">IF(35&gt;Fin,AM$84,AN$67*P_DInv/DiasMes+(AN$67+AN$68+AN$69+AN$70)*P_DPT/DiasMes)</f>
        <v>1368953.64604567</v>
      </c>
      <c r="AO84" s="34" t="n">
        <f aca="false">IF(36&gt;Fin,AN$84,AO$67*P_DInv/DiasMes+(AO$67+AO$68+AO$69+AO$70)*P_DPT/DiasMes)</f>
        <v>1368953.64604567</v>
      </c>
      <c r="AP84" s="34" t="n">
        <f aca="false">IF(37&gt;Fin,AO$84,AP$67*P_DInv/DiasMes+(AP$67+AP$68+AP$69+AP$70)*P_DPT/DiasMes)</f>
        <v>1566231.67971491</v>
      </c>
      <c r="AQ84" s="34" t="n">
        <f aca="false">IF(38&gt;Fin,AP$84,AQ$67*P_DInv/DiasMes+(AQ$67+AQ$68+AQ$69+AQ$70)*P_DPT/DiasMes)</f>
        <v>1566231.67971491</v>
      </c>
      <c r="AR84" s="34" t="n">
        <f aca="false">IF(39&gt;Fin,AQ$84,AR$67*P_DInv/DiasMes+(AR$67+AR$68+AR$69+AR$70)*P_DPT/DiasMes)</f>
        <v>1566231.67971491</v>
      </c>
      <c r="AS84" s="34" t="n">
        <f aca="false">IF(40&gt;Fin,AR$84,AS$67*P_DInv/DiasMes+(AS$67+AS$68+AS$69+AS$70)*P_DPT/DiasMes)</f>
        <v>1566231.67971491</v>
      </c>
      <c r="AT84" s="34" t="n">
        <f aca="false">IF(41&gt;Fin,AS$84,AT$67*P_DInv/DiasMes+(AT$67+AT$68+AT$69+AT$70)*P_DPT/DiasMes)</f>
        <v>1566231.67971491</v>
      </c>
      <c r="AU84" s="34" t="n">
        <f aca="false">IF(42&gt;Fin,AT$84,AU$67*P_DInv/DiasMes+(AU$67+AU$68+AU$69+AU$70)*P_DPT/DiasMes)</f>
        <v>1566231.67971491</v>
      </c>
      <c r="AV84" s="34" t="n">
        <f aca="false">IF(43&gt;Fin,AU$84,AV$67*P_DInv/DiasMes+(AV$67+AV$68+AV$69+AV$70)*P_DPT/DiasMes)</f>
        <v>1566231.67971491</v>
      </c>
      <c r="AW84" s="34" t="n">
        <f aca="false">IF(44&gt;Fin,AV$84,AW$67*P_DInv/DiasMes+(AW$67+AW$68+AW$69+AW$70)*P_DPT/DiasMes)</f>
        <v>1566231.67971491</v>
      </c>
      <c r="AX84" s="34" t="n">
        <f aca="false">IF(45&gt;Fin,AW$84,AX$67*P_DInv/DiasMes+(AX$67+AX$68+AX$69+AX$70)*P_DPT/DiasMes)</f>
        <v>1566231.67971491</v>
      </c>
      <c r="AY84" s="34" t="n">
        <f aca="false">IF(46&gt;Fin,AX$84,AY$67*P_DInv/DiasMes+(AY$67+AY$68+AY$69+AY$70)*P_DPT/DiasMes)</f>
        <v>1566231.67971491</v>
      </c>
      <c r="AZ84" s="34" t="n">
        <f aca="false">IF(47&gt;Fin,AY$84,AZ$67*P_DInv/DiasMes+(AZ$67+AZ$68+AZ$69+AZ$70)*P_DPT/DiasMes)</f>
        <v>1566231.67971491</v>
      </c>
      <c r="BA84" s="34" t="n">
        <f aca="false">IF(48&gt;Fin,AZ$84,BA$67*P_DInv/DiasMes+(BA$67+BA$68+BA$69+BA$70)*P_DPT/DiasMes)</f>
        <v>1566231.67971491</v>
      </c>
      <c r="BB84" s="34" t="n">
        <f aca="false">IF(49&gt;Fin,BA$84,BB$67*P_DInv/DiasMes+(BB$67+BB$68+BB$69+BB$70)*P_DPT/DiasMes)</f>
        <v>1576853.13578562</v>
      </c>
      <c r="BC84" s="34" t="n">
        <f aca="false">IF(50&gt;Fin,BB$84,BC$67*P_DInv/DiasMes+(BC$67+BC$68+BC$69+BC$70)*P_DPT/DiasMes)</f>
        <v>1576853.13578562</v>
      </c>
      <c r="BD84" s="34" t="n">
        <f aca="false">IF(51&gt;Fin,BC$84,BD$67*P_DInv/DiasMes+(BD$67+BD$68+BD$69+BD$70)*P_DPT/DiasMes)</f>
        <v>1576853.13578562</v>
      </c>
      <c r="BE84" s="34" t="n">
        <f aca="false">IF(52&gt;Fin,BD$84,BE$67*P_DInv/DiasMes+(BE$67+BE$68+BE$69+BE$70)*P_DPT/DiasMes)</f>
        <v>1576853.13578562</v>
      </c>
      <c r="BF84" s="34" t="n">
        <f aca="false">IF(53&gt;Fin,BE$84,BF$67*P_DInv/DiasMes+(BF$67+BF$68+BF$69+BF$70)*P_DPT/DiasMes)</f>
        <v>1576853.13578562</v>
      </c>
      <c r="BG84" s="34" t="n">
        <f aca="false">IF(54&gt;Fin,BF$84,BG$67*P_DInv/DiasMes+(BG$67+BG$68+BG$69+BG$70)*P_DPT/DiasMes)</f>
        <v>1576853.13578562</v>
      </c>
      <c r="BH84" s="34" t="n">
        <f aca="false">IF(55&gt;Fin,BG$84,BH$67*P_DInv/DiasMes+(BH$67+BH$68+BH$69+BH$70)*P_DPT/DiasMes)</f>
        <v>1576853.13578562</v>
      </c>
      <c r="BI84" s="34" t="n">
        <f aca="false">IF(56&gt;Fin,BH$84,BI$67*P_DInv/DiasMes+(BI$67+BI$68+BI$69+BI$70)*P_DPT/DiasMes)</f>
        <v>1576853.13578562</v>
      </c>
      <c r="BJ84" s="34" t="n">
        <f aca="false">IF(57&gt;Fin,BI$84,BJ$67*P_DInv/DiasMes+(BJ$67+BJ$68+BJ$69+BJ$70)*P_DPT/DiasMes)</f>
        <v>1576853.13578562</v>
      </c>
      <c r="BK84" s="34" t="n">
        <f aca="false">IF(58&gt;Fin,BJ$84,BK$67*P_DInv/DiasMes+(BK$67+BK$68+BK$69+BK$70)*P_DPT/DiasMes)</f>
        <v>1576853.13578562</v>
      </c>
      <c r="BL84" s="34" t="n">
        <f aca="false">IF(59&gt;Fin,BK$84,BL$67*P_DInv/DiasMes+(BL$67+BL$68+BL$69+BL$70)*P_DPT/DiasMes)</f>
        <v>1576853.13578562</v>
      </c>
      <c r="BM84" s="34" t="n">
        <f aca="false">IF(60&gt;Fin,BL$84,BM$67*P_DInv/DiasMes+(BM$67+BM$68+BM$69+BM$70)*P_DPT/DiasMes)</f>
        <v>1576853.13578562</v>
      </c>
      <c r="BN84" s="34" t="n">
        <f aca="false">IF(61&gt;Fin,BM$84,BN$67*P_DInv/DiasMes+(BN$67+BN$68+BN$69+BN$70)*P_DPT/DiasMes)</f>
        <v>1586671.38637398</v>
      </c>
      <c r="BO84" s="34" t="n">
        <f aca="false">IF(62&gt;Fin,BN$84,BO$67*P_DInv/DiasMes+(BO$67+BO$68+BO$69+BO$70)*P_DPT/DiasMes)</f>
        <v>1586671.38637398</v>
      </c>
      <c r="BP84" s="34" t="n">
        <f aca="false">IF(63&gt;Fin,BO$84,BP$67*P_DInv/DiasMes+(BP$67+BP$68+BP$69+BP$70)*P_DPT/DiasMes)</f>
        <v>1586671.38637398</v>
      </c>
      <c r="BQ84" s="34" t="n">
        <f aca="false">IF(64&gt;Fin,BP$84,BQ$67*P_DInv/DiasMes+(BQ$67+BQ$68+BQ$69+BQ$70)*P_DPT/DiasMes)</f>
        <v>1586671.38637398</v>
      </c>
      <c r="BR84" s="34" t="n">
        <f aca="false">IF(65&gt;Fin,BQ$84,BR$67*P_DInv/DiasMes+(BR$67+BR$68+BR$69+BR$70)*P_DPT/DiasMes)</f>
        <v>1586671.38637398</v>
      </c>
      <c r="BS84" s="34" t="n">
        <f aca="false">IF(66&gt;Fin,BR$84,BS$67*P_DInv/DiasMes+(BS$67+BS$68+BS$69+BS$70)*P_DPT/DiasMes)</f>
        <v>1586671.38637398</v>
      </c>
      <c r="BT84" s="34" t="n">
        <f aca="false">IF(67&gt;Fin,BS$84,BT$67*P_DInv/DiasMes+(BT$67+BT$68+BT$69+BT$70)*P_DPT/DiasMes)</f>
        <v>1586671.38637398</v>
      </c>
      <c r="BU84" s="34" t="n">
        <f aca="false">IF(68&gt;Fin,BT$84,BU$67*P_DInv/DiasMes+(BU$67+BU$68+BU$69+BU$70)*P_DPT/DiasMes)</f>
        <v>1586671.38637398</v>
      </c>
      <c r="BV84" s="34" t="n">
        <f aca="false">IF(69&gt;Fin,BU$84,BV$67*P_DInv/DiasMes+(BV$67+BV$68+BV$69+BV$70)*P_DPT/DiasMes)</f>
        <v>1586671.38637398</v>
      </c>
      <c r="BW84" s="34" t="n">
        <f aca="false">IF(70&gt;Fin,BV$84,BW$67*P_DInv/DiasMes+(BW$67+BW$68+BW$69+BW$70)*P_DPT/DiasMes)</f>
        <v>1586671.38637398</v>
      </c>
      <c r="BX84" s="34" t="n">
        <f aca="false">IF(71&gt;Fin,BW$84,BX$67*P_DInv/DiasMes+(BX$67+BX$68+BX$69+BX$70)*P_DPT/DiasMes)</f>
        <v>1586671.38637398</v>
      </c>
      <c r="BY84" s="34" t="n">
        <f aca="false">IF(72&gt;Fin,BX$84,BY$67*P_DInv/DiasMes+(BY$67+BY$68+BY$69+BY$70)*P_DPT/DiasMes)</f>
        <v>1586671.38637398</v>
      </c>
      <c r="BZ84" s="34" t="n">
        <f aca="false">IF(73&gt;Fin,BY$84,BZ$67*P_DInv/DiasMes+(BZ$67+BZ$68+BZ$69+BZ$70)*P_DPT/DiasMes)</f>
        <v>1596588.00448074</v>
      </c>
      <c r="CA84" s="34" t="n">
        <f aca="false">IF(74&gt;Fin,BZ$84,CA$67*P_DInv/DiasMes+(CA$67+CA$68+CA$69+CA$70)*P_DPT/DiasMes)</f>
        <v>1596588.00448074</v>
      </c>
      <c r="CB84" s="34" t="n">
        <f aca="false">IF(75&gt;Fin,CA$84,CB$67*P_DInv/DiasMes+(CB$67+CB$68+CB$69+CB$70)*P_DPT/DiasMes)</f>
        <v>1596588.00448074</v>
      </c>
      <c r="CC84" s="34" t="n">
        <f aca="false">IF(76&gt;Fin,CB$84,CC$67*P_DInv/DiasMes+(CC$67+CC$68+CC$69+CC$70)*P_DPT/DiasMes)</f>
        <v>1596588.00448074</v>
      </c>
      <c r="CD84" s="34" t="n">
        <f aca="false">IF(77&gt;Fin,CC$84,CD$67*P_DInv/DiasMes+(CD$67+CD$68+CD$69+CD$70)*P_DPT/DiasMes)</f>
        <v>1596588.00448074</v>
      </c>
      <c r="CE84" s="34" t="n">
        <f aca="false">IF(78&gt;Fin,CD$84,CE$67*P_DInv/DiasMes+(CE$67+CE$68+CE$69+CE$70)*P_DPT/DiasMes)</f>
        <v>1596588.00448074</v>
      </c>
      <c r="CF84" s="34" t="n">
        <f aca="false">IF(79&gt;Fin,CE$84,CF$67*P_DInv/DiasMes+(CF$67+CF$68+CF$69+CF$70)*P_DPT/DiasMes)</f>
        <v>1596588.00448074</v>
      </c>
      <c r="CG84" s="34" t="n">
        <f aca="false">IF(80&gt;Fin,CF$84,CG$67*P_DInv/DiasMes+(CG$67+CG$68+CG$69+CG$70)*P_DPT/DiasMes)</f>
        <v>1596588.00448074</v>
      </c>
      <c r="CH84" s="34" t="n">
        <f aca="false">IF(81&gt;Fin,CG$84,CH$67*P_DInv/DiasMes+(CH$67+CH$68+CH$69+CH$70)*P_DPT/DiasMes)</f>
        <v>1596588.00448074</v>
      </c>
      <c r="CI84" s="34" t="n">
        <f aca="false">IF(82&gt;Fin,CH$84,CI$67*P_DInv/DiasMes+(CI$67+CI$68+CI$69+CI$70)*P_DPT/DiasMes)</f>
        <v>1596588.00448074</v>
      </c>
      <c r="CJ84" s="34" t="n">
        <f aca="false">IF(83&gt;Fin,CI$84,CJ$67*P_DInv/DiasMes+(CJ$67+CJ$68+CJ$69+CJ$70)*P_DPT/DiasMes)</f>
        <v>1596588.00448074</v>
      </c>
      <c r="CK84" s="34" t="n">
        <f aca="false">IF(84&gt;Fin,CJ$84,CK$67*P_DInv/DiasMes+(CK$67+CK$68+CK$69+CK$70)*P_DPT/DiasMes)</f>
        <v>1596588.00448074</v>
      </c>
      <c r="CL84" s="34" t="n">
        <f aca="false">IF(85&gt;Fin,CK$84,CL$67*P_DInv/DiasMes+(CL$67+CL$68+CL$69+CL$70)*P_DPT/DiasMes)</f>
        <v>1606603.97748134</v>
      </c>
      <c r="CM84" s="34" t="n">
        <f aca="false">IF(86&gt;Fin,CL$84,CM$67*P_DInv/DiasMes+(CM$67+CM$68+CM$69+CM$70)*P_DPT/DiasMes)</f>
        <v>1606603.97748134</v>
      </c>
      <c r="CN84" s="34" t="n">
        <f aca="false">IF(87&gt;Fin,CM$84,CN$67*P_DInv/DiasMes+(CN$67+CN$68+CN$69+CN$70)*P_DPT/DiasMes)</f>
        <v>1606603.97748134</v>
      </c>
      <c r="CO84" s="34" t="n">
        <f aca="false">IF(88&gt;Fin,CN$84,CO$67*P_DInv/DiasMes+(CO$67+CO$68+CO$69+CO$70)*P_DPT/DiasMes)</f>
        <v>1606603.97748134</v>
      </c>
      <c r="CP84" s="34" t="n">
        <f aca="false">IF(89&gt;Fin,CO$84,CP$67*P_DInv/DiasMes+(CP$67+CP$68+CP$69+CP$70)*P_DPT/DiasMes)</f>
        <v>1606603.97748134</v>
      </c>
      <c r="CQ84" s="34" t="n">
        <f aca="false">IF(90&gt;Fin,CP$84,CQ$67*P_DInv/DiasMes+(CQ$67+CQ$68+CQ$69+CQ$70)*P_DPT/DiasMes)</f>
        <v>1606603.97748134</v>
      </c>
      <c r="CR84" s="34" t="n">
        <f aca="false">IF(91&gt;Fin,CQ$84,CR$67*P_DInv/DiasMes+(CR$67+CR$68+CR$69+CR$70)*P_DPT/DiasMes)</f>
        <v>1606603.97748134</v>
      </c>
      <c r="CS84" s="34" t="n">
        <f aca="false">IF(92&gt;Fin,CR$84,CS$67*P_DInv/DiasMes+(CS$67+CS$68+CS$69+CS$70)*P_DPT/DiasMes)</f>
        <v>1606603.97748134</v>
      </c>
      <c r="CT84" s="34" t="n">
        <f aca="false">IF(93&gt;Fin,CS$84,CT$67*P_DInv/DiasMes+(CT$67+CT$68+CT$69+CT$70)*P_DPT/DiasMes)</f>
        <v>1606603.97748134</v>
      </c>
      <c r="CU84" s="34" t="n">
        <f aca="false">IF(94&gt;Fin,CT$84,CU$67*P_DInv/DiasMes+(CU$67+CU$68+CU$69+CU$70)*P_DPT/DiasMes)</f>
        <v>1606603.97748134</v>
      </c>
      <c r="CV84" s="34" t="n">
        <f aca="false">IF(95&gt;Fin,CU$84,CV$67*P_DInv/DiasMes+(CV$67+CV$68+CV$69+CV$70)*P_DPT/DiasMes)</f>
        <v>1606603.97748134</v>
      </c>
      <c r="CW84" s="34" t="n">
        <f aca="false">IF(96&gt;Fin,CV$84,CW$67*P_DInv/DiasMes+(CW$67+CW$68+CW$69+CW$70)*P_DPT/DiasMes)</f>
        <v>1606603.97748134</v>
      </c>
      <c r="CX84" s="34" t="n">
        <f aca="false">IF(97&gt;Fin,CW$84,CX$67*P_DInv/DiasMes+(CX$67+CX$68+CX$69+CX$70)*P_DPT/DiasMes)</f>
        <v>1616720.30269897</v>
      </c>
      <c r="CY84" s="34" t="n">
        <f aca="false">IF(98&gt;Fin,CX$84,CY$67*P_DInv/DiasMes+(CY$67+CY$68+CY$69+CY$70)*P_DPT/DiasMes)</f>
        <v>1616720.30269897</v>
      </c>
      <c r="CZ84" s="34" t="n">
        <f aca="false">IF(99&gt;Fin,CY$84,CZ$67*P_DInv/DiasMes+(CZ$67+CZ$68+CZ$69+CZ$70)*P_DPT/DiasMes)</f>
        <v>1616720.30269897</v>
      </c>
      <c r="DA84" s="34" t="n">
        <f aca="false">IF(100&gt;Fin,CZ$84,DA$67*P_DInv/DiasMes+(DA$67+DA$68+DA$69+DA$70)*P_DPT/DiasMes)</f>
        <v>1616720.30269897</v>
      </c>
      <c r="DB84" s="34" t="n">
        <f aca="false">IF(101&gt;Fin,DA$84,DB$67*P_DInv/DiasMes+(DB$67+DB$68+DB$69+DB$70)*P_DPT/DiasMes)</f>
        <v>1616720.30269897</v>
      </c>
      <c r="DC84" s="34" t="n">
        <f aca="false">IF(102&gt;Fin,DB$84,DC$67*P_DInv/DiasMes+(DC$67+DC$68+DC$69+DC$70)*P_DPT/DiasMes)</f>
        <v>1616720.30269897</v>
      </c>
      <c r="DD84" s="34" t="n">
        <f aca="false">IF(103&gt;Fin,DC$84,DD$67*P_DInv/DiasMes+(DD$67+DD$68+DD$69+DD$70)*P_DPT/DiasMes)</f>
        <v>1616720.30269897</v>
      </c>
      <c r="DE84" s="34" t="n">
        <f aca="false">IF(104&gt;Fin,DD$84,DE$67*P_DInv/DiasMes+(DE$67+DE$68+DE$69+DE$70)*P_DPT/DiasMes)</f>
        <v>1616720.30269897</v>
      </c>
      <c r="DF84" s="34" t="n">
        <f aca="false">IF(105&gt;Fin,DE$84,DF$67*P_DInv/DiasMes+(DF$67+DF$68+DF$69+DF$70)*P_DPT/DiasMes)</f>
        <v>1616720.30269897</v>
      </c>
      <c r="DG84" s="34" t="n">
        <f aca="false">IF(106&gt;Fin,DF$84,DG$67*P_DInv/DiasMes+(DG$67+DG$68+DG$69+DG$70)*P_DPT/DiasMes)</f>
        <v>1616720.30269897</v>
      </c>
      <c r="DH84" s="34" t="n">
        <f aca="false">IF(107&gt;Fin,DG$84,DH$67*P_DInv/DiasMes+(DH$67+DH$68+DH$69+DH$70)*P_DPT/DiasMes)</f>
        <v>1616720.30269897</v>
      </c>
      <c r="DI84" s="34" t="n">
        <f aca="false">IF(108&gt;Fin,DH$84,DI$67*P_DInv/DiasMes+(DI$67+DI$68+DI$69+DI$70)*P_DPT/DiasMes)</f>
        <v>1616720.30269897</v>
      </c>
      <c r="DJ84" s="34" t="n">
        <f aca="false">IF(109&gt;Fin,DI$84,DJ$67*P_DInv/DiasMes+(DJ$67+DJ$68+DJ$69+DJ$70)*P_DPT/DiasMes)</f>
        <v>1626937.98750554</v>
      </c>
      <c r="DK84" s="34" t="n">
        <f aca="false">IF(110&gt;Fin,DJ$84,DK$67*P_DInv/DiasMes+(DK$67+DK$68+DK$69+DK$70)*P_DPT/DiasMes)</f>
        <v>1626937.98750554</v>
      </c>
      <c r="DL84" s="34" t="n">
        <f aca="false">IF(111&gt;Fin,DK$84,DL$67*P_DInv/DiasMes+(DL$67+DL$68+DL$69+DL$70)*P_DPT/DiasMes)</f>
        <v>1626937.98750554</v>
      </c>
      <c r="DM84" s="34" t="n">
        <f aca="false">IF(112&gt;Fin,DL$84,DM$67*P_DInv/DiasMes+(DM$67+DM$68+DM$69+DM$70)*P_DPT/DiasMes)</f>
        <v>1626937.98750554</v>
      </c>
      <c r="DN84" s="34" t="n">
        <f aca="false">IF(113&gt;Fin,DM$84,DN$67*P_DInv/DiasMes+(DN$67+DN$68+DN$69+DN$70)*P_DPT/DiasMes)</f>
        <v>1626937.98750554</v>
      </c>
      <c r="DO84" s="34" t="n">
        <f aca="false">IF(114&gt;Fin,DN$84,DO$67*P_DInv/DiasMes+(DO$67+DO$68+DO$69+DO$70)*P_DPT/DiasMes)</f>
        <v>1626937.98750554</v>
      </c>
      <c r="DP84" s="34" t="n">
        <f aca="false">IF(115&gt;Fin,DO$84,DP$67*P_DInv/DiasMes+(DP$67+DP$68+DP$69+DP$70)*P_DPT/DiasMes)</f>
        <v>1626937.98750554</v>
      </c>
      <c r="DQ84" s="34" t="n">
        <f aca="false">IF(116&gt;Fin,DP$84,DQ$67*P_DInv/DiasMes+(DQ$67+DQ$68+DQ$69+DQ$70)*P_DPT/DiasMes)</f>
        <v>1626937.98750554</v>
      </c>
      <c r="DR84" s="34" t="n">
        <f aca="false">IF(117&gt;Fin,DQ$84,DR$67*P_DInv/DiasMes+(DR$67+DR$68+DR$69+DR$70)*P_DPT/DiasMes)</f>
        <v>1626937.98750554</v>
      </c>
      <c r="DS84" s="34" t="n">
        <f aca="false">IF(118&gt;Fin,DR$84,DS$67*P_DInv/DiasMes+(DS$67+DS$68+DS$69+DS$70)*P_DPT/DiasMes)</f>
        <v>1626937.98750554</v>
      </c>
      <c r="DT84" s="34" t="n">
        <f aca="false">IF(119&gt;Fin,DS$84,DT$67*P_DInv/DiasMes+(DT$67+DT$68+DT$69+DT$70)*P_DPT/DiasMes)</f>
        <v>1626937.98750554</v>
      </c>
      <c r="DU84" s="34" t="n">
        <f aca="false">IF(120&gt;Fin,DT$84,DU$67*P_DInv/DiasMes+(DU$67+DU$68+DU$69+DU$70)*P_DPT/DiasMes)</f>
        <v>1626937.98750554</v>
      </c>
      <c r="DV84" s="34" t="n">
        <f aca="false">IF(121&gt;Fin,DU$84,DV$67*P_DInv/DiasMes+(DV$67+DV$68+DV$69+DV$70)*P_DPT/DiasMes)</f>
        <v>1626937.98750554</v>
      </c>
      <c r="DW84" s="34" t="n">
        <f aca="false">IF(122&gt;Fin,DV$84,DW$67*P_DInv/DiasMes+(DW$67+DW$68+DW$69+DW$70)*P_DPT/DiasMes)</f>
        <v>1626937.98750554</v>
      </c>
      <c r="DX84" s="34" t="n">
        <f aca="false">IF(123&gt;Fin,DW$84,DX$67*P_DInv/DiasMes+(DX$67+DX$68+DX$69+DX$70)*P_DPT/DiasMes)</f>
        <v>1626937.98750554</v>
      </c>
      <c r="DY84" s="34" t="n">
        <f aca="false">IF(124&gt;Fin,DX$84,DY$67*P_DInv/DiasMes+(DY$67+DY$68+DY$69+DY$70)*P_DPT/DiasMes)</f>
        <v>1626937.98750554</v>
      </c>
      <c r="DZ84" s="34" t="n">
        <f aca="false">IF(125&gt;Fin,DY$84,DZ$67*P_DInv/DiasMes+(DZ$67+DZ$68+DZ$69+DZ$70)*P_DPT/DiasMes)</f>
        <v>1626937.98750554</v>
      </c>
      <c r="EA84" s="34" t="n">
        <f aca="false">IF(126&gt;Fin,DZ$84,EA$67*P_DInv/DiasMes+(EA$67+EA$68+EA$69+EA$70)*P_DPT/DiasMes)</f>
        <v>1626937.98750554</v>
      </c>
      <c r="EB84" s="34" t="n">
        <f aca="false">IF(127&gt;Fin,EA$84,EB$67*P_DInv/DiasMes+(EB$67+EB$68+EB$69+EB$70)*P_DPT/DiasMes)</f>
        <v>1626937.98750554</v>
      </c>
      <c r="EC84" s="34" t="n">
        <f aca="false">IF(128&gt;Fin,EB$84,EC$67*P_DInv/DiasMes+(EC$67+EC$68+EC$69+EC$70)*P_DPT/DiasMes)</f>
        <v>1626937.98750554</v>
      </c>
      <c r="ED84" s="34" t="n">
        <f aca="false">IF(129&gt;Fin,EC$84,ED$67*P_DInv/DiasMes+(ED$67+ED$68+ED$69+ED$70)*P_DPT/DiasMes)</f>
        <v>1626937.98750554</v>
      </c>
      <c r="EE84" s="34" t="n">
        <f aca="false">IF(130&gt;Fin,ED$84,EE$67*P_DInv/DiasMes+(EE$67+EE$68+EE$69+EE$70)*P_DPT/DiasMes)</f>
        <v>1626937.98750554</v>
      </c>
      <c r="EF84" s="34" t="n">
        <f aca="false">IF(131&gt;Fin,EE$84,EF$67*P_DInv/DiasMes+(EF$67+EF$68+EF$69+EF$70)*P_DPT/DiasMes)</f>
        <v>1626937.98750554</v>
      </c>
      <c r="EG84" s="34" t="n">
        <f aca="false">IF(132&gt;Fin,EF$84,EG$67*P_DInv/DiasMes+(EG$67+EG$68+EG$69+EG$70)*P_DPT/DiasMes)</f>
        <v>1626937.98750554</v>
      </c>
      <c r="EH84" s="34" t="n">
        <f aca="false">IF(133&gt;Fin,EG$84,EH$67*P_DInv/DiasMes+(EH$67+EH$68+EH$69+EH$70)*P_DPT/DiasMes)</f>
        <v>1626937.98750554</v>
      </c>
      <c r="EI84" s="34" t="n">
        <f aca="false">IF(134&gt;Fin,EH$84,EI$67*P_DInv/DiasMes+(EI$67+EI$68+EI$69+EI$70)*P_DPT/DiasMes)</f>
        <v>1626937.98750554</v>
      </c>
      <c r="EJ84" s="34" t="n">
        <f aca="false">IF(135&gt;Fin,EI$84,EJ$67*P_DInv/DiasMes+(EJ$67+EJ$68+EJ$69+EJ$70)*P_DPT/DiasMes)</f>
        <v>1626937.98750554</v>
      </c>
      <c r="EK84" s="34" t="n">
        <f aca="false">IF(136&gt;Fin,EJ$84,EK$67*P_DInv/DiasMes+(EK$67+EK$68+EK$69+EK$70)*P_DPT/DiasMes)</f>
        <v>1626937.98750554</v>
      </c>
      <c r="EL84" s="34" t="n">
        <f aca="false">IF(137&gt;Fin,EK$84,EL$67*P_DInv/DiasMes+(EL$67+EL$68+EL$69+EL$70)*P_DPT/DiasMes)</f>
        <v>1626937.98750554</v>
      </c>
      <c r="EM84" s="34" t="n">
        <f aca="false">IF(138&gt;Fin,EL$84,EM$67*P_DInv/DiasMes+(EM$67+EM$68+EM$69+EM$70)*P_DPT/DiasMes)</f>
        <v>1626937.98750554</v>
      </c>
      <c r="EN84" s="34" t="n">
        <f aca="false">IF(139&gt;Fin,EM$84,EN$67*P_DInv/DiasMes+(EN$67+EN$68+EN$69+EN$70)*P_DPT/DiasMes)</f>
        <v>1626937.98750554</v>
      </c>
      <c r="EO84" s="34" t="n">
        <f aca="false">IF(140&gt;Fin,EN$84,EO$67*P_DInv/DiasMes+(EO$67+EO$68+EO$69+EO$70)*P_DPT/DiasMes)</f>
        <v>1626937.98750554</v>
      </c>
      <c r="EP84" s="34" t="n">
        <f aca="false">IF(141&gt;Fin,EO$84,EP$67*P_DInv/DiasMes+(EP$67+EP$68+EP$69+EP$70)*P_DPT/DiasMes)</f>
        <v>1626937.98750554</v>
      </c>
      <c r="EQ84" s="34" t="n">
        <f aca="false">IF(142&gt;Fin,EP$84,EQ$67*P_DInv/DiasMes+(EQ$67+EQ$68+EQ$69+EQ$70)*P_DPT/DiasMes)</f>
        <v>1626937.98750554</v>
      </c>
      <c r="ER84" s="34" t="n">
        <f aca="false">IF(143&gt;Fin,EQ$84,ER$67*P_DInv/DiasMes+(ER$67+ER$68+ER$69+ER$70)*P_DPT/DiasMes)</f>
        <v>1626937.98750554</v>
      </c>
      <c r="ES84" s="34" t="n">
        <f aca="false">IF(144&gt;Fin,ER$84,ES$67*P_DInv/DiasMes+(ES$67+ES$68+ES$69+ES$70)*P_DPT/DiasMes)</f>
        <v>1626937.98750554</v>
      </c>
    </row>
    <row r="85" customFormat="false" ht="15" hidden="false" customHeight="false" outlineLevel="0" collapsed="false">
      <c r="A85" s="2" t="s">
        <v>656</v>
      </c>
      <c r="B85" s="6" t="s">
        <v>657</v>
      </c>
      <c r="C85" s="6" t="s">
        <v>250</v>
      </c>
      <c r="E85" s="40" t="n">
        <f aca="false">INDEX(F85:ES85,1,MIN(144,Fin))</f>
        <v>0</v>
      </c>
      <c r="F85" s="34" t="n">
        <f aca="false">IF(1&gt;Fin,0,F$75*P_IVAmeses)</f>
        <v>0</v>
      </c>
      <c r="G85" s="34" t="n">
        <f aca="false">IF(2&gt;Fin,F$85,G$75*P_IVAmeses)</f>
        <v>0</v>
      </c>
      <c r="H85" s="34" t="n">
        <f aca="false">IF(3&gt;Fin,G$85,H$75*P_IVAmeses)</f>
        <v>0</v>
      </c>
      <c r="I85" s="34" t="n">
        <f aca="false">IF(4&gt;Fin,H$85,I$75*P_IVAmeses)</f>
        <v>0</v>
      </c>
      <c r="J85" s="34" t="n">
        <f aca="false">IF(5&gt;Fin,I$85,J$75*P_IVAmeses)</f>
        <v>0</v>
      </c>
      <c r="K85" s="34" t="n">
        <f aca="false">IF(6&gt;Fin,J$85,K$75*P_IVAmeses)</f>
        <v>0</v>
      </c>
      <c r="L85" s="34" t="n">
        <f aca="false">IF(7&gt;Fin,K$85,L$75*P_IVAmeses)</f>
        <v>0</v>
      </c>
      <c r="M85" s="34" t="n">
        <f aca="false">IF(8&gt;Fin,L$85,M$75*P_IVAmeses)</f>
        <v>0</v>
      </c>
      <c r="N85" s="34" t="n">
        <f aca="false">IF(9&gt;Fin,M$85,N$75*P_IVAmeses)</f>
        <v>0</v>
      </c>
      <c r="O85" s="34" t="n">
        <f aca="false">IF(10&gt;Fin,N$85,O$75*P_IVAmeses)</f>
        <v>0</v>
      </c>
      <c r="P85" s="34" t="n">
        <f aca="false">IF(11&gt;Fin,O$85,P$75*P_IVAmeses)</f>
        <v>0</v>
      </c>
      <c r="Q85" s="34" t="n">
        <f aca="false">IF(12&gt;Fin,P$85,Q$75*P_IVAmeses)</f>
        <v>0</v>
      </c>
      <c r="R85" s="34" t="n">
        <f aca="false">IF(13&gt;Fin,Q$85,R$75*P_IVAmeses)</f>
        <v>0</v>
      </c>
      <c r="S85" s="34" t="n">
        <f aca="false">IF(14&gt;Fin,R$85,S$75*P_IVAmeses)</f>
        <v>0</v>
      </c>
      <c r="T85" s="34" t="n">
        <f aca="false">IF(15&gt;Fin,S$85,T$75*P_IVAmeses)</f>
        <v>0</v>
      </c>
      <c r="U85" s="34" t="n">
        <f aca="false">IF(16&gt;Fin,T$85,U$75*P_IVAmeses)</f>
        <v>0</v>
      </c>
      <c r="V85" s="34" t="n">
        <f aca="false">IF(17&gt;Fin,U$85,V$75*P_IVAmeses)</f>
        <v>0</v>
      </c>
      <c r="W85" s="34" t="n">
        <f aca="false">IF(18&gt;Fin,V$85,W$75*P_IVAmeses)</f>
        <v>0</v>
      </c>
      <c r="X85" s="34" t="n">
        <f aca="false">IF(19&gt;Fin,W$85,X$75*P_IVAmeses)</f>
        <v>0</v>
      </c>
      <c r="Y85" s="34" t="n">
        <f aca="false">IF(20&gt;Fin,X$85,Y$75*P_IVAmeses)</f>
        <v>0</v>
      </c>
      <c r="Z85" s="34" t="n">
        <f aca="false">IF(21&gt;Fin,Y$85,Z$75*P_IVAmeses)</f>
        <v>0</v>
      </c>
      <c r="AA85" s="34" t="n">
        <f aca="false">IF(22&gt;Fin,Z$85,AA$75*P_IVAmeses)</f>
        <v>0</v>
      </c>
      <c r="AB85" s="34" t="n">
        <f aca="false">IF(23&gt;Fin,AA$85,AB$75*P_IVAmeses)</f>
        <v>0</v>
      </c>
      <c r="AC85" s="34" t="n">
        <f aca="false">IF(24&gt;Fin,AB$85,AC$75*P_IVAmeses)</f>
        <v>0</v>
      </c>
      <c r="AD85" s="34" t="n">
        <f aca="false">IF(25&gt;Fin,AC$85,AD$75*P_IVAmeses)</f>
        <v>0</v>
      </c>
      <c r="AE85" s="34" t="n">
        <f aca="false">IF(26&gt;Fin,AD$85,AE$75*P_IVAmeses)</f>
        <v>0</v>
      </c>
      <c r="AF85" s="34" t="n">
        <f aca="false">IF(27&gt;Fin,AE$85,AF$75*P_IVAmeses)</f>
        <v>0</v>
      </c>
      <c r="AG85" s="34" t="n">
        <f aca="false">IF(28&gt;Fin,AF$85,AG$75*P_IVAmeses)</f>
        <v>0</v>
      </c>
      <c r="AH85" s="34" t="n">
        <f aca="false">IF(29&gt;Fin,AG$85,AH$75*P_IVAmeses)</f>
        <v>0</v>
      </c>
      <c r="AI85" s="34" t="n">
        <f aca="false">IF(30&gt;Fin,AH$85,AI$75*P_IVAmeses)</f>
        <v>0</v>
      </c>
      <c r="AJ85" s="34" t="n">
        <f aca="false">IF(31&gt;Fin,AI$85,AJ$75*P_IVAmeses)</f>
        <v>0</v>
      </c>
      <c r="AK85" s="34" t="n">
        <f aca="false">IF(32&gt;Fin,AJ$85,AK$75*P_IVAmeses)</f>
        <v>0</v>
      </c>
      <c r="AL85" s="34" t="n">
        <f aca="false">IF(33&gt;Fin,AK$85,AL$75*P_IVAmeses)</f>
        <v>0</v>
      </c>
      <c r="AM85" s="34" t="n">
        <f aca="false">IF(34&gt;Fin,AL$85,AM$75*P_IVAmeses)</f>
        <v>0</v>
      </c>
      <c r="AN85" s="34" t="n">
        <f aca="false">IF(35&gt;Fin,AM$85,AN$75*P_IVAmeses)</f>
        <v>0</v>
      </c>
      <c r="AO85" s="34" t="n">
        <f aca="false">IF(36&gt;Fin,AN$85,AO$75*P_IVAmeses)</f>
        <v>0</v>
      </c>
      <c r="AP85" s="34" t="n">
        <f aca="false">IF(37&gt;Fin,AO$85,AP$75*P_IVAmeses)</f>
        <v>0</v>
      </c>
      <c r="AQ85" s="34" t="n">
        <f aca="false">IF(38&gt;Fin,AP$85,AQ$75*P_IVAmeses)</f>
        <v>0</v>
      </c>
      <c r="AR85" s="34" t="n">
        <f aca="false">IF(39&gt;Fin,AQ$85,AR$75*P_IVAmeses)</f>
        <v>0</v>
      </c>
      <c r="AS85" s="34" t="n">
        <f aca="false">IF(40&gt;Fin,AR$85,AS$75*P_IVAmeses)</f>
        <v>0</v>
      </c>
      <c r="AT85" s="34" t="n">
        <f aca="false">IF(41&gt;Fin,AS$85,AT$75*P_IVAmeses)</f>
        <v>0</v>
      </c>
      <c r="AU85" s="34" t="n">
        <f aca="false">IF(42&gt;Fin,AT$85,AU$75*P_IVAmeses)</f>
        <v>0</v>
      </c>
      <c r="AV85" s="34" t="n">
        <f aca="false">IF(43&gt;Fin,AU$85,AV$75*P_IVAmeses)</f>
        <v>0</v>
      </c>
      <c r="AW85" s="34" t="n">
        <f aca="false">IF(44&gt;Fin,AV$85,AW$75*P_IVAmeses)</f>
        <v>0</v>
      </c>
      <c r="AX85" s="34" t="n">
        <f aca="false">IF(45&gt;Fin,AW$85,AX$75*P_IVAmeses)</f>
        <v>0</v>
      </c>
      <c r="AY85" s="34" t="n">
        <f aca="false">IF(46&gt;Fin,AX$85,AY$75*P_IVAmeses)</f>
        <v>0</v>
      </c>
      <c r="AZ85" s="34" t="n">
        <f aca="false">IF(47&gt;Fin,AY$85,AZ$75*P_IVAmeses)</f>
        <v>0</v>
      </c>
      <c r="BA85" s="34" t="n">
        <f aca="false">IF(48&gt;Fin,AZ$85,BA$75*P_IVAmeses)</f>
        <v>0</v>
      </c>
      <c r="BB85" s="34" t="n">
        <f aca="false">IF(49&gt;Fin,BA$85,BB$75*P_IVAmeses)</f>
        <v>0</v>
      </c>
      <c r="BC85" s="34" t="n">
        <f aca="false">IF(50&gt;Fin,BB$85,BC$75*P_IVAmeses)</f>
        <v>0</v>
      </c>
      <c r="BD85" s="34" t="n">
        <f aca="false">IF(51&gt;Fin,BC$85,BD$75*P_IVAmeses)</f>
        <v>0</v>
      </c>
      <c r="BE85" s="34" t="n">
        <f aca="false">IF(52&gt;Fin,BD$85,BE$75*P_IVAmeses)</f>
        <v>0</v>
      </c>
      <c r="BF85" s="34" t="n">
        <f aca="false">IF(53&gt;Fin,BE$85,BF$75*P_IVAmeses)</f>
        <v>0</v>
      </c>
      <c r="BG85" s="34" t="n">
        <f aca="false">IF(54&gt;Fin,BF$85,BG$75*P_IVAmeses)</f>
        <v>0</v>
      </c>
      <c r="BH85" s="34" t="n">
        <f aca="false">IF(55&gt;Fin,BG$85,BH$75*P_IVAmeses)</f>
        <v>0</v>
      </c>
      <c r="BI85" s="34" t="n">
        <f aca="false">IF(56&gt;Fin,BH$85,BI$75*P_IVAmeses)</f>
        <v>0</v>
      </c>
      <c r="BJ85" s="34" t="n">
        <f aca="false">IF(57&gt;Fin,BI$85,BJ$75*P_IVAmeses)</f>
        <v>0</v>
      </c>
      <c r="BK85" s="34" t="n">
        <f aca="false">IF(58&gt;Fin,BJ$85,BK$75*P_IVAmeses)</f>
        <v>0</v>
      </c>
      <c r="BL85" s="34" t="n">
        <f aca="false">IF(59&gt;Fin,BK$85,BL$75*P_IVAmeses)</f>
        <v>0</v>
      </c>
      <c r="BM85" s="34" t="n">
        <f aca="false">IF(60&gt;Fin,BL$85,BM$75*P_IVAmeses)</f>
        <v>0</v>
      </c>
      <c r="BN85" s="34" t="n">
        <f aca="false">IF(61&gt;Fin,BM$85,BN$75*P_IVAmeses)</f>
        <v>0</v>
      </c>
      <c r="BO85" s="34" t="n">
        <f aca="false">IF(62&gt;Fin,BN$85,BO$75*P_IVAmeses)</f>
        <v>0</v>
      </c>
      <c r="BP85" s="34" t="n">
        <f aca="false">IF(63&gt;Fin,BO$85,BP$75*P_IVAmeses)</f>
        <v>0</v>
      </c>
      <c r="BQ85" s="34" t="n">
        <f aca="false">IF(64&gt;Fin,BP$85,BQ$75*P_IVAmeses)</f>
        <v>0</v>
      </c>
      <c r="BR85" s="34" t="n">
        <f aca="false">IF(65&gt;Fin,BQ$85,BR$75*P_IVAmeses)</f>
        <v>0</v>
      </c>
      <c r="BS85" s="34" t="n">
        <f aca="false">IF(66&gt;Fin,BR$85,BS$75*P_IVAmeses)</f>
        <v>0</v>
      </c>
      <c r="BT85" s="34" t="n">
        <f aca="false">IF(67&gt;Fin,BS$85,BT$75*P_IVAmeses)</f>
        <v>0</v>
      </c>
      <c r="BU85" s="34" t="n">
        <f aca="false">IF(68&gt;Fin,BT$85,BU$75*P_IVAmeses)</f>
        <v>0</v>
      </c>
      <c r="BV85" s="34" t="n">
        <f aca="false">IF(69&gt;Fin,BU$85,BV$75*P_IVAmeses)</f>
        <v>0</v>
      </c>
      <c r="BW85" s="34" t="n">
        <f aca="false">IF(70&gt;Fin,BV$85,BW$75*P_IVAmeses)</f>
        <v>0</v>
      </c>
      <c r="BX85" s="34" t="n">
        <f aca="false">IF(71&gt;Fin,BW$85,BX$75*P_IVAmeses)</f>
        <v>0</v>
      </c>
      <c r="BY85" s="34" t="n">
        <f aca="false">IF(72&gt;Fin,BX$85,BY$75*P_IVAmeses)</f>
        <v>0</v>
      </c>
      <c r="BZ85" s="34" t="n">
        <f aca="false">IF(73&gt;Fin,BY$85,BZ$75*P_IVAmeses)</f>
        <v>0</v>
      </c>
      <c r="CA85" s="34" t="n">
        <f aca="false">IF(74&gt;Fin,BZ$85,CA$75*P_IVAmeses)</f>
        <v>0</v>
      </c>
      <c r="CB85" s="34" t="n">
        <f aca="false">IF(75&gt;Fin,CA$85,CB$75*P_IVAmeses)</f>
        <v>0</v>
      </c>
      <c r="CC85" s="34" t="n">
        <f aca="false">IF(76&gt;Fin,CB$85,CC$75*P_IVAmeses)</f>
        <v>0</v>
      </c>
      <c r="CD85" s="34" t="n">
        <f aca="false">IF(77&gt;Fin,CC$85,CD$75*P_IVAmeses)</f>
        <v>0</v>
      </c>
      <c r="CE85" s="34" t="n">
        <f aca="false">IF(78&gt;Fin,CD$85,CE$75*P_IVAmeses)</f>
        <v>0</v>
      </c>
      <c r="CF85" s="34" t="n">
        <f aca="false">IF(79&gt;Fin,CE$85,CF$75*P_IVAmeses)</f>
        <v>0</v>
      </c>
      <c r="CG85" s="34" t="n">
        <f aca="false">IF(80&gt;Fin,CF$85,CG$75*P_IVAmeses)</f>
        <v>0</v>
      </c>
      <c r="CH85" s="34" t="n">
        <f aca="false">IF(81&gt;Fin,CG$85,CH$75*P_IVAmeses)</f>
        <v>0</v>
      </c>
      <c r="CI85" s="34" t="n">
        <f aca="false">IF(82&gt;Fin,CH$85,CI$75*P_IVAmeses)</f>
        <v>0</v>
      </c>
      <c r="CJ85" s="34" t="n">
        <f aca="false">IF(83&gt;Fin,CI$85,CJ$75*P_IVAmeses)</f>
        <v>0</v>
      </c>
      <c r="CK85" s="34" t="n">
        <f aca="false">IF(84&gt;Fin,CJ$85,CK$75*P_IVAmeses)</f>
        <v>0</v>
      </c>
      <c r="CL85" s="34" t="n">
        <f aca="false">IF(85&gt;Fin,CK$85,CL$75*P_IVAmeses)</f>
        <v>0</v>
      </c>
      <c r="CM85" s="34" t="n">
        <f aca="false">IF(86&gt;Fin,CL$85,CM$75*P_IVAmeses)</f>
        <v>0</v>
      </c>
      <c r="CN85" s="34" t="n">
        <f aca="false">IF(87&gt;Fin,CM$85,CN$75*P_IVAmeses)</f>
        <v>0</v>
      </c>
      <c r="CO85" s="34" t="n">
        <f aca="false">IF(88&gt;Fin,CN$85,CO$75*P_IVAmeses)</f>
        <v>0</v>
      </c>
      <c r="CP85" s="34" t="n">
        <f aca="false">IF(89&gt;Fin,CO$85,CP$75*P_IVAmeses)</f>
        <v>0</v>
      </c>
      <c r="CQ85" s="34" t="n">
        <f aca="false">IF(90&gt;Fin,CP$85,CQ$75*P_IVAmeses)</f>
        <v>0</v>
      </c>
      <c r="CR85" s="34" t="n">
        <f aca="false">IF(91&gt;Fin,CQ$85,CR$75*P_IVAmeses)</f>
        <v>0</v>
      </c>
      <c r="CS85" s="34" t="n">
        <f aca="false">IF(92&gt;Fin,CR$85,CS$75*P_IVAmeses)</f>
        <v>0</v>
      </c>
      <c r="CT85" s="34" t="n">
        <f aca="false">IF(93&gt;Fin,CS$85,CT$75*P_IVAmeses)</f>
        <v>0</v>
      </c>
      <c r="CU85" s="34" t="n">
        <f aca="false">IF(94&gt;Fin,CT$85,CU$75*P_IVAmeses)</f>
        <v>0</v>
      </c>
      <c r="CV85" s="34" t="n">
        <f aca="false">IF(95&gt;Fin,CU$85,CV$75*P_IVAmeses)</f>
        <v>0</v>
      </c>
      <c r="CW85" s="34" t="n">
        <f aca="false">IF(96&gt;Fin,CV$85,CW$75*P_IVAmeses)</f>
        <v>0</v>
      </c>
      <c r="CX85" s="34" t="n">
        <f aca="false">IF(97&gt;Fin,CW$85,CX$75*P_IVAmeses)</f>
        <v>0</v>
      </c>
      <c r="CY85" s="34" t="n">
        <f aca="false">IF(98&gt;Fin,CX$85,CY$75*P_IVAmeses)</f>
        <v>0</v>
      </c>
      <c r="CZ85" s="34" t="n">
        <f aca="false">IF(99&gt;Fin,CY$85,CZ$75*P_IVAmeses)</f>
        <v>0</v>
      </c>
      <c r="DA85" s="34" t="n">
        <f aca="false">IF(100&gt;Fin,CZ$85,DA$75*P_IVAmeses)</f>
        <v>0</v>
      </c>
      <c r="DB85" s="34" t="n">
        <f aca="false">IF(101&gt;Fin,DA$85,DB$75*P_IVAmeses)</f>
        <v>0</v>
      </c>
      <c r="DC85" s="34" t="n">
        <f aca="false">IF(102&gt;Fin,DB$85,DC$75*P_IVAmeses)</f>
        <v>0</v>
      </c>
      <c r="DD85" s="34" t="n">
        <f aca="false">IF(103&gt;Fin,DC$85,DD$75*P_IVAmeses)</f>
        <v>0</v>
      </c>
      <c r="DE85" s="34" t="n">
        <f aca="false">IF(104&gt;Fin,DD$85,DE$75*P_IVAmeses)</f>
        <v>0</v>
      </c>
      <c r="DF85" s="34" t="n">
        <f aca="false">IF(105&gt;Fin,DE$85,DF$75*P_IVAmeses)</f>
        <v>0</v>
      </c>
      <c r="DG85" s="34" t="n">
        <f aca="false">IF(106&gt;Fin,DF$85,DG$75*P_IVAmeses)</f>
        <v>0</v>
      </c>
      <c r="DH85" s="34" t="n">
        <f aca="false">IF(107&gt;Fin,DG$85,DH$75*P_IVAmeses)</f>
        <v>0</v>
      </c>
      <c r="DI85" s="34" t="n">
        <f aca="false">IF(108&gt;Fin,DH$85,DI$75*P_IVAmeses)</f>
        <v>0</v>
      </c>
      <c r="DJ85" s="34" t="n">
        <f aca="false">IF(109&gt;Fin,DI$85,DJ$75*P_IVAmeses)</f>
        <v>0</v>
      </c>
      <c r="DK85" s="34" t="n">
        <f aca="false">IF(110&gt;Fin,DJ$85,DK$75*P_IVAmeses)</f>
        <v>0</v>
      </c>
      <c r="DL85" s="34" t="n">
        <f aca="false">IF(111&gt;Fin,DK$85,DL$75*P_IVAmeses)</f>
        <v>0</v>
      </c>
      <c r="DM85" s="34" t="n">
        <f aca="false">IF(112&gt;Fin,DL$85,DM$75*P_IVAmeses)</f>
        <v>0</v>
      </c>
      <c r="DN85" s="34" t="n">
        <f aca="false">IF(113&gt;Fin,DM$85,DN$75*P_IVAmeses)</f>
        <v>0</v>
      </c>
      <c r="DO85" s="34" t="n">
        <f aca="false">IF(114&gt;Fin,DN$85,DO$75*P_IVAmeses)</f>
        <v>0</v>
      </c>
      <c r="DP85" s="34" t="n">
        <f aca="false">IF(115&gt;Fin,DO$85,DP$75*P_IVAmeses)</f>
        <v>0</v>
      </c>
      <c r="DQ85" s="34" t="n">
        <f aca="false">IF(116&gt;Fin,DP$85,DQ$75*P_IVAmeses)</f>
        <v>0</v>
      </c>
      <c r="DR85" s="34" t="n">
        <f aca="false">IF(117&gt;Fin,DQ$85,DR$75*P_IVAmeses)</f>
        <v>0</v>
      </c>
      <c r="DS85" s="34" t="n">
        <f aca="false">IF(118&gt;Fin,DR$85,DS$75*P_IVAmeses)</f>
        <v>0</v>
      </c>
      <c r="DT85" s="34" t="n">
        <f aca="false">IF(119&gt;Fin,DS$85,DT$75*P_IVAmeses)</f>
        <v>0</v>
      </c>
      <c r="DU85" s="34" t="n">
        <f aca="false">IF(120&gt;Fin,DT$85,DU$75*P_IVAmeses)</f>
        <v>0</v>
      </c>
      <c r="DV85" s="34" t="n">
        <f aca="false">IF(121&gt;Fin,DU$85,DV$75*P_IVAmeses)</f>
        <v>0</v>
      </c>
      <c r="DW85" s="34" t="n">
        <f aca="false">IF(122&gt;Fin,DV$85,DW$75*P_IVAmeses)</f>
        <v>0</v>
      </c>
      <c r="DX85" s="34" t="n">
        <f aca="false">IF(123&gt;Fin,DW$85,DX$75*P_IVAmeses)</f>
        <v>0</v>
      </c>
      <c r="DY85" s="34" t="n">
        <f aca="false">IF(124&gt;Fin,DX$85,DY$75*P_IVAmeses)</f>
        <v>0</v>
      </c>
      <c r="DZ85" s="34" t="n">
        <f aca="false">IF(125&gt;Fin,DY$85,DZ$75*P_IVAmeses)</f>
        <v>0</v>
      </c>
      <c r="EA85" s="34" t="n">
        <f aca="false">IF(126&gt;Fin,DZ$85,EA$75*P_IVAmeses)</f>
        <v>0</v>
      </c>
      <c r="EB85" s="34" t="n">
        <f aca="false">IF(127&gt;Fin,EA$85,EB$75*P_IVAmeses)</f>
        <v>0</v>
      </c>
      <c r="EC85" s="34" t="n">
        <f aca="false">IF(128&gt;Fin,EB$85,EC$75*P_IVAmeses)</f>
        <v>0</v>
      </c>
      <c r="ED85" s="34" t="n">
        <f aca="false">IF(129&gt;Fin,EC$85,ED$75*P_IVAmeses)</f>
        <v>0</v>
      </c>
      <c r="EE85" s="34" t="n">
        <f aca="false">IF(130&gt;Fin,ED$85,EE$75*P_IVAmeses)</f>
        <v>0</v>
      </c>
      <c r="EF85" s="34" t="n">
        <f aca="false">IF(131&gt;Fin,EE$85,EF$75*P_IVAmeses)</f>
        <v>0</v>
      </c>
      <c r="EG85" s="34" t="n">
        <f aca="false">IF(132&gt;Fin,EF$85,EG$75*P_IVAmeses)</f>
        <v>0</v>
      </c>
      <c r="EH85" s="34" t="n">
        <f aca="false">IF(133&gt;Fin,EG$85,EH$75*P_IVAmeses)</f>
        <v>0</v>
      </c>
      <c r="EI85" s="34" t="n">
        <f aca="false">IF(134&gt;Fin,EH$85,EI$75*P_IVAmeses)</f>
        <v>0</v>
      </c>
      <c r="EJ85" s="34" t="n">
        <f aca="false">IF(135&gt;Fin,EI$85,EJ$75*P_IVAmeses)</f>
        <v>0</v>
      </c>
      <c r="EK85" s="34" t="n">
        <f aca="false">IF(136&gt;Fin,EJ$85,EK$75*P_IVAmeses)</f>
        <v>0</v>
      </c>
      <c r="EL85" s="34" t="n">
        <f aca="false">IF(137&gt;Fin,EK$85,EL$75*P_IVAmeses)</f>
        <v>0</v>
      </c>
      <c r="EM85" s="34" t="n">
        <f aca="false">IF(138&gt;Fin,EL$85,EM$75*P_IVAmeses)</f>
        <v>0</v>
      </c>
      <c r="EN85" s="34" t="n">
        <f aca="false">IF(139&gt;Fin,EM$85,EN$75*P_IVAmeses)</f>
        <v>0</v>
      </c>
      <c r="EO85" s="34" t="n">
        <f aca="false">IF(140&gt;Fin,EN$85,EO$75*P_IVAmeses)</f>
        <v>0</v>
      </c>
      <c r="EP85" s="34" t="n">
        <f aca="false">IF(141&gt;Fin,EO$85,EP$75*P_IVAmeses)</f>
        <v>0</v>
      </c>
      <c r="EQ85" s="34" t="n">
        <f aca="false">IF(142&gt;Fin,EP$85,EQ$75*P_IVAmeses)</f>
        <v>0</v>
      </c>
      <c r="ER85" s="34" t="n">
        <f aca="false">IF(143&gt;Fin,EQ$85,ER$75*P_IVAmeses)</f>
        <v>0</v>
      </c>
      <c r="ES85" s="34" t="n">
        <f aca="false">IF(144&gt;Fin,ER$85,ES$75*P_IVAmeses)</f>
        <v>0</v>
      </c>
    </row>
    <row r="86" customFormat="false" ht="15" hidden="false" customHeight="false" outlineLevel="0" collapsed="false">
      <c r="A86" s="2" t="s">
        <v>658</v>
      </c>
      <c r="B86" s="6" t="s">
        <v>659</v>
      </c>
      <c r="C86" s="6" t="s">
        <v>250</v>
      </c>
      <c r="E86" s="40" t="n">
        <f aca="false">INDEX(F86:ES86,1,MIN(144,Fin))</f>
        <v>158331.694422986</v>
      </c>
      <c r="F86" s="34" t="n">
        <f aca="false">IF(1&gt;Fin,0,F$67*P_DPOmp/DiasMes+(F$68+F$70+F$73+F$74)*P_DPOot/DiasMes)</f>
        <v>99105.4926010081</v>
      </c>
      <c r="G86" s="34" t="n">
        <f aca="false">IF(2&gt;Fin,F$86,G$67*P_DPOmp/DiasMes+(G$68+G$70+G$73+G$74)*P_DPOot/DiasMes)</f>
        <v>99105.4926010081</v>
      </c>
      <c r="H86" s="34" t="n">
        <f aca="false">IF(3&gt;Fin,G$86,H$67*P_DPOmp/DiasMes+(H$68+H$70+H$73+H$74)*P_DPOot/DiasMes)</f>
        <v>99105.4926010081</v>
      </c>
      <c r="I86" s="34" t="n">
        <f aca="false">IF(4&gt;Fin,H$86,I$67*P_DPOmp/DiasMes+(I$68+I$70+I$73+I$74)*P_DPOot/DiasMes)</f>
        <v>99105.4926010081</v>
      </c>
      <c r="J86" s="34" t="n">
        <f aca="false">IF(5&gt;Fin,I$86,J$67*P_DPOmp/DiasMes+(J$68+J$70+J$73+J$74)*P_DPOot/DiasMes)</f>
        <v>99105.4926010081</v>
      </c>
      <c r="K86" s="34" t="n">
        <f aca="false">IF(6&gt;Fin,J$86,K$67*P_DPOmp/DiasMes+(K$68+K$70+K$73+K$74)*P_DPOot/DiasMes)</f>
        <v>99105.4926010081</v>
      </c>
      <c r="L86" s="34" t="n">
        <f aca="false">IF(7&gt;Fin,K$86,L$67*P_DPOmp/DiasMes+(L$68+L$70+L$73+L$74)*P_DPOot/DiasMes)</f>
        <v>99105.4926010081</v>
      </c>
      <c r="M86" s="34" t="n">
        <f aca="false">IF(8&gt;Fin,L$86,M$67*P_DPOmp/DiasMes+(M$68+M$70+M$73+M$74)*P_DPOot/DiasMes)</f>
        <v>99105.4926010081</v>
      </c>
      <c r="N86" s="34" t="n">
        <f aca="false">IF(9&gt;Fin,M$86,N$67*P_DPOmp/DiasMes+(N$68+N$70+N$73+N$74)*P_DPOot/DiasMes)</f>
        <v>99105.4926010081</v>
      </c>
      <c r="O86" s="34" t="n">
        <f aca="false">IF(10&gt;Fin,N$86,O$67*P_DPOmp/DiasMes+(O$68+O$70+O$73+O$74)*P_DPOot/DiasMes)</f>
        <v>99105.4926010081</v>
      </c>
      <c r="P86" s="34" t="n">
        <f aca="false">IF(11&gt;Fin,O$86,P$67*P_DPOmp/DiasMes+(P$68+P$70+P$73+P$74)*P_DPOot/DiasMes)</f>
        <v>99105.4926010081</v>
      </c>
      <c r="Q86" s="34" t="n">
        <f aca="false">IF(12&gt;Fin,P$86,Q$67*P_DPOmp/DiasMes+(Q$68+Q$70+Q$73+Q$74)*P_DPOot/DiasMes)</f>
        <v>99105.4926010081</v>
      </c>
      <c r="R86" s="34" t="n">
        <f aca="false">IF(13&gt;Fin,Q$86,R$67*P_DPOmp/DiasMes+(R$68+R$70+R$73+R$74)*P_DPOot/DiasMes)</f>
        <v>117843.301076035</v>
      </c>
      <c r="S86" s="34" t="n">
        <f aca="false">IF(14&gt;Fin,R$86,S$67*P_DPOmp/DiasMes+(S$68+S$70+S$73+S$74)*P_DPOot/DiasMes)</f>
        <v>117843.301076035</v>
      </c>
      <c r="T86" s="34" t="n">
        <f aca="false">IF(15&gt;Fin,S$86,T$67*P_DPOmp/DiasMes+(T$68+T$70+T$73+T$74)*P_DPOot/DiasMes)</f>
        <v>117843.301076035</v>
      </c>
      <c r="U86" s="34" t="n">
        <f aca="false">IF(16&gt;Fin,T$86,U$67*P_DPOmp/DiasMes+(U$68+U$70+U$73+U$74)*P_DPOot/DiasMes)</f>
        <v>117843.301076035</v>
      </c>
      <c r="V86" s="34" t="n">
        <f aca="false">IF(17&gt;Fin,U$86,V$67*P_DPOmp/DiasMes+(V$68+V$70+V$73+V$74)*P_DPOot/DiasMes)</f>
        <v>117843.301076035</v>
      </c>
      <c r="W86" s="34" t="n">
        <f aca="false">IF(18&gt;Fin,V$86,W$67*P_DPOmp/DiasMes+(W$68+W$70+W$73+W$74)*P_DPOot/DiasMes)</f>
        <v>117843.301076035</v>
      </c>
      <c r="X86" s="34" t="n">
        <f aca="false">IF(19&gt;Fin,W$86,X$67*P_DPOmp/DiasMes+(X$68+X$70+X$73+X$74)*P_DPOot/DiasMes)</f>
        <v>117843.301076035</v>
      </c>
      <c r="Y86" s="34" t="n">
        <f aca="false">IF(20&gt;Fin,X$86,Y$67*P_DPOmp/DiasMes+(Y$68+Y$70+Y$73+Y$74)*P_DPOot/DiasMes)</f>
        <v>117843.301076035</v>
      </c>
      <c r="Z86" s="34" t="n">
        <f aca="false">IF(21&gt;Fin,Y$86,Z$67*P_DPOmp/DiasMes+(Z$68+Z$70+Z$73+Z$74)*P_DPOot/DiasMes)</f>
        <v>117843.301076035</v>
      </c>
      <c r="AA86" s="34" t="n">
        <f aca="false">IF(22&gt;Fin,Z$86,AA$67*P_DPOmp/DiasMes+(AA$68+AA$70+AA$73+AA$74)*P_DPOot/DiasMes)</f>
        <v>117843.301076035</v>
      </c>
      <c r="AB86" s="34" t="n">
        <f aca="false">IF(23&gt;Fin,AA$86,AB$67*P_DPOmp/DiasMes+(AB$68+AB$70+AB$73+AB$74)*P_DPOot/DiasMes)</f>
        <v>117843.301076035</v>
      </c>
      <c r="AC86" s="34" t="n">
        <f aca="false">IF(24&gt;Fin,AB$86,AC$67*P_DPOmp/DiasMes+(AC$68+AC$70+AC$73+AC$74)*P_DPOot/DiasMes)</f>
        <v>117843.301076035</v>
      </c>
      <c r="AD86" s="34" t="n">
        <f aca="false">IF(25&gt;Fin,AC$86,AD$67*P_DPOmp/DiasMes+(AD$68+AD$70+AD$73+AD$74)*P_DPOot/DiasMes)</f>
        <v>136841.164480491</v>
      </c>
      <c r="AE86" s="34" t="n">
        <f aca="false">IF(26&gt;Fin,AD$86,AE$67*P_DPOmp/DiasMes+(AE$68+AE$70+AE$73+AE$74)*P_DPOot/DiasMes)</f>
        <v>136841.164480491</v>
      </c>
      <c r="AF86" s="34" t="n">
        <f aca="false">IF(27&gt;Fin,AE$86,AF$67*P_DPOmp/DiasMes+(AF$68+AF$70+AF$73+AF$74)*P_DPOot/DiasMes)</f>
        <v>136841.164480491</v>
      </c>
      <c r="AG86" s="34" t="n">
        <f aca="false">IF(28&gt;Fin,AF$86,AG$67*P_DPOmp/DiasMes+(AG$68+AG$70+AG$73+AG$74)*P_DPOot/DiasMes)</f>
        <v>136841.164480491</v>
      </c>
      <c r="AH86" s="34" t="n">
        <f aca="false">IF(29&gt;Fin,AG$86,AH$67*P_DPOmp/DiasMes+(AH$68+AH$70+AH$73+AH$74)*P_DPOot/DiasMes)</f>
        <v>136841.164480491</v>
      </c>
      <c r="AI86" s="34" t="n">
        <f aca="false">IF(30&gt;Fin,AH$86,AI$67*P_DPOmp/DiasMes+(AI$68+AI$70+AI$73+AI$74)*P_DPOot/DiasMes)</f>
        <v>136841.164480491</v>
      </c>
      <c r="AJ86" s="34" t="n">
        <f aca="false">IF(31&gt;Fin,AI$86,AJ$67*P_DPOmp/DiasMes+(AJ$68+AJ$70+AJ$73+AJ$74)*P_DPOot/DiasMes)</f>
        <v>136841.164480491</v>
      </c>
      <c r="AK86" s="34" t="n">
        <f aca="false">IF(32&gt;Fin,AJ$86,AK$67*P_DPOmp/DiasMes+(AK$68+AK$70+AK$73+AK$74)*P_DPOot/DiasMes)</f>
        <v>136841.164480491</v>
      </c>
      <c r="AL86" s="34" t="n">
        <f aca="false">IF(33&gt;Fin,AK$86,AL$67*P_DPOmp/DiasMes+(AL$68+AL$70+AL$73+AL$74)*P_DPOot/DiasMes)</f>
        <v>136841.164480491</v>
      </c>
      <c r="AM86" s="34" t="n">
        <f aca="false">IF(34&gt;Fin,AL$86,AM$67*P_DPOmp/DiasMes+(AM$68+AM$70+AM$73+AM$74)*P_DPOot/DiasMes)</f>
        <v>136841.164480491</v>
      </c>
      <c r="AN86" s="34" t="n">
        <f aca="false">IF(35&gt;Fin,AM$86,AN$67*P_DPOmp/DiasMes+(AN$68+AN$70+AN$73+AN$74)*P_DPOot/DiasMes)</f>
        <v>136841.164480491</v>
      </c>
      <c r="AO86" s="34" t="n">
        <f aca="false">IF(36&gt;Fin,AN$86,AO$67*P_DPOmp/DiasMes+(AO$68+AO$70+AO$73+AO$74)*P_DPOot/DiasMes)</f>
        <v>136841.164480491</v>
      </c>
      <c r="AP86" s="34" t="n">
        <f aca="false">IF(37&gt;Fin,AO$86,AP$67*P_DPOmp/DiasMes+(AP$68+AP$70+AP$73+AP$74)*P_DPOot/DiasMes)</f>
        <v>152372.625750663</v>
      </c>
      <c r="AQ86" s="34" t="n">
        <f aca="false">IF(38&gt;Fin,AP$86,AQ$67*P_DPOmp/DiasMes+(AQ$68+AQ$70+AQ$73+AQ$74)*P_DPOot/DiasMes)</f>
        <v>152372.625750663</v>
      </c>
      <c r="AR86" s="34" t="n">
        <f aca="false">IF(39&gt;Fin,AQ$86,AR$67*P_DPOmp/DiasMes+(AR$68+AR$70+AR$73+AR$74)*P_DPOot/DiasMes)</f>
        <v>152372.625750663</v>
      </c>
      <c r="AS86" s="34" t="n">
        <f aca="false">IF(40&gt;Fin,AR$86,AS$67*P_DPOmp/DiasMes+(AS$68+AS$70+AS$73+AS$74)*P_DPOot/DiasMes)</f>
        <v>152372.625750663</v>
      </c>
      <c r="AT86" s="34" t="n">
        <f aca="false">IF(41&gt;Fin,AS$86,AT$67*P_DPOmp/DiasMes+(AT$68+AT$70+AT$73+AT$74)*P_DPOot/DiasMes)</f>
        <v>152372.625750663</v>
      </c>
      <c r="AU86" s="34" t="n">
        <f aca="false">IF(42&gt;Fin,AT$86,AU$67*P_DPOmp/DiasMes+(AU$68+AU$70+AU$73+AU$74)*P_DPOot/DiasMes)</f>
        <v>152372.625750663</v>
      </c>
      <c r="AV86" s="34" t="n">
        <f aca="false">IF(43&gt;Fin,AU$86,AV$67*P_DPOmp/DiasMes+(AV$68+AV$70+AV$73+AV$74)*P_DPOot/DiasMes)</f>
        <v>152372.625750663</v>
      </c>
      <c r="AW86" s="34" t="n">
        <f aca="false">IF(44&gt;Fin,AV$86,AW$67*P_DPOmp/DiasMes+(AW$68+AW$70+AW$73+AW$74)*P_DPOot/DiasMes)</f>
        <v>152372.625750663</v>
      </c>
      <c r="AX86" s="34" t="n">
        <f aca="false">IF(45&gt;Fin,AW$86,AX$67*P_DPOmp/DiasMes+(AX$68+AX$70+AX$73+AX$74)*P_DPOot/DiasMes)</f>
        <v>152372.625750663</v>
      </c>
      <c r="AY86" s="34" t="n">
        <f aca="false">IF(46&gt;Fin,AX$86,AY$67*P_DPOmp/DiasMes+(AY$68+AY$70+AY$73+AY$74)*P_DPOot/DiasMes)</f>
        <v>152372.625750663</v>
      </c>
      <c r="AZ86" s="34" t="n">
        <f aca="false">IF(47&gt;Fin,AY$86,AZ$67*P_DPOmp/DiasMes+(AZ$68+AZ$70+AZ$73+AZ$74)*P_DPOot/DiasMes)</f>
        <v>152372.625750663</v>
      </c>
      <c r="BA86" s="34" t="n">
        <f aca="false">IF(48&gt;Fin,AZ$86,BA$67*P_DPOmp/DiasMes+(BA$68+BA$70+BA$73+BA$74)*P_DPOot/DiasMes)</f>
        <v>152372.625750663</v>
      </c>
      <c r="BB86" s="34" t="n">
        <f aca="false">IF(49&gt;Fin,BA$86,BB$67*P_DPOmp/DiasMes+(BB$68+BB$70+BB$73+BB$74)*P_DPOot/DiasMes)</f>
        <v>153439.396899076</v>
      </c>
      <c r="BC86" s="34" t="n">
        <f aca="false">IF(50&gt;Fin,BB$86,BC$67*P_DPOmp/DiasMes+(BC$68+BC$70+BC$73+BC$74)*P_DPOot/DiasMes)</f>
        <v>153439.396899076</v>
      </c>
      <c r="BD86" s="34" t="n">
        <f aca="false">IF(51&gt;Fin,BC$86,BD$67*P_DPOmp/DiasMes+(BD$68+BD$70+BD$73+BD$74)*P_DPOot/DiasMes)</f>
        <v>153439.396899076</v>
      </c>
      <c r="BE86" s="34" t="n">
        <f aca="false">IF(52&gt;Fin,BD$86,BE$67*P_DPOmp/DiasMes+(BE$68+BE$70+BE$73+BE$74)*P_DPOot/DiasMes)</f>
        <v>153439.396899076</v>
      </c>
      <c r="BF86" s="34" t="n">
        <f aca="false">IF(53&gt;Fin,BE$86,BF$67*P_DPOmp/DiasMes+(BF$68+BF$70+BF$73+BF$74)*P_DPOot/DiasMes)</f>
        <v>153439.396899076</v>
      </c>
      <c r="BG86" s="34" t="n">
        <f aca="false">IF(54&gt;Fin,BF$86,BG$67*P_DPOmp/DiasMes+(BG$68+BG$70+BG$73+BG$74)*P_DPOot/DiasMes)</f>
        <v>153439.396899076</v>
      </c>
      <c r="BH86" s="34" t="n">
        <f aca="false">IF(55&gt;Fin,BG$86,BH$67*P_DPOmp/DiasMes+(BH$68+BH$70+BH$73+BH$74)*P_DPOot/DiasMes)</f>
        <v>153439.396899076</v>
      </c>
      <c r="BI86" s="34" t="n">
        <f aca="false">IF(56&gt;Fin,BH$86,BI$67*P_DPOmp/DiasMes+(BI$68+BI$70+BI$73+BI$74)*P_DPOot/DiasMes)</f>
        <v>153439.396899076</v>
      </c>
      <c r="BJ86" s="34" t="n">
        <f aca="false">IF(57&gt;Fin,BI$86,BJ$67*P_DPOmp/DiasMes+(BJ$68+BJ$70+BJ$73+BJ$74)*P_DPOot/DiasMes)</f>
        <v>153439.396899076</v>
      </c>
      <c r="BK86" s="34" t="n">
        <f aca="false">IF(58&gt;Fin,BJ$86,BK$67*P_DPOmp/DiasMes+(BK$68+BK$70+BK$73+BK$74)*P_DPOot/DiasMes)</f>
        <v>153439.396899076</v>
      </c>
      <c r="BL86" s="34" t="n">
        <f aca="false">IF(59&gt;Fin,BK$86,BL$67*P_DPOmp/DiasMes+(BL$68+BL$70+BL$73+BL$74)*P_DPOot/DiasMes)</f>
        <v>153439.396899076</v>
      </c>
      <c r="BM86" s="34" t="n">
        <f aca="false">IF(60&gt;Fin,BL$86,BM$67*P_DPOmp/DiasMes+(BM$68+BM$70+BM$73+BM$74)*P_DPOot/DiasMes)</f>
        <v>153439.396899076</v>
      </c>
      <c r="BN86" s="34" t="n">
        <f aca="false">IF(61&gt;Fin,BM$86,BN$67*P_DPOmp/DiasMes+(BN$68+BN$70+BN$73+BN$74)*P_DPOot/DiasMes)</f>
        <v>154373.202430234</v>
      </c>
      <c r="BO86" s="34" t="n">
        <f aca="false">IF(62&gt;Fin,BN$86,BO$67*P_DPOmp/DiasMes+(BO$68+BO$70+BO$73+BO$74)*P_DPOot/DiasMes)</f>
        <v>154373.202430234</v>
      </c>
      <c r="BP86" s="34" t="n">
        <f aca="false">IF(63&gt;Fin,BO$86,BP$67*P_DPOmp/DiasMes+(BP$68+BP$70+BP$73+BP$74)*P_DPOot/DiasMes)</f>
        <v>154373.202430234</v>
      </c>
      <c r="BQ86" s="34" t="n">
        <f aca="false">IF(64&gt;Fin,BP$86,BQ$67*P_DPOmp/DiasMes+(BQ$68+BQ$70+BQ$73+BQ$74)*P_DPOot/DiasMes)</f>
        <v>154373.202430234</v>
      </c>
      <c r="BR86" s="34" t="n">
        <f aca="false">IF(65&gt;Fin,BQ$86,BR$67*P_DPOmp/DiasMes+(BR$68+BR$70+BR$73+BR$74)*P_DPOot/DiasMes)</f>
        <v>154373.202430234</v>
      </c>
      <c r="BS86" s="34" t="n">
        <f aca="false">IF(66&gt;Fin,BR$86,BS$67*P_DPOmp/DiasMes+(BS$68+BS$70+BS$73+BS$74)*P_DPOot/DiasMes)</f>
        <v>154373.202430234</v>
      </c>
      <c r="BT86" s="34" t="n">
        <f aca="false">IF(67&gt;Fin,BS$86,BT$67*P_DPOmp/DiasMes+(BT$68+BT$70+BT$73+BT$74)*P_DPOot/DiasMes)</f>
        <v>154373.202430234</v>
      </c>
      <c r="BU86" s="34" t="n">
        <f aca="false">IF(68&gt;Fin,BT$86,BU$67*P_DPOmp/DiasMes+(BU$68+BU$70+BU$73+BU$74)*P_DPOot/DiasMes)</f>
        <v>154373.202430234</v>
      </c>
      <c r="BV86" s="34" t="n">
        <f aca="false">IF(69&gt;Fin,BU$86,BV$67*P_DPOmp/DiasMes+(BV$68+BV$70+BV$73+BV$74)*P_DPOot/DiasMes)</f>
        <v>154373.202430234</v>
      </c>
      <c r="BW86" s="34" t="n">
        <f aca="false">IF(70&gt;Fin,BV$86,BW$67*P_DPOmp/DiasMes+(BW$68+BW$70+BW$73+BW$74)*P_DPOot/DiasMes)</f>
        <v>154373.202430234</v>
      </c>
      <c r="BX86" s="34" t="n">
        <f aca="false">IF(71&gt;Fin,BW$86,BX$67*P_DPOmp/DiasMes+(BX$68+BX$70+BX$73+BX$74)*P_DPOot/DiasMes)</f>
        <v>154373.202430234</v>
      </c>
      <c r="BY86" s="34" t="n">
        <f aca="false">IF(72&gt;Fin,BX$86,BY$67*P_DPOmp/DiasMes+(BY$68+BY$70+BY$73+BY$74)*P_DPOot/DiasMes)</f>
        <v>154373.202430234</v>
      </c>
      <c r="BZ86" s="34" t="n">
        <f aca="false">IF(73&gt;Fin,BY$86,BZ$67*P_DPOmp/DiasMes+(BZ$68+BZ$70+BZ$73+BZ$74)*P_DPOot/DiasMes)</f>
        <v>155328.742837727</v>
      </c>
      <c r="CA86" s="34" t="n">
        <f aca="false">IF(74&gt;Fin,BZ$86,CA$67*P_DPOmp/DiasMes+(CA$68+CA$70+CA$73+CA$74)*P_DPOot/DiasMes)</f>
        <v>155328.742837727</v>
      </c>
      <c r="CB86" s="34" t="n">
        <f aca="false">IF(75&gt;Fin,CA$86,CB$67*P_DPOmp/DiasMes+(CB$68+CB$70+CB$73+CB$74)*P_DPOot/DiasMes)</f>
        <v>155328.742837727</v>
      </c>
      <c r="CC86" s="34" t="n">
        <f aca="false">IF(76&gt;Fin,CB$86,CC$67*P_DPOmp/DiasMes+(CC$68+CC$70+CC$73+CC$74)*P_DPOot/DiasMes)</f>
        <v>155328.742837727</v>
      </c>
      <c r="CD86" s="34" t="n">
        <f aca="false">IF(77&gt;Fin,CC$86,CD$67*P_DPOmp/DiasMes+(CD$68+CD$70+CD$73+CD$74)*P_DPOot/DiasMes)</f>
        <v>155328.742837727</v>
      </c>
      <c r="CE86" s="34" t="n">
        <f aca="false">IF(78&gt;Fin,CD$86,CE$67*P_DPOmp/DiasMes+(CE$68+CE$70+CE$73+CE$74)*P_DPOot/DiasMes)</f>
        <v>155328.742837727</v>
      </c>
      <c r="CF86" s="34" t="n">
        <f aca="false">IF(79&gt;Fin,CE$86,CF$67*P_DPOmp/DiasMes+(CF$68+CF$70+CF$73+CF$74)*P_DPOot/DiasMes)</f>
        <v>155328.742837727</v>
      </c>
      <c r="CG86" s="34" t="n">
        <f aca="false">IF(80&gt;Fin,CF$86,CG$67*P_DPOmp/DiasMes+(CG$68+CG$70+CG$73+CG$74)*P_DPOot/DiasMes)</f>
        <v>155328.742837727</v>
      </c>
      <c r="CH86" s="34" t="n">
        <f aca="false">IF(81&gt;Fin,CG$86,CH$67*P_DPOmp/DiasMes+(CH$68+CH$70+CH$73+CH$74)*P_DPOot/DiasMes)</f>
        <v>155328.742837727</v>
      </c>
      <c r="CI86" s="34" t="n">
        <f aca="false">IF(82&gt;Fin,CH$86,CI$67*P_DPOmp/DiasMes+(CI$68+CI$70+CI$73+CI$74)*P_DPOot/DiasMes)</f>
        <v>155328.742837727</v>
      </c>
      <c r="CJ86" s="34" t="n">
        <f aca="false">IF(83&gt;Fin,CI$86,CJ$67*P_DPOmp/DiasMes+(CJ$68+CJ$70+CJ$73+CJ$74)*P_DPOot/DiasMes)</f>
        <v>155328.742837727</v>
      </c>
      <c r="CK86" s="34" t="n">
        <f aca="false">IF(84&gt;Fin,CJ$86,CK$67*P_DPOmp/DiasMes+(CK$68+CK$70+CK$73+CK$74)*P_DPOot/DiasMes)</f>
        <v>155328.742837727</v>
      </c>
      <c r="CL86" s="34" t="n">
        <f aca="false">IF(85&gt;Fin,CK$86,CL$67*P_DPOmp/DiasMes+(CL$68+CL$70+CL$73+CL$74)*P_DPOot/DiasMes)</f>
        <v>156306.601824573</v>
      </c>
      <c r="CM86" s="34" t="n">
        <f aca="false">IF(86&gt;Fin,CL$86,CM$67*P_DPOmp/DiasMes+(CM$68+CM$70+CM$73+CM$74)*P_DPOot/DiasMes)</f>
        <v>156306.601824573</v>
      </c>
      <c r="CN86" s="34" t="n">
        <f aca="false">IF(87&gt;Fin,CM$86,CN$67*P_DPOmp/DiasMes+(CN$68+CN$70+CN$73+CN$74)*P_DPOot/DiasMes)</f>
        <v>156306.601824573</v>
      </c>
      <c r="CO86" s="34" t="n">
        <f aca="false">IF(88&gt;Fin,CN$86,CO$67*P_DPOmp/DiasMes+(CO$68+CO$70+CO$73+CO$74)*P_DPOot/DiasMes)</f>
        <v>156306.601824573</v>
      </c>
      <c r="CP86" s="34" t="n">
        <f aca="false">IF(89&gt;Fin,CO$86,CP$67*P_DPOmp/DiasMes+(CP$68+CP$70+CP$73+CP$74)*P_DPOot/DiasMes)</f>
        <v>156306.601824573</v>
      </c>
      <c r="CQ86" s="34" t="n">
        <f aca="false">IF(90&gt;Fin,CP$86,CQ$67*P_DPOmp/DiasMes+(CQ$68+CQ$70+CQ$73+CQ$74)*P_DPOot/DiasMes)</f>
        <v>156306.601824573</v>
      </c>
      <c r="CR86" s="34" t="n">
        <f aca="false">IF(91&gt;Fin,CQ$86,CR$67*P_DPOmp/DiasMes+(CR$68+CR$70+CR$73+CR$74)*P_DPOot/DiasMes)</f>
        <v>156306.601824573</v>
      </c>
      <c r="CS86" s="34" t="n">
        <f aca="false">IF(92&gt;Fin,CR$86,CS$67*P_DPOmp/DiasMes+(CS$68+CS$70+CS$73+CS$74)*P_DPOot/DiasMes)</f>
        <v>156306.601824573</v>
      </c>
      <c r="CT86" s="34" t="n">
        <f aca="false">IF(93&gt;Fin,CS$86,CT$67*P_DPOmp/DiasMes+(CT$68+CT$70+CT$73+CT$74)*P_DPOot/DiasMes)</f>
        <v>156306.601824573</v>
      </c>
      <c r="CU86" s="34" t="n">
        <f aca="false">IF(94&gt;Fin,CT$86,CU$67*P_DPOmp/DiasMes+(CU$68+CU$70+CU$73+CU$74)*P_DPOot/DiasMes)</f>
        <v>156306.601824573</v>
      </c>
      <c r="CV86" s="34" t="n">
        <f aca="false">IF(95&gt;Fin,CU$86,CV$67*P_DPOmp/DiasMes+(CV$68+CV$70+CV$73+CV$74)*P_DPOot/DiasMes)</f>
        <v>156306.601824573</v>
      </c>
      <c r="CW86" s="34" t="n">
        <f aca="false">IF(96&gt;Fin,CV$86,CW$67*P_DPOmp/DiasMes+(CW$68+CW$70+CW$73+CW$74)*P_DPOot/DiasMes)</f>
        <v>156306.601824573</v>
      </c>
      <c r="CX86" s="34" t="n">
        <f aca="false">IF(97&gt;Fin,CW$86,CX$67*P_DPOmp/DiasMes+(CX$68+CX$70+CX$73+CX$74)*P_DPOot/DiasMes)</f>
        <v>157307.379810441</v>
      </c>
      <c r="CY86" s="34" t="n">
        <f aca="false">IF(98&gt;Fin,CX$86,CY$67*P_DPOmp/DiasMes+(CY$68+CY$70+CY$73+CY$74)*P_DPOot/DiasMes)</f>
        <v>157307.379810441</v>
      </c>
      <c r="CZ86" s="34" t="n">
        <f aca="false">IF(99&gt;Fin,CY$86,CZ$67*P_DPOmp/DiasMes+(CZ$68+CZ$70+CZ$73+CZ$74)*P_DPOot/DiasMes)</f>
        <v>157307.379810441</v>
      </c>
      <c r="DA86" s="34" t="n">
        <f aca="false">IF(100&gt;Fin,CZ$86,DA$67*P_DPOmp/DiasMes+(DA$68+DA$70+DA$73+DA$74)*P_DPOot/DiasMes)</f>
        <v>157307.379810441</v>
      </c>
      <c r="DB86" s="34" t="n">
        <f aca="false">IF(101&gt;Fin,DA$86,DB$67*P_DPOmp/DiasMes+(DB$68+DB$70+DB$73+DB$74)*P_DPOot/DiasMes)</f>
        <v>157307.379810441</v>
      </c>
      <c r="DC86" s="34" t="n">
        <f aca="false">IF(102&gt;Fin,DB$86,DC$67*P_DPOmp/DiasMes+(DC$68+DC$70+DC$73+DC$74)*P_DPOot/DiasMes)</f>
        <v>157307.379810441</v>
      </c>
      <c r="DD86" s="34" t="n">
        <f aca="false">IF(103&gt;Fin,DC$86,DD$67*P_DPOmp/DiasMes+(DD$68+DD$70+DD$73+DD$74)*P_DPOot/DiasMes)</f>
        <v>157307.379810441</v>
      </c>
      <c r="DE86" s="34" t="n">
        <f aca="false">IF(104&gt;Fin,DD$86,DE$67*P_DPOmp/DiasMes+(DE$68+DE$70+DE$73+DE$74)*P_DPOot/DiasMes)</f>
        <v>157307.379810441</v>
      </c>
      <c r="DF86" s="34" t="n">
        <f aca="false">IF(105&gt;Fin,DE$86,DF$67*P_DPOmp/DiasMes+(DF$68+DF$70+DF$73+DF$74)*P_DPOot/DiasMes)</f>
        <v>157307.379810441</v>
      </c>
      <c r="DG86" s="34" t="n">
        <f aca="false">IF(106&gt;Fin,DF$86,DG$67*P_DPOmp/DiasMes+(DG$68+DG$70+DG$73+DG$74)*P_DPOot/DiasMes)</f>
        <v>157307.379810441</v>
      </c>
      <c r="DH86" s="34" t="n">
        <f aca="false">IF(107&gt;Fin,DG$86,DH$67*P_DPOmp/DiasMes+(DH$68+DH$70+DH$73+DH$74)*P_DPOot/DiasMes)</f>
        <v>157307.379810441</v>
      </c>
      <c r="DI86" s="34" t="n">
        <f aca="false">IF(108&gt;Fin,DH$86,DI$67*P_DPOmp/DiasMes+(DI$68+DI$70+DI$73+DI$74)*P_DPOot/DiasMes)</f>
        <v>157307.379810441</v>
      </c>
      <c r="DJ86" s="34" t="n">
        <f aca="false">IF(109&gt;Fin,DI$86,DJ$67*P_DPOmp/DiasMes+(DJ$68+DJ$70+DJ$73+DJ$74)*P_DPOot/DiasMes)</f>
        <v>158331.694422986</v>
      </c>
      <c r="DK86" s="34" t="n">
        <f aca="false">IF(110&gt;Fin,DJ$86,DK$67*P_DPOmp/DiasMes+(DK$68+DK$70+DK$73+DK$74)*P_DPOot/DiasMes)</f>
        <v>158331.694422986</v>
      </c>
      <c r="DL86" s="34" t="n">
        <f aca="false">IF(111&gt;Fin,DK$86,DL$67*P_DPOmp/DiasMes+(DL$68+DL$70+DL$73+DL$74)*P_DPOot/DiasMes)</f>
        <v>158331.694422986</v>
      </c>
      <c r="DM86" s="34" t="n">
        <f aca="false">IF(112&gt;Fin,DL$86,DM$67*P_DPOmp/DiasMes+(DM$68+DM$70+DM$73+DM$74)*P_DPOot/DiasMes)</f>
        <v>158331.694422986</v>
      </c>
      <c r="DN86" s="34" t="n">
        <f aca="false">IF(113&gt;Fin,DM$86,DN$67*P_DPOmp/DiasMes+(DN$68+DN$70+DN$73+DN$74)*P_DPOot/DiasMes)</f>
        <v>158331.694422986</v>
      </c>
      <c r="DO86" s="34" t="n">
        <f aca="false">IF(114&gt;Fin,DN$86,DO$67*P_DPOmp/DiasMes+(DO$68+DO$70+DO$73+DO$74)*P_DPOot/DiasMes)</f>
        <v>158331.694422986</v>
      </c>
      <c r="DP86" s="34" t="n">
        <f aca="false">IF(115&gt;Fin,DO$86,DP$67*P_DPOmp/DiasMes+(DP$68+DP$70+DP$73+DP$74)*P_DPOot/DiasMes)</f>
        <v>158331.694422986</v>
      </c>
      <c r="DQ86" s="34" t="n">
        <f aca="false">IF(116&gt;Fin,DP$86,DQ$67*P_DPOmp/DiasMes+(DQ$68+DQ$70+DQ$73+DQ$74)*P_DPOot/DiasMes)</f>
        <v>158331.694422986</v>
      </c>
      <c r="DR86" s="34" t="n">
        <f aca="false">IF(117&gt;Fin,DQ$86,DR$67*P_DPOmp/DiasMes+(DR$68+DR$70+DR$73+DR$74)*P_DPOot/DiasMes)</f>
        <v>158331.694422986</v>
      </c>
      <c r="DS86" s="34" t="n">
        <f aca="false">IF(118&gt;Fin,DR$86,DS$67*P_DPOmp/DiasMes+(DS$68+DS$70+DS$73+DS$74)*P_DPOot/DiasMes)</f>
        <v>158331.694422986</v>
      </c>
      <c r="DT86" s="34" t="n">
        <f aca="false">IF(119&gt;Fin,DS$86,DT$67*P_DPOmp/DiasMes+(DT$68+DT$70+DT$73+DT$74)*P_DPOot/DiasMes)</f>
        <v>158331.694422986</v>
      </c>
      <c r="DU86" s="34" t="n">
        <f aca="false">IF(120&gt;Fin,DT$86,DU$67*P_DPOmp/DiasMes+(DU$68+DU$70+DU$73+DU$74)*P_DPOot/DiasMes)</f>
        <v>158331.694422986</v>
      </c>
      <c r="DV86" s="34" t="n">
        <f aca="false">IF(121&gt;Fin,DU$86,DV$67*P_DPOmp/DiasMes+(DV$68+DV$70+DV$73+DV$74)*P_DPOot/DiasMes)</f>
        <v>158331.694422986</v>
      </c>
      <c r="DW86" s="34" t="n">
        <f aca="false">IF(122&gt;Fin,DV$86,DW$67*P_DPOmp/DiasMes+(DW$68+DW$70+DW$73+DW$74)*P_DPOot/DiasMes)</f>
        <v>158331.694422986</v>
      </c>
      <c r="DX86" s="34" t="n">
        <f aca="false">IF(123&gt;Fin,DW$86,DX$67*P_DPOmp/DiasMes+(DX$68+DX$70+DX$73+DX$74)*P_DPOot/DiasMes)</f>
        <v>158331.694422986</v>
      </c>
      <c r="DY86" s="34" t="n">
        <f aca="false">IF(124&gt;Fin,DX$86,DY$67*P_DPOmp/DiasMes+(DY$68+DY$70+DY$73+DY$74)*P_DPOot/DiasMes)</f>
        <v>158331.694422986</v>
      </c>
      <c r="DZ86" s="34" t="n">
        <f aca="false">IF(125&gt;Fin,DY$86,DZ$67*P_DPOmp/DiasMes+(DZ$68+DZ$70+DZ$73+DZ$74)*P_DPOot/DiasMes)</f>
        <v>158331.694422986</v>
      </c>
      <c r="EA86" s="34" t="n">
        <f aca="false">IF(126&gt;Fin,DZ$86,EA$67*P_DPOmp/DiasMes+(EA$68+EA$70+EA$73+EA$74)*P_DPOot/DiasMes)</f>
        <v>158331.694422986</v>
      </c>
      <c r="EB86" s="34" t="n">
        <f aca="false">IF(127&gt;Fin,EA$86,EB$67*P_DPOmp/DiasMes+(EB$68+EB$70+EB$73+EB$74)*P_DPOot/DiasMes)</f>
        <v>158331.694422986</v>
      </c>
      <c r="EC86" s="34" t="n">
        <f aca="false">IF(128&gt;Fin,EB$86,EC$67*P_DPOmp/DiasMes+(EC$68+EC$70+EC$73+EC$74)*P_DPOot/DiasMes)</f>
        <v>158331.694422986</v>
      </c>
      <c r="ED86" s="34" t="n">
        <f aca="false">IF(129&gt;Fin,EC$86,ED$67*P_DPOmp/DiasMes+(ED$68+ED$70+ED$73+ED$74)*P_DPOot/DiasMes)</f>
        <v>158331.694422986</v>
      </c>
      <c r="EE86" s="34" t="n">
        <f aca="false">IF(130&gt;Fin,ED$86,EE$67*P_DPOmp/DiasMes+(EE$68+EE$70+EE$73+EE$74)*P_DPOot/DiasMes)</f>
        <v>158331.694422986</v>
      </c>
      <c r="EF86" s="34" t="n">
        <f aca="false">IF(131&gt;Fin,EE$86,EF$67*P_DPOmp/DiasMes+(EF$68+EF$70+EF$73+EF$74)*P_DPOot/DiasMes)</f>
        <v>158331.694422986</v>
      </c>
      <c r="EG86" s="34" t="n">
        <f aca="false">IF(132&gt;Fin,EF$86,EG$67*P_DPOmp/DiasMes+(EG$68+EG$70+EG$73+EG$74)*P_DPOot/DiasMes)</f>
        <v>158331.694422986</v>
      </c>
      <c r="EH86" s="34" t="n">
        <f aca="false">IF(133&gt;Fin,EG$86,EH$67*P_DPOmp/DiasMes+(EH$68+EH$70+EH$73+EH$74)*P_DPOot/DiasMes)</f>
        <v>158331.694422986</v>
      </c>
      <c r="EI86" s="34" t="n">
        <f aca="false">IF(134&gt;Fin,EH$86,EI$67*P_DPOmp/DiasMes+(EI$68+EI$70+EI$73+EI$74)*P_DPOot/DiasMes)</f>
        <v>158331.694422986</v>
      </c>
      <c r="EJ86" s="34" t="n">
        <f aca="false">IF(135&gt;Fin,EI$86,EJ$67*P_DPOmp/DiasMes+(EJ$68+EJ$70+EJ$73+EJ$74)*P_DPOot/DiasMes)</f>
        <v>158331.694422986</v>
      </c>
      <c r="EK86" s="34" t="n">
        <f aca="false">IF(136&gt;Fin,EJ$86,EK$67*P_DPOmp/DiasMes+(EK$68+EK$70+EK$73+EK$74)*P_DPOot/DiasMes)</f>
        <v>158331.694422986</v>
      </c>
      <c r="EL86" s="34" t="n">
        <f aca="false">IF(137&gt;Fin,EK$86,EL$67*P_DPOmp/DiasMes+(EL$68+EL$70+EL$73+EL$74)*P_DPOot/DiasMes)</f>
        <v>158331.694422986</v>
      </c>
      <c r="EM86" s="34" t="n">
        <f aca="false">IF(138&gt;Fin,EL$86,EM$67*P_DPOmp/DiasMes+(EM$68+EM$70+EM$73+EM$74)*P_DPOot/DiasMes)</f>
        <v>158331.694422986</v>
      </c>
      <c r="EN86" s="34" t="n">
        <f aca="false">IF(139&gt;Fin,EM$86,EN$67*P_DPOmp/DiasMes+(EN$68+EN$70+EN$73+EN$74)*P_DPOot/DiasMes)</f>
        <v>158331.694422986</v>
      </c>
      <c r="EO86" s="34" t="n">
        <f aca="false">IF(140&gt;Fin,EN$86,EO$67*P_DPOmp/DiasMes+(EO$68+EO$70+EO$73+EO$74)*P_DPOot/DiasMes)</f>
        <v>158331.694422986</v>
      </c>
      <c r="EP86" s="34" t="n">
        <f aca="false">IF(141&gt;Fin,EO$86,EP$67*P_DPOmp/DiasMes+(EP$68+EP$70+EP$73+EP$74)*P_DPOot/DiasMes)</f>
        <v>158331.694422986</v>
      </c>
      <c r="EQ86" s="34" t="n">
        <f aca="false">IF(142&gt;Fin,EP$86,EQ$67*P_DPOmp/DiasMes+(EQ$68+EQ$70+EQ$73+EQ$74)*P_DPOot/DiasMes)</f>
        <v>158331.694422986</v>
      </c>
      <c r="ER86" s="34" t="n">
        <f aca="false">IF(143&gt;Fin,EQ$86,ER$67*P_DPOmp/DiasMes+(ER$68+ER$70+ER$73+ER$74)*P_DPOot/DiasMes)</f>
        <v>158331.694422986</v>
      </c>
      <c r="ES86" s="34" t="n">
        <f aca="false">IF(144&gt;Fin,ER$86,ES$67*P_DPOmp/DiasMes+(ES$68+ES$70+ES$73+ES$74)*P_DPOot/DiasMes)</f>
        <v>158331.694422986</v>
      </c>
    </row>
    <row r="87" customFormat="false" ht="15" hidden="false" customHeight="false" outlineLevel="0" collapsed="false">
      <c r="A87" s="2" t="s">
        <v>660</v>
      </c>
      <c r="B87" s="52" t="s">
        <v>661</v>
      </c>
      <c r="C87" s="6" t="s">
        <v>250</v>
      </c>
      <c r="E87" s="40" t="n">
        <f aca="false">MAX(F87:ES87)</f>
        <v>4499762.51732228</v>
      </c>
      <c r="F87" s="10" t="n">
        <f aca="false">F$83+F$84+F$85-F$86</f>
        <v>2388063.88735903</v>
      </c>
      <c r="G87" s="10" t="n">
        <f aca="false">G$83+G$84+G$85-G$86</f>
        <v>2388063.88735903</v>
      </c>
      <c r="H87" s="10" t="n">
        <f aca="false">H$83+H$84+H$85-H$86</f>
        <v>2388063.88735903</v>
      </c>
      <c r="I87" s="10" t="n">
        <f aca="false">I$83+I$84+I$85-I$86</f>
        <v>2388063.88735903</v>
      </c>
      <c r="J87" s="10" t="n">
        <f aca="false">J$83+J$84+J$85-J$86</f>
        <v>2388063.88735903</v>
      </c>
      <c r="K87" s="10" t="n">
        <f aca="false">K$83+K$84+K$85-K$86</f>
        <v>2388063.88735903</v>
      </c>
      <c r="L87" s="10" t="n">
        <f aca="false">L$83+L$84+L$85-L$86</f>
        <v>2388063.88735903</v>
      </c>
      <c r="M87" s="10" t="n">
        <f aca="false">M$83+M$84+M$85-M$86</f>
        <v>2388063.88735903</v>
      </c>
      <c r="N87" s="10" t="n">
        <f aca="false">N$83+N$84+N$85-N$86</f>
        <v>2388063.88735903</v>
      </c>
      <c r="O87" s="10" t="n">
        <f aca="false">O$83+O$84+O$85-O$86</f>
        <v>2388063.88735903</v>
      </c>
      <c r="P87" s="10" t="n">
        <f aca="false">P$83+P$84+P$85-P$86</f>
        <v>2388063.88735903</v>
      </c>
      <c r="Q87" s="10" t="n">
        <f aca="false">Q$83+Q$84+Q$85-Q$86</f>
        <v>2388063.88735903</v>
      </c>
      <c r="R87" s="10" t="n">
        <f aca="false">R$83+R$84+R$85-R$86</f>
        <v>3043209.33175467</v>
      </c>
      <c r="S87" s="10" t="n">
        <f aca="false">S$83+S$84+S$85-S$86</f>
        <v>3043209.33175467</v>
      </c>
      <c r="T87" s="10" t="n">
        <f aca="false">T$83+T$84+T$85-T$86</f>
        <v>3043209.33175467</v>
      </c>
      <c r="U87" s="10" t="n">
        <f aca="false">U$83+U$84+U$85-U$86</f>
        <v>3043209.33175467</v>
      </c>
      <c r="V87" s="10" t="n">
        <f aca="false">V$83+V$84+V$85-V$86</f>
        <v>3043209.33175467</v>
      </c>
      <c r="W87" s="10" t="n">
        <f aca="false">W$83+W$84+W$85-W$86</f>
        <v>3043209.33175467</v>
      </c>
      <c r="X87" s="10" t="n">
        <f aca="false">X$83+X$84+X$85-X$86</f>
        <v>3043209.33175467</v>
      </c>
      <c r="Y87" s="10" t="n">
        <f aca="false">Y$83+Y$84+Y$85-Y$86</f>
        <v>3043209.33175467</v>
      </c>
      <c r="Z87" s="10" t="n">
        <f aca="false">Z$83+Z$84+Z$85-Z$86</f>
        <v>3043209.33175467</v>
      </c>
      <c r="AA87" s="10" t="n">
        <f aca="false">AA$83+AA$84+AA$85-AA$86</f>
        <v>3043209.33175467</v>
      </c>
      <c r="AB87" s="10" t="n">
        <f aca="false">AB$83+AB$84+AB$85-AB$86</f>
        <v>3043209.33175467</v>
      </c>
      <c r="AC87" s="10" t="n">
        <f aca="false">AC$83+AC$84+AC$85-AC$86</f>
        <v>3043209.33175467</v>
      </c>
      <c r="AD87" s="10" t="n">
        <f aca="false">AD$83+AD$84+AD$85-AD$86</f>
        <v>3710536.2623871</v>
      </c>
      <c r="AE87" s="10" t="n">
        <f aca="false">AE$83+AE$84+AE$85-AE$86</f>
        <v>3710536.2623871</v>
      </c>
      <c r="AF87" s="10" t="n">
        <f aca="false">AF$83+AF$84+AF$85-AF$86</f>
        <v>3710536.2623871</v>
      </c>
      <c r="AG87" s="10" t="n">
        <f aca="false">AG$83+AG$84+AG$85-AG$86</f>
        <v>3710536.2623871</v>
      </c>
      <c r="AH87" s="10" t="n">
        <f aca="false">AH$83+AH$84+AH$85-AH$86</f>
        <v>3710536.2623871</v>
      </c>
      <c r="AI87" s="10" t="n">
        <f aca="false">AI$83+AI$84+AI$85-AI$86</f>
        <v>3710536.2623871</v>
      </c>
      <c r="AJ87" s="10" t="n">
        <f aca="false">AJ$83+AJ$84+AJ$85-AJ$86</f>
        <v>3710536.2623871</v>
      </c>
      <c r="AK87" s="10" t="n">
        <f aca="false">AK$83+AK$84+AK$85-AK$86</f>
        <v>3710536.2623871</v>
      </c>
      <c r="AL87" s="10" t="n">
        <f aca="false">AL$83+AL$84+AL$85-AL$86</f>
        <v>3710536.2623871</v>
      </c>
      <c r="AM87" s="10" t="n">
        <f aca="false">AM$83+AM$84+AM$85-AM$86</f>
        <v>3710536.2623871</v>
      </c>
      <c r="AN87" s="10" t="n">
        <f aca="false">AN$83+AN$84+AN$85-AN$86</f>
        <v>3710536.2623871</v>
      </c>
      <c r="AO87" s="10" t="n">
        <f aca="false">AO$83+AO$84+AO$85-AO$86</f>
        <v>3710536.2623871</v>
      </c>
      <c r="AP87" s="10" t="n">
        <f aca="false">AP$83+AP$84+AP$85-AP$86</f>
        <v>4269345.33232041</v>
      </c>
      <c r="AQ87" s="10" t="n">
        <f aca="false">AQ$83+AQ$84+AQ$85-AQ$86</f>
        <v>4269345.33232041</v>
      </c>
      <c r="AR87" s="10" t="n">
        <f aca="false">AR$83+AR$84+AR$85-AR$86</f>
        <v>4269345.33232041</v>
      </c>
      <c r="AS87" s="10" t="n">
        <f aca="false">AS$83+AS$84+AS$85-AS$86</f>
        <v>4269345.33232041</v>
      </c>
      <c r="AT87" s="10" t="n">
        <f aca="false">AT$83+AT$84+AT$85-AT$86</f>
        <v>4269345.33232041</v>
      </c>
      <c r="AU87" s="10" t="n">
        <f aca="false">AU$83+AU$84+AU$85-AU$86</f>
        <v>4269345.33232041</v>
      </c>
      <c r="AV87" s="10" t="n">
        <f aca="false">AV$83+AV$84+AV$85-AV$86</f>
        <v>4269345.33232041</v>
      </c>
      <c r="AW87" s="10" t="n">
        <f aca="false">AW$83+AW$84+AW$85-AW$86</f>
        <v>4269345.33232041</v>
      </c>
      <c r="AX87" s="10" t="n">
        <f aca="false">AX$83+AX$84+AX$85-AX$86</f>
        <v>4269345.33232041</v>
      </c>
      <c r="AY87" s="10" t="n">
        <f aca="false">AY$83+AY$84+AY$85-AY$86</f>
        <v>4269345.33232041</v>
      </c>
      <c r="AZ87" s="10" t="n">
        <f aca="false">AZ$83+AZ$84+AZ$85-AZ$86</f>
        <v>4269345.33232041</v>
      </c>
      <c r="BA87" s="10" t="n">
        <f aca="false">BA$83+BA$84+BA$85-BA$86</f>
        <v>4269345.33232041</v>
      </c>
      <c r="BB87" s="10" t="n">
        <f aca="false">BB$83+BB$84+BB$85-BB$86</f>
        <v>4307454.88002627</v>
      </c>
      <c r="BC87" s="10" t="n">
        <f aca="false">BC$83+BC$84+BC$85-BC$86</f>
        <v>4307454.88002627</v>
      </c>
      <c r="BD87" s="10" t="n">
        <f aca="false">BD$83+BD$84+BD$85-BD$86</f>
        <v>4307454.88002627</v>
      </c>
      <c r="BE87" s="10" t="n">
        <f aca="false">BE$83+BE$84+BE$85-BE$86</f>
        <v>4307454.88002627</v>
      </c>
      <c r="BF87" s="10" t="n">
        <f aca="false">BF$83+BF$84+BF$85-BF$86</f>
        <v>4307454.88002627</v>
      </c>
      <c r="BG87" s="10" t="n">
        <f aca="false">BG$83+BG$84+BG$85-BG$86</f>
        <v>4307454.88002627</v>
      </c>
      <c r="BH87" s="10" t="n">
        <f aca="false">BH$83+BH$84+BH$85-BH$86</f>
        <v>4307454.88002627</v>
      </c>
      <c r="BI87" s="10" t="n">
        <f aca="false">BI$83+BI$84+BI$85-BI$86</f>
        <v>4307454.88002627</v>
      </c>
      <c r="BJ87" s="10" t="n">
        <f aca="false">BJ$83+BJ$84+BJ$85-BJ$86</f>
        <v>4307454.88002627</v>
      </c>
      <c r="BK87" s="10" t="n">
        <f aca="false">BK$83+BK$84+BK$85-BK$86</f>
        <v>4307454.88002627</v>
      </c>
      <c r="BL87" s="10" t="n">
        <f aca="false">BL$83+BL$84+BL$85-BL$86</f>
        <v>4307454.88002627</v>
      </c>
      <c r="BM87" s="10" t="n">
        <f aca="false">BM$83+BM$84+BM$85-BM$86</f>
        <v>4307454.88002627</v>
      </c>
      <c r="BN87" s="10" t="n">
        <f aca="false">BN$83+BN$84+BN$85-BN$86</f>
        <v>4345179.73649487</v>
      </c>
      <c r="BO87" s="10" t="n">
        <f aca="false">BO$83+BO$84+BO$85-BO$86</f>
        <v>4345179.73649487</v>
      </c>
      <c r="BP87" s="10" t="n">
        <f aca="false">BP$83+BP$84+BP$85-BP$86</f>
        <v>4345179.73649487</v>
      </c>
      <c r="BQ87" s="10" t="n">
        <f aca="false">BQ$83+BQ$84+BQ$85-BQ$86</f>
        <v>4345179.73649487</v>
      </c>
      <c r="BR87" s="10" t="n">
        <f aca="false">BR$83+BR$84+BR$85-BR$86</f>
        <v>4345179.73649487</v>
      </c>
      <c r="BS87" s="10" t="n">
        <f aca="false">BS$83+BS$84+BS$85-BS$86</f>
        <v>4345179.73649487</v>
      </c>
      <c r="BT87" s="10" t="n">
        <f aca="false">BT$83+BT$84+BT$85-BT$86</f>
        <v>4345179.73649487</v>
      </c>
      <c r="BU87" s="10" t="n">
        <f aca="false">BU$83+BU$84+BU$85-BU$86</f>
        <v>4345179.73649487</v>
      </c>
      <c r="BV87" s="10" t="n">
        <f aca="false">BV$83+BV$84+BV$85-BV$86</f>
        <v>4345179.73649487</v>
      </c>
      <c r="BW87" s="10" t="n">
        <f aca="false">BW$83+BW$84+BW$85-BW$86</f>
        <v>4345179.73649487</v>
      </c>
      <c r="BX87" s="10" t="n">
        <f aca="false">BX$83+BX$84+BX$85-BX$86</f>
        <v>4345179.73649487</v>
      </c>
      <c r="BY87" s="10" t="n">
        <f aca="false">BY$83+BY$84+BY$85-BY$86</f>
        <v>4345179.73649487</v>
      </c>
      <c r="BZ87" s="10" t="n">
        <f aca="false">BZ$83+BZ$84+BZ$85-BZ$86</f>
        <v>4383269.62971965</v>
      </c>
      <c r="CA87" s="10" t="n">
        <f aca="false">CA$83+CA$84+CA$85-CA$86</f>
        <v>4383269.62971965</v>
      </c>
      <c r="CB87" s="10" t="n">
        <f aca="false">CB$83+CB$84+CB$85-CB$86</f>
        <v>4383269.62971965</v>
      </c>
      <c r="CC87" s="10" t="n">
        <f aca="false">CC$83+CC$84+CC$85-CC$86</f>
        <v>4383269.62971965</v>
      </c>
      <c r="CD87" s="10" t="n">
        <f aca="false">CD$83+CD$84+CD$85-CD$86</f>
        <v>4383269.62971965</v>
      </c>
      <c r="CE87" s="10" t="n">
        <f aca="false">CE$83+CE$84+CE$85-CE$86</f>
        <v>4383269.62971965</v>
      </c>
      <c r="CF87" s="10" t="n">
        <f aca="false">CF$83+CF$84+CF$85-CF$86</f>
        <v>4383269.62971965</v>
      </c>
      <c r="CG87" s="10" t="n">
        <f aca="false">CG$83+CG$84+CG$85-CG$86</f>
        <v>4383269.62971965</v>
      </c>
      <c r="CH87" s="10" t="n">
        <f aca="false">CH$83+CH$84+CH$85-CH$86</f>
        <v>4383269.62971965</v>
      </c>
      <c r="CI87" s="10" t="n">
        <f aca="false">CI$83+CI$84+CI$85-CI$86</f>
        <v>4383269.62971965</v>
      </c>
      <c r="CJ87" s="10" t="n">
        <f aca="false">CJ$83+CJ$84+CJ$85-CJ$86</f>
        <v>4383269.62971965</v>
      </c>
      <c r="CK87" s="10" t="n">
        <f aca="false">CK$83+CK$84+CK$85-CK$86</f>
        <v>4383269.62971965</v>
      </c>
      <c r="CL87" s="10" t="n">
        <f aca="false">CL$83+CL$84+CL$85-CL$86</f>
        <v>4421727.84741417</v>
      </c>
      <c r="CM87" s="10" t="n">
        <f aca="false">CM$83+CM$84+CM$85-CM$86</f>
        <v>4421727.84741417</v>
      </c>
      <c r="CN87" s="10" t="n">
        <f aca="false">CN$83+CN$84+CN$85-CN$86</f>
        <v>4421727.84741417</v>
      </c>
      <c r="CO87" s="10" t="n">
        <f aca="false">CO$83+CO$84+CO$85-CO$86</f>
        <v>4421727.84741417</v>
      </c>
      <c r="CP87" s="10" t="n">
        <f aca="false">CP$83+CP$84+CP$85-CP$86</f>
        <v>4421727.84741417</v>
      </c>
      <c r="CQ87" s="10" t="n">
        <f aca="false">CQ$83+CQ$84+CQ$85-CQ$86</f>
        <v>4421727.84741417</v>
      </c>
      <c r="CR87" s="10" t="n">
        <f aca="false">CR$83+CR$84+CR$85-CR$86</f>
        <v>4421727.84741417</v>
      </c>
      <c r="CS87" s="10" t="n">
        <f aca="false">CS$83+CS$84+CS$85-CS$86</f>
        <v>4421727.84741417</v>
      </c>
      <c r="CT87" s="10" t="n">
        <f aca="false">CT$83+CT$84+CT$85-CT$86</f>
        <v>4421727.84741417</v>
      </c>
      <c r="CU87" s="10" t="n">
        <f aca="false">CU$83+CU$84+CU$85-CU$86</f>
        <v>4421727.84741417</v>
      </c>
      <c r="CV87" s="10" t="n">
        <f aca="false">CV$83+CV$84+CV$85-CV$86</f>
        <v>4421727.84741417</v>
      </c>
      <c r="CW87" s="10" t="n">
        <f aca="false">CW$83+CW$84+CW$85-CW$86</f>
        <v>4421727.84741417</v>
      </c>
      <c r="CX87" s="10" t="n">
        <f aca="false">CX$83+CX$84+CX$85-CX$86</f>
        <v>4460557.6993635</v>
      </c>
      <c r="CY87" s="10" t="n">
        <f aca="false">CY$83+CY$84+CY$85-CY$86</f>
        <v>4460557.6993635</v>
      </c>
      <c r="CZ87" s="10" t="n">
        <f aca="false">CZ$83+CZ$84+CZ$85-CZ$86</f>
        <v>4460557.6993635</v>
      </c>
      <c r="DA87" s="10" t="n">
        <f aca="false">DA$83+DA$84+DA$85-DA$86</f>
        <v>4460557.6993635</v>
      </c>
      <c r="DB87" s="10" t="n">
        <f aca="false">DB$83+DB$84+DB$85-DB$86</f>
        <v>4460557.6993635</v>
      </c>
      <c r="DC87" s="10" t="n">
        <f aca="false">DC$83+DC$84+DC$85-DC$86</f>
        <v>4460557.6993635</v>
      </c>
      <c r="DD87" s="10" t="n">
        <f aca="false">DD$83+DD$84+DD$85-DD$86</f>
        <v>4460557.6993635</v>
      </c>
      <c r="DE87" s="10" t="n">
        <f aca="false">DE$83+DE$84+DE$85-DE$86</f>
        <v>4460557.6993635</v>
      </c>
      <c r="DF87" s="10" t="n">
        <f aca="false">DF$83+DF$84+DF$85-DF$86</f>
        <v>4460557.6993635</v>
      </c>
      <c r="DG87" s="10" t="n">
        <f aca="false">DG$83+DG$84+DG$85-DG$86</f>
        <v>4460557.6993635</v>
      </c>
      <c r="DH87" s="10" t="n">
        <f aca="false">DH$83+DH$84+DH$85-DH$86</f>
        <v>4460557.6993635</v>
      </c>
      <c r="DI87" s="10" t="n">
        <f aca="false">DI$83+DI$84+DI$85-DI$86</f>
        <v>4460557.6993635</v>
      </c>
      <c r="DJ87" s="10" t="n">
        <f aca="false">DJ$83+DJ$84+DJ$85-DJ$86</f>
        <v>4499762.51732228</v>
      </c>
      <c r="DK87" s="10" t="n">
        <f aca="false">DK$83+DK$84+DK$85-DK$86</f>
        <v>4499762.51732228</v>
      </c>
      <c r="DL87" s="10" t="n">
        <f aca="false">DL$83+DL$84+DL$85-DL$86</f>
        <v>4499762.51732228</v>
      </c>
      <c r="DM87" s="10" t="n">
        <f aca="false">DM$83+DM$84+DM$85-DM$86</f>
        <v>4499762.51732228</v>
      </c>
      <c r="DN87" s="10" t="n">
        <f aca="false">DN$83+DN$84+DN$85-DN$86</f>
        <v>4499762.51732228</v>
      </c>
      <c r="DO87" s="10" t="n">
        <f aca="false">DO$83+DO$84+DO$85-DO$86</f>
        <v>4499762.51732228</v>
      </c>
      <c r="DP87" s="10" t="n">
        <f aca="false">DP$83+DP$84+DP$85-DP$86</f>
        <v>4499762.51732228</v>
      </c>
      <c r="DQ87" s="10" t="n">
        <f aca="false">DQ$83+DQ$84+DQ$85-DQ$86</f>
        <v>4499762.51732228</v>
      </c>
      <c r="DR87" s="10" t="n">
        <f aca="false">DR$83+DR$84+DR$85-DR$86</f>
        <v>4499762.51732228</v>
      </c>
      <c r="DS87" s="10" t="n">
        <f aca="false">DS$83+DS$84+DS$85-DS$86</f>
        <v>4499762.51732228</v>
      </c>
      <c r="DT87" s="10" t="n">
        <f aca="false">DT$83+DT$84+DT$85-DT$86</f>
        <v>4499762.51732228</v>
      </c>
      <c r="DU87" s="10" t="n">
        <f aca="false">DU$83+DU$84+DU$85-DU$86</f>
        <v>4499762.51732228</v>
      </c>
      <c r="DV87" s="10" t="n">
        <f aca="false">DV$83+DV$84+DV$85-DV$86</f>
        <v>4499762.51732228</v>
      </c>
      <c r="DW87" s="10" t="n">
        <f aca="false">DW$83+DW$84+DW$85-DW$86</f>
        <v>4499762.51732228</v>
      </c>
      <c r="DX87" s="10" t="n">
        <f aca="false">DX$83+DX$84+DX$85-DX$86</f>
        <v>4499762.51732228</v>
      </c>
      <c r="DY87" s="10" t="n">
        <f aca="false">DY$83+DY$84+DY$85-DY$86</f>
        <v>4499762.51732228</v>
      </c>
      <c r="DZ87" s="10" t="n">
        <f aca="false">DZ$83+DZ$84+DZ$85-DZ$86</f>
        <v>4499762.51732228</v>
      </c>
      <c r="EA87" s="10" t="n">
        <f aca="false">EA$83+EA$84+EA$85-EA$86</f>
        <v>4499762.51732228</v>
      </c>
      <c r="EB87" s="10" t="n">
        <f aca="false">EB$83+EB$84+EB$85-EB$86</f>
        <v>4499762.51732228</v>
      </c>
      <c r="EC87" s="10" t="n">
        <f aca="false">EC$83+EC$84+EC$85-EC$86</f>
        <v>4499762.51732228</v>
      </c>
      <c r="ED87" s="10" t="n">
        <f aca="false">ED$83+ED$84+ED$85-ED$86</f>
        <v>4499762.51732228</v>
      </c>
      <c r="EE87" s="10" t="n">
        <f aca="false">EE$83+EE$84+EE$85-EE$86</f>
        <v>4499762.51732228</v>
      </c>
      <c r="EF87" s="10" t="n">
        <f aca="false">EF$83+EF$84+EF$85-EF$86</f>
        <v>4499762.51732228</v>
      </c>
      <c r="EG87" s="10" t="n">
        <f aca="false">EG$83+EG$84+EG$85-EG$86</f>
        <v>4499762.51732228</v>
      </c>
      <c r="EH87" s="10" t="n">
        <f aca="false">EH$83+EH$84+EH$85-EH$86</f>
        <v>4499762.51732228</v>
      </c>
      <c r="EI87" s="10" t="n">
        <f aca="false">EI$83+EI$84+EI$85-EI$86</f>
        <v>4499762.51732228</v>
      </c>
      <c r="EJ87" s="10" t="n">
        <f aca="false">EJ$83+EJ$84+EJ$85-EJ$86</f>
        <v>4499762.51732228</v>
      </c>
      <c r="EK87" s="10" t="n">
        <f aca="false">EK$83+EK$84+EK$85-EK$86</f>
        <v>4499762.51732228</v>
      </c>
      <c r="EL87" s="10" t="n">
        <f aca="false">EL$83+EL$84+EL$85-EL$86</f>
        <v>4499762.51732228</v>
      </c>
      <c r="EM87" s="10" t="n">
        <f aca="false">EM$83+EM$84+EM$85-EM$86</f>
        <v>4499762.51732228</v>
      </c>
      <c r="EN87" s="10" t="n">
        <f aca="false">EN$83+EN$84+EN$85-EN$86</f>
        <v>4499762.51732228</v>
      </c>
      <c r="EO87" s="10" t="n">
        <f aca="false">EO$83+EO$84+EO$85-EO$86</f>
        <v>4499762.51732228</v>
      </c>
      <c r="EP87" s="10" t="n">
        <f aca="false">EP$83+EP$84+EP$85-EP$86</f>
        <v>4499762.51732228</v>
      </c>
      <c r="EQ87" s="10" t="n">
        <f aca="false">EQ$83+EQ$84+EQ$85-EQ$86</f>
        <v>4499762.51732228</v>
      </c>
      <c r="ER87" s="10" t="n">
        <f aca="false">ER$83+ER$84+ER$85-ER$86</f>
        <v>4499762.51732228</v>
      </c>
      <c r="ES87" s="10" t="n">
        <f aca="false">ES$83+ES$84+ES$85-ES$86</f>
        <v>4499762.51732228</v>
      </c>
    </row>
    <row r="88" customFormat="false" ht="15" hidden="false" customHeight="false" outlineLevel="0" collapsed="false">
      <c r="A88" s="2" t="s">
        <v>662</v>
      </c>
      <c r="B88" s="6" t="s">
        <v>663</v>
      </c>
      <c r="C88" s="6" t="s">
        <v>250</v>
      </c>
      <c r="E88" s="40" t="n">
        <f aca="false">SUM(F88:ES88)</f>
        <v>4499762.51732228</v>
      </c>
      <c r="F88" s="34" t="n">
        <f aca="false">F$87-0</f>
        <v>2388063.88735903</v>
      </c>
      <c r="G88" s="34" t="n">
        <f aca="false">G$87-F$87</f>
        <v>0</v>
      </c>
      <c r="H88" s="34" t="n">
        <f aca="false">H$87-G$87</f>
        <v>0</v>
      </c>
      <c r="I88" s="34" t="n">
        <f aca="false">I$87-H$87</f>
        <v>0</v>
      </c>
      <c r="J88" s="34" t="n">
        <f aca="false">J$87-I$87</f>
        <v>0</v>
      </c>
      <c r="K88" s="34" t="n">
        <f aca="false">K$87-J$87</f>
        <v>0</v>
      </c>
      <c r="L88" s="34" t="n">
        <f aca="false">L$87-K$87</f>
        <v>0</v>
      </c>
      <c r="M88" s="34" t="n">
        <f aca="false">M$87-L$87</f>
        <v>0</v>
      </c>
      <c r="N88" s="34" t="n">
        <f aca="false">N$87-M$87</f>
        <v>0</v>
      </c>
      <c r="O88" s="34" t="n">
        <f aca="false">O$87-N$87</f>
        <v>0</v>
      </c>
      <c r="P88" s="34" t="n">
        <f aca="false">P$87-O$87</f>
        <v>0</v>
      </c>
      <c r="Q88" s="34" t="n">
        <f aca="false">Q$87-P$87</f>
        <v>0</v>
      </c>
      <c r="R88" s="34" t="n">
        <f aca="false">R$87-Q$87</f>
        <v>655145.444395644</v>
      </c>
      <c r="S88" s="34" t="n">
        <f aca="false">S$87-R$87</f>
        <v>0</v>
      </c>
      <c r="T88" s="34" t="n">
        <f aca="false">T$87-S$87</f>
        <v>0</v>
      </c>
      <c r="U88" s="34" t="n">
        <f aca="false">U$87-T$87</f>
        <v>0</v>
      </c>
      <c r="V88" s="34" t="n">
        <f aca="false">V$87-U$87</f>
        <v>0</v>
      </c>
      <c r="W88" s="34" t="n">
        <f aca="false">W$87-V$87</f>
        <v>0</v>
      </c>
      <c r="X88" s="34" t="n">
        <f aca="false">X$87-W$87</f>
        <v>0</v>
      </c>
      <c r="Y88" s="34" t="n">
        <f aca="false">Y$87-X$87</f>
        <v>0</v>
      </c>
      <c r="Z88" s="34" t="n">
        <f aca="false">Z$87-Y$87</f>
        <v>0</v>
      </c>
      <c r="AA88" s="34" t="n">
        <f aca="false">AA$87-Z$87</f>
        <v>0</v>
      </c>
      <c r="AB88" s="34" t="n">
        <f aca="false">AB$87-AA$87</f>
        <v>0</v>
      </c>
      <c r="AC88" s="34" t="n">
        <f aca="false">AC$87-AB$87</f>
        <v>0</v>
      </c>
      <c r="AD88" s="34" t="n">
        <f aca="false">AD$87-AC$87</f>
        <v>667326.930632423</v>
      </c>
      <c r="AE88" s="34" t="n">
        <f aca="false">AE$87-AD$87</f>
        <v>0</v>
      </c>
      <c r="AF88" s="34" t="n">
        <f aca="false">AF$87-AE$87</f>
        <v>0</v>
      </c>
      <c r="AG88" s="34" t="n">
        <f aca="false">AG$87-AF$87</f>
        <v>0</v>
      </c>
      <c r="AH88" s="34" t="n">
        <f aca="false">AH$87-AG$87</f>
        <v>0</v>
      </c>
      <c r="AI88" s="34" t="n">
        <f aca="false">AI$87-AH$87</f>
        <v>0</v>
      </c>
      <c r="AJ88" s="34" t="n">
        <f aca="false">AJ$87-AI$87</f>
        <v>0</v>
      </c>
      <c r="AK88" s="34" t="n">
        <f aca="false">AK$87-AJ$87</f>
        <v>0</v>
      </c>
      <c r="AL88" s="34" t="n">
        <f aca="false">AL$87-AK$87</f>
        <v>0</v>
      </c>
      <c r="AM88" s="34" t="n">
        <f aca="false">AM$87-AL$87</f>
        <v>0</v>
      </c>
      <c r="AN88" s="34" t="n">
        <f aca="false">AN$87-AM$87</f>
        <v>0</v>
      </c>
      <c r="AO88" s="34" t="n">
        <f aca="false">AO$87-AN$87</f>
        <v>0</v>
      </c>
      <c r="AP88" s="34" t="n">
        <f aca="false">AP$87-AO$87</f>
        <v>558809.069933313</v>
      </c>
      <c r="AQ88" s="34" t="n">
        <f aca="false">AQ$87-AP$87</f>
        <v>0</v>
      </c>
      <c r="AR88" s="34" t="n">
        <f aca="false">AR$87-AQ$87</f>
        <v>0</v>
      </c>
      <c r="AS88" s="34" t="n">
        <f aca="false">AS$87-AR$87</f>
        <v>0</v>
      </c>
      <c r="AT88" s="34" t="n">
        <f aca="false">AT$87-AS$87</f>
        <v>0</v>
      </c>
      <c r="AU88" s="34" t="n">
        <f aca="false">AU$87-AT$87</f>
        <v>0</v>
      </c>
      <c r="AV88" s="34" t="n">
        <f aca="false">AV$87-AU$87</f>
        <v>0</v>
      </c>
      <c r="AW88" s="34" t="n">
        <f aca="false">AW$87-AV$87</f>
        <v>0</v>
      </c>
      <c r="AX88" s="34" t="n">
        <f aca="false">AX$87-AW$87</f>
        <v>0</v>
      </c>
      <c r="AY88" s="34" t="n">
        <f aca="false">AY$87-AX$87</f>
        <v>0</v>
      </c>
      <c r="AZ88" s="34" t="n">
        <f aca="false">AZ$87-AY$87</f>
        <v>0</v>
      </c>
      <c r="BA88" s="34" t="n">
        <f aca="false">BA$87-AZ$87</f>
        <v>0</v>
      </c>
      <c r="BB88" s="34" t="n">
        <f aca="false">BB$87-BA$87</f>
        <v>38109.5477058599</v>
      </c>
      <c r="BC88" s="34" t="n">
        <f aca="false">BC$87-BB$87</f>
        <v>0</v>
      </c>
      <c r="BD88" s="34" t="n">
        <f aca="false">BD$87-BC$87</f>
        <v>0</v>
      </c>
      <c r="BE88" s="34" t="n">
        <f aca="false">BE$87-BD$87</f>
        <v>0</v>
      </c>
      <c r="BF88" s="34" t="n">
        <f aca="false">BF$87-BE$87</f>
        <v>0</v>
      </c>
      <c r="BG88" s="34" t="n">
        <f aca="false">BG$87-BF$87</f>
        <v>0</v>
      </c>
      <c r="BH88" s="34" t="n">
        <f aca="false">BH$87-BG$87</f>
        <v>0</v>
      </c>
      <c r="BI88" s="34" t="n">
        <f aca="false">BI$87-BH$87</f>
        <v>0</v>
      </c>
      <c r="BJ88" s="34" t="n">
        <f aca="false">BJ$87-BI$87</f>
        <v>0</v>
      </c>
      <c r="BK88" s="34" t="n">
        <f aca="false">BK$87-BJ$87</f>
        <v>0</v>
      </c>
      <c r="BL88" s="34" t="n">
        <f aca="false">BL$87-BK$87</f>
        <v>0</v>
      </c>
      <c r="BM88" s="34" t="n">
        <f aca="false">BM$87-BL$87</f>
        <v>0</v>
      </c>
      <c r="BN88" s="34" t="n">
        <f aca="false">BN$87-BM$87</f>
        <v>37724.8564685965</v>
      </c>
      <c r="BO88" s="34" t="n">
        <f aca="false">BO$87-BN$87</f>
        <v>0</v>
      </c>
      <c r="BP88" s="34" t="n">
        <f aca="false">BP$87-BO$87</f>
        <v>0</v>
      </c>
      <c r="BQ88" s="34" t="n">
        <f aca="false">BQ$87-BP$87</f>
        <v>0</v>
      </c>
      <c r="BR88" s="34" t="n">
        <f aca="false">BR$87-BQ$87</f>
        <v>0</v>
      </c>
      <c r="BS88" s="34" t="n">
        <f aca="false">BS$87-BR$87</f>
        <v>0</v>
      </c>
      <c r="BT88" s="34" t="n">
        <f aca="false">BT$87-BS$87</f>
        <v>0</v>
      </c>
      <c r="BU88" s="34" t="n">
        <f aca="false">BU$87-BT$87</f>
        <v>0</v>
      </c>
      <c r="BV88" s="34" t="n">
        <f aca="false">BV$87-BU$87</f>
        <v>0</v>
      </c>
      <c r="BW88" s="34" t="n">
        <f aca="false">BW$87-BV$87</f>
        <v>0</v>
      </c>
      <c r="BX88" s="34" t="n">
        <f aca="false">BX$87-BW$87</f>
        <v>0</v>
      </c>
      <c r="BY88" s="34" t="n">
        <f aca="false">BY$87-BX$87</f>
        <v>0</v>
      </c>
      <c r="BZ88" s="34" t="n">
        <f aca="false">BZ$87-BY$87</f>
        <v>38089.8932247805</v>
      </c>
      <c r="CA88" s="34" t="n">
        <f aca="false">CA$87-BZ$87</f>
        <v>0</v>
      </c>
      <c r="CB88" s="34" t="n">
        <f aca="false">CB$87-CA$87</f>
        <v>0</v>
      </c>
      <c r="CC88" s="34" t="n">
        <f aca="false">CC$87-CB$87</f>
        <v>0</v>
      </c>
      <c r="CD88" s="34" t="n">
        <f aca="false">CD$87-CC$87</f>
        <v>0</v>
      </c>
      <c r="CE88" s="34" t="n">
        <f aca="false">CE$87-CD$87</f>
        <v>0</v>
      </c>
      <c r="CF88" s="34" t="n">
        <f aca="false">CF$87-CE$87</f>
        <v>0</v>
      </c>
      <c r="CG88" s="34" t="n">
        <f aca="false">CG$87-CF$87</f>
        <v>0</v>
      </c>
      <c r="CH88" s="34" t="n">
        <f aca="false">CH$87-CG$87</f>
        <v>0</v>
      </c>
      <c r="CI88" s="34" t="n">
        <f aca="false">CI$87-CH$87</f>
        <v>0</v>
      </c>
      <c r="CJ88" s="34" t="n">
        <f aca="false">CJ$87-CI$87</f>
        <v>0</v>
      </c>
      <c r="CK88" s="34" t="n">
        <f aca="false">CK$87-CJ$87</f>
        <v>0</v>
      </c>
      <c r="CL88" s="34" t="n">
        <f aca="false">CL$87-CK$87</f>
        <v>38458.2176945191</v>
      </c>
      <c r="CM88" s="34" t="n">
        <f aca="false">CM$87-CL$87</f>
        <v>0</v>
      </c>
      <c r="CN88" s="34" t="n">
        <f aca="false">CN$87-CM$87</f>
        <v>0</v>
      </c>
      <c r="CO88" s="34" t="n">
        <f aca="false">CO$87-CN$87</f>
        <v>0</v>
      </c>
      <c r="CP88" s="34" t="n">
        <f aca="false">CP$87-CO$87</f>
        <v>0</v>
      </c>
      <c r="CQ88" s="34" t="n">
        <f aca="false">CQ$87-CP$87</f>
        <v>0</v>
      </c>
      <c r="CR88" s="34" t="n">
        <f aca="false">CR$87-CQ$87</f>
        <v>0</v>
      </c>
      <c r="CS88" s="34" t="n">
        <f aca="false">CS$87-CR$87</f>
        <v>0</v>
      </c>
      <c r="CT88" s="34" t="n">
        <f aca="false">CT$87-CS$87</f>
        <v>0</v>
      </c>
      <c r="CU88" s="34" t="n">
        <f aca="false">CU$87-CT$87</f>
        <v>0</v>
      </c>
      <c r="CV88" s="34" t="n">
        <f aca="false">CV$87-CU$87</f>
        <v>0</v>
      </c>
      <c r="CW88" s="34" t="n">
        <f aca="false">CW$87-CV$87</f>
        <v>0</v>
      </c>
      <c r="CX88" s="34" t="n">
        <f aca="false">CX$87-CW$87</f>
        <v>38829.851949336</v>
      </c>
      <c r="CY88" s="34" t="n">
        <f aca="false">CY$87-CX$87</f>
        <v>0</v>
      </c>
      <c r="CZ88" s="34" t="n">
        <f aca="false">CZ$87-CY$87</f>
        <v>0</v>
      </c>
      <c r="DA88" s="34" t="n">
        <f aca="false">DA$87-CZ$87</f>
        <v>0</v>
      </c>
      <c r="DB88" s="34" t="n">
        <f aca="false">DB$87-DA$87</f>
        <v>0</v>
      </c>
      <c r="DC88" s="34" t="n">
        <f aca="false">DC$87-DB$87</f>
        <v>0</v>
      </c>
      <c r="DD88" s="34" t="n">
        <f aca="false">DD$87-DC$87</f>
        <v>0</v>
      </c>
      <c r="DE88" s="34" t="n">
        <f aca="false">DE$87-DD$87</f>
        <v>0</v>
      </c>
      <c r="DF88" s="34" t="n">
        <f aca="false">DF$87-DE$87</f>
        <v>0</v>
      </c>
      <c r="DG88" s="34" t="n">
        <f aca="false">DG$87-DF$87</f>
        <v>0</v>
      </c>
      <c r="DH88" s="34" t="n">
        <f aca="false">DH$87-DG$87</f>
        <v>0</v>
      </c>
      <c r="DI88" s="34" t="n">
        <f aca="false">DI$87-DH$87</f>
        <v>0</v>
      </c>
      <c r="DJ88" s="34" t="n">
        <f aca="false">DJ$87-DI$87</f>
        <v>39204.8179587778</v>
      </c>
      <c r="DK88" s="34" t="n">
        <f aca="false">DK$87-DJ$87</f>
        <v>0</v>
      </c>
      <c r="DL88" s="34" t="n">
        <f aca="false">DL$87-DK$87</f>
        <v>0</v>
      </c>
      <c r="DM88" s="34" t="n">
        <f aca="false">DM$87-DL$87</f>
        <v>0</v>
      </c>
      <c r="DN88" s="34" t="n">
        <f aca="false">DN$87-DM$87</f>
        <v>0</v>
      </c>
      <c r="DO88" s="34" t="n">
        <f aca="false">DO$87-DN$87</f>
        <v>0</v>
      </c>
      <c r="DP88" s="34" t="n">
        <f aca="false">DP$87-DO$87</f>
        <v>0</v>
      </c>
      <c r="DQ88" s="34" t="n">
        <f aca="false">DQ$87-DP$87</f>
        <v>0</v>
      </c>
      <c r="DR88" s="34" t="n">
        <f aca="false">DR$87-DQ$87</f>
        <v>0</v>
      </c>
      <c r="DS88" s="34" t="n">
        <f aca="false">DS$87-DR$87</f>
        <v>0</v>
      </c>
      <c r="DT88" s="34" t="n">
        <f aca="false">DT$87-DS$87</f>
        <v>0</v>
      </c>
      <c r="DU88" s="34" t="n">
        <f aca="false">DU$87-DT$87</f>
        <v>0</v>
      </c>
      <c r="DV88" s="34" t="n">
        <f aca="false">DV$87-DU$87</f>
        <v>0</v>
      </c>
      <c r="DW88" s="34" t="n">
        <f aca="false">DW$87-DV$87</f>
        <v>0</v>
      </c>
      <c r="DX88" s="34" t="n">
        <f aca="false">DX$87-DW$87</f>
        <v>0</v>
      </c>
      <c r="DY88" s="34" t="n">
        <f aca="false">DY$87-DX$87</f>
        <v>0</v>
      </c>
      <c r="DZ88" s="34" t="n">
        <f aca="false">DZ$87-DY$87</f>
        <v>0</v>
      </c>
      <c r="EA88" s="34" t="n">
        <f aca="false">EA$87-DZ$87</f>
        <v>0</v>
      </c>
      <c r="EB88" s="34" t="n">
        <f aca="false">EB$87-EA$87</f>
        <v>0</v>
      </c>
      <c r="EC88" s="34" t="n">
        <f aca="false">EC$87-EB$87</f>
        <v>0</v>
      </c>
      <c r="ED88" s="34" t="n">
        <f aca="false">ED$87-EC$87</f>
        <v>0</v>
      </c>
      <c r="EE88" s="34" t="n">
        <f aca="false">EE$87-ED$87</f>
        <v>0</v>
      </c>
      <c r="EF88" s="34" t="n">
        <f aca="false">EF$87-EE$87</f>
        <v>0</v>
      </c>
      <c r="EG88" s="34" t="n">
        <f aca="false">EG$87-EF$87</f>
        <v>0</v>
      </c>
      <c r="EH88" s="34" t="n">
        <f aca="false">EH$87-EG$87</f>
        <v>0</v>
      </c>
      <c r="EI88" s="34" t="n">
        <f aca="false">EI$87-EH$87</f>
        <v>0</v>
      </c>
      <c r="EJ88" s="34" t="n">
        <f aca="false">EJ$87-EI$87</f>
        <v>0</v>
      </c>
      <c r="EK88" s="34" t="n">
        <f aca="false">EK$87-EJ$87</f>
        <v>0</v>
      </c>
      <c r="EL88" s="34" t="n">
        <f aca="false">EL$87-EK$87</f>
        <v>0</v>
      </c>
      <c r="EM88" s="34" t="n">
        <f aca="false">EM$87-EL$87</f>
        <v>0</v>
      </c>
      <c r="EN88" s="34" t="n">
        <f aca="false">EN$87-EM$87</f>
        <v>0</v>
      </c>
      <c r="EO88" s="34" t="n">
        <f aca="false">EO$87-EN$87</f>
        <v>0</v>
      </c>
      <c r="EP88" s="34" t="n">
        <f aca="false">EP$87-EO$87</f>
        <v>0</v>
      </c>
      <c r="EQ88" s="34" t="n">
        <f aca="false">EQ$87-EP$87</f>
        <v>0</v>
      </c>
      <c r="ER88" s="34" t="n">
        <f aca="false">ER$87-EQ$87</f>
        <v>0</v>
      </c>
      <c r="ES88" s="34" t="n">
        <f aca="false">ES$87-ER$87</f>
        <v>0</v>
      </c>
    </row>
    <row r="89" customFormat="false" ht="15" hidden="false" customHeight="false" outlineLevel="0" collapsed="false">
      <c r="A89" s="4"/>
      <c r="B89" s="3" t="s">
        <v>664</v>
      </c>
      <c r="C89" s="4"/>
      <c r="D89" s="4"/>
      <c r="E89" s="4"/>
    </row>
    <row r="90" customFormat="false" ht="15" hidden="false" customHeight="false" outlineLevel="0" collapsed="false">
      <c r="A90" s="2" t="s">
        <v>665</v>
      </c>
      <c r="B90" s="52" t="s">
        <v>666</v>
      </c>
      <c r="C90" s="6" t="s">
        <v>250</v>
      </c>
      <c r="E90" s="40" t="n">
        <f aca="false">SUM(F90:ES90)</f>
        <v>11809741.4989387</v>
      </c>
      <c r="F90" s="10" t="n">
        <f aca="false">(F$76-F$80-F$88)*F$9</f>
        <v>-2345566.38688344</v>
      </c>
      <c r="G90" s="10" t="n">
        <f aca="false">(G$76-G$80-G$88)*G$9</f>
        <v>42497.5004755897</v>
      </c>
      <c r="H90" s="10" t="n">
        <f aca="false">(H$76-H$80-H$88)*H$9</f>
        <v>42497.5004755897</v>
      </c>
      <c r="I90" s="10" t="n">
        <f aca="false">(I$76-I$80-I$88)*I$9</f>
        <v>42497.5004755897</v>
      </c>
      <c r="J90" s="10" t="n">
        <f aca="false">(J$76-J$80-J$88)*J$9</f>
        <v>42497.5004755897</v>
      </c>
      <c r="K90" s="10" t="n">
        <f aca="false">(K$76-K$80-K$88)*K$9</f>
        <v>42497.5004755897</v>
      </c>
      <c r="L90" s="10" t="n">
        <f aca="false">(L$76-L$80-L$88)*L$9</f>
        <v>42497.5004755897</v>
      </c>
      <c r="M90" s="10" t="n">
        <f aca="false">(M$76-M$80-M$88)*M$9</f>
        <v>42497.5004755897</v>
      </c>
      <c r="N90" s="10" t="n">
        <f aca="false">(N$76-N$80-N$88)*N$9</f>
        <v>42497.5004755897</v>
      </c>
      <c r="O90" s="10" t="n">
        <f aca="false">(O$76-O$80-O$88)*O$9</f>
        <v>42497.5004755897</v>
      </c>
      <c r="P90" s="10" t="n">
        <f aca="false">(P$76-P$80-P$88)*P$9</f>
        <v>42497.5004755897</v>
      </c>
      <c r="Q90" s="10" t="n">
        <f aca="false">(Q$76-Q$80-Q$88)*Q$9</f>
        <v>42497.5004755897</v>
      </c>
      <c r="R90" s="10" t="n">
        <f aca="false">(R$76-R$80-R$88)*R$9</f>
        <v>-574649.041401679</v>
      </c>
      <c r="S90" s="10" t="n">
        <f aca="false">(S$76-S$80-S$88)*S$9</f>
        <v>80496.4029939648</v>
      </c>
      <c r="T90" s="10" t="n">
        <f aca="false">(T$76-T$80-T$88)*T$9</f>
        <v>80496.4029939648</v>
      </c>
      <c r="U90" s="10" t="n">
        <f aca="false">(U$76-U$80-U$88)*U$9</f>
        <v>80496.4029939648</v>
      </c>
      <c r="V90" s="10" t="n">
        <f aca="false">(V$76-V$80-V$88)*V$9</f>
        <v>80496.4029939648</v>
      </c>
      <c r="W90" s="10" t="n">
        <f aca="false">(W$76-W$80-W$88)*W$9</f>
        <v>80496.4029939648</v>
      </c>
      <c r="X90" s="10" t="n">
        <f aca="false">(X$76-X$80-X$88)*X$9</f>
        <v>80496.4029939648</v>
      </c>
      <c r="Y90" s="10" t="n">
        <f aca="false">(Y$76-Y$80-Y$88)*Y$9</f>
        <v>80496.4029939648</v>
      </c>
      <c r="Z90" s="10" t="n">
        <f aca="false">(Z$76-Z$80-Z$88)*Z$9</f>
        <v>80496.4029939648</v>
      </c>
      <c r="AA90" s="10" t="n">
        <f aca="false">(AA$76-AA$80-AA$88)*AA$9</f>
        <v>80496.4029939648</v>
      </c>
      <c r="AB90" s="10" t="n">
        <f aca="false">(AB$76-AB$80-AB$88)*AB$9</f>
        <v>80496.4029939648</v>
      </c>
      <c r="AC90" s="10" t="n">
        <f aca="false">(AC$76-AC$80-AC$88)*AC$9</f>
        <v>80496.4029939648</v>
      </c>
      <c r="AD90" s="10" t="n">
        <f aca="false">(AD$76-AD$80-AD$88)*AD$9</f>
        <v>-550241.899767298</v>
      </c>
      <c r="AE90" s="10" t="n">
        <f aca="false">(AE$76-AE$80-AE$88)*AE$9</f>
        <v>117085.030865125</v>
      </c>
      <c r="AF90" s="10" t="n">
        <f aca="false">(AF$76-AF$80-AF$88)*AF$9</f>
        <v>117085.030865125</v>
      </c>
      <c r="AG90" s="10" t="n">
        <f aca="false">(AG$76-AG$80-AG$88)*AG$9</f>
        <v>117085.030865125</v>
      </c>
      <c r="AH90" s="10" t="n">
        <f aca="false">(AH$76-AH$80-AH$88)*AH$9</f>
        <v>117085.030865125</v>
      </c>
      <c r="AI90" s="10" t="n">
        <f aca="false">(AI$76-AI$80-AI$88)*AI$9</f>
        <v>117085.030865125</v>
      </c>
      <c r="AJ90" s="10" t="n">
        <f aca="false">(AJ$76-AJ$80-AJ$88)*AJ$9</f>
        <v>117085.030865125</v>
      </c>
      <c r="AK90" s="10" t="n">
        <f aca="false">(AK$76-AK$80-AK$88)*AK$9</f>
        <v>117085.030865125</v>
      </c>
      <c r="AL90" s="10" t="n">
        <f aca="false">(AL$76-AL$80-AL$88)*AL$9</f>
        <v>117085.030865125</v>
      </c>
      <c r="AM90" s="10" t="n">
        <f aca="false">(AM$76-AM$80-AM$88)*AM$9</f>
        <v>117085.030865125</v>
      </c>
      <c r="AN90" s="10" t="n">
        <f aca="false">(AN$76-AN$80-AN$88)*AN$9</f>
        <v>117085.030865125</v>
      </c>
      <c r="AO90" s="10" t="n">
        <f aca="false">(AO$76-AO$80-AO$88)*AO$9</f>
        <v>117085.030865125</v>
      </c>
      <c r="AP90" s="10" t="n">
        <f aca="false">(AP$76-AP$80-AP$88)*AP$9</f>
        <v>-408915.490053455</v>
      </c>
      <c r="AQ90" s="10" t="n">
        <f aca="false">(AQ$76-AQ$80-AQ$88)*AQ$9</f>
        <v>149893.579879858</v>
      </c>
      <c r="AR90" s="10" t="n">
        <f aca="false">(AR$76-AR$80-AR$88)*AR$9</f>
        <v>149893.579879858</v>
      </c>
      <c r="AS90" s="10" t="n">
        <f aca="false">(AS$76-AS$80-AS$88)*AS$9</f>
        <v>149893.579879858</v>
      </c>
      <c r="AT90" s="10" t="n">
        <f aca="false">(AT$76-AT$80-AT$88)*AT$9</f>
        <v>149893.579879858</v>
      </c>
      <c r="AU90" s="10" t="n">
        <f aca="false">(AU$76-AU$80-AU$88)*AU$9</f>
        <v>149893.579879858</v>
      </c>
      <c r="AV90" s="10" t="n">
        <f aca="false">(AV$76-AV$80-AV$88)*AV$9</f>
        <v>149893.579879858</v>
      </c>
      <c r="AW90" s="10" t="n">
        <f aca="false">(AW$76-AW$80-AW$88)*AW$9</f>
        <v>149893.579879858</v>
      </c>
      <c r="AX90" s="10" t="n">
        <f aca="false">(AX$76-AX$80-AX$88)*AX$9</f>
        <v>149893.579879858</v>
      </c>
      <c r="AY90" s="10" t="n">
        <f aca="false">(AY$76-AY$80-AY$88)*AY$9</f>
        <v>149893.579879858</v>
      </c>
      <c r="AZ90" s="10" t="n">
        <f aca="false">(AZ$76-AZ$80-AZ$88)*AZ$9</f>
        <v>149893.579879858</v>
      </c>
      <c r="BA90" s="10" t="n">
        <f aca="false">(BA$76-BA$80-BA$88)*BA$9</f>
        <v>149893.579879858</v>
      </c>
      <c r="BB90" s="10" t="n">
        <f aca="false">(BB$76-BB$80-BB$88)*BB$9</f>
        <v>113103.617170514</v>
      </c>
      <c r="BC90" s="10" t="n">
        <f aca="false">(BC$76-BC$80-BC$88)*BC$9</f>
        <v>151213.164876374</v>
      </c>
      <c r="BD90" s="10" t="n">
        <f aca="false">(BD$76-BD$80-BD$88)*BD$9</f>
        <v>151213.164876374</v>
      </c>
      <c r="BE90" s="10" t="n">
        <f aca="false">(BE$76-BE$80-BE$88)*BE$9</f>
        <v>151213.164876374</v>
      </c>
      <c r="BF90" s="10" t="n">
        <f aca="false">(BF$76-BF$80-BF$88)*BF$9</f>
        <v>151213.164876374</v>
      </c>
      <c r="BG90" s="10" t="n">
        <f aca="false">(BG$76-BG$80-BG$88)*BG$9</f>
        <v>151213.164876374</v>
      </c>
      <c r="BH90" s="10" t="n">
        <f aca="false">(BH$76-BH$80-BH$88)*BH$9</f>
        <v>151213.164876374</v>
      </c>
      <c r="BI90" s="10" t="n">
        <f aca="false">(BI$76-BI$80-BI$88)*BI$9</f>
        <v>151213.164876374</v>
      </c>
      <c r="BJ90" s="10" t="n">
        <f aca="false">(BJ$76-BJ$80-BJ$88)*BJ$9</f>
        <v>151213.164876374</v>
      </c>
      <c r="BK90" s="10" t="n">
        <f aca="false">(BK$76-BK$80-BK$88)*BK$9</f>
        <v>151213.164876374</v>
      </c>
      <c r="BL90" s="10" t="n">
        <f aca="false">(BL$76-BL$80-BL$88)*BL$9</f>
        <v>151213.164876374</v>
      </c>
      <c r="BM90" s="10" t="n">
        <f aca="false">(BM$76-BM$80-BM$88)*BM$9</f>
        <v>151213.164876374</v>
      </c>
      <c r="BN90" s="10" t="n">
        <f aca="false">(BN$76-BN$80-BN$88)*BN$9</f>
        <v>117575.58532923</v>
      </c>
      <c r="BO90" s="10" t="n">
        <f aca="false">(BO$76-BO$80-BO$88)*BO$9</f>
        <v>155300.441797826</v>
      </c>
      <c r="BP90" s="10" t="n">
        <f aca="false">(BP$76-BP$80-BP$88)*BP$9</f>
        <v>155300.441797826</v>
      </c>
      <c r="BQ90" s="10" t="n">
        <f aca="false">(BQ$76-BQ$80-BQ$88)*BQ$9</f>
        <v>155300.441797826</v>
      </c>
      <c r="BR90" s="10" t="n">
        <f aca="false">(BR$76-BR$80-BR$88)*BR$9</f>
        <v>155300.441797826</v>
      </c>
      <c r="BS90" s="10" t="n">
        <f aca="false">(BS$76-BS$80-BS$88)*BS$9</f>
        <v>155300.441797826</v>
      </c>
      <c r="BT90" s="10" t="n">
        <f aca="false">(BT$76-BT$80-BT$88)*BT$9</f>
        <v>155300.441797826</v>
      </c>
      <c r="BU90" s="10" t="n">
        <f aca="false">(BU$76-BU$80-BU$88)*BU$9</f>
        <v>155300.441797826</v>
      </c>
      <c r="BV90" s="10" t="n">
        <f aca="false">(BV$76-BV$80-BV$88)*BV$9</f>
        <v>155300.441797826</v>
      </c>
      <c r="BW90" s="10" t="n">
        <f aca="false">(BW$76-BW$80-BW$88)*BW$9</f>
        <v>155300.441797826</v>
      </c>
      <c r="BX90" s="10" t="n">
        <f aca="false">(BX$76-BX$80-BX$88)*BX$9</f>
        <v>155300.441797826</v>
      </c>
      <c r="BY90" s="10" t="n">
        <f aca="false">(BY$76-BY$80-BY$88)*BY$9</f>
        <v>155300.441797826</v>
      </c>
      <c r="BZ90" s="10" t="n">
        <f aca="false">(BZ$76-BZ$80-BZ$88)*BZ$9</f>
        <v>121326.129264619</v>
      </c>
      <c r="CA90" s="10" t="n">
        <f aca="false">(CA$76-CA$80-CA$88)*CA$9</f>
        <v>159416.0224894</v>
      </c>
      <c r="CB90" s="10" t="n">
        <f aca="false">(CB$76-CB$80-CB$88)*CB$9</f>
        <v>159416.0224894</v>
      </c>
      <c r="CC90" s="10" t="n">
        <f aca="false">(CC$76-CC$80-CC$88)*CC$9</f>
        <v>159416.0224894</v>
      </c>
      <c r="CD90" s="10" t="n">
        <f aca="false">(CD$76-CD$80-CD$88)*CD$9</f>
        <v>159416.0224894</v>
      </c>
      <c r="CE90" s="10" t="n">
        <f aca="false">(CE$76-CE$80-CE$88)*CE$9</f>
        <v>159416.0224894</v>
      </c>
      <c r="CF90" s="10" t="n">
        <f aca="false">(CF$76-CF$80-CF$88)*CF$9</f>
        <v>159416.0224894</v>
      </c>
      <c r="CG90" s="10" t="n">
        <f aca="false">(CG$76-CG$80-CG$88)*CG$9</f>
        <v>159416.0224894</v>
      </c>
      <c r="CH90" s="10" t="n">
        <f aca="false">(CH$76-CH$80-CH$88)*CH$9</f>
        <v>159416.0224894</v>
      </c>
      <c r="CI90" s="10" t="n">
        <f aca="false">(CI$76-CI$80-CI$88)*CI$9</f>
        <v>159416.0224894</v>
      </c>
      <c r="CJ90" s="10" t="n">
        <f aca="false">(CJ$76-CJ$80-CJ$88)*CJ$9</f>
        <v>159416.0224894</v>
      </c>
      <c r="CK90" s="10" t="n">
        <f aca="false">(CK$76-CK$80-CK$88)*CK$9</f>
        <v>159416.0224894</v>
      </c>
      <c r="CL90" s="10" t="n">
        <f aca="false">(CL$76-CL$80-CL$88)*CL$9</f>
        <v>125101.600851768</v>
      </c>
      <c r="CM90" s="10" t="n">
        <f aca="false">(CM$76-CM$80-CM$88)*CM$9</f>
        <v>163559.818546288</v>
      </c>
      <c r="CN90" s="10" t="n">
        <f aca="false">(CN$76-CN$80-CN$88)*CN$9</f>
        <v>163559.818546288</v>
      </c>
      <c r="CO90" s="10" t="n">
        <f aca="false">(CO$76-CO$80-CO$88)*CO$9</f>
        <v>163559.818546288</v>
      </c>
      <c r="CP90" s="10" t="n">
        <f aca="false">(CP$76-CP$80-CP$88)*CP$9</f>
        <v>163559.818546288</v>
      </c>
      <c r="CQ90" s="10" t="n">
        <f aca="false">(CQ$76-CQ$80-CQ$88)*CQ$9</f>
        <v>163559.818546288</v>
      </c>
      <c r="CR90" s="10" t="n">
        <f aca="false">(CR$76-CR$80-CR$88)*CR$9</f>
        <v>163559.818546288</v>
      </c>
      <c r="CS90" s="10" t="n">
        <f aca="false">(CS$76-CS$80-CS$88)*CS$9</f>
        <v>163559.818546288</v>
      </c>
      <c r="CT90" s="10" t="n">
        <f aca="false">(CT$76-CT$80-CT$88)*CT$9</f>
        <v>163559.818546288</v>
      </c>
      <c r="CU90" s="10" t="n">
        <f aca="false">(CU$76-CU$80-CU$88)*CU$9</f>
        <v>163559.818546288</v>
      </c>
      <c r="CV90" s="10" t="n">
        <f aca="false">(CV$76-CV$80-CV$88)*CV$9</f>
        <v>163559.818546288</v>
      </c>
      <c r="CW90" s="10" t="n">
        <f aca="false">(CW$76-CW$80-CW$88)*CW$9</f>
        <v>163559.818546288</v>
      </c>
      <c r="CX90" s="10" t="n">
        <f aca="false">(CX$76-CX$80-CX$88)*CX$9</f>
        <v>128901.877699572</v>
      </c>
      <c r="CY90" s="10" t="n">
        <f aca="false">(CY$76-CY$80-CY$88)*CY$9</f>
        <v>167731.729648908</v>
      </c>
      <c r="CZ90" s="10" t="n">
        <f aca="false">(CZ$76-CZ$80-CZ$88)*CZ$9</f>
        <v>167731.729648908</v>
      </c>
      <c r="DA90" s="10" t="n">
        <f aca="false">(DA$76-DA$80-DA$88)*DA$9</f>
        <v>167731.729648908</v>
      </c>
      <c r="DB90" s="10" t="n">
        <f aca="false">(DB$76-DB$80-DB$88)*DB$9</f>
        <v>167731.729648908</v>
      </c>
      <c r="DC90" s="10" t="n">
        <f aca="false">(DC$76-DC$80-DC$88)*DC$9</f>
        <v>167731.729648908</v>
      </c>
      <c r="DD90" s="10" t="n">
        <f aca="false">(DD$76-DD$80-DD$88)*DD$9</f>
        <v>167731.729648908</v>
      </c>
      <c r="DE90" s="10" t="n">
        <f aca="false">(DE$76-DE$80-DE$88)*DE$9</f>
        <v>167731.729648908</v>
      </c>
      <c r="DF90" s="10" t="n">
        <f aca="false">(DF$76-DF$80-DF$88)*DF$9</f>
        <v>167731.729648908</v>
      </c>
      <c r="DG90" s="10" t="n">
        <f aca="false">(DG$76-DG$80-DG$88)*DG$9</f>
        <v>167731.729648908</v>
      </c>
      <c r="DH90" s="10" t="n">
        <f aca="false">(DH$76-DH$80-DH$88)*DH$9</f>
        <v>167731.729648908</v>
      </c>
      <c r="DI90" s="10" t="n">
        <f aca="false">(DI$76-DI$80-DI$88)*DI$9</f>
        <v>167731.729648908</v>
      </c>
      <c r="DJ90" s="10" t="n">
        <f aca="false">(DJ$76-DJ$80-DJ$88)*DJ$9</f>
        <v>132726.825156308</v>
      </c>
      <c r="DK90" s="10" t="n">
        <f aca="false">(DK$76-DK$80-DK$88)*DK$9</f>
        <v>171931.643115086</v>
      </c>
      <c r="DL90" s="10" t="n">
        <f aca="false">(DL$76-DL$80-DL$88)*DL$9</f>
        <v>171931.643115086</v>
      </c>
      <c r="DM90" s="10" t="n">
        <f aca="false">(DM$76-DM$80-DM$88)*DM$9</f>
        <v>171931.643115086</v>
      </c>
      <c r="DN90" s="10" t="n">
        <f aca="false">(DN$76-DN$80-DN$88)*DN$9</f>
        <v>171931.643115086</v>
      </c>
      <c r="DO90" s="10" t="n">
        <f aca="false">(DO$76-DO$80-DO$88)*DO$9</f>
        <v>171931.643115086</v>
      </c>
      <c r="DP90" s="10" t="n">
        <f aca="false">(DP$76-DP$80-DP$88)*DP$9</f>
        <v>171931.643115086</v>
      </c>
      <c r="DQ90" s="10" t="n">
        <f aca="false">(DQ$76-DQ$80-DQ$88)*DQ$9</f>
        <v>171931.643115086</v>
      </c>
      <c r="DR90" s="10" t="n">
        <f aca="false">(DR$76-DR$80-DR$88)*DR$9</f>
        <v>171931.643115086</v>
      </c>
      <c r="DS90" s="10" t="n">
        <f aca="false">(DS$76-DS$80-DS$88)*DS$9</f>
        <v>171931.643115086</v>
      </c>
      <c r="DT90" s="10" t="n">
        <f aca="false">(DT$76-DT$80-DT$88)*DT$9</f>
        <v>171931.643115086</v>
      </c>
      <c r="DU90" s="10" t="n">
        <f aca="false">(DU$76-DU$80-DU$88)*DU$9</f>
        <v>171931.643115086</v>
      </c>
      <c r="DV90" s="10" t="n">
        <f aca="false">(DV$76-DV$80-DV$88)*DV$9</f>
        <v>0</v>
      </c>
      <c r="DW90" s="10" t="n">
        <f aca="false">(DW$76-DW$80-DW$88)*DW$9</f>
        <v>0</v>
      </c>
      <c r="DX90" s="10" t="n">
        <f aca="false">(DX$76-DX$80-DX$88)*DX$9</f>
        <v>0</v>
      </c>
      <c r="DY90" s="10" t="n">
        <f aca="false">(DY$76-DY$80-DY$88)*DY$9</f>
        <v>0</v>
      </c>
      <c r="DZ90" s="10" t="n">
        <f aca="false">(DZ$76-DZ$80-DZ$88)*DZ$9</f>
        <v>0</v>
      </c>
      <c r="EA90" s="10" t="n">
        <f aca="false">(EA$76-EA$80-EA$88)*EA$9</f>
        <v>0</v>
      </c>
      <c r="EB90" s="10" t="n">
        <f aca="false">(EB$76-EB$80-EB$88)*EB$9</f>
        <v>0</v>
      </c>
      <c r="EC90" s="10" t="n">
        <f aca="false">(EC$76-EC$80-EC$88)*EC$9</f>
        <v>0</v>
      </c>
      <c r="ED90" s="10" t="n">
        <f aca="false">(ED$76-ED$80-ED$88)*ED$9</f>
        <v>0</v>
      </c>
      <c r="EE90" s="10" t="n">
        <f aca="false">(EE$76-EE$80-EE$88)*EE$9</f>
        <v>0</v>
      </c>
      <c r="EF90" s="10" t="n">
        <f aca="false">(EF$76-EF$80-EF$88)*EF$9</f>
        <v>0</v>
      </c>
      <c r="EG90" s="10" t="n">
        <f aca="false">(EG$76-EG$80-EG$88)*EG$9</f>
        <v>0</v>
      </c>
      <c r="EH90" s="10" t="n">
        <f aca="false">(EH$76-EH$80-EH$88)*EH$9</f>
        <v>0</v>
      </c>
      <c r="EI90" s="10" t="n">
        <f aca="false">(EI$76-EI$80-EI$88)*EI$9</f>
        <v>0</v>
      </c>
      <c r="EJ90" s="10" t="n">
        <f aca="false">(EJ$76-EJ$80-EJ$88)*EJ$9</f>
        <v>0</v>
      </c>
      <c r="EK90" s="10" t="n">
        <f aca="false">(EK$76-EK$80-EK$88)*EK$9</f>
        <v>0</v>
      </c>
      <c r="EL90" s="10" t="n">
        <f aca="false">(EL$76-EL$80-EL$88)*EL$9</f>
        <v>0</v>
      </c>
      <c r="EM90" s="10" t="n">
        <f aca="false">(EM$76-EM$80-EM$88)*EM$9</f>
        <v>0</v>
      </c>
      <c r="EN90" s="10" t="n">
        <f aca="false">(EN$76-EN$80-EN$88)*EN$9</f>
        <v>0</v>
      </c>
      <c r="EO90" s="10" t="n">
        <f aca="false">(EO$76-EO$80-EO$88)*EO$9</f>
        <v>0</v>
      </c>
      <c r="EP90" s="10" t="n">
        <f aca="false">(EP$76-EP$80-EP$88)*EP$9</f>
        <v>0</v>
      </c>
      <c r="EQ90" s="10" t="n">
        <f aca="false">(EQ$76-EQ$80-EQ$88)*EQ$9</f>
        <v>0</v>
      </c>
      <c r="ER90" s="10" t="n">
        <f aca="false">(ER$76-ER$80-ER$88)*ER$9</f>
        <v>0</v>
      </c>
      <c r="ES90" s="10" t="n">
        <f aca="false">(ES$76-ES$80-ES$88)*ES$9</f>
        <v>0</v>
      </c>
    </row>
    <row r="91" customFormat="false" ht="15" hidden="false" customHeight="false" outlineLevel="0" collapsed="false">
      <c r="A91" s="2" t="s">
        <v>667</v>
      </c>
      <c r="B91" s="6" t="s">
        <v>506</v>
      </c>
      <c r="C91" s="6" t="s">
        <v>250</v>
      </c>
      <c r="E91" s="40" t="n">
        <f aca="false">SUM(F91:ES91)</f>
        <v>755044.09</v>
      </c>
      <c r="F91" s="34" t="n">
        <f aca="false">SUMIF(Inv_E,1,Inv_D)*F$9</f>
        <v>655044.09</v>
      </c>
      <c r="G91" s="34" t="n">
        <f aca="false">SUMIF(Inv_E,2,Inv_D)*G$9</f>
        <v>0</v>
      </c>
      <c r="H91" s="34" t="n">
        <f aca="false">SUMIF(Inv_E,3,Inv_D)*H$9</f>
        <v>0</v>
      </c>
      <c r="I91" s="34" t="n">
        <f aca="false">SUMIF(Inv_E,4,Inv_D)*I$9</f>
        <v>0</v>
      </c>
      <c r="J91" s="34" t="n">
        <f aca="false">SUMIF(Inv_E,5,Inv_D)*J$9</f>
        <v>0</v>
      </c>
      <c r="K91" s="34" t="n">
        <f aca="false">SUMIF(Inv_E,6,Inv_D)*K$9</f>
        <v>0</v>
      </c>
      <c r="L91" s="34" t="n">
        <f aca="false">SUMIF(Inv_E,7,Inv_D)*L$9</f>
        <v>0</v>
      </c>
      <c r="M91" s="34" t="n">
        <f aca="false">SUMIF(Inv_E,8,Inv_D)*M$9</f>
        <v>0</v>
      </c>
      <c r="N91" s="34" t="n">
        <f aca="false">SUMIF(Inv_E,9,Inv_D)*N$9</f>
        <v>0</v>
      </c>
      <c r="O91" s="34" t="n">
        <f aca="false">SUMIF(Inv_E,10,Inv_D)*O$9</f>
        <v>0</v>
      </c>
      <c r="P91" s="34" t="n">
        <f aca="false">SUMIF(Inv_E,11,Inv_D)*P$9</f>
        <v>0</v>
      </c>
      <c r="Q91" s="34" t="n">
        <f aca="false">SUMIF(Inv_E,12,Inv_D)*Q$9</f>
        <v>0</v>
      </c>
      <c r="R91" s="34" t="n">
        <f aca="false">SUMIF(Inv_E,13,Inv_D)*R$9</f>
        <v>100000</v>
      </c>
      <c r="S91" s="34" t="n">
        <f aca="false">SUMIF(Inv_E,14,Inv_D)*S$9</f>
        <v>0</v>
      </c>
      <c r="T91" s="34" t="n">
        <f aca="false">SUMIF(Inv_E,15,Inv_D)*T$9</f>
        <v>0</v>
      </c>
      <c r="U91" s="34" t="n">
        <f aca="false">SUMIF(Inv_E,16,Inv_D)*U$9</f>
        <v>0</v>
      </c>
      <c r="V91" s="34" t="n">
        <f aca="false">SUMIF(Inv_E,17,Inv_D)*V$9</f>
        <v>0</v>
      </c>
      <c r="W91" s="34" t="n">
        <f aca="false">SUMIF(Inv_E,18,Inv_D)*W$9</f>
        <v>0</v>
      </c>
      <c r="X91" s="34" t="n">
        <f aca="false">SUMIF(Inv_E,19,Inv_D)*X$9</f>
        <v>0</v>
      </c>
      <c r="Y91" s="34" t="n">
        <f aca="false">SUMIF(Inv_E,20,Inv_D)*Y$9</f>
        <v>0</v>
      </c>
      <c r="Z91" s="34" t="n">
        <f aca="false">SUMIF(Inv_E,21,Inv_D)*Z$9</f>
        <v>0</v>
      </c>
      <c r="AA91" s="34" t="n">
        <f aca="false">SUMIF(Inv_E,22,Inv_D)*AA$9</f>
        <v>0</v>
      </c>
      <c r="AB91" s="34" t="n">
        <f aca="false">SUMIF(Inv_E,23,Inv_D)*AB$9</f>
        <v>0</v>
      </c>
      <c r="AC91" s="34" t="n">
        <f aca="false">SUMIF(Inv_E,24,Inv_D)*AC$9</f>
        <v>0</v>
      </c>
      <c r="AD91" s="34" t="n">
        <f aca="false">SUMIF(Inv_E,25,Inv_D)*AD$9</f>
        <v>0</v>
      </c>
      <c r="AE91" s="34" t="n">
        <f aca="false">SUMIF(Inv_E,26,Inv_D)*AE$9</f>
        <v>0</v>
      </c>
      <c r="AF91" s="34" t="n">
        <f aca="false">SUMIF(Inv_E,27,Inv_D)*AF$9</f>
        <v>0</v>
      </c>
      <c r="AG91" s="34" t="n">
        <f aca="false">SUMIF(Inv_E,28,Inv_D)*AG$9</f>
        <v>0</v>
      </c>
      <c r="AH91" s="34" t="n">
        <f aca="false">SUMIF(Inv_E,29,Inv_D)*AH$9</f>
        <v>0</v>
      </c>
      <c r="AI91" s="34" t="n">
        <f aca="false">SUMIF(Inv_E,30,Inv_D)*AI$9</f>
        <v>0</v>
      </c>
      <c r="AJ91" s="34" t="n">
        <f aca="false">SUMIF(Inv_E,31,Inv_D)*AJ$9</f>
        <v>0</v>
      </c>
      <c r="AK91" s="34" t="n">
        <f aca="false">SUMIF(Inv_E,32,Inv_D)*AK$9</f>
        <v>0</v>
      </c>
      <c r="AL91" s="34" t="n">
        <f aca="false">SUMIF(Inv_E,33,Inv_D)*AL$9</f>
        <v>0</v>
      </c>
      <c r="AM91" s="34" t="n">
        <f aca="false">SUMIF(Inv_E,34,Inv_D)*AM$9</f>
        <v>0</v>
      </c>
      <c r="AN91" s="34" t="n">
        <f aca="false">SUMIF(Inv_E,35,Inv_D)*AN$9</f>
        <v>0</v>
      </c>
      <c r="AO91" s="34" t="n">
        <f aca="false">SUMIF(Inv_E,36,Inv_D)*AO$9</f>
        <v>0</v>
      </c>
      <c r="AP91" s="34" t="n">
        <f aca="false">SUMIF(Inv_E,37,Inv_D)*AP$9</f>
        <v>0</v>
      </c>
      <c r="AQ91" s="34" t="n">
        <f aca="false">SUMIF(Inv_E,38,Inv_D)*AQ$9</f>
        <v>0</v>
      </c>
      <c r="AR91" s="34" t="n">
        <f aca="false">SUMIF(Inv_E,39,Inv_D)*AR$9</f>
        <v>0</v>
      </c>
      <c r="AS91" s="34" t="n">
        <f aca="false">SUMIF(Inv_E,40,Inv_D)*AS$9</f>
        <v>0</v>
      </c>
      <c r="AT91" s="34" t="n">
        <f aca="false">SUMIF(Inv_E,41,Inv_D)*AT$9</f>
        <v>0</v>
      </c>
      <c r="AU91" s="34" t="n">
        <f aca="false">SUMIF(Inv_E,42,Inv_D)*AU$9</f>
        <v>0</v>
      </c>
      <c r="AV91" s="34" t="n">
        <f aca="false">SUMIF(Inv_E,43,Inv_D)*AV$9</f>
        <v>0</v>
      </c>
      <c r="AW91" s="34" t="n">
        <f aca="false">SUMIF(Inv_E,44,Inv_D)*AW$9</f>
        <v>0</v>
      </c>
      <c r="AX91" s="34" t="n">
        <f aca="false">SUMIF(Inv_E,45,Inv_D)*AX$9</f>
        <v>0</v>
      </c>
      <c r="AY91" s="34" t="n">
        <f aca="false">SUMIF(Inv_E,46,Inv_D)*AY$9</f>
        <v>0</v>
      </c>
      <c r="AZ91" s="34" t="n">
        <f aca="false">SUMIF(Inv_E,47,Inv_D)*AZ$9</f>
        <v>0</v>
      </c>
      <c r="BA91" s="34" t="n">
        <f aca="false">SUMIF(Inv_E,48,Inv_D)*BA$9</f>
        <v>0</v>
      </c>
      <c r="BB91" s="34" t="n">
        <f aca="false">SUMIF(Inv_E,49,Inv_D)*BB$9</f>
        <v>0</v>
      </c>
      <c r="BC91" s="34" t="n">
        <f aca="false">SUMIF(Inv_E,50,Inv_D)*BC$9</f>
        <v>0</v>
      </c>
      <c r="BD91" s="34" t="n">
        <f aca="false">SUMIF(Inv_E,51,Inv_D)*BD$9</f>
        <v>0</v>
      </c>
      <c r="BE91" s="34" t="n">
        <f aca="false">SUMIF(Inv_E,52,Inv_D)*BE$9</f>
        <v>0</v>
      </c>
      <c r="BF91" s="34" t="n">
        <f aca="false">SUMIF(Inv_E,53,Inv_D)*BF$9</f>
        <v>0</v>
      </c>
      <c r="BG91" s="34" t="n">
        <f aca="false">SUMIF(Inv_E,54,Inv_D)*BG$9</f>
        <v>0</v>
      </c>
      <c r="BH91" s="34" t="n">
        <f aca="false">SUMIF(Inv_E,55,Inv_D)*BH$9</f>
        <v>0</v>
      </c>
      <c r="BI91" s="34" t="n">
        <f aca="false">SUMIF(Inv_E,56,Inv_D)*BI$9</f>
        <v>0</v>
      </c>
      <c r="BJ91" s="34" t="n">
        <f aca="false">SUMIF(Inv_E,57,Inv_D)*BJ$9</f>
        <v>0</v>
      </c>
      <c r="BK91" s="34" t="n">
        <f aca="false">SUMIF(Inv_E,58,Inv_D)*BK$9</f>
        <v>0</v>
      </c>
      <c r="BL91" s="34" t="n">
        <f aca="false">SUMIF(Inv_E,59,Inv_D)*BL$9</f>
        <v>0</v>
      </c>
      <c r="BM91" s="34" t="n">
        <f aca="false">SUMIF(Inv_E,60,Inv_D)*BM$9</f>
        <v>0</v>
      </c>
      <c r="BN91" s="34" t="n">
        <f aca="false">SUMIF(Inv_E,61,Inv_D)*BN$9</f>
        <v>0</v>
      </c>
      <c r="BO91" s="34" t="n">
        <f aca="false">SUMIF(Inv_E,62,Inv_D)*BO$9</f>
        <v>0</v>
      </c>
      <c r="BP91" s="34" t="n">
        <f aca="false">SUMIF(Inv_E,63,Inv_D)*BP$9</f>
        <v>0</v>
      </c>
      <c r="BQ91" s="34" t="n">
        <f aca="false">SUMIF(Inv_E,64,Inv_D)*BQ$9</f>
        <v>0</v>
      </c>
      <c r="BR91" s="34" t="n">
        <f aca="false">SUMIF(Inv_E,65,Inv_D)*BR$9</f>
        <v>0</v>
      </c>
      <c r="BS91" s="34" t="n">
        <f aca="false">SUMIF(Inv_E,66,Inv_D)*BS$9</f>
        <v>0</v>
      </c>
      <c r="BT91" s="34" t="n">
        <f aca="false">SUMIF(Inv_E,67,Inv_D)*BT$9</f>
        <v>0</v>
      </c>
      <c r="BU91" s="34" t="n">
        <f aca="false">SUMIF(Inv_E,68,Inv_D)*BU$9</f>
        <v>0</v>
      </c>
      <c r="BV91" s="34" t="n">
        <f aca="false">SUMIF(Inv_E,69,Inv_D)*BV$9</f>
        <v>0</v>
      </c>
      <c r="BW91" s="34" t="n">
        <f aca="false">SUMIF(Inv_E,70,Inv_D)*BW$9</f>
        <v>0</v>
      </c>
      <c r="BX91" s="34" t="n">
        <f aca="false">SUMIF(Inv_E,71,Inv_D)*BX$9</f>
        <v>0</v>
      </c>
      <c r="BY91" s="34" t="n">
        <f aca="false">SUMIF(Inv_E,72,Inv_D)*BY$9</f>
        <v>0</v>
      </c>
      <c r="BZ91" s="34" t="n">
        <f aca="false">SUMIF(Inv_E,73,Inv_D)*BZ$9</f>
        <v>0</v>
      </c>
      <c r="CA91" s="34" t="n">
        <f aca="false">SUMIF(Inv_E,74,Inv_D)*CA$9</f>
        <v>0</v>
      </c>
      <c r="CB91" s="34" t="n">
        <f aca="false">SUMIF(Inv_E,75,Inv_D)*CB$9</f>
        <v>0</v>
      </c>
      <c r="CC91" s="34" t="n">
        <f aca="false">SUMIF(Inv_E,76,Inv_D)*CC$9</f>
        <v>0</v>
      </c>
      <c r="CD91" s="34" t="n">
        <f aca="false">SUMIF(Inv_E,77,Inv_D)*CD$9</f>
        <v>0</v>
      </c>
      <c r="CE91" s="34" t="n">
        <f aca="false">SUMIF(Inv_E,78,Inv_D)*CE$9</f>
        <v>0</v>
      </c>
      <c r="CF91" s="34" t="n">
        <f aca="false">SUMIF(Inv_E,79,Inv_D)*CF$9</f>
        <v>0</v>
      </c>
      <c r="CG91" s="34" t="n">
        <f aca="false">SUMIF(Inv_E,80,Inv_D)*CG$9</f>
        <v>0</v>
      </c>
      <c r="CH91" s="34" t="n">
        <f aca="false">SUMIF(Inv_E,81,Inv_D)*CH$9</f>
        <v>0</v>
      </c>
      <c r="CI91" s="34" t="n">
        <f aca="false">SUMIF(Inv_E,82,Inv_D)*CI$9</f>
        <v>0</v>
      </c>
      <c r="CJ91" s="34" t="n">
        <f aca="false">SUMIF(Inv_E,83,Inv_D)*CJ$9</f>
        <v>0</v>
      </c>
      <c r="CK91" s="34" t="n">
        <f aca="false">SUMIF(Inv_E,84,Inv_D)*CK$9</f>
        <v>0</v>
      </c>
      <c r="CL91" s="34" t="n">
        <f aca="false">SUMIF(Inv_E,85,Inv_D)*CL$9</f>
        <v>0</v>
      </c>
      <c r="CM91" s="34" t="n">
        <f aca="false">SUMIF(Inv_E,86,Inv_D)*CM$9</f>
        <v>0</v>
      </c>
      <c r="CN91" s="34" t="n">
        <f aca="false">SUMIF(Inv_E,87,Inv_D)*CN$9</f>
        <v>0</v>
      </c>
      <c r="CO91" s="34" t="n">
        <f aca="false">SUMIF(Inv_E,88,Inv_D)*CO$9</f>
        <v>0</v>
      </c>
      <c r="CP91" s="34" t="n">
        <f aca="false">SUMIF(Inv_E,89,Inv_D)*CP$9</f>
        <v>0</v>
      </c>
      <c r="CQ91" s="34" t="n">
        <f aca="false">SUMIF(Inv_E,90,Inv_D)*CQ$9</f>
        <v>0</v>
      </c>
      <c r="CR91" s="34" t="n">
        <f aca="false">SUMIF(Inv_E,91,Inv_D)*CR$9</f>
        <v>0</v>
      </c>
      <c r="CS91" s="34" t="n">
        <f aca="false">SUMIF(Inv_E,92,Inv_D)*CS$9</f>
        <v>0</v>
      </c>
      <c r="CT91" s="34" t="n">
        <f aca="false">SUMIF(Inv_E,93,Inv_D)*CT$9</f>
        <v>0</v>
      </c>
      <c r="CU91" s="34" t="n">
        <f aca="false">SUMIF(Inv_E,94,Inv_D)*CU$9</f>
        <v>0</v>
      </c>
      <c r="CV91" s="34" t="n">
        <f aca="false">SUMIF(Inv_E,95,Inv_D)*CV$9</f>
        <v>0</v>
      </c>
      <c r="CW91" s="34" t="n">
        <f aca="false">SUMIF(Inv_E,96,Inv_D)*CW$9</f>
        <v>0</v>
      </c>
      <c r="CX91" s="34" t="n">
        <f aca="false">SUMIF(Inv_E,97,Inv_D)*CX$9</f>
        <v>0</v>
      </c>
      <c r="CY91" s="34" t="n">
        <f aca="false">SUMIF(Inv_E,98,Inv_D)*CY$9</f>
        <v>0</v>
      </c>
      <c r="CZ91" s="34" t="n">
        <f aca="false">SUMIF(Inv_E,99,Inv_D)*CZ$9</f>
        <v>0</v>
      </c>
      <c r="DA91" s="34" t="n">
        <f aca="false">SUMIF(Inv_E,100,Inv_D)*DA$9</f>
        <v>0</v>
      </c>
      <c r="DB91" s="34" t="n">
        <f aca="false">SUMIF(Inv_E,101,Inv_D)*DB$9</f>
        <v>0</v>
      </c>
      <c r="DC91" s="34" t="n">
        <f aca="false">SUMIF(Inv_E,102,Inv_D)*DC$9</f>
        <v>0</v>
      </c>
      <c r="DD91" s="34" t="n">
        <f aca="false">SUMIF(Inv_E,103,Inv_D)*DD$9</f>
        <v>0</v>
      </c>
      <c r="DE91" s="34" t="n">
        <f aca="false">SUMIF(Inv_E,104,Inv_D)*DE$9</f>
        <v>0</v>
      </c>
      <c r="DF91" s="34" t="n">
        <f aca="false">SUMIF(Inv_E,105,Inv_D)*DF$9</f>
        <v>0</v>
      </c>
      <c r="DG91" s="34" t="n">
        <f aca="false">SUMIF(Inv_E,106,Inv_D)*DG$9</f>
        <v>0</v>
      </c>
      <c r="DH91" s="34" t="n">
        <f aca="false">SUMIF(Inv_E,107,Inv_D)*DH$9</f>
        <v>0</v>
      </c>
      <c r="DI91" s="34" t="n">
        <f aca="false">SUMIF(Inv_E,108,Inv_D)*DI$9</f>
        <v>0</v>
      </c>
      <c r="DJ91" s="34" t="n">
        <f aca="false">SUMIF(Inv_E,109,Inv_D)*DJ$9</f>
        <v>0</v>
      </c>
      <c r="DK91" s="34" t="n">
        <f aca="false">SUMIF(Inv_E,110,Inv_D)*DK$9</f>
        <v>0</v>
      </c>
      <c r="DL91" s="34" t="n">
        <f aca="false">SUMIF(Inv_E,111,Inv_D)*DL$9</f>
        <v>0</v>
      </c>
      <c r="DM91" s="34" t="n">
        <f aca="false">SUMIF(Inv_E,112,Inv_D)*DM$9</f>
        <v>0</v>
      </c>
      <c r="DN91" s="34" t="n">
        <f aca="false">SUMIF(Inv_E,113,Inv_D)*DN$9</f>
        <v>0</v>
      </c>
      <c r="DO91" s="34" t="n">
        <f aca="false">SUMIF(Inv_E,114,Inv_D)*DO$9</f>
        <v>0</v>
      </c>
      <c r="DP91" s="34" t="n">
        <f aca="false">SUMIF(Inv_E,115,Inv_D)*DP$9</f>
        <v>0</v>
      </c>
      <c r="DQ91" s="34" t="n">
        <f aca="false">SUMIF(Inv_E,116,Inv_D)*DQ$9</f>
        <v>0</v>
      </c>
      <c r="DR91" s="34" t="n">
        <f aca="false">SUMIF(Inv_E,117,Inv_D)*DR$9</f>
        <v>0</v>
      </c>
      <c r="DS91" s="34" t="n">
        <f aca="false">SUMIF(Inv_E,118,Inv_D)*DS$9</f>
        <v>0</v>
      </c>
      <c r="DT91" s="34" t="n">
        <f aca="false">SUMIF(Inv_E,119,Inv_D)*DT$9</f>
        <v>0</v>
      </c>
      <c r="DU91" s="34" t="n">
        <f aca="false">SUMIF(Inv_E,120,Inv_D)*DU$9</f>
        <v>0</v>
      </c>
      <c r="DV91" s="34" t="n">
        <f aca="false">SUMIF(Inv_E,121,Inv_D)*DV$9</f>
        <v>0</v>
      </c>
      <c r="DW91" s="34" t="n">
        <f aca="false">SUMIF(Inv_E,122,Inv_D)*DW$9</f>
        <v>0</v>
      </c>
      <c r="DX91" s="34" t="n">
        <f aca="false">SUMIF(Inv_E,123,Inv_D)*DX$9</f>
        <v>0</v>
      </c>
      <c r="DY91" s="34" t="n">
        <f aca="false">SUMIF(Inv_E,124,Inv_D)*DY$9</f>
        <v>0</v>
      </c>
      <c r="DZ91" s="34" t="n">
        <f aca="false">SUMIF(Inv_E,125,Inv_D)*DZ$9</f>
        <v>0</v>
      </c>
      <c r="EA91" s="34" t="n">
        <f aca="false">SUMIF(Inv_E,126,Inv_D)*EA$9</f>
        <v>0</v>
      </c>
      <c r="EB91" s="34" t="n">
        <f aca="false">SUMIF(Inv_E,127,Inv_D)*EB$9</f>
        <v>0</v>
      </c>
      <c r="EC91" s="34" t="n">
        <f aca="false">SUMIF(Inv_E,128,Inv_D)*EC$9</f>
        <v>0</v>
      </c>
      <c r="ED91" s="34" t="n">
        <f aca="false">SUMIF(Inv_E,129,Inv_D)*ED$9</f>
        <v>0</v>
      </c>
      <c r="EE91" s="34" t="n">
        <f aca="false">SUMIF(Inv_E,130,Inv_D)*EE$9</f>
        <v>0</v>
      </c>
      <c r="EF91" s="34" t="n">
        <f aca="false">SUMIF(Inv_E,131,Inv_D)*EF$9</f>
        <v>0</v>
      </c>
      <c r="EG91" s="34" t="n">
        <f aca="false">SUMIF(Inv_E,132,Inv_D)*EG$9</f>
        <v>0</v>
      </c>
      <c r="EH91" s="34" t="n">
        <f aca="false">SUMIF(Inv_E,133,Inv_D)*EH$9</f>
        <v>0</v>
      </c>
      <c r="EI91" s="34" t="n">
        <f aca="false">SUMIF(Inv_E,134,Inv_D)*EI$9</f>
        <v>0</v>
      </c>
      <c r="EJ91" s="34" t="n">
        <f aca="false">SUMIF(Inv_E,135,Inv_D)*EJ$9</f>
        <v>0</v>
      </c>
      <c r="EK91" s="34" t="n">
        <f aca="false">SUMIF(Inv_E,136,Inv_D)*EK$9</f>
        <v>0</v>
      </c>
      <c r="EL91" s="34" t="n">
        <f aca="false">SUMIF(Inv_E,137,Inv_D)*EL$9</f>
        <v>0</v>
      </c>
      <c r="EM91" s="34" t="n">
        <f aca="false">SUMIF(Inv_E,138,Inv_D)*EM$9</f>
        <v>0</v>
      </c>
      <c r="EN91" s="34" t="n">
        <f aca="false">SUMIF(Inv_E,139,Inv_D)*EN$9</f>
        <v>0</v>
      </c>
      <c r="EO91" s="34" t="n">
        <f aca="false">SUMIF(Inv_E,140,Inv_D)*EO$9</f>
        <v>0</v>
      </c>
      <c r="EP91" s="34" t="n">
        <f aca="false">SUMIF(Inv_E,141,Inv_D)*EP$9</f>
        <v>0</v>
      </c>
      <c r="EQ91" s="34" t="n">
        <f aca="false">SUMIF(Inv_E,142,Inv_D)*EQ$9</f>
        <v>0</v>
      </c>
      <c r="ER91" s="34" t="n">
        <f aca="false">SUMIF(Inv_E,143,Inv_D)*ER$9</f>
        <v>0</v>
      </c>
      <c r="ES91" s="34" t="n">
        <f aca="false">SUMIF(Inv_E,144,Inv_D)*ES$9</f>
        <v>0</v>
      </c>
    </row>
    <row r="92" customFormat="false" ht="15" hidden="false" customHeight="false" outlineLevel="0" collapsed="false">
      <c r="A92" s="2" t="s">
        <v>668</v>
      </c>
      <c r="B92" s="6" t="s">
        <v>669</v>
      </c>
      <c r="C92" s="6" t="s">
        <v>250</v>
      </c>
      <c r="E92" s="40" t="n">
        <f aca="false">INDEX(F92:ES92,1,MIN(144,Fin))</f>
        <v>10000.0000000009</v>
      </c>
      <c r="F92" s="34" t="n">
        <f aca="false">0+F$91-F$77</f>
        <v>649078.072583333</v>
      </c>
      <c r="G92" s="34" t="n">
        <f aca="false">F$92+G$91-G$77</f>
        <v>643112.055166667</v>
      </c>
      <c r="H92" s="34" t="n">
        <f aca="false">G$92+H$91-H$77</f>
        <v>637146.03775</v>
      </c>
      <c r="I92" s="34" t="n">
        <f aca="false">H$92+I$91-I$77</f>
        <v>631180.020333334</v>
      </c>
      <c r="J92" s="34" t="n">
        <f aca="false">I$92+J$91-J$77</f>
        <v>625214.002916667</v>
      </c>
      <c r="K92" s="34" t="n">
        <f aca="false">J$92+K$91-K$77</f>
        <v>619247.9855</v>
      </c>
      <c r="L92" s="34" t="n">
        <f aca="false">K$92+L$91-L$77</f>
        <v>613281.968083334</v>
      </c>
      <c r="M92" s="34" t="n">
        <f aca="false">L$92+M$91-M$77</f>
        <v>607315.950666667</v>
      </c>
      <c r="N92" s="34" t="n">
        <f aca="false">M$92+N$91-N$77</f>
        <v>601349.933250001</v>
      </c>
      <c r="O92" s="34" t="n">
        <f aca="false">N$92+O$91-O$77</f>
        <v>595383.915833334</v>
      </c>
      <c r="P92" s="34" t="n">
        <f aca="false">O$92+P$91-P$77</f>
        <v>589417.898416667</v>
      </c>
      <c r="Q92" s="34" t="n">
        <f aca="false">P$92+Q$91-Q$77</f>
        <v>583451.881000001</v>
      </c>
      <c r="R92" s="34" t="n">
        <f aca="false">Q$92+R$91-R$77</f>
        <v>676652.530250001</v>
      </c>
      <c r="S92" s="34" t="n">
        <f aca="false">R$92+S$91-S$77</f>
        <v>669853.179500001</v>
      </c>
      <c r="T92" s="34" t="n">
        <f aca="false">S$92+T$91-T$77</f>
        <v>663053.828750001</v>
      </c>
      <c r="U92" s="34" t="n">
        <f aca="false">T$92+U$91-U$77</f>
        <v>656254.478000001</v>
      </c>
      <c r="V92" s="34" t="n">
        <f aca="false">U$92+V$91-V$77</f>
        <v>649455.127250001</v>
      </c>
      <c r="W92" s="34" t="n">
        <f aca="false">V$92+W$91-W$77</f>
        <v>642655.776500001</v>
      </c>
      <c r="X92" s="34" t="n">
        <f aca="false">W$92+X$91-X$77</f>
        <v>635856.425750001</v>
      </c>
      <c r="Y92" s="34" t="n">
        <f aca="false">X$92+Y$91-Y$77</f>
        <v>629057.075000001</v>
      </c>
      <c r="Z92" s="34" t="n">
        <f aca="false">Y$92+Z$91-Z$77</f>
        <v>622257.724250001</v>
      </c>
      <c r="AA92" s="34" t="n">
        <f aca="false">Z$92+AA$91-AA$77</f>
        <v>615458.373500001</v>
      </c>
      <c r="AB92" s="34" t="n">
        <f aca="false">AA$92+AB$91-AB$77</f>
        <v>608659.022750001</v>
      </c>
      <c r="AC92" s="34" t="n">
        <f aca="false">AB$92+AC$91-AC$77</f>
        <v>601859.672000001</v>
      </c>
      <c r="AD92" s="34" t="n">
        <f aca="false">AC$92+AD$91-AD$77</f>
        <v>595060.321250001</v>
      </c>
      <c r="AE92" s="34" t="n">
        <f aca="false">AD$92+AE$91-AE$77</f>
        <v>588260.970500001</v>
      </c>
      <c r="AF92" s="34" t="n">
        <f aca="false">AE$92+AF$91-AF$77</f>
        <v>581461.619750001</v>
      </c>
      <c r="AG92" s="34" t="n">
        <f aca="false">AF$92+AG$91-AG$77</f>
        <v>574662.269000001</v>
      </c>
      <c r="AH92" s="34" t="n">
        <f aca="false">AG$92+AH$91-AH$77</f>
        <v>567862.918250001</v>
      </c>
      <c r="AI92" s="34" t="n">
        <f aca="false">AH$92+AI$91-AI$77</f>
        <v>561063.567500001</v>
      </c>
      <c r="AJ92" s="34" t="n">
        <f aca="false">AI$92+AJ$91-AJ$77</f>
        <v>554264.216750001</v>
      </c>
      <c r="AK92" s="34" t="n">
        <f aca="false">AJ$92+AK$91-AK$77</f>
        <v>547464.866000001</v>
      </c>
      <c r="AL92" s="34" t="n">
        <f aca="false">AK$92+AL$91-AL$77</f>
        <v>540665.515250001</v>
      </c>
      <c r="AM92" s="34" t="n">
        <f aca="false">AL$92+AM$91-AM$77</f>
        <v>533866.164500001</v>
      </c>
      <c r="AN92" s="34" t="n">
        <f aca="false">AM$92+AN$91-AN$77</f>
        <v>527066.813750001</v>
      </c>
      <c r="AO92" s="34" t="n">
        <f aca="false">AN$92+AO$91-AO$77</f>
        <v>520267.463000001</v>
      </c>
      <c r="AP92" s="34" t="n">
        <f aca="false">AO$92+AP$91-AP$77</f>
        <v>513468.112250001</v>
      </c>
      <c r="AQ92" s="34" t="n">
        <f aca="false">AP$92+AQ$91-AQ$77</f>
        <v>506668.761500001</v>
      </c>
      <c r="AR92" s="34" t="n">
        <f aca="false">AQ$92+AR$91-AR$77</f>
        <v>499869.410750001</v>
      </c>
      <c r="AS92" s="34" t="n">
        <f aca="false">AR$92+AS$91-AS$77</f>
        <v>493070.060000001</v>
      </c>
      <c r="AT92" s="34" t="n">
        <f aca="false">AS$92+AT$91-AT$77</f>
        <v>486270.709250001</v>
      </c>
      <c r="AU92" s="34" t="n">
        <f aca="false">AT$92+AU$91-AU$77</f>
        <v>479471.358500001</v>
      </c>
      <c r="AV92" s="34" t="n">
        <f aca="false">AU$92+AV$91-AV$77</f>
        <v>472672.007750001</v>
      </c>
      <c r="AW92" s="34" t="n">
        <f aca="false">AV$92+AW$91-AW$77</f>
        <v>465872.657000001</v>
      </c>
      <c r="AX92" s="34" t="n">
        <f aca="false">AW$92+AX$91-AX$77</f>
        <v>459073.306250001</v>
      </c>
      <c r="AY92" s="34" t="n">
        <f aca="false">AX$92+AY$91-AY$77</f>
        <v>452273.955500001</v>
      </c>
      <c r="AZ92" s="34" t="n">
        <f aca="false">AY$92+AZ$91-AZ$77</f>
        <v>445474.604750001</v>
      </c>
      <c r="BA92" s="34" t="n">
        <f aca="false">AZ$92+BA$91-BA$77</f>
        <v>438675.254000001</v>
      </c>
      <c r="BB92" s="34" t="n">
        <f aca="false">BA$92+BB$91-BB$77</f>
        <v>431875.903250001</v>
      </c>
      <c r="BC92" s="34" t="n">
        <f aca="false">BB$92+BC$91-BC$77</f>
        <v>425076.552500001</v>
      </c>
      <c r="BD92" s="34" t="n">
        <f aca="false">BC$92+BD$91-BD$77</f>
        <v>418277.201750001</v>
      </c>
      <c r="BE92" s="34" t="n">
        <f aca="false">BD$92+BE$91-BE$77</f>
        <v>411477.851000001</v>
      </c>
      <c r="BF92" s="34" t="n">
        <f aca="false">BE$92+BF$91-BF$77</f>
        <v>404678.500250001</v>
      </c>
      <c r="BG92" s="34" t="n">
        <f aca="false">BF$92+BG$91-BG$77</f>
        <v>397879.149500001</v>
      </c>
      <c r="BH92" s="34" t="n">
        <f aca="false">BG$92+BH$91-BH$77</f>
        <v>391079.798750001</v>
      </c>
      <c r="BI92" s="34" t="n">
        <f aca="false">BH$92+BI$91-BI$77</f>
        <v>384280.448000001</v>
      </c>
      <c r="BJ92" s="34" t="n">
        <f aca="false">BI$92+BJ$91-BJ$77</f>
        <v>377481.097250001</v>
      </c>
      <c r="BK92" s="34" t="n">
        <f aca="false">BJ$92+BK$91-BK$77</f>
        <v>370681.746500001</v>
      </c>
      <c r="BL92" s="34" t="n">
        <f aca="false">BK$92+BL$91-BL$77</f>
        <v>363882.395750001</v>
      </c>
      <c r="BM92" s="34" t="n">
        <f aca="false">BL$92+BM$91-BM$77</f>
        <v>357083.045000001</v>
      </c>
      <c r="BN92" s="34" t="n">
        <f aca="false">BM$92+BN$91-BN$77</f>
        <v>351298.327583335</v>
      </c>
      <c r="BO92" s="34" t="n">
        <f aca="false">BN$92+BO$91-BO$77</f>
        <v>345513.610166668</v>
      </c>
      <c r="BP92" s="34" t="n">
        <f aca="false">BO$92+BP$91-BP$77</f>
        <v>339728.892750001</v>
      </c>
      <c r="BQ92" s="34" t="n">
        <f aca="false">BP$92+BQ$91-BQ$77</f>
        <v>333944.175333335</v>
      </c>
      <c r="BR92" s="34" t="n">
        <f aca="false">BQ$92+BR$91-BR$77</f>
        <v>328159.457916668</v>
      </c>
      <c r="BS92" s="34" t="n">
        <f aca="false">BR$92+BS$91-BS$77</f>
        <v>322374.740500001</v>
      </c>
      <c r="BT92" s="34" t="n">
        <f aca="false">BS$92+BT$91-BT$77</f>
        <v>316590.023083335</v>
      </c>
      <c r="BU92" s="34" t="n">
        <f aca="false">BT$92+BU$91-BU$77</f>
        <v>310805.305666668</v>
      </c>
      <c r="BV92" s="34" t="n">
        <f aca="false">BU$92+BV$91-BV$77</f>
        <v>305020.588250001</v>
      </c>
      <c r="BW92" s="34" t="n">
        <f aca="false">BV$92+BW$91-BW$77</f>
        <v>299235.870833335</v>
      </c>
      <c r="BX92" s="34" t="n">
        <f aca="false">BW$92+BX$91-BX$77</f>
        <v>293451.153416668</v>
      </c>
      <c r="BY92" s="34" t="n">
        <f aca="false">BX$92+BY$91-BY$77</f>
        <v>287666.436000001</v>
      </c>
      <c r="BZ92" s="34" t="n">
        <f aca="false">BY$92+BZ$91-BZ$77</f>
        <v>281881.718583335</v>
      </c>
      <c r="CA92" s="34" t="n">
        <f aca="false">BZ$92+CA$91-CA$77</f>
        <v>276097.001166668</v>
      </c>
      <c r="CB92" s="34" t="n">
        <f aca="false">CA$92+CB$91-CB$77</f>
        <v>270312.283750001</v>
      </c>
      <c r="CC92" s="34" t="n">
        <f aca="false">CB$92+CC$91-CC$77</f>
        <v>264527.566333335</v>
      </c>
      <c r="CD92" s="34" t="n">
        <f aca="false">CC$92+CD$91-CD$77</f>
        <v>258742.848916668</v>
      </c>
      <c r="CE92" s="34" t="n">
        <f aca="false">CD$92+CE$91-CE$77</f>
        <v>252958.131500001</v>
      </c>
      <c r="CF92" s="34" t="n">
        <f aca="false">CE$92+CF$91-CF$77</f>
        <v>247173.414083335</v>
      </c>
      <c r="CG92" s="34" t="n">
        <f aca="false">CF$92+CG$91-CG$77</f>
        <v>241388.696666668</v>
      </c>
      <c r="CH92" s="34" t="n">
        <f aca="false">CG$92+CH$91-CH$77</f>
        <v>235603.979250001</v>
      </c>
      <c r="CI92" s="34" t="n">
        <f aca="false">CH$92+CI$91-CI$77</f>
        <v>229819.261833334</v>
      </c>
      <c r="CJ92" s="34" t="n">
        <f aca="false">CI$92+CJ$91-CJ$77</f>
        <v>224034.544416668</v>
      </c>
      <c r="CK92" s="34" t="n">
        <f aca="false">CJ$92+CK$91-CK$77</f>
        <v>218249.827000001</v>
      </c>
      <c r="CL92" s="34" t="n">
        <f aca="false">CK$92+CL$91-CL$77</f>
        <v>212465.109583334</v>
      </c>
      <c r="CM92" s="34" t="n">
        <f aca="false">CL$92+CM$91-CM$77</f>
        <v>206680.392166668</v>
      </c>
      <c r="CN92" s="34" t="n">
        <f aca="false">CM$92+CN$91-CN$77</f>
        <v>200895.674750001</v>
      </c>
      <c r="CO92" s="34" t="n">
        <f aca="false">CN$92+CO$91-CO$77</f>
        <v>195110.957333334</v>
      </c>
      <c r="CP92" s="34" t="n">
        <f aca="false">CO$92+CP$91-CP$77</f>
        <v>189326.239916668</v>
      </c>
      <c r="CQ92" s="34" t="n">
        <f aca="false">CP$92+CQ$91-CQ$77</f>
        <v>183541.522500001</v>
      </c>
      <c r="CR92" s="34" t="n">
        <f aca="false">CQ$92+CR$91-CR$77</f>
        <v>177756.805083334</v>
      </c>
      <c r="CS92" s="34" t="n">
        <f aca="false">CR$92+CS$91-CS$77</f>
        <v>171972.087666668</v>
      </c>
      <c r="CT92" s="34" t="n">
        <f aca="false">CS$92+CT$91-CT$77</f>
        <v>166187.370250001</v>
      </c>
      <c r="CU92" s="34" t="n">
        <f aca="false">CT$92+CU$91-CU$77</f>
        <v>160402.652833334</v>
      </c>
      <c r="CV92" s="34" t="n">
        <f aca="false">CU$92+CV$91-CV$77</f>
        <v>154617.935416668</v>
      </c>
      <c r="CW92" s="34" t="n">
        <f aca="false">CV$92+CW$91-CW$77</f>
        <v>148833.218000001</v>
      </c>
      <c r="CX92" s="34" t="n">
        <f aca="false">CW$92+CX$91-CX$77</f>
        <v>143048.500583334</v>
      </c>
      <c r="CY92" s="34" t="n">
        <f aca="false">CX$92+CY$91-CY$77</f>
        <v>137263.783166668</v>
      </c>
      <c r="CZ92" s="34" t="n">
        <f aca="false">CY$92+CZ$91-CZ$77</f>
        <v>131479.065750001</v>
      </c>
      <c r="DA92" s="34" t="n">
        <f aca="false">CZ$92+DA$91-DA$77</f>
        <v>125694.348333334</v>
      </c>
      <c r="DB92" s="34" t="n">
        <f aca="false">DA$92+DB$91-DB$77</f>
        <v>119909.630916668</v>
      </c>
      <c r="DC92" s="34" t="n">
        <f aca="false">DB$92+DC$91-DC$77</f>
        <v>114124.913500001</v>
      </c>
      <c r="DD92" s="34" t="n">
        <f aca="false">DC$92+DD$91-DD$77</f>
        <v>108340.196083334</v>
      </c>
      <c r="DE92" s="34" t="n">
        <f aca="false">DD$92+DE$91-DE$77</f>
        <v>102555.478666668</v>
      </c>
      <c r="DF92" s="34" t="n">
        <f aca="false">DE$92+DF$91-DF$77</f>
        <v>96770.7612500009</v>
      </c>
      <c r="DG92" s="34" t="n">
        <f aca="false">DF$92+DG$91-DG$77</f>
        <v>90986.0438333342</v>
      </c>
      <c r="DH92" s="34" t="n">
        <f aca="false">DG$92+DH$91-DH$77</f>
        <v>85201.3264166676</v>
      </c>
      <c r="DI92" s="34" t="n">
        <f aca="false">DH$92+DI$91-DI$77</f>
        <v>79416.6090000009</v>
      </c>
      <c r="DJ92" s="34" t="n">
        <f aca="false">DI$92+DJ$91-DJ$77</f>
        <v>73631.8915833342</v>
      </c>
      <c r="DK92" s="34" t="n">
        <f aca="false">DJ$92+DK$91-DK$77</f>
        <v>67847.1741666676</v>
      </c>
      <c r="DL92" s="34" t="n">
        <f aca="false">DK$92+DL$91-DL$77</f>
        <v>62062.4567500009</v>
      </c>
      <c r="DM92" s="34" t="n">
        <f aca="false">DL$92+DM$91-DM$77</f>
        <v>56277.7393333342</v>
      </c>
      <c r="DN92" s="34" t="n">
        <f aca="false">DM$92+DN$91-DN$77</f>
        <v>50493.0219166676</v>
      </c>
      <c r="DO92" s="34" t="n">
        <f aca="false">DN$92+DO$91-DO$77</f>
        <v>44708.3045000009</v>
      </c>
      <c r="DP92" s="34" t="n">
        <f aca="false">DO$92+DP$91-DP$77</f>
        <v>38923.5870833342</v>
      </c>
      <c r="DQ92" s="34" t="n">
        <f aca="false">DP$92+DQ$91-DQ$77</f>
        <v>33138.8696666676</v>
      </c>
      <c r="DR92" s="34" t="n">
        <f aca="false">DQ$92+DR$91-DR$77</f>
        <v>27354.1522500009</v>
      </c>
      <c r="DS92" s="34" t="n">
        <f aca="false">DR$92+DS$91-DS$77</f>
        <v>21569.4348333342</v>
      </c>
      <c r="DT92" s="34" t="n">
        <f aca="false">DS$92+DT$91-DT$77</f>
        <v>15784.7174166676</v>
      </c>
      <c r="DU92" s="34" t="n">
        <f aca="false">DT$92+DU$91-DU$77</f>
        <v>10000.0000000009</v>
      </c>
      <c r="DV92" s="34" t="n">
        <f aca="false">DU$92+DV$91-DV$77</f>
        <v>10000.0000000009</v>
      </c>
      <c r="DW92" s="34" t="n">
        <f aca="false">DV$92+DW$91-DW$77</f>
        <v>10000.0000000009</v>
      </c>
      <c r="DX92" s="34" t="n">
        <f aca="false">DW$92+DX$91-DX$77</f>
        <v>10000.0000000009</v>
      </c>
      <c r="DY92" s="34" t="n">
        <f aca="false">DX$92+DY$91-DY$77</f>
        <v>10000.0000000009</v>
      </c>
      <c r="DZ92" s="34" t="n">
        <f aca="false">DY$92+DZ$91-DZ$77</f>
        <v>10000.0000000009</v>
      </c>
      <c r="EA92" s="34" t="n">
        <f aca="false">DZ$92+EA$91-EA$77</f>
        <v>10000.0000000009</v>
      </c>
      <c r="EB92" s="34" t="n">
        <f aca="false">EA$92+EB$91-EB$77</f>
        <v>10000.0000000009</v>
      </c>
      <c r="EC92" s="34" t="n">
        <f aca="false">EB$92+EC$91-EC$77</f>
        <v>10000.0000000009</v>
      </c>
      <c r="ED92" s="34" t="n">
        <f aca="false">EC$92+ED$91-ED$77</f>
        <v>10000.0000000009</v>
      </c>
      <c r="EE92" s="34" t="n">
        <f aca="false">ED$92+EE$91-EE$77</f>
        <v>10000.0000000009</v>
      </c>
      <c r="EF92" s="34" t="n">
        <f aca="false">EE$92+EF$91-EF$77</f>
        <v>10000.0000000009</v>
      </c>
      <c r="EG92" s="34" t="n">
        <f aca="false">EF$92+EG$91-EG$77</f>
        <v>10000.0000000009</v>
      </c>
      <c r="EH92" s="34" t="n">
        <f aca="false">EG$92+EH$91-EH$77</f>
        <v>10000.0000000009</v>
      </c>
      <c r="EI92" s="34" t="n">
        <f aca="false">EH$92+EI$91-EI$77</f>
        <v>10000.0000000009</v>
      </c>
      <c r="EJ92" s="34" t="n">
        <f aca="false">EI$92+EJ$91-EJ$77</f>
        <v>10000.0000000009</v>
      </c>
      <c r="EK92" s="34" t="n">
        <f aca="false">EJ$92+EK$91-EK$77</f>
        <v>10000.0000000009</v>
      </c>
      <c r="EL92" s="34" t="n">
        <f aca="false">EK$92+EL$91-EL$77</f>
        <v>10000.0000000009</v>
      </c>
      <c r="EM92" s="34" t="n">
        <f aca="false">EL$92+EM$91-EM$77</f>
        <v>10000.0000000009</v>
      </c>
      <c r="EN92" s="34" t="n">
        <f aca="false">EM$92+EN$91-EN$77</f>
        <v>10000.0000000009</v>
      </c>
      <c r="EO92" s="34" t="n">
        <f aca="false">EN$92+EO$91-EO$77</f>
        <v>10000.0000000009</v>
      </c>
      <c r="EP92" s="34" t="n">
        <f aca="false">EO$92+EP$91-EP$77</f>
        <v>10000.0000000009</v>
      </c>
      <c r="EQ92" s="34" t="n">
        <f aca="false">EP$92+EQ$91-EQ$77</f>
        <v>10000.0000000009</v>
      </c>
      <c r="ER92" s="34" t="n">
        <f aca="false">EQ$92+ER$91-ER$77</f>
        <v>10000.0000000009</v>
      </c>
      <c r="ES92" s="34" t="n">
        <f aca="false">ER$92+ES$91-ES$77</f>
        <v>10000.0000000009</v>
      </c>
    </row>
    <row r="93" customFormat="false" ht="15" hidden="false" customHeight="false" outlineLevel="0" collapsed="false">
      <c r="A93" s="2" t="s">
        <v>670</v>
      </c>
      <c r="B93" s="6" t="s">
        <v>671</v>
      </c>
      <c r="C93" s="6" t="s">
        <v>250</v>
      </c>
      <c r="E93" s="40" t="n">
        <f aca="false">SUM(F93:ES93)</f>
        <v>4509762.51732228</v>
      </c>
      <c r="F93" s="34" t="n">
        <f aca="false">IF(1=Fin,F$87*P_RealCT+F$92*P_RealAF,0)</f>
        <v>0</v>
      </c>
      <c r="G93" s="34" t="n">
        <f aca="false">IF(2=Fin,G$87*P_RealCT+G$92*P_RealAF,0)</f>
        <v>0</v>
      </c>
      <c r="H93" s="34" t="n">
        <f aca="false">IF(3=Fin,H$87*P_RealCT+H$92*P_RealAF,0)</f>
        <v>0</v>
      </c>
      <c r="I93" s="34" t="n">
        <f aca="false">IF(4=Fin,I$87*P_RealCT+I$92*P_RealAF,0)</f>
        <v>0</v>
      </c>
      <c r="J93" s="34" t="n">
        <f aca="false">IF(5=Fin,J$87*P_RealCT+J$92*P_RealAF,0)</f>
        <v>0</v>
      </c>
      <c r="K93" s="34" t="n">
        <f aca="false">IF(6=Fin,K$87*P_RealCT+K$92*P_RealAF,0)</f>
        <v>0</v>
      </c>
      <c r="L93" s="34" t="n">
        <f aca="false">IF(7=Fin,L$87*P_RealCT+L$92*P_RealAF,0)</f>
        <v>0</v>
      </c>
      <c r="M93" s="34" t="n">
        <f aca="false">IF(8=Fin,M$87*P_RealCT+M$92*P_RealAF,0)</f>
        <v>0</v>
      </c>
      <c r="N93" s="34" t="n">
        <f aca="false">IF(9=Fin,N$87*P_RealCT+N$92*P_RealAF,0)</f>
        <v>0</v>
      </c>
      <c r="O93" s="34" t="n">
        <f aca="false">IF(10=Fin,O$87*P_RealCT+O$92*P_RealAF,0)</f>
        <v>0</v>
      </c>
      <c r="P93" s="34" t="n">
        <f aca="false">IF(11=Fin,P$87*P_RealCT+P$92*P_RealAF,0)</f>
        <v>0</v>
      </c>
      <c r="Q93" s="34" t="n">
        <f aca="false">IF(12=Fin,Q$87*P_RealCT+Q$92*P_RealAF,0)</f>
        <v>0</v>
      </c>
      <c r="R93" s="34" t="n">
        <f aca="false">IF(13=Fin,R$87*P_RealCT+R$92*P_RealAF,0)</f>
        <v>0</v>
      </c>
      <c r="S93" s="34" t="n">
        <f aca="false">IF(14=Fin,S$87*P_RealCT+S$92*P_RealAF,0)</f>
        <v>0</v>
      </c>
      <c r="T93" s="34" t="n">
        <f aca="false">IF(15=Fin,T$87*P_RealCT+T$92*P_RealAF,0)</f>
        <v>0</v>
      </c>
      <c r="U93" s="34" t="n">
        <f aca="false">IF(16=Fin,U$87*P_RealCT+U$92*P_RealAF,0)</f>
        <v>0</v>
      </c>
      <c r="V93" s="34" t="n">
        <f aca="false">IF(17=Fin,V$87*P_RealCT+V$92*P_RealAF,0)</f>
        <v>0</v>
      </c>
      <c r="W93" s="34" t="n">
        <f aca="false">IF(18=Fin,W$87*P_RealCT+W$92*P_RealAF,0)</f>
        <v>0</v>
      </c>
      <c r="X93" s="34" t="n">
        <f aca="false">IF(19=Fin,X$87*P_RealCT+X$92*P_RealAF,0)</f>
        <v>0</v>
      </c>
      <c r="Y93" s="34" t="n">
        <f aca="false">IF(20=Fin,Y$87*P_RealCT+Y$92*P_RealAF,0)</f>
        <v>0</v>
      </c>
      <c r="Z93" s="34" t="n">
        <f aca="false">IF(21=Fin,Z$87*P_RealCT+Z$92*P_RealAF,0)</f>
        <v>0</v>
      </c>
      <c r="AA93" s="34" t="n">
        <f aca="false">IF(22=Fin,AA$87*P_RealCT+AA$92*P_RealAF,0)</f>
        <v>0</v>
      </c>
      <c r="AB93" s="34" t="n">
        <f aca="false">IF(23=Fin,AB$87*P_RealCT+AB$92*P_RealAF,0)</f>
        <v>0</v>
      </c>
      <c r="AC93" s="34" t="n">
        <f aca="false">IF(24=Fin,AC$87*P_RealCT+AC$92*P_RealAF,0)</f>
        <v>0</v>
      </c>
      <c r="AD93" s="34" t="n">
        <f aca="false">IF(25=Fin,AD$87*P_RealCT+AD$92*P_RealAF,0)</f>
        <v>0</v>
      </c>
      <c r="AE93" s="34" t="n">
        <f aca="false">IF(26=Fin,AE$87*P_RealCT+AE$92*P_RealAF,0)</f>
        <v>0</v>
      </c>
      <c r="AF93" s="34" t="n">
        <f aca="false">IF(27=Fin,AF$87*P_RealCT+AF$92*P_RealAF,0)</f>
        <v>0</v>
      </c>
      <c r="AG93" s="34" t="n">
        <f aca="false">IF(28=Fin,AG$87*P_RealCT+AG$92*P_RealAF,0)</f>
        <v>0</v>
      </c>
      <c r="AH93" s="34" t="n">
        <f aca="false">IF(29=Fin,AH$87*P_RealCT+AH$92*P_RealAF,0)</f>
        <v>0</v>
      </c>
      <c r="AI93" s="34" t="n">
        <f aca="false">IF(30=Fin,AI$87*P_RealCT+AI$92*P_RealAF,0)</f>
        <v>0</v>
      </c>
      <c r="AJ93" s="34" t="n">
        <f aca="false">IF(31=Fin,AJ$87*P_RealCT+AJ$92*P_RealAF,0)</f>
        <v>0</v>
      </c>
      <c r="AK93" s="34" t="n">
        <f aca="false">IF(32=Fin,AK$87*P_RealCT+AK$92*P_RealAF,0)</f>
        <v>0</v>
      </c>
      <c r="AL93" s="34" t="n">
        <f aca="false">IF(33=Fin,AL$87*P_RealCT+AL$92*P_RealAF,0)</f>
        <v>0</v>
      </c>
      <c r="AM93" s="34" t="n">
        <f aca="false">IF(34=Fin,AM$87*P_RealCT+AM$92*P_RealAF,0)</f>
        <v>0</v>
      </c>
      <c r="AN93" s="34" t="n">
        <f aca="false">IF(35=Fin,AN$87*P_RealCT+AN$92*P_RealAF,0)</f>
        <v>0</v>
      </c>
      <c r="AO93" s="34" t="n">
        <f aca="false">IF(36=Fin,AO$87*P_RealCT+AO$92*P_RealAF,0)</f>
        <v>0</v>
      </c>
      <c r="AP93" s="34" t="n">
        <f aca="false">IF(37=Fin,AP$87*P_RealCT+AP$92*P_RealAF,0)</f>
        <v>0</v>
      </c>
      <c r="AQ93" s="34" t="n">
        <f aca="false">IF(38=Fin,AQ$87*P_RealCT+AQ$92*P_RealAF,0)</f>
        <v>0</v>
      </c>
      <c r="AR93" s="34" t="n">
        <f aca="false">IF(39=Fin,AR$87*P_RealCT+AR$92*P_RealAF,0)</f>
        <v>0</v>
      </c>
      <c r="AS93" s="34" t="n">
        <f aca="false">IF(40=Fin,AS$87*P_RealCT+AS$92*P_RealAF,0)</f>
        <v>0</v>
      </c>
      <c r="AT93" s="34" t="n">
        <f aca="false">IF(41=Fin,AT$87*P_RealCT+AT$92*P_RealAF,0)</f>
        <v>0</v>
      </c>
      <c r="AU93" s="34" t="n">
        <f aca="false">IF(42=Fin,AU$87*P_RealCT+AU$92*P_RealAF,0)</f>
        <v>0</v>
      </c>
      <c r="AV93" s="34" t="n">
        <f aca="false">IF(43=Fin,AV$87*P_RealCT+AV$92*P_RealAF,0)</f>
        <v>0</v>
      </c>
      <c r="AW93" s="34" t="n">
        <f aca="false">IF(44=Fin,AW$87*P_RealCT+AW$92*P_RealAF,0)</f>
        <v>0</v>
      </c>
      <c r="AX93" s="34" t="n">
        <f aca="false">IF(45=Fin,AX$87*P_RealCT+AX$92*P_RealAF,0)</f>
        <v>0</v>
      </c>
      <c r="AY93" s="34" t="n">
        <f aca="false">IF(46=Fin,AY$87*P_RealCT+AY$92*P_RealAF,0)</f>
        <v>0</v>
      </c>
      <c r="AZ93" s="34" t="n">
        <f aca="false">IF(47=Fin,AZ$87*P_RealCT+AZ$92*P_RealAF,0)</f>
        <v>0</v>
      </c>
      <c r="BA93" s="34" t="n">
        <f aca="false">IF(48=Fin,BA$87*P_RealCT+BA$92*P_RealAF,0)</f>
        <v>0</v>
      </c>
      <c r="BB93" s="34" t="n">
        <f aca="false">IF(49=Fin,BB$87*P_RealCT+BB$92*P_RealAF,0)</f>
        <v>0</v>
      </c>
      <c r="BC93" s="34" t="n">
        <f aca="false">IF(50=Fin,BC$87*P_RealCT+BC$92*P_RealAF,0)</f>
        <v>0</v>
      </c>
      <c r="BD93" s="34" t="n">
        <f aca="false">IF(51=Fin,BD$87*P_RealCT+BD$92*P_RealAF,0)</f>
        <v>0</v>
      </c>
      <c r="BE93" s="34" t="n">
        <f aca="false">IF(52=Fin,BE$87*P_RealCT+BE$92*P_RealAF,0)</f>
        <v>0</v>
      </c>
      <c r="BF93" s="34" t="n">
        <f aca="false">IF(53=Fin,BF$87*P_RealCT+BF$92*P_RealAF,0)</f>
        <v>0</v>
      </c>
      <c r="BG93" s="34" t="n">
        <f aca="false">IF(54=Fin,BG$87*P_RealCT+BG$92*P_RealAF,0)</f>
        <v>0</v>
      </c>
      <c r="BH93" s="34" t="n">
        <f aca="false">IF(55=Fin,BH$87*P_RealCT+BH$92*P_RealAF,0)</f>
        <v>0</v>
      </c>
      <c r="BI93" s="34" t="n">
        <f aca="false">IF(56=Fin,BI$87*P_RealCT+BI$92*P_RealAF,0)</f>
        <v>0</v>
      </c>
      <c r="BJ93" s="34" t="n">
        <f aca="false">IF(57=Fin,BJ$87*P_RealCT+BJ$92*P_RealAF,0)</f>
        <v>0</v>
      </c>
      <c r="BK93" s="34" t="n">
        <f aca="false">IF(58=Fin,BK$87*P_RealCT+BK$92*P_RealAF,0)</f>
        <v>0</v>
      </c>
      <c r="BL93" s="34" t="n">
        <f aca="false">IF(59=Fin,BL$87*P_RealCT+BL$92*P_RealAF,0)</f>
        <v>0</v>
      </c>
      <c r="BM93" s="34" t="n">
        <f aca="false">IF(60=Fin,BM$87*P_RealCT+BM$92*P_RealAF,0)</f>
        <v>0</v>
      </c>
      <c r="BN93" s="34" t="n">
        <f aca="false">IF(61=Fin,BN$87*P_RealCT+BN$92*P_RealAF,0)</f>
        <v>0</v>
      </c>
      <c r="BO93" s="34" t="n">
        <f aca="false">IF(62=Fin,BO$87*P_RealCT+BO$92*P_RealAF,0)</f>
        <v>0</v>
      </c>
      <c r="BP93" s="34" t="n">
        <f aca="false">IF(63=Fin,BP$87*P_RealCT+BP$92*P_RealAF,0)</f>
        <v>0</v>
      </c>
      <c r="BQ93" s="34" t="n">
        <f aca="false">IF(64=Fin,BQ$87*P_RealCT+BQ$92*P_RealAF,0)</f>
        <v>0</v>
      </c>
      <c r="BR93" s="34" t="n">
        <f aca="false">IF(65=Fin,BR$87*P_RealCT+BR$92*P_RealAF,0)</f>
        <v>0</v>
      </c>
      <c r="BS93" s="34" t="n">
        <f aca="false">IF(66=Fin,BS$87*P_RealCT+BS$92*P_RealAF,0)</f>
        <v>0</v>
      </c>
      <c r="BT93" s="34" t="n">
        <f aca="false">IF(67=Fin,BT$87*P_RealCT+BT$92*P_RealAF,0)</f>
        <v>0</v>
      </c>
      <c r="BU93" s="34" t="n">
        <f aca="false">IF(68=Fin,BU$87*P_RealCT+BU$92*P_RealAF,0)</f>
        <v>0</v>
      </c>
      <c r="BV93" s="34" t="n">
        <f aca="false">IF(69=Fin,BV$87*P_RealCT+BV$92*P_RealAF,0)</f>
        <v>0</v>
      </c>
      <c r="BW93" s="34" t="n">
        <f aca="false">IF(70=Fin,BW$87*P_RealCT+BW$92*P_RealAF,0)</f>
        <v>0</v>
      </c>
      <c r="BX93" s="34" t="n">
        <f aca="false">IF(71=Fin,BX$87*P_RealCT+BX$92*P_RealAF,0)</f>
        <v>0</v>
      </c>
      <c r="BY93" s="34" t="n">
        <f aca="false">IF(72=Fin,BY$87*P_RealCT+BY$92*P_RealAF,0)</f>
        <v>0</v>
      </c>
      <c r="BZ93" s="34" t="n">
        <f aca="false">IF(73=Fin,BZ$87*P_RealCT+BZ$92*P_RealAF,0)</f>
        <v>0</v>
      </c>
      <c r="CA93" s="34" t="n">
        <f aca="false">IF(74=Fin,CA$87*P_RealCT+CA$92*P_RealAF,0)</f>
        <v>0</v>
      </c>
      <c r="CB93" s="34" t="n">
        <f aca="false">IF(75=Fin,CB$87*P_RealCT+CB$92*P_RealAF,0)</f>
        <v>0</v>
      </c>
      <c r="CC93" s="34" t="n">
        <f aca="false">IF(76=Fin,CC$87*P_RealCT+CC$92*P_RealAF,0)</f>
        <v>0</v>
      </c>
      <c r="CD93" s="34" t="n">
        <f aca="false">IF(77=Fin,CD$87*P_RealCT+CD$92*P_RealAF,0)</f>
        <v>0</v>
      </c>
      <c r="CE93" s="34" t="n">
        <f aca="false">IF(78=Fin,CE$87*P_RealCT+CE$92*P_RealAF,0)</f>
        <v>0</v>
      </c>
      <c r="CF93" s="34" t="n">
        <f aca="false">IF(79=Fin,CF$87*P_RealCT+CF$92*P_RealAF,0)</f>
        <v>0</v>
      </c>
      <c r="CG93" s="34" t="n">
        <f aca="false">IF(80=Fin,CG$87*P_RealCT+CG$92*P_RealAF,0)</f>
        <v>0</v>
      </c>
      <c r="CH93" s="34" t="n">
        <f aca="false">IF(81=Fin,CH$87*P_RealCT+CH$92*P_RealAF,0)</f>
        <v>0</v>
      </c>
      <c r="CI93" s="34" t="n">
        <f aca="false">IF(82=Fin,CI$87*P_RealCT+CI$92*P_RealAF,0)</f>
        <v>0</v>
      </c>
      <c r="CJ93" s="34" t="n">
        <f aca="false">IF(83=Fin,CJ$87*P_RealCT+CJ$92*P_RealAF,0)</f>
        <v>0</v>
      </c>
      <c r="CK93" s="34" t="n">
        <f aca="false">IF(84=Fin,CK$87*P_RealCT+CK$92*P_RealAF,0)</f>
        <v>0</v>
      </c>
      <c r="CL93" s="34" t="n">
        <f aca="false">IF(85=Fin,CL$87*P_RealCT+CL$92*P_RealAF,0)</f>
        <v>0</v>
      </c>
      <c r="CM93" s="34" t="n">
        <f aca="false">IF(86=Fin,CM$87*P_RealCT+CM$92*P_RealAF,0)</f>
        <v>0</v>
      </c>
      <c r="CN93" s="34" t="n">
        <f aca="false">IF(87=Fin,CN$87*P_RealCT+CN$92*P_RealAF,0)</f>
        <v>0</v>
      </c>
      <c r="CO93" s="34" t="n">
        <f aca="false">IF(88=Fin,CO$87*P_RealCT+CO$92*P_RealAF,0)</f>
        <v>0</v>
      </c>
      <c r="CP93" s="34" t="n">
        <f aca="false">IF(89=Fin,CP$87*P_RealCT+CP$92*P_RealAF,0)</f>
        <v>0</v>
      </c>
      <c r="CQ93" s="34" t="n">
        <f aca="false">IF(90=Fin,CQ$87*P_RealCT+CQ$92*P_RealAF,0)</f>
        <v>0</v>
      </c>
      <c r="CR93" s="34" t="n">
        <f aca="false">IF(91=Fin,CR$87*P_RealCT+CR$92*P_RealAF,0)</f>
        <v>0</v>
      </c>
      <c r="CS93" s="34" t="n">
        <f aca="false">IF(92=Fin,CS$87*P_RealCT+CS$92*P_RealAF,0)</f>
        <v>0</v>
      </c>
      <c r="CT93" s="34" t="n">
        <f aca="false">IF(93=Fin,CT$87*P_RealCT+CT$92*P_RealAF,0)</f>
        <v>0</v>
      </c>
      <c r="CU93" s="34" t="n">
        <f aca="false">IF(94=Fin,CU$87*P_RealCT+CU$92*P_RealAF,0)</f>
        <v>0</v>
      </c>
      <c r="CV93" s="34" t="n">
        <f aca="false">IF(95=Fin,CV$87*P_RealCT+CV$92*P_RealAF,0)</f>
        <v>0</v>
      </c>
      <c r="CW93" s="34" t="n">
        <f aca="false">IF(96=Fin,CW$87*P_RealCT+CW$92*P_RealAF,0)</f>
        <v>0</v>
      </c>
      <c r="CX93" s="34" t="n">
        <f aca="false">IF(97=Fin,CX$87*P_RealCT+CX$92*P_RealAF,0)</f>
        <v>0</v>
      </c>
      <c r="CY93" s="34" t="n">
        <f aca="false">IF(98=Fin,CY$87*P_RealCT+CY$92*P_RealAF,0)</f>
        <v>0</v>
      </c>
      <c r="CZ93" s="34" t="n">
        <f aca="false">IF(99=Fin,CZ$87*P_RealCT+CZ$92*P_RealAF,0)</f>
        <v>0</v>
      </c>
      <c r="DA93" s="34" t="n">
        <f aca="false">IF(100=Fin,DA$87*P_RealCT+DA$92*P_RealAF,0)</f>
        <v>0</v>
      </c>
      <c r="DB93" s="34" t="n">
        <f aca="false">IF(101=Fin,DB$87*P_RealCT+DB$92*P_RealAF,0)</f>
        <v>0</v>
      </c>
      <c r="DC93" s="34" t="n">
        <f aca="false">IF(102=Fin,DC$87*P_RealCT+DC$92*P_RealAF,0)</f>
        <v>0</v>
      </c>
      <c r="DD93" s="34" t="n">
        <f aca="false">IF(103=Fin,DD$87*P_RealCT+DD$92*P_RealAF,0)</f>
        <v>0</v>
      </c>
      <c r="DE93" s="34" t="n">
        <f aca="false">IF(104=Fin,DE$87*P_RealCT+DE$92*P_RealAF,0)</f>
        <v>0</v>
      </c>
      <c r="DF93" s="34" t="n">
        <f aca="false">IF(105=Fin,DF$87*P_RealCT+DF$92*P_RealAF,0)</f>
        <v>0</v>
      </c>
      <c r="DG93" s="34" t="n">
        <f aca="false">IF(106=Fin,DG$87*P_RealCT+DG$92*P_RealAF,0)</f>
        <v>0</v>
      </c>
      <c r="DH93" s="34" t="n">
        <f aca="false">IF(107=Fin,DH$87*P_RealCT+DH$92*P_RealAF,0)</f>
        <v>0</v>
      </c>
      <c r="DI93" s="34" t="n">
        <f aca="false">IF(108=Fin,DI$87*P_RealCT+DI$92*P_RealAF,0)</f>
        <v>0</v>
      </c>
      <c r="DJ93" s="34" t="n">
        <f aca="false">IF(109=Fin,DJ$87*P_RealCT+DJ$92*P_RealAF,0)</f>
        <v>0</v>
      </c>
      <c r="DK93" s="34" t="n">
        <f aca="false">IF(110=Fin,DK$87*P_RealCT+DK$92*P_RealAF,0)</f>
        <v>0</v>
      </c>
      <c r="DL93" s="34" t="n">
        <f aca="false">IF(111=Fin,DL$87*P_RealCT+DL$92*P_RealAF,0)</f>
        <v>0</v>
      </c>
      <c r="DM93" s="34" t="n">
        <f aca="false">IF(112=Fin,DM$87*P_RealCT+DM$92*P_RealAF,0)</f>
        <v>0</v>
      </c>
      <c r="DN93" s="34" t="n">
        <f aca="false">IF(113=Fin,DN$87*P_RealCT+DN$92*P_RealAF,0)</f>
        <v>0</v>
      </c>
      <c r="DO93" s="34" t="n">
        <f aca="false">IF(114=Fin,DO$87*P_RealCT+DO$92*P_RealAF,0)</f>
        <v>0</v>
      </c>
      <c r="DP93" s="34" t="n">
        <f aca="false">IF(115=Fin,DP$87*P_RealCT+DP$92*P_RealAF,0)</f>
        <v>0</v>
      </c>
      <c r="DQ93" s="34" t="n">
        <f aca="false">IF(116=Fin,DQ$87*P_RealCT+DQ$92*P_RealAF,0)</f>
        <v>0</v>
      </c>
      <c r="DR93" s="34" t="n">
        <f aca="false">IF(117=Fin,DR$87*P_RealCT+DR$92*P_RealAF,0)</f>
        <v>0</v>
      </c>
      <c r="DS93" s="34" t="n">
        <f aca="false">IF(118=Fin,DS$87*P_RealCT+DS$92*P_RealAF,0)</f>
        <v>0</v>
      </c>
      <c r="DT93" s="34" t="n">
        <f aca="false">IF(119=Fin,DT$87*P_RealCT+DT$92*P_RealAF,0)</f>
        <v>0</v>
      </c>
      <c r="DU93" s="34" t="n">
        <f aca="false">IF(120=Fin,DU$87*P_RealCT+DU$92*P_RealAF,0)</f>
        <v>4509762.51732228</v>
      </c>
      <c r="DV93" s="34" t="n">
        <f aca="false">IF(121=Fin,DV$87*P_RealCT+DV$92*P_RealAF,0)</f>
        <v>0</v>
      </c>
      <c r="DW93" s="34" t="n">
        <f aca="false">IF(122=Fin,DW$87*P_RealCT+DW$92*P_RealAF,0)</f>
        <v>0</v>
      </c>
      <c r="DX93" s="34" t="n">
        <f aca="false">IF(123=Fin,DX$87*P_RealCT+DX$92*P_RealAF,0)</f>
        <v>0</v>
      </c>
      <c r="DY93" s="34" t="n">
        <f aca="false">IF(124=Fin,DY$87*P_RealCT+DY$92*P_RealAF,0)</f>
        <v>0</v>
      </c>
      <c r="DZ93" s="34" t="n">
        <f aca="false">IF(125=Fin,DZ$87*P_RealCT+DZ$92*P_RealAF,0)</f>
        <v>0</v>
      </c>
      <c r="EA93" s="34" t="n">
        <f aca="false">IF(126=Fin,EA$87*P_RealCT+EA$92*P_RealAF,0)</f>
        <v>0</v>
      </c>
      <c r="EB93" s="34" t="n">
        <f aca="false">IF(127=Fin,EB$87*P_RealCT+EB$92*P_RealAF,0)</f>
        <v>0</v>
      </c>
      <c r="EC93" s="34" t="n">
        <f aca="false">IF(128=Fin,EC$87*P_RealCT+EC$92*P_RealAF,0)</f>
        <v>0</v>
      </c>
      <c r="ED93" s="34" t="n">
        <f aca="false">IF(129=Fin,ED$87*P_RealCT+ED$92*P_RealAF,0)</f>
        <v>0</v>
      </c>
      <c r="EE93" s="34" t="n">
        <f aca="false">IF(130=Fin,EE$87*P_RealCT+EE$92*P_RealAF,0)</f>
        <v>0</v>
      </c>
      <c r="EF93" s="34" t="n">
        <f aca="false">IF(131=Fin,EF$87*P_RealCT+EF$92*P_RealAF,0)</f>
        <v>0</v>
      </c>
      <c r="EG93" s="34" t="n">
        <f aca="false">IF(132=Fin,EG$87*P_RealCT+EG$92*P_RealAF,0)</f>
        <v>0</v>
      </c>
      <c r="EH93" s="34" t="n">
        <f aca="false">IF(133=Fin,EH$87*P_RealCT+EH$92*P_RealAF,0)</f>
        <v>0</v>
      </c>
      <c r="EI93" s="34" t="n">
        <f aca="false">IF(134=Fin,EI$87*P_RealCT+EI$92*P_RealAF,0)</f>
        <v>0</v>
      </c>
      <c r="EJ93" s="34" t="n">
        <f aca="false">IF(135=Fin,EJ$87*P_RealCT+EJ$92*P_RealAF,0)</f>
        <v>0</v>
      </c>
      <c r="EK93" s="34" t="n">
        <f aca="false">IF(136=Fin,EK$87*P_RealCT+EK$92*P_RealAF,0)</f>
        <v>0</v>
      </c>
      <c r="EL93" s="34" t="n">
        <f aca="false">IF(137=Fin,EL$87*P_RealCT+EL$92*P_RealAF,0)</f>
        <v>0</v>
      </c>
      <c r="EM93" s="34" t="n">
        <f aca="false">IF(138=Fin,EM$87*P_RealCT+EM$92*P_RealAF,0)</f>
        <v>0</v>
      </c>
      <c r="EN93" s="34" t="n">
        <f aca="false">IF(139=Fin,EN$87*P_RealCT+EN$92*P_RealAF,0)</f>
        <v>0</v>
      </c>
      <c r="EO93" s="34" t="n">
        <f aca="false">IF(140=Fin,EO$87*P_RealCT+EO$92*P_RealAF,0)</f>
        <v>0</v>
      </c>
      <c r="EP93" s="34" t="n">
        <f aca="false">IF(141=Fin,EP$87*P_RealCT+EP$92*P_RealAF,0)</f>
        <v>0</v>
      </c>
      <c r="EQ93" s="34" t="n">
        <f aca="false">IF(142=Fin,EQ$87*P_RealCT+EQ$92*P_RealAF,0)</f>
        <v>0</v>
      </c>
      <c r="ER93" s="34" t="n">
        <f aca="false">IF(143=Fin,ER$87*P_RealCT+ER$92*P_RealAF,0)</f>
        <v>0</v>
      </c>
      <c r="ES93" s="34" t="n">
        <f aca="false">IF(144=Fin,ES$87*P_RealCT+ES$92*P_RealAF,0)</f>
        <v>0</v>
      </c>
    </row>
    <row r="94" customFormat="false" ht="15" hidden="false" customHeight="false" outlineLevel="0" collapsed="false">
      <c r="A94" s="2" t="s">
        <v>672</v>
      </c>
      <c r="B94" s="52" t="s">
        <v>673</v>
      </c>
      <c r="C94" s="6" t="s">
        <v>250</v>
      </c>
      <c r="E94" s="40" t="n">
        <f aca="false">SUM(F94:ES94)</f>
        <v>15564459.926261</v>
      </c>
      <c r="F94" s="10" t="n">
        <f aca="false">F$90-F$91+F$93</f>
        <v>-3000610.47688344</v>
      </c>
      <c r="G94" s="10" t="n">
        <f aca="false">G$90-G$91+G$93</f>
        <v>42497.5004755897</v>
      </c>
      <c r="H94" s="10" t="n">
        <f aca="false">H$90-H$91+H$93</f>
        <v>42497.5004755897</v>
      </c>
      <c r="I94" s="10" t="n">
        <f aca="false">I$90-I$91+I$93</f>
        <v>42497.5004755897</v>
      </c>
      <c r="J94" s="10" t="n">
        <f aca="false">J$90-J$91+J$93</f>
        <v>42497.5004755897</v>
      </c>
      <c r="K94" s="10" t="n">
        <f aca="false">K$90-K$91+K$93</f>
        <v>42497.5004755897</v>
      </c>
      <c r="L94" s="10" t="n">
        <f aca="false">L$90-L$91+L$93</f>
        <v>42497.5004755897</v>
      </c>
      <c r="M94" s="10" t="n">
        <f aca="false">M$90-M$91+M$93</f>
        <v>42497.5004755897</v>
      </c>
      <c r="N94" s="10" t="n">
        <f aca="false">N$90-N$91+N$93</f>
        <v>42497.5004755897</v>
      </c>
      <c r="O94" s="10" t="n">
        <f aca="false">O$90-O$91+O$93</f>
        <v>42497.5004755897</v>
      </c>
      <c r="P94" s="10" t="n">
        <f aca="false">P$90-P$91+P$93</f>
        <v>42497.5004755897</v>
      </c>
      <c r="Q94" s="10" t="n">
        <f aca="false">Q$90-Q$91+Q$93</f>
        <v>42497.5004755897</v>
      </c>
      <c r="R94" s="10" t="n">
        <f aca="false">R$90-R$91+R$93</f>
        <v>-674649.041401679</v>
      </c>
      <c r="S94" s="10" t="n">
        <f aca="false">S$90-S$91+S$93</f>
        <v>80496.4029939648</v>
      </c>
      <c r="T94" s="10" t="n">
        <f aca="false">T$90-T$91+T$93</f>
        <v>80496.4029939648</v>
      </c>
      <c r="U94" s="10" t="n">
        <f aca="false">U$90-U$91+U$93</f>
        <v>80496.4029939648</v>
      </c>
      <c r="V94" s="10" t="n">
        <f aca="false">V$90-V$91+V$93</f>
        <v>80496.4029939648</v>
      </c>
      <c r="W94" s="10" t="n">
        <f aca="false">W$90-W$91+W$93</f>
        <v>80496.4029939648</v>
      </c>
      <c r="X94" s="10" t="n">
        <f aca="false">X$90-X$91+X$93</f>
        <v>80496.4029939648</v>
      </c>
      <c r="Y94" s="10" t="n">
        <f aca="false">Y$90-Y$91+Y$93</f>
        <v>80496.4029939648</v>
      </c>
      <c r="Z94" s="10" t="n">
        <f aca="false">Z$90-Z$91+Z$93</f>
        <v>80496.4029939648</v>
      </c>
      <c r="AA94" s="10" t="n">
        <f aca="false">AA$90-AA$91+AA$93</f>
        <v>80496.4029939648</v>
      </c>
      <c r="AB94" s="10" t="n">
        <f aca="false">AB$90-AB$91+AB$93</f>
        <v>80496.4029939648</v>
      </c>
      <c r="AC94" s="10" t="n">
        <f aca="false">AC$90-AC$91+AC$93</f>
        <v>80496.4029939648</v>
      </c>
      <c r="AD94" s="10" t="n">
        <f aca="false">AD$90-AD$91+AD$93</f>
        <v>-550241.899767298</v>
      </c>
      <c r="AE94" s="10" t="n">
        <f aca="false">AE$90-AE$91+AE$93</f>
        <v>117085.030865125</v>
      </c>
      <c r="AF94" s="10" t="n">
        <f aca="false">AF$90-AF$91+AF$93</f>
        <v>117085.030865125</v>
      </c>
      <c r="AG94" s="10" t="n">
        <f aca="false">AG$90-AG$91+AG$93</f>
        <v>117085.030865125</v>
      </c>
      <c r="AH94" s="10" t="n">
        <f aca="false">AH$90-AH$91+AH$93</f>
        <v>117085.030865125</v>
      </c>
      <c r="AI94" s="10" t="n">
        <f aca="false">AI$90-AI$91+AI$93</f>
        <v>117085.030865125</v>
      </c>
      <c r="AJ94" s="10" t="n">
        <f aca="false">AJ$90-AJ$91+AJ$93</f>
        <v>117085.030865125</v>
      </c>
      <c r="AK94" s="10" t="n">
        <f aca="false">AK$90-AK$91+AK$93</f>
        <v>117085.030865125</v>
      </c>
      <c r="AL94" s="10" t="n">
        <f aca="false">AL$90-AL$91+AL$93</f>
        <v>117085.030865125</v>
      </c>
      <c r="AM94" s="10" t="n">
        <f aca="false">AM$90-AM$91+AM$93</f>
        <v>117085.030865125</v>
      </c>
      <c r="AN94" s="10" t="n">
        <f aca="false">AN$90-AN$91+AN$93</f>
        <v>117085.030865125</v>
      </c>
      <c r="AO94" s="10" t="n">
        <f aca="false">AO$90-AO$91+AO$93</f>
        <v>117085.030865125</v>
      </c>
      <c r="AP94" s="10" t="n">
        <f aca="false">AP$90-AP$91+AP$93</f>
        <v>-408915.490053455</v>
      </c>
      <c r="AQ94" s="10" t="n">
        <f aca="false">AQ$90-AQ$91+AQ$93</f>
        <v>149893.579879858</v>
      </c>
      <c r="AR94" s="10" t="n">
        <f aca="false">AR$90-AR$91+AR$93</f>
        <v>149893.579879858</v>
      </c>
      <c r="AS94" s="10" t="n">
        <f aca="false">AS$90-AS$91+AS$93</f>
        <v>149893.579879858</v>
      </c>
      <c r="AT94" s="10" t="n">
        <f aca="false">AT$90-AT$91+AT$93</f>
        <v>149893.579879858</v>
      </c>
      <c r="AU94" s="10" t="n">
        <f aca="false">AU$90-AU$91+AU$93</f>
        <v>149893.579879858</v>
      </c>
      <c r="AV94" s="10" t="n">
        <f aca="false">AV$90-AV$91+AV$93</f>
        <v>149893.579879858</v>
      </c>
      <c r="AW94" s="10" t="n">
        <f aca="false">AW$90-AW$91+AW$93</f>
        <v>149893.579879858</v>
      </c>
      <c r="AX94" s="10" t="n">
        <f aca="false">AX$90-AX$91+AX$93</f>
        <v>149893.579879858</v>
      </c>
      <c r="AY94" s="10" t="n">
        <f aca="false">AY$90-AY$91+AY$93</f>
        <v>149893.579879858</v>
      </c>
      <c r="AZ94" s="10" t="n">
        <f aca="false">AZ$90-AZ$91+AZ$93</f>
        <v>149893.579879858</v>
      </c>
      <c r="BA94" s="10" t="n">
        <f aca="false">BA$90-BA$91+BA$93</f>
        <v>149893.579879858</v>
      </c>
      <c r="BB94" s="10" t="n">
        <f aca="false">BB$90-BB$91+BB$93</f>
        <v>113103.617170514</v>
      </c>
      <c r="BC94" s="10" t="n">
        <f aca="false">BC$90-BC$91+BC$93</f>
        <v>151213.164876374</v>
      </c>
      <c r="BD94" s="10" t="n">
        <f aca="false">BD$90-BD$91+BD$93</f>
        <v>151213.164876374</v>
      </c>
      <c r="BE94" s="10" t="n">
        <f aca="false">BE$90-BE$91+BE$93</f>
        <v>151213.164876374</v>
      </c>
      <c r="BF94" s="10" t="n">
        <f aca="false">BF$90-BF$91+BF$93</f>
        <v>151213.164876374</v>
      </c>
      <c r="BG94" s="10" t="n">
        <f aca="false">BG$90-BG$91+BG$93</f>
        <v>151213.164876374</v>
      </c>
      <c r="BH94" s="10" t="n">
        <f aca="false">BH$90-BH$91+BH$93</f>
        <v>151213.164876374</v>
      </c>
      <c r="BI94" s="10" t="n">
        <f aca="false">BI$90-BI$91+BI$93</f>
        <v>151213.164876374</v>
      </c>
      <c r="BJ94" s="10" t="n">
        <f aca="false">BJ$90-BJ$91+BJ$93</f>
        <v>151213.164876374</v>
      </c>
      <c r="BK94" s="10" t="n">
        <f aca="false">BK$90-BK$91+BK$93</f>
        <v>151213.164876374</v>
      </c>
      <c r="BL94" s="10" t="n">
        <f aca="false">BL$90-BL$91+BL$93</f>
        <v>151213.164876374</v>
      </c>
      <c r="BM94" s="10" t="n">
        <f aca="false">BM$90-BM$91+BM$93</f>
        <v>151213.164876374</v>
      </c>
      <c r="BN94" s="10" t="n">
        <f aca="false">BN$90-BN$91+BN$93</f>
        <v>117575.58532923</v>
      </c>
      <c r="BO94" s="10" t="n">
        <f aca="false">BO$90-BO$91+BO$93</f>
        <v>155300.441797826</v>
      </c>
      <c r="BP94" s="10" t="n">
        <f aca="false">BP$90-BP$91+BP$93</f>
        <v>155300.441797826</v>
      </c>
      <c r="BQ94" s="10" t="n">
        <f aca="false">BQ$90-BQ$91+BQ$93</f>
        <v>155300.441797826</v>
      </c>
      <c r="BR94" s="10" t="n">
        <f aca="false">BR$90-BR$91+BR$93</f>
        <v>155300.441797826</v>
      </c>
      <c r="BS94" s="10" t="n">
        <f aca="false">BS$90-BS$91+BS$93</f>
        <v>155300.441797826</v>
      </c>
      <c r="BT94" s="10" t="n">
        <f aca="false">BT$90-BT$91+BT$93</f>
        <v>155300.441797826</v>
      </c>
      <c r="BU94" s="10" t="n">
        <f aca="false">BU$90-BU$91+BU$93</f>
        <v>155300.441797826</v>
      </c>
      <c r="BV94" s="10" t="n">
        <f aca="false">BV$90-BV$91+BV$93</f>
        <v>155300.441797826</v>
      </c>
      <c r="BW94" s="10" t="n">
        <f aca="false">BW$90-BW$91+BW$93</f>
        <v>155300.441797826</v>
      </c>
      <c r="BX94" s="10" t="n">
        <f aca="false">BX$90-BX$91+BX$93</f>
        <v>155300.441797826</v>
      </c>
      <c r="BY94" s="10" t="n">
        <f aca="false">BY$90-BY$91+BY$93</f>
        <v>155300.441797826</v>
      </c>
      <c r="BZ94" s="10" t="n">
        <f aca="false">BZ$90-BZ$91+BZ$93</f>
        <v>121326.129264619</v>
      </c>
      <c r="CA94" s="10" t="n">
        <f aca="false">CA$90-CA$91+CA$93</f>
        <v>159416.0224894</v>
      </c>
      <c r="CB94" s="10" t="n">
        <f aca="false">CB$90-CB$91+CB$93</f>
        <v>159416.0224894</v>
      </c>
      <c r="CC94" s="10" t="n">
        <f aca="false">CC$90-CC$91+CC$93</f>
        <v>159416.0224894</v>
      </c>
      <c r="CD94" s="10" t="n">
        <f aca="false">CD$90-CD$91+CD$93</f>
        <v>159416.0224894</v>
      </c>
      <c r="CE94" s="10" t="n">
        <f aca="false">CE$90-CE$91+CE$93</f>
        <v>159416.0224894</v>
      </c>
      <c r="CF94" s="10" t="n">
        <f aca="false">CF$90-CF$91+CF$93</f>
        <v>159416.0224894</v>
      </c>
      <c r="CG94" s="10" t="n">
        <f aca="false">CG$90-CG$91+CG$93</f>
        <v>159416.0224894</v>
      </c>
      <c r="CH94" s="10" t="n">
        <f aca="false">CH$90-CH$91+CH$93</f>
        <v>159416.0224894</v>
      </c>
      <c r="CI94" s="10" t="n">
        <f aca="false">CI$90-CI$91+CI$93</f>
        <v>159416.0224894</v>
      </c>
      <c r="CJ94" s="10" t="n">
        <f aca="false">CJ$90-CJ$91+CJ$93</f>
        <v>159416.0224894</v>
      </c>
      <c r="CK94" s="10" t="n">
        <f aca="false">CK$90-CK$91+CK$93</f>
        <v>159416.0224894</v>
      </c>
      <c r="CL94" s="10" t="n">
        <f aca="false">CL$90-CL$91+CL$93</f>
        <v>125101.600851768</v>
      </c>
      <c r="CM94" s="10" t="n">
        <f aca="false">CM$90-CM$91+CM$93</f>
        <v>163559.818546288</v>
      </c>
      <c r="CN94" s="10" t="n">
        <f aca="false">CN$90-CN$91+CN$93</f>
        <v>163559.818546288</v>
      </c>
      <c r="CO94" s="10" t="n">
        <f aca="false">CO$90-CO$91+CO$93</f>
        <v>163559.818546288</v>
      </c>
      <c r="CP94" s="10" t="n">
        <f aca="false">CP$90-CP$91+CP$93</f>
        <v>163559.818546288</v>
      </c>
      <c r="CQ94" s="10" t="n">
        <f aca="false">CQ$90-CQ$91+CQ$93</f>
        <v>163559.818546288</v>
      </c>
      <c r="CR94" s="10" t="n">
        <f aca="false">CR$90-CR$91+CR$93</f>
        <v>163559.818546288</v>
      </c>
      <c r="CS94" s="10" t="n">
        <f aca="false">CS$90-CS$91+CS$93</f>
        <v>163559.818546288</v>
      </c>
      <c r="CT94" s="10" t="n">
        <f aca="false">CT$90-CT$91+CT$93</f>
        <v>163559.818546288</v>
      </c>
      <c r="CU94" s="10" t="n">
        <f aca="false">CU$90-CU$91+CU$93</f>
        <v>163559.818546288</v>
      </c>
      <c r="CV94" s="10" t="n">
        <f aca="false">CV$90-CV$91+CV$93</f>
        <v>163559.818546288</v>
      </c>
      <c r="CW94" s="10" t="n">
        <f aca="false">CW$90-CW$91+CW$93</f>
        <v>163559.818546288</v>
      </c>
      <c r="CX94" s="10" t="n">
        <f aca="false">CX$90-CX$91+CX$93</f>
        <v>128901.877699572</v>
      </c>
      <c r="CY94" s="10" t="n">
        <f aca="false">CY$90-CY$91+CY$93</f>
        <v>167731.729648908</v>
      </c>
      <c r="CZ94" s="10" t="n">
        <f aca="false">CZ$90-CZ$91+CZ$93</f>
        <v>167731.729648908</v>
      </c>
      <c r="DA94" s="10" t="n">
        <f aca="false">DA$90-DA$91+DA$93</f>
        <v>167731.729648908</v>
      </c>
      <c r="DB94" s="10" t="n">
        <f aca="false">DB$90-DB$91+DB$93</f>
        <v>167731.729648908</v>
      </c>
      <c r="DC94" s="10" t="n">
        <f aca="false">DC$90-DC$91+DC$93</f>
        <v>167731.729648908</v>
      </c>
      <c r="DD94" s="10" t="n">
        <f aca="false">DD$90-DD$91+DD$93</f>
        <v>167731.729648908</v>
      </c>
      <c r="DE94" s="10" t="n">
        <f aca="false">DE$90-DE$91+DE$93</f>
        <v>167731.729648908</v>
      </c>
      <c r="DF94" s="10" t="n">
        <f aca="false">DF$90-DF$91+DF$93</f>
        <v>167731.729648908</v>
      </c>
      <c r="DG94" s="10" t="n">
        <f aca="false">DG$90-DG$91+DG$93</f>
        <v>167731.729648908</v>
      </c>
      <c r="DH94" s="10" t="n">
        <f aca="false">DH$90-DH$91+DH$93</f>
        <v>167731.729648908</v>
      </c>
      <c r="DI94" s="10" t="n">
        <f aca="false">DI$90-DI$91+DI$93</f>
        <v>167731.729648908</v>
      </c>
      <c r="DJ94" s="10" t="n">
        <f aca="false">DJ$90-DJ$91+DJ$93</f>
        <v>132726.825156308</v>
      </c>
      <c r="DK94" s="10" t="n">
        <f aca="false">DK$90-DK$91+DK$93</f>
        <v>171931.643115086</v>
      </c>
      <c r="DL94" s="10" t="n">
        <f aca="false">DL$90-DL$91+DL$93</f>
        <v>171931.643115086</v>
      </c>
      <c r="DM94" s="10" t="n">
        <f aca="false">DM$90-DM$91+DM$93</f>
        <v>171931.643115086</v>
      </c>
      <c r="DN94" s="10" t="n">
        <f aca="false">DN$90-DN$91+DN$93</f>
        <v>171931.643115086</v>
      </c>
      <c r="DO94" s="10" t="n">
        <f aca="false">DO$90-DO$91+DO$93</f>
        <v>171931.643115086</v>
      </c>
      <c r="DP94" s="10" t="n">
        <f aca="false">DP$90-DP$91+DP$93</f>
        <v>171931.643115086</v>
      </c>
      <c r="DQ94" s="10" t="n">
        <f aca="false">DQ$90-DQ$91+DQ$93</f>
        <v>171931.643115086</v>
      </c>
      <c r="DR94" s="10" t="n">
        <f aca="false">DR$90-DR$91+DR$93</f>
        <v>171931.643115086</v>
      </c>
      <c r="DS94" s="10" t="n">
        <f aca="false">DS$90-DS$91+DS$93</f>
        <v>171931.643115086</v>
      </c>
      <c r="DT94" s="10" t="n">
        <f aca="false">DT$90-DT$91+DT$93</f>
        <v>171931.643115086</v>
      </c>
      <c r="DU94" s="10" t="n">
        <f aca="false">DU$90-DU$91+DU$93</f>
        <v>4681694.16043737</v>
      </c>
      <c r="DV94" s="10" t="n">
        <f aca="false">DV$90-DV$91+DV$93</f>
        <v>0</v>
      </c>
      <c r="DW94" s="10" t="n">
        <f aca="false">DW$90-DW$91+DW$93</f>
        <v>0</v>
      </c>
      <c r="DX94" s="10" t="n">
        <f aca="false">DX$90-DX$91+DX$93</f>
        <v>0</v>
      </c>
      <c r="DY94" s="10" t="n">
        <f aca="false">DY$90-DY$91+DY$93</f>
        <v>0</v>
      </c>
      <c r="DZ94" s="10" t="n">
        <f aca="false">DZ$90-DZ$91+DZ$93</f>
        <v>0</v>
      </c>
      <c r="EA94" s="10" t="n">
        <f aca="false">EA$90-EA$91+EA$93</f>
        <v>0</v>
      </c>
      <c r="EB94" s="10" t="n">
        <f aca="false">EB$90-EB$91+EB$93</f>
        <v>0</v>
      </c>
      <c r="EC94" s="10" t="n">
        <f aca="false">EC$90-EC$91+EC$93</f>
        <v>0</v>
      </c>
      <c r="ED94" s="10" t="n">
        <f aca="false">ED$90-ED$91+ED$93</f>
        <v>0</v>
      </c>
      <c r="EE94" s="10" t="n">
        <f aca="false">EE$90-EE$91+EE$93</f>
        <v>0</v>
      </c>
      <c r="EF94" s="10" t="n">
        <f aca="false">EF$90-EF$91+EF$93</f>
        <v>0</v>
      </c>
      <c r="EG94" s="10" t="n">
        <f aca="false">EG$90-EG$91+EG$93</f>
        <v>0</v>
      </c>
      <c r="EH94" s="10" t="n">
        <f aca="false">EH$90-EH$91+EH$93</f>
        <v>0</v>
      </c>
      <c r="EI94" s="10" t="n">
        <f aca="false">EI$90-EI$91+EI$93</f>
        <v>0</v>
      </c>
      <c r="EJ94" s="10" t="n">
        <f aca="false">EJ$90-EJ$91+EJ$93</f>
        <v>0</v>
      </c>
      <c r="EK94" s="10" t="n">
        <f aca="false">EK$90-EK$91+EK$93</f>
        <v>0</v>
      </c>
      <c r="EL94" s="10" t="n">
        <f aca="false">EL$90-EL$91+EL$93</f>
        <v>0</v>
      </c>
      <c r="EM94" s="10" t="n">
        <f aca="false">EM$90-EM$91+EM$93</f>
        <v>0</v>
      </c>
      <c r="EN94" s="10" t="n">
        <f aca="false">EN$90-EN$91+EN$93</f>
        <v>0</v>
      </c>
      <c r="EO94" s="10" t="n">
        <f aca="false">EO$90-EO$91+EO$93</f>
        <v>0</v>
      </c>
      <c r="EP94" s="10" t="n">
        <f aca="false">EP$90-EP$91+EP$93</f>
        <v>0</v>
      </c>
      <c r="EQ94" s="10" t="n">
        <f aca="false">EQ$90-EQ$91+EQ$93</f>
        <v>0</v>
      </c>
      <c r="ER94" s="10" t="n">
        <f aca="false">ER$90-ER$91+ER$93</f>
        <v>0</v>
      </c>
      <c r="ES94" s="10" t="n">
        <f aca="false">ES$90-ES$91+ES$93</f>
        <v>0</v>
      </c>
    </row>
    <row r="95" customFormat="false" ht="15" hidden="false" customHeight="false" outlineLevel="0" collapsed="false">
      <c r="A95" s="2" t="s">
        <v>674</v>
      </c>
      <c r="B95" s="6" t="s">
        <v>675</v>
      </c>
      <c r="C95" s="6" t="s">
        <v>250</v>
      </c>
      <c r="E95" s="40" t="n">
        <f aca="false">MIN(F95:ES95)</f>
        <v>-3207787.01305363</v>
      </c>
      <c r="F95" s="34" t="n">
        <f aca="false">0+F$90-F$91</f>
        <v>-3000610.47688344</v>
      </c>
      <c r="G95" s="34" t="n">
        <f aca="false">F$95+G$90-G$91</f>
        <v>-2958112.97640785</v>
      </c>
      <c r="H95" s="34" t="n">
        <f aca="false">G$95+H$90-H$91</f>
        <v>-2915615.47593226</v>
      </c>
      <c r="I95" s="34" t="n">
        <f aca="false">H$95+I$90-I$91</f>
        <v>-2873117.97545667</v>
      </c>
      <c r="J95" s="34" t="n">
        <f aca="false">I$95+J$90-J$91</f>
        <v>-2830620.47498108</v>
      </c>
      <c r="K95" s="34" t="n">
        <f aca="false">J$95+K$90-K$91</f>
        <v>-2788122.97450549</v>
      </c>
      <c r="L95" s="34" t="n">
        <f aca="false">K$95+L$90-L$91</f>
        <v>-2745625.4740299</v>
      </c>
      <c r="M95" s="34" t="n">
        <f aca="false">L$95+M$90-M$91</f>
        <v>-2703127.97355431</v>
      </c>
      <c r="N95" s="34" t="n">
        <f aca="false">M$95+N$90-N$91</f>
        <v>-2660630.47307872</v>
      </c>
      <c r="O95" s="34" t="n">
        <f aca="false">N$95+O$90-O$91</f>
        <v>-2618132.97260313</v>
      </c>
      <c r="P95" s="34" t="n">
        <f aca="false">O$95+P$90-P$91</f>
        <v>-2575635.47212754</v>
      </c>
      <c r="Q95" s="34" t="n">
        <f aca="false">P$95+Q$90-Q$91</f>
        <v>-2533137.97165195</v>
      </c>
      <c r="R95" s="34" t="n">
        <f aca="false">Q$95+R$90-R$91</f>
        <v>-3207787.01305363</v>
      </c>
      <c r="S95" s="34" t="n">
        <f aca="false">R$95+S$90-S$91</f>
        <v>-3127290.61005967</v>
      </c>
      <c r="T95" s="34" t="n">
        <f aca="false">S$95+T$90-T$91</f>
        <v>-3046794.2070657</v>
      </c>
      <c r="U95" s="34" t="n">
        <f aca="false">T$95+U$90-U$91</f>
        <v>-2966297.80407174</v>
      </c>
      <c r="V95" s="34" t="n">
        <f aca="false">U$95+V$90-V$91</f>
        <v>-2885801.40107777</v>
      </c>
      <c r="W95" s="34" t="n">
        <f aca="false">V$95+W$90-W$91</f>
        <v>-2805304.99808381</v>
      </c>
      <c r="X95" s="34" t="n">
        <f aca="false">W$95+X$90-X$91</f>
        <v>-2724808.59508984</v>
      </c>
      <c r="Y95" s="34" t="n">
        <f aca="false">X$95+Y$90-Y$91</f>
        <v>-2644312.19209588</v>
      </c>
      <c r="Z95" s="34" t="n">
        <f aca="false">Y$95+Z$90-Z$91</f>
        <v>-2563815.78910191</v>
      </c>
      <c r="AA95" s="34" t="n">
        <f aca="false">Z$95+AA$90-AA$91</f>
        <v>-2483319.38610795</v>
      </c>
      <c r="AB95" s="34" t="n">
        <f aca="false">AA$95+AB$90-AB$91</f>
        <v>-2402822.98311398</v>
      </c>
      <c r="AC95" s="34" t="n">
        <f aca="false">AB$95+AC$90-AC$91</f>
        <v>-2322326.58012002</v>
      </c>
      <c r="AD95" s="34" t="n">
        <f aca="false">AC$95+AD$90-AD$91</f>
        <v>-2872568.47988732</v>
      </c>
      <c r="AE95" s="34" t="n">
        <f aca="false">AD$95+AE$90-AE$91</f>
        <v>-2755483.44902219</v>
      </c>
      <c r="AF95" s="34" t="n">
        <f aca="false">AE$95+AF$90-AF$91</f>
        <v>-2638398.41815707</v>
      </c>
      <c r="AG95" s="34" t="n">
        <f aca="false">AF$95+AG$90-AG$91</f>
        <v>-2521313.38729194</v>
      </c>
      <c r="AH95" s="34" t="n">
        <f aca="false">AG$95+AH$90-AH$91</f>
        <v>-2404228.35642682</v>
      </c>
      <c r="AI95" s="34" t="n">
        <f aca="false">AH$95+AI$90-AI$91</f>
        <v>-2287143.32556169</v>
      </c>
      <c r="AJ95" s="34" t="n">
        <f aca="false">AI$95+AJ$90-AJ$91</f>
        <v>-2170058.29469657</v>
      </c>
      <c r="AK95" s="34" t="n">
        <f aca="false">AJ$95+AK$90-AK$91</f>
        <v>-2052973.26383144</v>
      </c>
      <c r="AL95" s="34" t="n">
        <f aca="false">AK$95+AL$90-AL$91</f>
        <v>-1935888.23296632</v>
      </c>
      <c r="AM95" s="34" t="n">
        <f aca="false">AL$95+AM$90-AM$91</f>
        <v>-1818803.20210119</v>
      </c>
      <c r="AN95" s="34" t="n">
        <f aca="false">AM$95+AN$90-AN$91</f>
        <v>-1701718.17123607</v>
      </c>
      <c r="AO95" s="34" t="n">
        <f aca="false">AN$95+AO$90-AO$91</f>
        <v>-1584633.14037094</v>
      </c>
      <c r="AP95" s="34" t="n">
        <f aca="false">AO$95+AP$90-AP$91</f>
        <v>-1993548.6304244</v>
      </c>
      <c r="AQ95" s="34" t="n">
        <f aca="false">AP$95+AQ$90-AQ$91</f>
        <v>-1843655.05054454</v>
      </c>
      <c r="AR95" s="34" t="n">
        <f aca="false">AQ$95+AR$90-AR$91</f>
        <v>-1693761.47066468</v>
      </c>
      <c r="AS95" s="34" t="n">
        <f aca="false">AR$95+AS$90-AS$91</f>
        <v>-1543867.89078482</v>
      </c>
      <c r="AT95" s="34" t="n">
        <f aca="false">AS$95+AT$90-AT$91</f>
        <v>-1393974.31090497</v>
      </c>
      <c r="AU95" s="34" t="n">
        <f aca="false">AT$95+AU$90-AU$91</f>
        <v>-1244080.73102511</v>
      </c>
      <c r="AV95" s="34" t="n">
        <f aca="false">AU$95+AV$90-AV$91</f>
        <v>-1094187.15114525</v>
      </c>
      <c r="AW95" s="34" t="n">
        <f aca="false">AV$95+AW$90-AW$91</f>
        <v>-944293.571265391</v>
      </c>
      <c r="AX95" s="34" t="n">
        <f aca="false">AW$95+AX$90-AX$91</f>
        <v>-794399.991385533</v>
      </c>
      <c r="AY95" s="34" t="n">
        <f aca="false">AX$95+AY$90-AY$91</f>
        <v>-644506.411505674</v>
      </c>
      <c r="AZ95" s="34" t="n">
        <f aca="false">AY$95+AZ$90-AZ$91</f>
        <v>-494612.831625816</v>
      </c>
      <c r="BA95" s="34" t="n">
        <f aca="false">AZ$95+BA$90-BA$91</f>
        <v>-344719.251745958</v>
      </c>
      <c r="BB95" s="34" t="n">
        <f aca="false">BA$95+BB$90-BB$91</f>
        <v>-231615.634575444</v>
      </c>
      <c r="BC95" s="34" t="n">
        <f aca="false">BB$95+BC$90-BC$91</f>
        <v>-80402.4696990702</v>
      </c>
      <c r="BD95" s="34" t="n">
        <f aca="false">BC$95+BD$90-BD$91</f>
        <v>70810.6951773035</v>
      </c>
      <c r="BE95" s="34" t="n">
        <f aca="false">BD$95+BE$90-BE$91</f>
        <v>222023.860053677</v>
      </c>
      <c r="BF95" s="34" t="n">
        <f aca="false">BE$95+BF$90-BF$91</f>
        <v>373237.024930051</v>
      </c>
      <c r="BG95" s="34" t="n">
        <f aca="false">BF$95+BG$90-BG$91</f>
        <v>524450.189806425</v>
      </c>
      <c r="BH95" s="34" t="n">
        <f aca="false">BG$95+BH$90-BH$91</f>
        <v>675663.354682798</v>
      </c>
      <c r="BI95" s="34" t="n">
        <f aca="false">BH$95+BI$90-BI$91</f>
        <v>826876.519559172</v>
      </c>
      <c r="BJ95" s="34" t="n">
        <f aca="false">BI$95+BJ$90-BJ$91</f>
        <v>978089.684435546</v>
      </c>
      <c r="BK95" s="34" t="n">
        <f aca="false">BJ$95+BK$90-BK$91</f>
        <v>1129302.84931192</v>
      </c>
      <c r="BL95" s="34" t="n">
        <f aca="false">BK$95+BL$90-BL$91</f>
        <v>1280516.01418829</v>
      </c>
      <c r="BM95" s="34" t="n">
        <f aca="false">BL$95+BM$90-BM$91</f>
        <v>1431729.17906467</v>
      </c>
      <c r="BN95" s="34" t="n">
        <f aca="false">BM$95+BN$90-BN$91</f>
        <v>1549304.7643939</v>
      </c>
      <c r="BO95" s="34" t="n">
        <f aca="false">BN$95+BO$90-BO$91</f>
        <v>1704605.20619172</v>
      </c>
      <c r="BP95" s="34" t="n">
        <f aca="false">BO$95+BP$90-BP$91</f>
        <v>1859905.64798955</v>
      </c>
      <c r="BQ95" s="34" t="n">
        <f aca="false">BP$95+BQ$90-BQ$91</f>
        <v>2015206.08978738</v>
      </c>
      <c r="BR95" s="34" t="n">
        <f aca="false">BQ$95+BR$90-BR$91</f>
        <v>2170506.5315852</v>
      </c>
      <c r="BS95" s="34" t="n">
        <f aca="false">BR$95+BS$90-BS$91</f>
        <v>2325806.97338303</v>
      </c>
      <c r="BT95" s="34" t="n">
        <f aca="false">BS$95+BT$90-BT$91</f>
        <v>2481107.41518085</v>
      </c>
      <c r="BU95" s="34" t="n">
        <f aca="false">BT$95+BU$90-BU$91</f>
        <v>2636407.85697868</v>
      </c>
      <c r="BV95" s="34" t="n">
        <f aca="false">BU$95+BV$90-BV$91</f>
        <v>2791708.29877651</v>
      </c>
      <c r="BW95" s="34" t="n">
        <f aca="false">BV$95+BW$90-BW$91</f>
        <v>2947008.74057433</v>
      </c>
      <c r="BX95" s="34" t="n">
        <f aca="false">BW$95+BX$90-BX$91</f>
        <v>3102309.18237216</v>
      </c>
      <c r="BY95" s="34" t="n">
        <f aca="false">BX$95+BY$90-BY$91</f>
        <v>3257609.62416998</v>
      </c>
      <c r="BZ95" s="34" t="n">
        <f aca="false">BY$95+BZ$90-BZ$91</f>
        <v>3378935.7534346</v>
      </c>
      <c r="CA95" s="34" t="n">
        <f aca="false">BZ$95+CA$90-CA$91</f>
        <v>3538351.775924</v>
      </c>
      <c r="CB95" s="34" t="n">
        <f aca="false">CA$95+CB$90-CB$91</f>
        <v>3697767.7984134</v>
      </c>
      <c r="CC95" s="34" t="n">
        <f aca="false">CB$95+CC$90-CC$91</f>
        <v>3857183.8209028</v>
      </c>
      <c r="CD95" s="34" t="n">
        <f aca="false">CC$95+CD$90-CD$91</f>
        <v>4016599.8433922</v>
      </c>
      <c r="CE95" s="34" t="n">
        <f aca="false">CD$95+CE$90-CE$91</f>
        <v>4176015.8658816</v>
      </c>
      <c r="CF95" s="34" t="n">
        <f aca="false">CE$95+CF$90-CF$91</f>
        <v>4335431.888371</v>
      </c>
      <c r="CG95" s="34" t="n">
        <f aca="false">CF$95+CG$90-CG$91</f>
        <v>4494847.9108604</v>
      </c>
      <c r="CH95" s="34" t="n">
        <f aca="false">CG$95+CH$90-CH$91</f>
        <v>4654263.9333498</v>
      </c>
      <c r="CI95" s="34" t="n">
        <f aca="false">CH$95+CI$90-CI$91</f>
        <v>4813679.9558392</v>
      </c>
      <c r="CJ95" s="34" t="n">
        <f aca="false">CI$95+CJ$90-CJ$91</f>
        <v>4973095.9783286</v>
      </c>
      <c r="CK95" s="34" t="n">
        <f aca="false">CJ$95+CK$90-CK$91</f>
        <v>5132512.000818</v>
      </c>
      <c r="CL95" s="34" t="n">
        <f aca="false">CK$95+CL$90-CL$91</f>
        <v>5257613.60166977</v>
      </c>
      <c r="CM95" s="34" t="n">
        <f aca="false">CL$95+CM$90-CM$91</f>
        <v>5421173.42021606</v>
      </c>
      <c r="CN95" s="34" t="n">
        <f aca="false">CM$95+CN$90-CN$91</f>
        <v>5584733.23876234</v>
      </c>
      <c r="CO95" s="34" t="n">
        <f aca="false">CN$95+CO$90-CO$91</f>
        <v>5748293.05730863</v>
      </c>
      <c r="CP95" s="34" t="n">
        <f aca="false">CO$95+CP$90-CP$91</f>
        <v>5911852.87585492</v>
      </c>
      <c r="CQ95" s="34" t="n">
        <f aca="false">CP$95+CQ$90-CQ$91</f>
        <v>6075412.69440121</v>
      </c>
      <c r="CR95" s="34" t="n">
        <f aca="false">CQ$95+CR$90-CR$91</f>
        <v>6238972.51294749</v>
      </c>
      <c r="CS95" s="34" t="n">
        <f aca="false">CR$95+CS$90-CS$91</f>
        <v>6402532.33149378</v>
      </c>
      <c r="CT95" s="34" t="n">
        <f aca="false">CS$95+CT$90-CT$91</f>
        <v>6566092.15004007</v>
      </c>
      <c r="CU95" s="34" t="n">
        <f aca="false">CT$95+CU$90-CU$91</f>
        <v>6729651.96858636</v>
      </c>
      <c r="CV95" s="34" t="n">
        <f aca="false">CU$95+CV$90-CV$91</f>
        <v>6893211.78713264</v>
      </c>
      <c r="CW95" s="34" t="n">
        <f aca="false">CV$95+CW$90-CW$91</f>
        <v>7056771.60567893</v>
      </c>
      <c r="CX95" s="34" t="n">
        <f aca="false">CW$95+CX$90-CX$91</f>
        <v>7185673.4833785</v>
      </c>
      <c r="CY95" s="34" t="n">
        <f aca="false">CX$95+CY$90-CY$91</f>
        <v>7353405.21302741</v>
      </c>
      <c r="CZ95" s="34" t="n">
        <f aca="false">CY$95+CZ$90-CZ$91</f>
        <v>7521136.94267632</v>
      </c>
      <c r="DA95" s="34" t="n">
        <f aca="false">CZ$95+DA$90-DA$91</f>
        <v>7688868.67232523</v>
      </c>
      <c r="DB95" s="34" t="n">
        <f aca="false">DA$95+DB$90-DB$91</f>
        <v>7856600.40197413</v>
      </c>
      <c r="DC95" s="34" t="n">
        <f aca="false">DB$95+DC$90-DC$91</f>
        <v>8024332.13162304</v>
      </c>
      <c r="DD95" s="34" t="n">
        <f aca="false">DC$95+DD$90-DD$91</f>
        <v>8192063.86127195</v>
      </c>
      <c r="DE95" s="34" t="n">
        <f aca="false">DD$95+DE$90-DE$91</f>
        <v>8359795.59092086</v>
      </c>
      <c r="DF95" s="34" t="n">
        <f aca="false">DE$95+DF$90-DF$91</f>
        <v>8527527.32056977</v>
      </c>
      <c r="DG95" s="34" t="n">
        <f aca="false">DF$95+DG$90-DG$91</f>
        <v>8695259.05021867</v>
      </c>
      <c r="DH95" s="34" t="n">
        <f aca="false">DG$95+DH$90-DH$91</f>
        <v>8862990.77986758</v>
      </c>
      <c r="DI95" s="34" t="n">
        <f aca="false">DH$95+DI$90-DI$91</f>
        <v>9030722.50951649</v>
      </c>
      <c r="DJ95" s="34" t="n">
        <f aca="false">DI$95+DJ$90-DJ$91</f>
        <v>9163449.33467279</v>
      </c>
      <c r="DK95" s="34" t="n">
        <f aca="false">DJ$95+DK$90-DK$91</f>
        <v>9335380.97778788</v>
      </c>
      <c r="DL95" s="34" t="n">
        <f aca="false">DK$95+DL$90-DL$91</f>
        <v>9507312.62090297</v>
      </c>
      <c r="DM95" s="34" t="n">
        <f aca="false">DL$95+DM$90-DM$91</f>
        <v>9679244.26401805</v>
      </c>
      <c r="DN95" s="34" t="n">
        <f aca="false">DM$95+DN$90-DN$91</f>
        <v>9851175.90713314</v>
      </c>
      <c r="DO95" s="34" t="n">
        <f aca="false">DN$95+DO$90-DO$91</f>
        <v>10023107.5502482</v>
      </c>
      <c r="DP95" s="34" t="n">
        <f aca="false">DO$95+DP$90-DP$91</f>
        <v>10195039.1933633</v>
      </c>
      <c r="DQ95" s="34" t="n">
        <f aca="false">DP$95+DQ$90-DQ$91</f>
        <v>10366970.8364784</v>
      </c>
      <c r="DR95" s="34" t="n">
        <f aca="false">DQ$95+DR$90-DR$91</f>
        <v>10538902.4795935</v>
      </c>
      <c r="DS95" s="34" t="n">
        <f aca="false">DR$95+DS$90-DS$91</f>
        <v>10710834.1227086</v>
      </c>
      <c r="DT95" s="34" t="n">
        <f aca="false">DS$95+DT$90-DT$91</f>
        <v>10882765.7658237</v>
      </c>
      <c r="DU95" s="34" t="n">
        <f aca="false">DT$95+DU$90-DU$91</f>
        <v>11054697.4089387</v>
      </c>
      <c r="DV95" s="34" t="n">
        <f aca="false">DU$95+DV$90-DV$91</f>
        <v>11054697.4089387</v>
      </c>
      <c r="DW95" s="34" t="n">
        <f aca="false">DV$95+DW$90-DW$91</f>
        <v>11054697.4089387</v>
      </c>
      <c r="DX95" s="34" t="n">
        <f aca="false">DW$95+DX$90-DX$91</f>
        <v>11054697.4089387</v>
      </c>
      <c r="DY95" s="34" t="n">
        <f aca="false">DX$95+DY$90-DY$91</f>
        <v>11054697.4089387</v>
      </c>
      <c r="DZ95" s="34" t="n">
        <f aca="false">DY$95+DZ$90-DZ$91</f>
        <v>11054697.4089387</v>
      </c>
      <c r="EA95" s="34" t="n">
        <f aca="false">DZ$95+EA$90-EA$91</f>
        <v>11054697.4089387</v>
      </c>
      <c r="EB95" s="34" t="n">
        <f aca="false">EA$95+EB$90-EB$91</f>
        <v>11054697.4089387</v>
      </c>
      <c r="EC95" s="34" t="n">
        <f aca="false">EB$95+EC$90-EC$91</f>
        <v>11054697.4089387</v>
      </c>
      <c r="ED95" s="34" t="n">
        <f aca="false">EC$95+ED$90-ED$91</f>
        <v>11054697.4089387</v>
      </c>
      <c r="EE95" s="34" t="n">
        <f aca="false">ED$95+EE$90-EE$91</f>
        <v>11054697.4089387</v>
      </c>
      <c r="EF95" s="34" t="n">
        <f aca="false">EE$95+EF$90-EF$91</f>
        <v>11054697.4089387</v>
      </c>
      <c r="EG95" s="34" t="n">
        <f aca="false">EF$95+EG$90-EG$91</f>
        <v>11054697.4089387</v>
      </c>
      <c r="EH95" s="34" t="n">
        <f aca="false">EG$95+EH$90-EH$91</f>
        <v>11054697.4089387</v>
      </c>
      <c r="EI95" s="34" t="n">
        <f aca="false">EH$95+EI$90-EI$91</f>
        <v>11054697.4089387</v>
      </c>
      <c r="EJ95" s="34" t="n">
        <f aca="false">EI$95+EJ$90-EJ$91</f>
        <v>11054697.4089387</v>
      </c>
      <c r="EK95" s="34" t="n">
        <f aca="false">EJ$95+EK$90-EK$91</f>
        <v>11054697.4089387</v>
      </c>
      <c r="EL95" s="34" t="n">
        <f aca="false">EK$95+EL$90-EL$91</f>
        <v>11054697.4089387</v>
      </c>
      <c r="EM95" s="34" t="n">
        <f aca="false">EL$95+EM$90-EM$91</f>
        <v>11054697.4089387</v>
      </c>
      <c r="EN95" s="34" t="n">
        <f aca="false">EM$95+EN$90-EN$91</f>
        <v>11054697.4089387</v>
      </c>
      <c r="EO95" s="34" t="n">
        <f aca="false">EN$95+EO$90-EO$91</f>
        <v>11054697.4089387</v>
      </c>
      <c r="EP95" s="34" t="n">
        <f aca="false">EO$95+EP$90-EP$91</f>
        <v>11054697.4089387</v>
      </c>
      <c r="EQ95" s="34" t="n">
        <f aca="false">EP$95+EQ$90-EQ$91</f>
        <v>11054697.4089387</v>
      </c>
      <c r="ER95" s="34" t="n">
        <f aca="false">EQ$95+ER$90-ER$91</f>
        <v>11054697.4089387</v>
      </c>
      <c r="ES95" s="34" t="n">
        <f aca="false">ER$95+ES$90-ES$91</f>
        <v>11054697.4089387</v>
      </c>
    </row>
    <row r="96" customFormat="false" ht="15" hidden="false" customHeight="false" outlineLevel="0" collapsed="false">
      <c r="A96" s="4"/>
      <c r="B96" s="3" t="s">
        <v>676</v>
      </c>
      <c r="C96" s="4"/>
      <c r="D96" s="4"/>
      <c r="E96" s="4"/>
    </row>
    <row r="97" customFormat="false" ht="15" hidden="false" customHeight="false" outlineLevel="0" collapsed="false">
      <c r="A97" s="2" t="s">
        <v>677</v>
      </c>
      <c r="B97" s="6" t="s">
        <v>678</v>
      </c>
      <c r="C97" s="6" t="s">
        <v>250</v>
      </c>
      <c r="E97" s="40" t="n">
        <f aca="false">SUM(F97:ES97)</f>
        <v>2791587</v>
      </c>
      <c r="F97" s="34" t="n">
        <f aca="false">IF((1-N(P_L1_Mes)+1)=1,N(P_L1_Monto),0)*F$9</f>
        <v>2791587</v>
      </c>
      <c r="G97" s="34" t="n">
        <f aca="false">IF((2-N(P_L1_Mes)+1)=1,N(P_L1_Monto),0)*G$9</f>
        <v>0</v>
      </c>
      <c r="H97" s="34" t="n">
        <f aca="false">IF((3-N(P_L1_Mes)+1)=1,N(P_L1_Monto),0)*H$9</f>
        <v>0</v>
      </c>
      <c r="I97" s="34" t="n">
        <f aca="false">IF((4-N(P_L1_Mes)+1)=1,N(P_L1_Monto),0)*I$9</f>
        <v>0</v>
      </c>
      <c r="J97" s="34" t="n">
        <f aca="false">IF((5-N(P_L1_Mes)+1)=1,N(P_L1_Monto),0)*J$9</f>
        <v>0</v>
      </c>
      <c r="K97" s="34" t="n">
        <f aca="false">IF((6-N(P_L1_Mes)+1)=1,N(P_L1_Monto),0)*K$9</f>
        <v>0</v>
      </c>
      <c r="L97" s="34" t="n">
        <f aca="false">IF((7-N(P_L1_Mes)+1)=1,N(P_L1_Monto),0)*L$9</f>
        <v>0</v>
      </c>
      <c r="M97" s="34" t="n">
        <f aca="false">IF((8-N(P_L1_Mes)+1)=1,N(P_L1_Monto),0)*M$9</f>
        <v>0</v>
      </c>
      <c r="N97" s="34" t="n">
        <f aca="false">IF((9-N(P_L1_Mes)+1)=1,N(P_L1_Monto),0)*N$9</f>
        <v>0</v>
      </c>
      <c r="O97" s="34" t="n">
        <f aca="false">IF((10-N(P_L1_Mes)+1)=1,N(P_L1_Monto),0)*O$9</f>
        <v>0</v>
      </c>
      <c r="P97" s="34" t="n">
        <f aca="false">IF((11-N(P_L1_Mes)+1)=1,N(P_L1_Monto),0)*P$9</f>
        <v>0</v>
      </c>
      <c r="Q97" s="34" t="n">
        <f aca="false">IF((12-N(P_L1_Mes)+1)=1,N(P_L1_Monto),0)*Q$9</f>
        <v>0</v>
      </c>
      <c r="R97" s="34" t="n">
        <f aca="false">IF((13-N(P_L1_Mes)+1)=1,N(P_L1_Monto),0)*R$9</f>
        <v>0</v>
      </c>
      <c r="S97" s="34" t="n">
        <f aca="false">IF((14-N(P_L1_Mes)+1)=1,N(P_L1_Monto),0)*S$9</f>
        <v>0</v>
      </c>
      <c r="T97" s="34" t="n">
        <f aca="false">IF((15-N(P_L1_Mes)+1)=1,N(P_L1_Monto),0)*T$9</f>
        <v>0</v>
      </c>
      <c r="U97" s="34" t="n">
        <f aca="false">IF((16-N(P_L1_Mes)+1)=1,N(P_L1_Monto),0)*U$9</f>
        <v>0</v>
      </c>
      <c r="V97" s="34" t="n">
        <f aca="false">IF((17-N(P_L1_Mes)+1)=1,N(P_L1_Monto),0)*V$9</f>
        <v>0</v>
      </c>
      <c r="W97" s="34" t="n">
        <f aca="false">IF((18-N(P_L1_Mes)+1)=1,N(P_L1_Monto),0)*W$9</f>
        <v>0</v>
      </c>
      <c r="X97" s="34" t="n">
        <f aca="false">IF((19-N(P_L1_Mes)+1)=1,N(P_L1_Monto),0)*X$9</f>
        <v>0</v>
      </c>
      <c r="Y97" s="34" t="n">
        <f aca="false">IF((20-N(P_L1_Mes)+1)=1,N(P_L1_Monto),0)*Y$9</f>
        <v>0</v>
      </c>
      <c r="Z97" s="34" t="n">
        <f aca="false">IF((21-N(P_L1_Mes)+1)=1,N(P_L1_Monto),0)*Z$9</f>
        <v>0</v>
      </c>
      <c r="AA97" s="34" t="n">
        <f aca="false">IF((22-N(P_L1_Mes)+1)=1,N(P_L1_Monto),0)*AA$9</f>
        <v>0</v>
      </c>
      <c r="AB97" s="34" t="n">
        <f aca="false">IF((23-N(P_L1_Mes)+1)=1,N(P_L1_Monto),0)*AB$9</f>
        <v>0</v>
      </c>
      <c r="AC97" s="34" t="n">
        <f aca="false">IF((24-N(P_L1_Mes)+1)=1,N(P_L1_Monto),0)*AC$9</f>
        <v>0</v>
      </c>
      <c r="AD97" s="34" t="n">
        <f aca="false">IF((25-N(P_L1_Mes)+1)=1,N(P_L1_Monto),0)*AD$9</f>
        <v>0</v>
      </c>
      <c r="AE97" s="34" t="n">
        <f aca="false">IF((26-N(P_L1_Mes)+1)=1,N(P_L1_Monto),0)*AE$9</f>
        <v>0</v>
      </c>
      <c r="AF97" s="34" t="n">
        <f aca="false">IF((27-N(P_L1_Mes)+1)=1,N(P_L1_Monto),0)*AF$9</f>
        <v>0</v>
      </c>
      <c r="AG97" s="34" t="n">
        <f aca="false">IF((28-N(P_L1_Mes)+1)=1,N(P_L1_Monto),0)*AG$9</f>
        <v>0</v>
      </c>
      <c r="AH97" s="34" t="n">
        <f aca="false">IF((29-N(P_L1_Mes)+1)=1,N(P_L1_Monto),0)*AH$9</f>
        <v>0</v>
      </c>
      <c r="AI97" s="34" t="n">
        <f aca="false">IF((30-N(P_L1_Mes)+1)=1,N(P_L1_Monto),0)*AI$9</f>
        <v>0</v>
      </c>
      <c r="AJ97" s="34" t="n">
        <f aca="false">IF((31-N(P_L1_Mes)+1)=1,N(P_L1_Monto),0)*AJ$9</f>
        <v>0</v>
      </c>
      <c r="AK97" s="34" t="n">
        <f aca="false">IF((32-N(P_L1_Mes)+1)=1,N(P_L1_Monto),0)*AK$9</f>
        <v>0</v>
      </c>
      <c r="AL97" s="34" t="n">
        <f aca="false">IF((33-N(P_L1_Mes)+1)=1,N(P_L1_Monto),0)*AL$9</f>
        <v>0</v>
      </c>
      <c r="AM97" s="34" t="n">
        <f aca="false">IF((34-N(P_L1_Mes)+1)=1,N(P_L1_Monto),0)*AM$9</f>
        <v>0</v>
      </c>
      <c r="AN97" s="34" t="n">
        <f aca="false">IF((35-N(P_L1_Mes)+1)=1,N(P_L1_Monto),0)*AN$9</f>
        <v>0</v>
      </c>
      <c r="AO97" s="34" t="n">
        <f aca="false">IF((36-N(P_L1_Mes)+1)=1,N(P_L1_Monto),0)*AO$9</f>
        <v>0</v>
      </c>
      <c r="AP97" s="34" t="n">
        <f aca="false">IF((37-N(P_L1_Mes)+1)=1,N(P_L1_Monto),0)*AP$9</f>
        <v>0</v>
      </c>
      <c r="AQ97" s="34" t="n">
        <f aca="false">IF((38-N(P_L1_Mes)+1)=1,N(P_L1_Monto),0)*AQ$9</f>
        <v>0</v>
      </c>
      <c r="AR97" s="34" t="n">
        <f aca="false">IF((39-N(P_L1_Mes)+1)=1,N(P_L1_Monto),0)*AR$9</f>
        <v>0</v>
      </c>
      <c r="AS97" s="34" t="n">
        <f aca="false">IF((40-N(P_L1_Mes)+1)=1,N(P_L1_Monto),0)*AS$9</f>
        <v>0</v>
      </c>
      <c r="AT97" s="34" t="n">
        <f aca="false">IF((41-N(P_L1_Mes)+1)=1,N(P_L1_Monto),0)*AT$9</f>
        <v>0</v>
      </c>
      <c r="AU97" s="34" t="n">
        <f aca="false">IF((42-N(P_L1_Mes)+1)=1,N(P_L1_Monto),0)*AU$9</f>
        <v>0</v>
      </c>
      <c r="AV97" s="34" t="n">
        <f aca="false">IF((43-N(P_L1_Mes)+1)=1,N(P_L1_Monto),0)*AV$9</f>
        <v>0</v>
      </c>
      <c r="AW97" s="34" t="n">
        <f aca="false">IF((44-N(P_L1_Mes)+1)=1,N(P_L1_Monto),0)*AW$9</f>
        <v>0</v>
      </c>
      <c r="AX97" s="34" t="n">
        <f aca="false">IF((45-N(P_L1_Mes)+1)=1,N(P_L1_Monto),0)*AX$9</f>
        <v>0</v>
      </c>
      <c r="AY97" s="34" t="n">
        <f aca="false">IF((46-N(P_L1_Mes)+1)=1,N(P_L1_Monto),0)*AY$9</f>
        <v>0</v>
      </c>
      <c r="AZ97" s="34" t="n">
        <f aca="false">IF((47-N(P_L1_Mes)+1)=1,N(P_L1_Monto),0)*AZ$9</f>
        <v>0</v>
      </c>
      <c r="BA97" s="34" t="n">
        <f aca="false">IF((48-N(P_L1_Mes)+1)=1,N(P_L1_Monto),0)*BA$9</f>
        <v>0</v>
      </c>
      <c r="BB97" s="34" t="n">
        <f aca="false">IF((49-N(P_L1_Mes)+1)=1,N(P_L1_Monto),0)*BB$9</f>
        <v>0</v>
      </c>
      <c r="BC97" s="34" t="n">
        <f aca="false">IF((50-N(P_L1_Mes)+1)=1,N(P_L1_Monto),0)*BC$9</f>
        <v>0</v>
      </c>
      <c r="BD97" s="34" t="n">
        <f aca="false">IF((51-N(P_L1_Mes)+1)=1,N(P_L1_Monto),0)*BD$9</f>
        <v>0</v>
      </c>
      <c r="BE97" s="34" t="n">
        <f aca="false">IF((52-N(P_L1_Mes)+1)=1,N(P_L1_Monto),0)*BE$9</f>
        <v>0</v>
      </c>
      <c r="BF97" s="34" t="n">
        <f aca="false">IF((53-N(P_L1_Mes)+1)=1,N(P_L1_Monto),0)*BF$9</f>
        <v>0</v>
      </c>
      <c r="BG97" s="34" t="n">
        <f aca="false">IF((54-N(P_L1_Mes)+1)=1,N(P_L1_Monto),0)*BG$9</f>
        <v>0</v>
      </c>
      <c r="BH97" s="34" t="n">
        <f aca="false">IF((55-N(P_L1_Mes)+1)=1,N(P_L1_Monto),0)*BH$9</f>
        <v>0</v>
      </c>
      <c r="BI97" s="34" t="n">
        <f aca="false">IF((56-N(P_L1_Mes)+1)=1,N(P_L1_Monto),0)*BI$9</f>
        <v>0</v>
      </c>
      <c r="BJ97" s="34" t="n">
        <f aca="false">IF((57-N(P_L1_Mes)+1)=1,N(P_L1_Monto),0)*BJ$9</f>
        <v>0</v>
      </c>
      <c r="BK97" s="34" t="n">
        <f aca="false">IF((58-N(P_L1_Mes)+1)=1,N(P_L1_Monto),0)*BK$9</f>
        <v>0</v>
      </c>
      <c r="BL97" s="34" t="n">
        <f aca="false">IF((59-N(P_L1_Mes)+1)=1,N(P_L1_Monto),0)*BL$9</f>
        <v>0</v>
      </c>
      <c r="BM97" s="34" t="n">
        <f aca="false">IF((60-N(P_L1_Mes)+1)=1,N(P_L1_Monto),0)*BM$9</f>
        <v>0</v>
      </c>
      <c r="BN97" s="34" t="n">
        <f aca="false">IF((61-N(P_L1_Mes)+1)=1,N(P_L1_Monto),0)*BN$9</f>
        <v>0</v>
      </c>
      <c r="BO97" s="34" t="n">
        <f aca="false">IF((62-N(P_L1_Mes)+1)=1,N(P_L1_Monto),0)*BO$9</f>
        <v>0</v>
      </c>
      <c r="BP97" s="34" t="n">
        <f aca="false">IF((63-N(P_L1_Mes)+1)=1,N(P_L1_Monto),0)*BP$9</f>
        <v>0</v>
      </c>
      <c r="BQ97" s="34" t="n">
        <f aca="false">IF((64-N(P_L1_Mes)+1)=1,N(P_L1_Monto),0)*BQ$9</f>
        <v>0</v>
      </c>
      <c r="BR97" s="34" t="n">
        <f aca="false">IF((65-N(P_L1_Mes)+1)=1,N(P_L1_Monto),0)*BR$9</f>
        <v>0</v>
      </c>
      <c r="BS97" s="34" t="n">
        <f aca="false">IF((66-N(P_L1_Mes)+1)=1,N(P_L1_Monto),0)*BS$9</f>
        <v>0</v>
      </c>
      <c r="BT97" s="34" t="n">
        <f aca="false">IF((67-N(P_L1_Mes)+1)=1,N(P_L1_Monto),0)*BT$9</f>
        <v>0</v>
      </c>
      <c r="BU97" s="34" t="n">
        <f aca="false">IF((68-N(P_L1_Mes)+1)=1,N(P_L1_Monto),0)*BU$9</f>
        <v>0</v>
      </c>
      <c r="BV97" s="34" t="n">
        <f aca="false">IF((69-N(P_L1_Mes)+1)=1,N(P_L1_Monto),0)*BV$9</f>
        <v>0</v>
      </c>
      <c r="BW97" s="34" t="n">
        <f aca="false">IF((70-N(P_L1_Mes)+1)=1,N(P_L1_Monto),0)*BW$9</f>
        <v>0</v>
      </c>
      <c r="BX97" s="34" t="n">
        <f aca="false">IF((71-N(P_L1_Mes)+1)=1,N(P_L1_Monto),0)*BX$9</f>
        <v>0</v>
      </c>
      <c r="BY97" s="34" t="n">
        <f aca="false">IF((72-N(P_L1_Mes)+1)=1,N(P_L1_Monto),0)*BY$9</f>
        <v>0</v>
      </c>
      <c r="BZ97" s="34" t="n">
        <f aca="false">IF((73-N(P_L1_Mes)+1)=1,N(P_L1_Monto),0)*BZ$9</f>
        <v>0</v>
      </c>
      <c r="CA97" s="34" t="n">
        <f aca="false">IF((74-N(P_L1_Mes)+1)=1,N(P_L1_Monto),0)*CA$9</f>
        <v>0</v>
      </c>
      <c r="CB97" s="34" t="n">
        <f aca="false">IF((75-N(P_L1_Mes)+1)=1,N(P_L1_Monto),0)*CB$9</f>
        <v>0</v>
      </c>
      <c r="CC97" s="34" t="n">
        <f aca="false">IF((76-N(P_L1_Mes)+1)=1,N(P_L1_Monto),0)*CC$9</f>
        <v>0</v>
      </c>
      <c r="CD97" s="34" t="n">
        <f aca="false">IF((77-N(P_L1_Mes)+1)=1,N(P_L1_Monto),0)*CD$9</f>
        <v>0</v>
      </c>
      <c r="CE97" s="34" t="n">
        <f aca="false">IF((78-N(P_L1_Mes)+1)=1,N(P_L1_Monto),0)*CE$9</f>
        <v>0</v>
      </c>
      <c r="CF97" s="34" t="n">
        <f aca="false">IF((79-N(P_L1_Mes)+1)=1,N(P_L1_Monto),0)*CF$9</f>
        <v>0</v>
      </c>
      <c r="CG97" s="34" t="n">
        <f aca="false">IF((80-N(P_L1_Mes)+1)=1,N(P_L1_Monto),0)*CG$9</f>
        <v>0</v>
      </c>
      <c r="CH97" s="34" t="n">
        <f aca="false">IF((81-N(P_L1_Mes)+1)=1,N(P_L1_Monto),0)*CH$9</f>
        <v>0</v>
      </c>
      <c r="CI97" s="34" t="n">
        <f aca="false">IF((82-N(P_L1_Mes)+1)=1,N(P_L1_Monto),0)*CI$9</f>
        <v>0</v>
      </c>
      <c r="CJ97" s="34" t="n">
        <f aca="false">IF((83-N(P_L1_Mes)+1)=1,N(P_L1_Monto),0)*CJ$9</f>
        <v>0</v>
      </c>
      <c r="CK97" s="34" t="n">
        <f aca="false">IF((84-N(P_L1_Mes)+1)=1,N(P_L1_Monto),0)*CK$9</f>
        <v>0</v>
      </c>
      <c r="CL97" s="34" t="n">
        <f aca="false">IF((85-N(P_L1_Mes)+1)=1,N(P_L1_Monto),0)*CL$9</f>
        <v>0</v>
      </c>
      <c r="CM97" s="34" t="n">
        <f aca="false">IF((86-N(P_L1_Mes)+1)=1,N(P_L1_Monto),0)*CM$9</f>
        <v>0</v>
      </c>
      <c r="CN97" s="34" t="n">
        <f aca="false">IF((87-N(P_L1_Mes)+1)=1,N(P_L1_Monto),0)*CN$9</f>
        <v>0</v>
      </c>
      <c r="CO97" s="34" t="n">
        <f aca="false">IF((88-N(P_L1_Mes)+1)=1,N(P_L1_Monto),0)*CO$9</f>
        <v>0</v>
      </c>
      <c r="CP97" s="34" t="n">
        <f aca="false">IF((89-N(P_L1_Mes)+1)=1,N(P_L1_Monto),0)*CP$9</f>
        <v>0</v>
      </c>
      <c r="CQ97" s="34" t="n">
        <f aca="false">IF((90-N(P_L1_Mes)+1)=1,N(P_L1_Monto),0)*CQ$9</f>
        <v>0</v>
      </c>
      <c r="CR97" s="34" t="n">
        <f aca="false">IF((91-N(P_L1_Mes)+1)=1,N(P_L1_Monto),0)*CR$9</f>
        <v>0</v>
      </c>
      <c r="CS97" s="34" t="n">
        <f aca="false">IF((92-N(P_L1_Mes)+1)=1,N(P_L1_Monto),0)*CS$9</f>
        <v>0</v>
      </c>
      <c r="CT97" s="34" t="n">
        <f aca="false">IF((93-N(P_L1_Mes)+1)=1,N(P_L1_Monto),0)*CT$9</f>
        <v>0</v>
      </c>
      <c r="CU97" s="34" t="n">
        <f aca="false">IF((94-N(P_L1_Mes)+1)=1,N(P_L1_Monto),0)*CU$9</f>
        <v>0</v>
      </c>
      <c r="CV97" s="34" t="n">
        <f aca="false">IF((95-N(P_L1_Mes)+1)=1,N(P_L1_Monto),0)*CV$9</f>
        <v>0</v>
      </c>
      <c r="CW97" s="34" t="n">
        <f aca="false">IF((96-N(P_L1_Mes)+1)=1,N(P_L1_Monto),0)*CW$9</f>
        <v>0</v>
      </c>
      <c r="CX97" s="34" t="n">
        <f aca="false">IF((97-N(P_L1_Mes)+1)=1,N(P_L1_Monto),0)*CX$9</f>
        <v>0</v>
      </c>
      <c r="CY97" s="34" t="n">
        <f aca="false">IF((98-N(P_L1_Mes)+1)=1,N(P_L1_Monto),0)*CY$9</f>
        <v>0</v>
      </c>
      <c r="CZ97" s="34" t="n">
        <f aca="false">IF((99-N(P_L1_Mes)+1)=1,N(P_L1_Monto),0)*CZ$9</f>
        <v>0</v>
      </c>
      <c r="DA97" s="34" t="n">
        <f aca="false">IF((100-N(P_L1_Mes)+1)=1,N(P_L1_Monto),0)*DA$9</f>
        <v>0</v>
      </c>
      <c r="DB97" s="34" t="n">
        <f aca="false">IF((101-N(P_L1_Mes)+1)=1,N(P_L1_Monto),0)*DB$9</f>
        <v>0</v>
      </c>
      <c r="DC97" s="34" t="n">
        <f aca="false">IF((102-N(P_L1_Mes)+1)=1,N(P_L1_Monto),0)*DC$9</f>
        <v>0</v>
      </c>
      <c r="DD97" s="34" t="n">
        <f aca="false">IF((103-N(P_L1_Mes)+1)=1,N(P_L1_Monto),0)*DD$9</f>
        <v>0</v>
      </c>
      <c r="DE97" s="34" t="n">
        <f aca="false">IF((104-N(P_L1_Mes)+1)=1,N(P_L1_Monto),0)*DE$9</f>
        <v>0</v>
      </c>
      <c r="DF97" s="34" t="n">
        <f aca="false">IF((105-N(P_L1_Mes)+1)=1,N(P_L1_Monto),0)*DF$9</f>
        <v>0</v>
      </c>
      <c r="DG97" s="34" t="n">
        <f aca="false">IF((106-N(P_L1_Mes)+1)=1,N(P_L1_Monto),0)*DG$9</f>
        <v>0</v>
      </c>
      <c r="DH97" s="34" t="n">
        <f aca="false">IF((107-N(P_L1_Mes)+1)=1,N(P_L1_Monto),0)*DH$9</f>
        <v>0</v>
      </c>
      <c r="DI97" s="34" t="n">
        <f aca="false">IF((108-N(P_L1_Mes)+1)=1,N(P_L1_Monto),0)*DI$9</f>
        <v>0</v>
      </c>
      <c r="DJ97" s="34" t="n">
        <f aca="false">IF((109-N(P_L1_Mes)+1)=1,N(P_L1_Monto),0)*DJ$9</f>
        <v>0</v>
      </c>
      <c r="DK97" s="34" t="n">
        <f aca="false">IF((110-N(P_L1_Mes)+1)=1,N(P_L1_Monto),0)*DK$9</f>
        <v>0</v>
      </c>
      <c r="DL97" s="34" t="n">
        <f aca="false">IF((111-N(P_L1_Mes)+1)=1,N(P_L1_Monto),0)*DL$9</f>
        <v>0</v>
      </c>
      <c r="DM97" s="34" t="n">
        <f aca="false">IF((112-N(P_L1_Mes)+1)=1,N(P_L1_Monto),0)*DM$9</f>
        <v>0</v>
      </c>
      <c r="DN97" s="34" t="n">
        <f aca="false">IF((113-N(P_L1_Mes)+1)=1,N(P_L1_Monto),0)*DN$9</f>
        <v>0</v>
      </c>
      <c r="DO97" s="34" t="n">
        <f aca="false">IF((114-N(P_L1_Mes)+1)=1,N(P_L1_Monto),0)*DO$9</f>
        <v>0</v>
      </c>
      <c r="DP97" s="34" t="n">
        <f aca="false">IF((115-N(P_L1_Mes)+1)=1,N(P_L1_Monto),0)*DP$9</f>
        <v>0</v>
      </c>
      <c r="DQ97" s="34" t="n">
        <f aca="false">IF((116-N(P_L1_Mes)+1)=1,N(P_L1_Monto),0)*DQ$9</f>
        <v>0</v>
      </c>
      <c r="DR97" s="34" t="n">
        <f aca="false">IF((117-N(P_L1_Mes)+1)=1,N(P_L1_Monto),0)*DR$9</f>
        <v>0</v>
      </c>
      <c r="DS97" s="34" t="n">
        <f aca="false">IF((118-N(P_L1_Mes)+1)=1,N(P_L1_Monto),0)*DS$9</f>
        <v>0</v>
      </c>
      <c r="DT97" s="34" t="n">
        <f aca="false">IF((119-N(P_L1_Mes)+1)=1,N(P_L1_Monto),0)*DT$9</f>
        <v>0</v>
      </c>
      <c r="DU97" s="34" t="n">
        <f aca="false">IF((120-N(P_L1_Mes)+1)=1,N(P_L1_Monto),0)*DU$9</f>
        <v>0</v>
      </c>
      <c r="DV97" s="34" t="n">
        <f aca="false">IF((121-N(P_L1_Mes)+1)=1,N(P_L1_Monto),0)*DV$9</f>
        <v>0</v>
      </c>
      <c r="DW97" s="34" t="n">
        <f aca="false">IF((122-N(P_L1_Mes)+1)=1,N(P_L1_Monto),0)*DW$9</f>
        <v>0</v>
      </c>
      <c r="DX97" s="34" t="n">
        <f aca="false">IF((123-N(P_L1_Mes)+1)=1,N(P_L1_Monto),0)*DX$9</f>
        <v>0</v>
      </c>
      <c r="DY97" s="34" t="n">
        <f aca="false">IF((124-N(P_L1_Mes)+1)=1,N(P_L1_Monto),0)*DY$9</f>
        <v>0</v>
      </c>
      <c r="DZ97" s="34" t="n">
        <f aca="false">IF((125-N(P_L1_Mes)+1)=1,N(P_L1_Monto),0)*DZ$9</f>
        <v>0</v>
      </c>
      <c r="EA97" s="34" t="n">
        <f aca="false">IF((126-N(P_L1_Mes)+1)=1,N(P_L1_Monto),0)*EA$9</f>
        <v>0</v>
      </c>
      <c r="EB97" s="34" t="n">
        <f aca="false">IF((127-N(P_L1_Mes)+1)=1,N(P_L1_Monto),0)*EB$9</f>
        <v>0</v>
      </c>
      <c r="EC97" s="34" t="n">
        <f aca="false">IF((128-N(P_L1_Mes)+1)=1,N(P_L1_Monto),0)*EC$9</f>
        <v>0</v>
      </c>
      <c r="ED97" s="34" t="n">
        <f aca="false">IF((129-N(P_L1_Mes)+1)=1,N(P_L1_Monto),0)*ED$9</f>
        <v>0</v>
      </c>
      <c r="EE97" s="34" t="n">
        <f aca="false">IF((130-N(P_L1_Mes)+1)=1,N(P_L1_Monto),0)*EE$9</f>
        <v>0</v>
      </c>
      <c r="EF97" s="34" t="n">
        <f aca="false">IF((131-N(P_L1_Mes)+1)=1,N(P_L1_Monto),0)*EF$9</f>
        <v>0</v>
      </c>
      <c r="EG97" s="34" t="n">
        <f aca="false">IF((132-N(P_L1_Mes)+1)=1,N(P_L1_Monto),0)*EG$9</f>
        <v>0</v>
      </c>
      <c r="EH97" s="34" t="n">
        <f aca="false">IF((133-N(P_L1_Mes)+1)=1,N(P_L1_Monto),0)*EH$9</f>
        <v>0</v>
      </c>
      <c r="EI97" s="34" t="n">
        <f aca="false">IF((134-N(P_L1_Mes)+1)=1,N(P_L1_Monto),0)*EI$9</f>
        <v>0</v>
      </c>
      <c r="EJ97" s="34" t="n">
        <f aca="false">IF((135-N(P_L1_Mes)+1)=1,N(P_L1_Monto),0)*EJ$9</f>
        <v>0</v>
      </c>
      <c r="EK97" s="34" t="n">
        <f aca="false">IF((136-N(P_L1_Mes)+1)=1,N(P_L1_Monto),0)*EK$9</f>
        <v>0</v>
      </c>
      <c r="EL97" s="34" t="n">
        <f aca="false">IF((137-N(P_L1_Mes)+1)=1,N(P_L1_Monto),0)*EL$9</f>
        <v>0</v>
      </c>
      <c r="EM97" s="34" t="n">
        <f aca="false">IF((138-N(P_L1_Mes)+1)=1,N(P_L1_Monto),0)*EM$9</f>
        <v>0</v>
      </c>
      <c r="EN97" s="34" t="n">
        <f aca="false">IF((139-N(P_L1_Mes)+1)=1,N(P_L1_Monto),0)*EN$9</f>
        <v>0</v>
      </c>
      <c r="EO97" s="34" t="n">
        <f aca="false">IF((140-N(P_L1_Mes)+1)=1,N(P_L1_Monto),0)*EO$9</f>
        <v>0</v>
      </c>
      <c r="EP97" s="34" t="n">
        <f aca="false">IF((141-N(P_L1_Mes)+1)=1,N(P_L1_Monto),0)*EP$9</f>
        <v>0</v>
      </c>
      <c r="EQ97" s="34" t="n">
        <f aca="false">IF((142-N(P_L1_Mes)+1)=1,N(P_L1_Monto),0)*EQ$9</f>
        <v>0</v>
      </c>
      <c r="ER97" s="34" t="n">
        <f aca="false">IF((143-N(P_L1_Mes)+1)=1,N(P_L1_Monto),0)*ER$9</f>
        <v>0</v>
      </c>
      <c r="ES97" s="34" t="n">
        <f aca="false">IF((144-N(P_L1_Mes)+1)=1,N(P_L1_Monto),0)*ES$9</f>
        <v>0</v>
      </c>
    </row>
    <row r="98" customFormat="false" ht="15" hidden="false" customHeight="false" outlineLevel="0" collapsed="false">
      <c r="A98" s="2" t="s">
        <v>679</v>
      </c>
      <c r="B98" s="6" t="s">
        <v>680</v>
      </c>
      <c r="C98" s="6" t="s">
        <v>250</v>
      </c>
      <c r="E98" s="40" t="n">
        <f aca="false">SUM(F98:ES98)</f>
        <v>739285.57111314</v>
      </c>
      <c r="F98" s="34" t="n">
        <f aca="false">IF((1-N(P_L1_Mes)+1)&gt;=1,IF((1-N(P_L1_Mes)+1)=1,N(P_L1_Monto),0)*N(P_L1_Tasa)/12,0)*F$9</f>
        <v>20936.9025</v>
      </c>
      <c r="G98" s="34" t="n">
        <f aca="false">IF((2-N(P_L1_Mes)+1)&gt;=1,IF((2-N(P_L1_Mes)+1)=1,N(P_L1_Monto),F$100)*N(P_L1_Tasa)/12,0)*G$9</f>
        <v>20936.9025</v>
      </c>
      <c r="H98" s="34" t="n">
        <f aca="false">IF((3-N(P_L1_Mes)+1)&gt;=1,IF((3-N(P_L1_Mes)+1)=1,N(P_L1_Monto),G$100)*N(P_L1_Tasa)/12,0)*H$9</f>
        <v>20936.9025</v>
      </c>
      <c r="I98" s="34" t="n">
        <f aca="false">IF((4-N(P_L1_Mes)+1)&gt;=1,IF((4-N(P_L1_Mes)+1)=1,N(P_L1_Monto),H$100)*N(P_L1_Tasa)/12,0)*I$9</f>
        <v>20936.9025</v>
      </c>
      <c r="J98" s="34" t="n">
        <f aca="false">IF((5-N(P_L1_Mes)+1)&gt;=1,IF((5-N(P_L1_Mes)+1)=1,N(P_L1_Monto),I$100)*N(P_L1_Tasa)/12,0)*J$9</f>
        <v>20936.9025</v>
      </c>
      <c r="K98" s="34" t="n">
        <f aca="false">IF((6-N(P_L1_Mes)+1)&gt;=1,IF((6-N(P_L1_Mes)+1)=1,N(P_L1_Monto),J$100)*N(P_L1_Tasa)/12,0)*K$9</f>
        <v>20936.9025</v>
      </c>
      <c r="L98" s="34" t="n">
        <f aca="false">IF((7-N(P_L1_Mes)+1)&gt;=1,IF((7-N(P_L1_Mes)+1)=1,N(P_L1_Monto),K$100)*N(P_L1_Tasa)/12,0)*L$9</f>
        <v>20936.9025</v>
      </c>
      <c r="M98" s="34" t="n">
        <f aca="false">IF((8-N(P_L1_Mes)+1)&gt;=1,IF((8-N(P_L1_Mes)+1)=1,N(P_L1_Monto),L$100)*N(P_L1_Tasa)/12,0)*M$9</f>
        <v>20620.9777192898</v>
      </c>
      <c r="N98" s="34" t="n">
        <f aca="false">IF((9-N(P_L1_Mes)+1)&gt;=1,IF((9-N(P_L1_Mes)+1)=1,N(P_L1_Monto),M$100)*N(P_L1_Tasa)/12,0)*N$9</f>
        <v>20302.6835027244</v>
      </c>
      <c r="O98" s="34" t="n">
        <f aca="false">IF((10-N(P_L1_Mes)+1)&gt;=1,IF((10-N(P_L1_Mes)+1)=1,N(P_L1_Monto),N$100)*N(P_L1_Tasa)/12,0)*O$9</f>
        <v>19982.0020795346</v>
      </c>
      <c r="P98" s="34" t="n">
        <f aca="false">IF((11-N(P_L1_Mes)+1)&gt;=1,IF((11-N(P_L1_Mes)+1)=1,N(P_L1_Monto),O$100)*N(P_L1_Tasa)/12,0)*P$9</f>
        <v>19658.915545671</v>
      </c>
      <c r="Q98" s="34" t="n">
        <f aca="false">IF((12-N(P_L1_Mes)+1)&gt;=1,IF((12-N(P_L1_Mes)+1)=1,N(P_L1_Monto),P$100)*N(P_L1_Tasa)/12,0)*Q$9</f>
        <v>19333.4058628034</v>
      </c>
      <c r="R98" s="34" t="n">
        <f aca="false">IF((13-N(P_L1_Mes)+1)&gt;=1,IF((13-N(P_L1_Mes)+1)=1,N(P_L1_Monto),Q$100)*N(P_L1_Tasa)/12,0)*R$9</f>
        <v>19005.4548573142</v>
      </c>
      <c r="S98" s="34" t="n">
        <f aca="false">IF((14-N(P_L1_Mes)+1)&gt;=1,IF((14-N(P_L1_Mes)+1)=1,N(P_L1_Monto),R$100)*N(P_L1_Tasa)/12,0)*S$9</f>
        <v>18675.0442192839</v>
      </c>
      <c r="T98" s="34" t="n">
        <f aca="false">IF((15-N(P_L1_Mes)+1)&gt;=1,IF((15-N(P_L1_Mes)+1)=1,N(P_L1_Monto),S$100)*N(P_L1_Tasa)/12,0)*T$9</f>
        <v>18342.1555014684</v>
      </c>
      <c r="U98" s="34" t="n">
        <f aca="false">IF((16-N(P_L1_Mes)+1)&gt;=1,IF((16-N(P_L1_Mes)+1)=1,N(P_L1_Monto),T$100)*N(P_L1_Tasa)/12,0)*U$9</f>
        <v>18006.7701182693</v>
      </c>
      <c r="V98" s="34" t="n">
        <f aca="false">IF((17-N(P_L1_Mes)+1)&gt;=1,IF((17-N(P_L1_Mes)+1)=1,N(P_L1_Monto),U$100)*N(P_L1_Tasa)/12,0)*V$9</f>
        <v>17668.8693446961</v>
      </c>
      <c r="W98" s="34" t="n">
        <f aca="false">IF((18-N(P_L1_Mes)+1)&gt;=1,IF((18-N(P_L1_Mes)+1)=1,N(P_L1_Monto),V$100)*N(P_L1_Tasa)/12,0)*W$9</f>
        <v>17328.4343153212</v>
      </c>
      <c r="X98" s="34" t="n">
        <f aca="false">IF((19-N(P_L1_Mes)+1)&gt;=1,IF((19-N(P_L1_Mes)+1)=1,N(P_L1_Monto),W$100)*N(P_L1_Tasa)/12,0)*X$9</f>
        <v>16985.4460232259</v>
      </c>
      <c r="Y98" s="34" t="n">
        <f aca="false">IF((20-N(P_L1_Mes)+1)&gt;=1,IF((20-N(P_L1_Mes)+1)=1,N(P_L1_Monto),X$100)*N(P_L1_Tasa)/12,0)*Y$9</f>
        <v>16639.88531894</v>
      </c>
      <c r="Z98" s="34" t="n">
        <f aca="false">IF((21-N(P_L1_Mes)+1)&gt;=1,IF((21-N(P_L1_Mes)+1)=1,N(P_L1_Monto),Y$100)*N(P_L1_Tasa)/12,0)*Z$9</f>
        <v>16291.7329093719</v>
      </c>
      <c r="AA98" s="34" t="n">
        <f aca="false">IF((22-N(P_L1_Mes)+1)&gt;=1,IF((22-N(P_L1_Mes)+1)=1,N(P_L1_Monto),Z$100)*N(P_L1_Tasa)/12,0)*AA$9</f>
        <v>15940.969356732</v>
      </c>
      <c r="AB98" s="34" t="n">
        <f aca="false">IF((23-N(P_L1_Mes)+1)&gt;=1,IF((23-N(P_L1_Mes)+1)=1,N(P_L1_Monto),AA$100)*N(P_L1_Tasa)/12,0)*AB$9</f>
        <v>15587.5750774473</v>
      </c>
      <c r="AC98" s="34" t="n">
        <f aca="false">IF((24-N(P_L1_Mes)+1)&gt;=1,IF((24-N(P_L1_Mes)+1)=1,N(P_L1_Monto),AB$100)*N(P_L1_Tasa)/12,0)*AC$9</f>
        <v>15231.530341068</v>
      </c>
      <c r="AD98" s="34" t="n">
        <f aca="false">IF((25-N(P_L1_Mes)+1)&gt;=1,IF((25-N(P_L1_Mes)+1)=1,N(P_L1_Monto),AC$100)*N(P_L1_Tasa)/12,0)*AD$9</f>
        <v>14872.8152691659</v>
      </c>
      <c r="AE98" s="34" t="n">
        <f aca="false">IF((26-N(P_L1_Mes)+1)&gt;=1,IF((26-N(P_L1_Mes)+1)=1,N(P_L1_Monto),AD$100)*N(P_L1_Tasa)/12,0)*AE$9</f>
        <v>14511.4098342245</v>
      </c>
      <c r="AF98" s="34" t="n">
        <f aca="false">IF((27-N(P_L1_Mes)+1)&gt;=1,IF((27-N(P_L1_Mes)+1)=1,N(P_L1_Monto),AE$100)*N(P_L1_Tasa)/12,0)*AF$9</f>
        <v>14147.293858521</v>
      </c>
      <c r="AG98" s="34" t="n">
        <f aca="false">IF((28-N(P_L1_Mes)+1)&gt;=1,IF((28-N(P_L1_Mes)+1)=1,N(P_L1_Monto),AF$100)*N(P_L1_Tasa)/12,0)*AG$9</f>
        <v>13780.4470129997</v>
      </c>
      <c r="AH98" s="34" t="n">
        <f aca="false">IF((29-N(P_L1_Mes)+1)&gt;=1,IF((29-N(P_L1_Mes)+1)=1,N(P_L1_Monto),AG$100)*N(P_L1_Tasa)/12,0)*AH$9</f>
        <v>13410.8488161371</v>
      </c>
      <c r="AI98" s="34" t="n">
        <f aca="false">IF((30-N(P_L1_Mes)+1)&gt;=1,IF((30-N(P_L1_Mes)+1)=1,N(P_L1_Monto),AH$100)*N(P_L1_Tasa)/12,0)*AI$9</f>
        <v>13038.4786327979</v>
      </c>
      <c r="AJ98" s="34" t="n">
        <f aca="false">IF((31-N(P_L1_Mes)+1)&gt;=1,IF((31-N(P_L1_Mes)+1)=1,N(P_L1_Monto),AI$100)*N(P_L1_Tasa)/12,0)*AJ$9</f>
        <v>12663.3156730838</v>
      </c>
      <c r="AK98" s="34" t="n">
        <f aca="false">IF((32-N(P_L1_Mes)+1)&gt;=1,IF((32-N(P_L1_Mes)+1)=1,N(P_L1_Monto),AJ$100)*N(P_L1_Tasa)/12,0)*AK$9</f>
        <v>12285.3389911717</v>
      </c>
      <c r="AL98" s="34" t="n">
        <f aca="false">IF((33-N(P_L1_Mes)+1)&gt;=1,IF((33-N(P_L1_Mes)+1)=1,N(P_L1_Monto),AK$100)*N(P_L1_Tasa)/12,0)*AL$9</f>
        <v>11904.5274841454</v>
      </c>
      <c r="AM98" s="34" t="n">
        <f aca="false">IF((34-N(P_L1_Mes)+1)&gt;=1,IF((34-N(P_L1_Mes)+1)=1,N(P_L1_Monto),AL$100)*N(P_L1_Tasa)/12,0)*AM$9</f>
        <v>11520.8598908163</v>
      </c>
      <c r="AN98" s="34" t="n">
        <f aca="false">IF((35-N(P_L1_Mes)+1)&gt;=1,IF((35-N(P_L1_Mes)+1)=1,N(P_L1_Monto),AM$100)*N(P_L1_Tasa)/12,0)*AN$9</f>
        <v>11134.3147905373</v>
      </c>
      <c r="AO98" s="34" t="n">
        <f aca="false">IF((36-N(P_L1_Mes)+1)&gt;=1,IF((36-N(P_L1_Mes)+1)=1,N(P_L1_Monto),AN$100)*N(P_L1_Tasa)/12,0)*AO$9</f>
        <v>10744.8706020061</v>
      </c>
      <c r="AP98" s="34" t="n">
        <f aca="false">IF((37-N(P_L1_Mes)+1)&gt;=1,IF((37-N(P_L1_Mes)+1)=1,N(P_L1_Monto),AO$100)*N(P_L1_Tasa)/12,0)*AP$9</f>
        <v>10352.505582061</v>
      </c>
      <c r="AQ98" s="34" t="n">
        <f aca="false">IF((38-N(P_L1_Mes)+1)&gt;=1,IF((38-N(P_L1_Mes)+1)=1,N(P_L1_Monto),AP$100)*N(P_L1_Tasa)/12,0)*AQ$9</f>
        <v>9957.19782446632</v>
      </c>
      <c r="AR98" s="34" t="n">
        <f aca="false">IF((39-N(P_L1_Mes)+1)&gt;=1,IF((39-N(P_L1_Mes)+1)=1,N(P_L1_Monto),AQ$100)*N(P_L1_Tasa)/12,0)*AR$9</f>
        <v>9558.92525868966</v>
      </c>
      <c r="AS98" s="34" t="n">
        <f aca="false">IF((40-N(P_L1_Mes)+1)&gt;=1,IF((40-N(P_L1_Mes)+1)=1,N(P_L1_Monto),AR$100)*N(P_L1_Tasa)/12,0)*AS$9</f>
        <v>9157.66564866968</v>
      </c>
      <c r="AT98" s="34" t="n">
        <f aca="false">IF((41-N(P_L1_Mes)+1)&gt;=1,IF((41-N(P_L1_Mes)+1)=1,N(P_L1_Monto),AS$100)*N(P_L1_Tasa)/12,0)*AT$9</f>
        <v>8753.39659157454</v>
      </c>
      <c r="AU98" s="34" t="n">
        <f aca="false">IF((42-N(P_L1_Mes)+1)&gt;=1,IF((42-N(P_L1_Mes)+1)=1,N(P_L1_Monto),AT$100)*N(P_L1_Tasa)/12,0)*AU$9</f>
        <v>8346.09551655119</v>
      </c>
      <c r="AV98" s="34" t="n">
        <f aca="false">IF((43-N(P_L1_Mes)+1)&gt;=1,IF((43-N(P_L1_Mes)+1)=1,N(P_L1_Monto),AU$100)*N(P_L1_Tasa)/12,0)*AV$9</f>
        <v>7935.73968346517</v>
      </c>
      <c r="AW98" s="34" t="n">
        <f aca="false">IF((44-N(P_L1_Mes)+1)&gt;=1,IF((44-N(P_L1_Mes)+1)=1,N(P_L1_Monto),AV$100)*N(P_L1_Tasa)/12,0)*AW$9</f>
        <v>7522.306181631</v>
      </c>
      <c r="AX98" s="34" t="n">
        <f aca="false">IF((45-N(P_L1_Mes)+1)&gt;=1,IF((45-N(P_L1_Mes)+1)=1,N(P_L1_Monto),AW$100)*N(P_L1_Tasa)/12,0)*AX$9</f>
        <v>7105.77192853307</v>
      </c>
      <c r="AY98" s="34" t="n">
        <f aca="false">IF((46-N(P_L1_Mes)+1)&gt;=1,IF((46-N(P_L1_Mes)+1)=1,N(P_L1_Monto),AX$100)*N(P_L1_Tasa)/12,0)*AY$9</f>
        <v>6686.11366853691</v>
      </c>
      <c r="AZ98" s="34" t="n">
        <f aca="false">IF((47-N(P_L1_Mes)+1)&gt;=1,IF((47-N(P_L1_Mes)+1)=1,N(P_L1_Monto),AY$100)*N(P_L1_Tasa)/12,0)*AZ$9</f>
        <v>6263.30797159078</v>
      </c>
      <c r="BA98" s="34" t="n">
        <f aca="false">IF((48-N(P_L1_Mes)+1)&gt;=1,IF((48-N(P_L1_Mes)+1)=1,N(P_L1_Monto),AZ$100)*N(P_L1_Tasa)/12,0)*BA$9</f>
        <v>5837.33123191755</v>
      </c>
      <c r="BB98" s="34" t="n">
        <f aca="false">IF((49-N(P_L1_Mes)+1)&gt;=1,IF((49-N(P_L1_Mes)+1)=1,N(P_L1_Monto),BA$100)*N(P_L1_Tasa)/12,0)*BB$9</f>
        <v>5408.15966669678</v>
      </c>
      <c r="BC98" s="34" t="n">
        <f aca="false">IF((50-N(P_L1_Mes)+1)&gt;=1,IF((50-N(P_L1_Mes)+1)=1,N(P_L1_Monto),BB$100)*N(P_L1_Tasa)/12,0)*BC$9</f>
        <v>4975.76931473684</v>
      </c>
      <c r="BD98" s="34" t="n">
        <f aca="false">IF((51-N(P_L1_Mes)+1)&gt;=1,IF((51-N(P_L1_Mes)+1)=1,N(P_L1_Monto),BC$100)*N(P_L1_Tasa)/12,0)*BD$9</f>
        <v>4540.13603513721</v>
      </c>
      <c r="BE98" s="34" t="n">
        <f aca="false">IF((52-N(P_L1_Mes)+1)&gt;=1,IF((52-N(P_L1_Mes)+1)=1,N(P_L1_Monto),BD$100)*N(P_L1_Tasa)/12,0)*BE$9</f>
        <v>4101.23550594058</v>
      </c>
      <c r="BF98" s="34" t="n">
        <f aca="false">IF((53-N(P_L1_Mes)+1)&gt;=1,IF((53-N(P_L1_Mes)+1)=1,N(P_L1_Monto),BE$100)*N(P_L1_Tasa)/12,0)*BF$9</f>
        <v>3659.04322277498</v>
      </c>
      <c r="BG98" s="34" t="n">
        <f aca="false">IF((54-N(P_L1_Mes)+1)&gt;=1,IF((54-N(P_L1_Mes)+1)=1,N(P_L1_Monto),BF$100)*N(P_L1_Tasa)/12,0)*BG$9</f>
        <v>3213.53449748563</v>
      </c>
      <c r="BH98" s="34" t="n">
        <f aca="false">IF((55-N(P_L1_Mes)+1)&gt;=1,IF((55-N(P_L1_Mes)+1)=1,N(P_L1_Monto),BG$100)*N(P_L1_Tasa)/12,0)*BH$9</f>
        <v>2764.68445675662</v>
      </c>
      <c r="BI98" s="34" t="n">
        <f aca="false">IF((56-N(P_L1_Mes)+1)&gt;=1,IF((56-N(P_L1_Mes)+1)=1,N(P_L1_Monto),BH$100)*N(P_L1_Tasa)/12,0)*BI$9</f>
        <v>2312.46804072213</v>
      </c>
      <c r="BJ98" s="34" t="n">
        <f aca="false">IF((57-N(P_L1_Mes)+1)&gt;=1,IF((57-N(P_L1_Mes)+1)=1,N(P_L1_Monto),BI$100)*N(P_L1_Tasa)/12,0)*BJ$9</f>
        <v>1856.86000156739</v>
      </c>
      <c r="BK98" s="34" t="n">
        <f aca="false">IF((58-N(P_L1_Mes)+1)&gt;=1,IF((58-N(P_L1_Mes)+1)=1,N(P_L1_Monto),BJ$100)*N(P_L1_Tasa)/12,0)*BK$9</f>
        <v>1397.83490211899</v>
      </c>
      <c r="BL98" s="34" t="n">
        <f aca="false">IF((59-N(P_L1_Mes)+1)&gt;=1,IF((59-N(P_L1_Mes)+1)=1,N(P_L1_Monto),BK$100)*N(P_L1_Tasa)/12,0)*BL$9</f>
        <v>935.367114424723</v>
      </c>
      <c r="BM98" s="34" t="n">
        <f aca="false">IF((60-N(P_L1_Mes)+1)&gt;=1,IF((60-N(P_L1_Mes)+1)=1,N(P_L1_Monto),BL$100)*N(P_L1_Tasa)/12,0)*BM$9</f>
        <v>469.43081832275</v>
      </c>
      <c r="BN98" s="34" t="n">
        <f aca="false">IF((61-N(P_L1_Mes)+1)&gt;=1,IF((61-N(P_L1_Mes)+1)=1,N(P_L1_Monto),BM$100)*N(P_L1_Tasa)/12,0)*BN$9</f>
        <v>0</v>
      </c>
      <c r="BO98" s="34" t="n">
        <f aca="false">IF((62-N(P_L1_Mes)+1)&gt;=1,IF((62-N(P_L1_Mes)+1)=1,N(P_L1_Monto),BN$100)*N(P_L1_Tasa)/12,0)*BO$9</f>
        <v>0</v>
      </c>
      <c r="BP98" s="34" t="n">
        <f aca="false">IF((63-N(P_L1_Mes)+1)&gt;=1,IF((63-N(P_L1_Mes)+1)=1,N(P_L1_Monto),BO$100)*N(P_L1_Tasa)/12,0)*BP$9</f>
        <v>0</v>
      </c>
      <c r="BQ98" s="34" t="n">
        <f aca="false">IF((64-N(P_L1_Mes)+1)&gt;=1,IF((64-N(P_L1_Mes)+1)=1,N(P_L1_Monto),BP$100)*N(P_L1_Tasa)/12,0)*BQ$9</f>
        <v>0</v>
      </c>
      <c r="BR98" s="34" t="n">
        <f aca="false">IF((65-N(P_L1_Mes)+1)&gt;=1,IF((65-N(P_L1_Mes)+1)=1,N(P_L1_Monto),BQ$100)*N(P_L1_Tasa)/12,0)*BR$9</f>
        <v>0</v>
      </c>
      <c r="BS98" s="34" t="n">
        <f aca="false">IF((66-N(P_L1_Mes)+1)&gt;=1,IF((66-N(P_L1_Mes)+1)=1,N(P_L1_Monto),BR$100)*N(P_L1_Tasa)/12,0)*BS$9</f>
        <v>0</v>
      </c>
      <c r="BT98" s="34" t="n">
        <f aca="false">IF((67-N(P_L1_Mes)+1)&gt;=1,IF((67-N(P_L1_Mes)+1)=1,N(P_L1_Monto),BS$100)*N(P_L1_Tasa)/12,0)*BT$9</f>
        <v>0</v>
      </c>
      <c r="BU98" s="34" t="n">
        <f aca="false">IF((68-N(P_L1_Mes)+1)&gt;=1,IF((68-N(P_L1_Mes)+1)=1,N(P_L1_Monto),BT$100)*N(P_L1_Tasa)/12,0)*BU$9</f>
        <v>0</v>
      </c>
      <c r="BV98" s="34" t="n">
        <f aca="false">IF((69-N(P_L1_Mes)+1)&gt;=1,IF((69-N(P_L1_Mes)+1)=1,N(P_L1_Monto),BU$100)*N(P_L1_Tasa)/12,0)*BV$9</f>
        <v>0</v>
      </c>
      <c r="BW98" s="34" t="n">
        <f aca="false">IF((70-N(P_L1_Mes)+1)&gt;=1,IF((70-N(P_L1_Mes)+1)=1,N(P_L1_Monto),BV$100)*N(P_L1_Tasa)/12,0)*BW$9</f>
        <v>0</v>
      </c>
      <c r="BX98" s="34" t="n">
        <f aca="false">IF((71-N(P_L1_Mes)+1)&gt;=1,IF((71-N(P_L1_Mes)+1)=1,N(P_L1_Monto),BW$100)*N(P_L1_Tasa)/12,0)*BX$9</f>
        <v>0</v>
      </c>
      <c r="BY98" s="34" t="n">
        <f aca="false">IF((72-N(P_L1_Mes)+1)&gt;=1,IF((72-N(P_L1_Mes)+1)=1,N(P_L1_Monto),BX$100)*N(P_L1_Tasa)/12,0)*BY$9</f>
        <v>0</v>
      </c>
      <c r="BZ98" s="34" t="n">
        <f aca="false">IF((73-N(P_L1_Mes)+1)&gt;=1,IF((73-N(P_L1_Mes)+1)=1,N(P_L1_Monto),BY$100)*N(P_L1_Tasa)/12,0)*BZ$9</f>
        <v>0</v>
      </c>
      <c r="CA98" s="34" t="n">
        <f aca="false">IF((74-N(P_L1_Mes)+1)&gt;=1,IF((74-N(P_L1_Mes)+1)=1,N(P_L1_Monto),BZ$100)*N(P_L1_Tasa)/12,0)*CA$9</f>
        <v>0</v>
      </c>
      <c r="CB98" s="34" t="n">
        <f aca="false">IF((75-N(P_L1_Mes)+1)&gt;=1,IF((75-N(P_L1_Mes)+1)=1,N(P_L1_Monto),CA$100)*N(P_L1_Tasa)/12,0)*CB$9</f>
        <v>0</v>
      </c>
      <c r="CC98" s="34" t="n">
        <f aca="false">IF((76-N(P_L1_Mes)+1)&gt;=1,IF((76-N(P_L1_Mes)+1)=1,N(P_L1_Monto),CB$100)*N(P_L1_Tasa)/12,0)*CC$9</f>
        <v>0</v>
      </c>
      <c r="CD98" s="34" t="n">
        <f aca="false">IF((77-N(P_L1_Mes)+1)&gt;=1,IF((77-N(P_L1_Mes)+1)=1,N(P_L1_Monto),CC$100)*N(P_L1_Tasa)/12,0)*CD$9</f>
        <v>0</v>
      </c>
      <c r="CE98" s="34" t="n">
        <f aca="false">IF((78-N(P_L1_Mes)+1)&gt;=1,IF((78-N(P_L1_Mes)+1)=1,N(P_L1_Monto),CD$100)*N(P_L1_Tasa)/12,0)*CE$9</f>
        <v>0</v>
      </c>
      <c r="CF98" s="34" t="n">
        <f aca="false">IF((79-N(P_L1_Mes)+1)&gt;=1,IF((79-N(P_L1_Mes)+1)=1,N(P_L1_Monto),CE$100)*N(P_L1_Tasa)/12,0)*CF$9</f>
        <v>0</v>
      </c>
      <c r="CG98" s="34" t="n">
        <f aca="false">IF((80-N(P_L1_Mes)+1)&gt;=1,IF((80-N(P_L1_Mes)+1)=1,N(P_L1_Monto),CF$100)*N(P_L1_Tasa)/12,0)*CG$9</f>
        <v>0</v>
      </c>
      <c r="CH98" s="34" t="n">
        <f aca="false">IF((81-N(P_L1_Mes)+1)&gt;=1,IF((81-N(P_L1_Mes)+1)=1,N(P_L1_Monto),CG$100)*N(P_L1_Tasa)/12,0)*CH$9</f>
        <v>0</v>
      </c>
      <c r="CI98" s="34" t="n">
        <f aca="false">IF((82-N(P_L1_Mes)+1)&gt;=1,IF((82-N(P_L1_Mes)+1)=1,N(P_L1_Monto),CH$100)*N(P_L1_Tasa)/12,0)*CI$9</f>
        <v>0</v>
      </c>
      <c r="CJ98" s="34" t="n">
        <f aca="false">IF((83-N(P_L1_Mes)+1)&gt;=1,IF((83-N(P_L1_Mes)+1)=1,N(P_L1_Monto),CI$100)*N(P_L1_Tasa)/12,0)*CJ$9</f>
        <v>0</v>
      </c>
      <c r="CK98" s="34" t="n">
        <f aca="false">IF((84-N(P_L1_Mes)+1)&gt;=1,IF((84-N(P_L1_Mes)+1)=1,N(P_L1_Monto),CJ$100)*N(P_L1_Tasa)/12,0)*CK$9</f>
        <v>0</v>
      </c>
      <c r="CL98" s="34" t="n">
        <f aca="false">IF((85-N(P_L1_Mes)+1)&gt;=1,IF((85-N(P_L1_Mes)+1)=1,N(P_L1_Monto),CK$100)*N(P_L1_Tasa)/12,0)*CL$9</f>
        <v>0</v>
      </c>
      <c r="CM98" s="34" t="n">
        <f aca="false">IF((86-N(P_L1_Mes)+1)&gt;=1,IF((86-N(P_L1_Mes)+1)=1,N(P_L1_Monto),CL$100)*N(P_L1_Tasa)/12,0)*CM$9</f>
        <v>0</v>
      </c>
      <c r="CN98" s="34" t="n">
        <f aca="false">IF((87-N(P_L1_Mes)+1)&gt;=1,IF((87-N(P_L1_Mes)+1)=1,N(P_L1_Monto),CM$100)*N(P_L1_Tasa)/12,0)*CN$9</f>
        <v>0</v>
      </c>
      <c r="CO98" s="34" t="n">
        <f aca="false">IF((88-N(P_L1_Mes)+1)&gt;=1,IF((88-N(P_L1_Mes)+1)=1,N(P_L1_Monto),CN$100)*N(P_L1_Tasa)/12,0)*CO$9</f>
        <v>0</v>
      </c>
      <c r="CP98" s="34" t="n">
        <f aca="false">IF((89-N(P_L1_Mes)+1)&gt;=1,IF((89-N(P_L1_Mes)+1)=1,N(P_L1_Monto),CO$100)*N(P_L1_Tasa)/12,0)*CP$9</f>
        <v>0</v>
      </c>
      <c r="CQ98" s="34" t="n">
        <f aca="false">IF((90-N(P_L1_Mes)+1)&gt;=1,IF((90-N(P_L1_Mes)+1)=1,N(P_L1_Monto),CP$100)*N(P_L1_Tasa)/12,0)*CQ$9</f>
        <v>0</v>
      </c>
      <c r="CR98" s="34" t="n">
        <f aca="false">IF((91-N(P_L1_Mes)+1)&gt;=1,IF((91-N(P_L1_Mes)+1)=1,N(P_L1_Monto),CQ$100)*N(P_L1_Tasa)/12,0)*CR$9</f>
        <v>0</v>
      </c>
      <c r="CS98" s="34" t="n">
        <f aca="false">IF((92-N(P_L1_Mes)+1)&gt;=1,IF((92-N(P_L1_Mes)+1)=1,N(P_L1_Monto),CR$100)*N(P_L1_Tasa)/12,0)*CS$9</f>
        <v>0</v>
      </c>
      <c r="CT98" s="34" t="n">
        <f aca="false">IF((93-N(P_L1_Mes)+1)&gt;=1,IF((93-N(P_L1_Mes)+1)=1,N(P_L1_Monto),CS$100)*N(P_L1_Tasa)/12,0)*CT$9</f>
        <v>0</v>
      </c>
      <c r="CU98" s="34" t="n">
        <f aca="false">IF((94-N(P_L1_Mes)+1)&gt;=1,IF((94-N(P_L1_Mes)+1)=1,N(P_L1_Monto),CT$100)*N(P_L1_Tasa)/12,0)*CU$9</f>
        <v>0</v>
      </c>
      <c r="CV98" s="34" t="n">
        <f aca="false">IF((95-N(P_L1_Mes)+1)&gt;=1,IF((95-N(P_L1_Mes)+1)=1,N(P_L1_Monto),CU$100)*N(P_L1_Tasa)/12,0)*CV$9</f>
        <v>0</v>
      </c>
      <c r="CW98" s="34" t="n">
        <f aca="false">IF((96-N(P_L1_Mes)+1)&gt;=1,IF((96-N(P_L1_Mes)+1)=1,N(P_L1_Monto),CV$100)*N(P_L1_Tasa)/12,0)*CW$9</f>
        <v>0</v>
      </c>
      <c r="CX98" s="34" t="n">
        <f aca="false">IF((97-N(P_L1_Mes)+1)&gt;=1,IF((97-N(P_L1_Mes)+1)=1,N(P_L1_Monto),CW$100)*N(P_L1_Tasa)/12,0)*CX$9</f>
        <v>0</v>
      </c>
      <c r="CY98" s="34" t="n">
        <f aca="false">IF((98-N(P_L1_Mes)+1)&gt;=1,IF((98-N(P_L1_Mes)+1)=1,N(P_L1_Monto),CX$100)*N(P_L1_Tasa)/12,0)*CY$9</f>
        <v>0</v>
      </c>
      <c r="CZ98" s="34" t="n">
        <f aca="false">IF((99-N(P_L1_Mes)+1)&gt;=1,IF((99-N(P_L1_Mes)+1)=1,N(P_L1_Monto),CY$100)*N(P_L1_Tasa)/12,0)*CZ$9</f>
        <v>0</v>
      </c>
      <c r="DA98" s="34" t="n">
        <f aca="false">IF((100-N(P_L1_Mes)+1)&gt;=1,IF((100-N(P_L1_Mes)+1)=1,N(P_L1_Monto),CZ$100)*N(P_L1_Tasa)/12,0)*DA$9</f>
        <v>0</v>
      </c>
      <c r="DB98" s="34" t="n">
        <f aca="false">IF((101-N(P_L1_Mes)+1)&gt;=1,IF((101-N(P_L1_Mes)+1)=1,N(P_L1_Monto),DA$100)*N(P_L1_Tasa)/12,0)*DB$9</f>
        <v>0</v>
      </c>
      <c r="DC98" s="34" t="n">
        <f aca="false">IF((102-N(P_L1_Mes)+1)&gt;=1,IF((102-N(P_L1_Mes)+1)=1,N(P_L1_Monto),DB$100)*N(P_L1_Tasa)/12,0)*DC$9</f>
        <v>0</v>
      </c>
      <c r="DD98" s="34" t="n">
        <f aca="false">IF((103-N(P_L1_Mes)+1)&gt;=1,IF((103-N(P_L1_Mes)+1)=1,N(P_L1_Monto),DC$100)*N(P_L1_Tasa)/12,0)*DD$9</f>
        <v>0</v>
      </c>
      <c r="DE98" s="34" t="n">
        <f aca="false">IF((104-N(P_L1_Mes)+1)&gt;=1,IF((104-N(P_L1_Mes)+1)=1,N(P_L1_Monto),DD$100)*N(P_L1_Tasa)/12,0)*DE$9</f>
        <v>0</v>
      </c>
      <c r="DF98" s="34" t="n">
        <f aca="false">IF((105-N(P_L1_Mes)+1)&gt;=1,IF((105-N(P_L1_Mes)+1)=1,N(P_L1_Monto),DE$100)*N(P_L1_Tasa)/12,0)*DF$9</f>
        <v>0</v>
      </c>
      <c r="DG98" s="34" t="n">
        <f aca="false">IF((106-N(P_L1_Mes)+1)&gt;=1,IF((106-N(P_L1_Mes)+1)=1,N(P_L1_Monto),DF$100)*N(P_L1_Tasa)/12,0)*DG$9</f>
        <v>0</v>
      </c>
      <c r="DH98" s="34" t="n">
        <f aca="false">IF((107-N(P_L1_Mes)+1)&gt;=1,IF((107-N(P_L1_Mes)+1)=1,N(P_L1_Monto),DG$100)*N(P_L1_Tasa)/12,0)*DH$9</f>
        <v>0</v>
      </c>
      <c r="DI98" s="34" t="n">
        <f aca="false">IF((108-N(P_L1_Mes)+1)&gt;=1,IF((108-N(P_L1_Mes)+1)=1,N(P_L1_Monto),DH$100)*N(P_L1_Tasa)/12,0)*DI$9</f>
        <v>0</v>
      </c>
      <c r="DJ98" s="34" t="n">
        <f aca="false">IF((109-N(P_L1_Mes)+1)&gt;=1,IF((109-N(P_L1_Mes)+1)=1,N(P_L1_Monto),DI$100)*N(P_L1_Tasa)/12,0)*DJ$9</f>
        <v>0</v>
      </c>
      <c r="DK98" s="34" t="n">
        <f aca="false">IF((110-N(P_L1_Mes)+1)&gt;=1,IF((110-N(P_L1_Mes)+1)=1,N(P_L1_Monto),DJ$100)*N(P_L1_Tasa)/12,0)*DK$9</f>
        <v>0</v>
      </c>
      <c r="DL98" s="34" t="n">
        <f aca="false">IF((111-N(P_L1_Mes)+1)&gt;=1,IF((111-N(P_L1_Mes)+1)=1,N(P_L1_Monto),DK$100)*N(P_L1_Tasa)/12,0)*DL$9</f>
        <v>0</v>
      </c>
      <c r="DM98" s="34" t="n">
        <f aca="false">IF((112-N(P_L1_Mes)+1)&gt;=1,IF((112-N(P_L1_Mes)+1)=1,N(P_L1_Monto),DL$100)*N(P_L1_Tasa)/12,0)*DM$9</f>
        <v>0</v>
      </c>
      <c r="DN98" s="34" t="n">
        <f aca="false">IF((113-N(P_L1_Mes)+1)&gt;=1,IF((113-N(P_L1_Mes)+1)=1,N(P_L1_Monto),DM$100)*N(P_L1_Tasa)/12,0)*DN$9</f>
        <v>0</v>
      </c>
      <c r="DO98" s="34" t="n">
        <f aca="false">IF((114-N(P_L1_Mes)+1)&gt;=1,IF((114-N(P_L1_Mes)+1)=1,N(P_L1_Monto),DN$100)*N(P_L1_Tasa)/12,0)*DO$9</f>
        <v>0</v>
      </c>
      <c r="DP98" s="34" t="n">
        <f aca="false">IF((115-N(P_L1_Mes)+1)&gt;=1,IF((115-N(P_L1_Mes)+1)=1,N(P_L1_Monto),DO$100)*N(P_L1_Tasa)/12,0)*DP$9</f>
        <v>0</v>
      </c>
      <c r="DQ98" s="34" t="n">
        <f aca="false">IF((116-N(P_L1_Mes)+1)&gt;=1,IF((116-N(P_L1_Mes)+1)=1,N(P_L1_Monto),DP$100)*N(P_L1_Tasa)/12,0)*DQ$9</f>
        <v>0</v>
      </c>
      <c r="DR98" s="34" t="n">
        <f aca="false">IF((117-N(P_L1_Mes)+1)&gt;=1,IF((117-N(P_L1_Mes)+1)=1,N(P_L1_Monto),DQ$100)*N(P_L1_Tasa)/12,0)*DR$9</f>
        <v>0</v>
      </c>
      <c r="DS98" s="34" t="n">
        <f aca="false">IF((118-N(P_L1_Mes)+1)&gt;=1,IF((118-N(P_L1_Mes)+1)=1,N(P_L1_Monto),DR$100)*N(P_L1_Tasa)/12,0)*DS$9</f>
        <v>0</v>
      </c>
      <c r="DT98" s="34" t="n">
        <f aca="false">IF((119-N(P_L1_Mes)+1)&gt;=1,IF((119-N(P_L1_Mes)+1)=1,N(P_L1_Monto),DS$100)*N(P_L1_Tasa)/12,0)*DT$9</f>
        <v>0</v>
      </c>
      <c r="DU98" s="34" t="n">
        <f aca="false">IF((120-N(P_L1_Mes)+1)&gt;=1,IF((120-N(P_L1_Mes)+1)=1,N(P_L1_Monto),DT$100)*N(P_L1_Tasa)/12,0)*DU$9</f>
        <v>0</v>
      </c>
      <c r="DV98" s="34" t="n">
        <f aca="false">IF((121-N(P_L1_Mes)+1)&gt;=1,IF((121-N(P_L1_Mes)+1)=1,N(P_L1_Monto),DU$100)*N(P_L1_Tasa)/12,0)*DV$9</f>
        <v>0</v>
      </c>
      <c r="DW98" s="34" t="n">
        <f aca="false">IF((122-N(P_L1_Mes)+1)&gt;=1,IF((122-N(P_L1_Mes)+1)=1,N(P_L1_Monto),DV$100)*N(P_L1_Tasa)/12,0)*DW$9</f>
        <v>0</v>
      </c>
      <c r="DX98" s="34" t="n">
        <f aca="false">IF((123-N(P_L1_Mes)+1)&gt;=1,IF((123-N(P_L1_Mes)+1)=1,N(P_L1_Monto),DW$100)*N(P_L1_Tasa)/12,0)*DX$9</f>
        <v>0</v>
      </c>
      <c r="DY98" s="34" t="n">
        <f aca="false">IF((124-N(P_L1_Mes)+1)&gt;=1,IF((124-N(P_L1_Mes)+1)=1,N(P_L1_Monto),DX$100)*N(P_L1_Tasa)/12,0)*DY$9</f>
        <v>0</v>
      </c>
      <c r="DZ98" s="34" t="n">
        <f aca="false">IF((125-N(P_L1_Mes)+1)&gt;=1,IF((125-N(P_L1_Mes)+1)=1,N(P_L1_Monto),DY$100)*N(P_L1_Tasa)/12,0)*DZ$9</f>
        <v>0</v>
      </c>
      <c r="EA98" s="34" t="n">
        <f aca="false">IF((126-N(P_L1_Mes)+1)&gt;=1,IF((126-N(P_L1_Mes)+1)=1,N(P_L1_Monto),DZ$100)*N(P_L1_Tasa)/12,0)*EA$9</f>
        <v>0</v>
      </c>
      <c r="EB98" s="34" t="n">
        <f aca="false">IF((127-N(P_L1_Mes)+1)&gt;=1,IF((127-N(P_L1_Mes)+1)=1,N(P_L1_Monto),EA$100)*N(P_L1_Tasa)/12,0)*EB$9</f>
        <v>0</v>
      </c>
      <c r="EC98" s="34" t="n">
        <f aca="false">IF((128-N(P_L1_Mes)+1)&gt;=1,IF((128-N(P_L1_Mes)+1)=1,N(P_L1_Monto),EB$100)*N(P_L1_Tasa)/12,0)*EC$9</f>
        <v>0</v>
      </c>
      <c r="ED98" s="34" t="n">
        <f aca="false">IF((129-N(P_L1_Mes)+1)&gt;=1,IF((129-N(P_L1_Mes)+1)=1,N(P_L1_Monto),EC$100)*N(P_L1_Tasa)/12,0)*ED$9</f>
        <v>0</v>
      </c>
      <c r="EE98" s="34" t="n">
        <f aca="false">IF((130-N(P_L1_Mes)+1)&gt;=1,IF((130-N(P_L1_Mes)+1)=1,N(P_L1_Monto),ED$100)*N(P_L1_Tasa)/12,0)*EE$9</f>
        <v>0</v>
      </c>
      <c r="EF98" s="34" t="n">
        <f aca="false">IF((131-N(P_L1_Mes)+1)&gt;=1,IF((131-N(P_L1_Mes)+1)=1,N(P_L1_Monto),EE$100)*N(P_L1_Tasa)/12,0)*EF$9</f>
        <v>0</v>
      </c>
      <c r="EG98" s="34" t="n">
        <f aca="false">IF((132-N(P_L1_Mes)+1)&gt;=1,IF((132-N(P_L1_Mes)+1)=1,N(P_L1_Monto),EF$100)*N(P_L1_Tasa)/12,0)*EG$9</f>
        <v>0</v>
      </c>
      <c r="EH98" s="34" t="n">
        <f aca="false">IF((133-N(P_L1_Mes)+1)&gt;=1,IF((133-N(P_L1_Mes)+1)=1,N(P_L1_Monto),EG$100)*N(P_L1_Tasa)/12,0)*EH$9</f>
        <v>0</v>
      </c>
      <c r="EI98" s="34" t="n">
        <f aca="false">IF((134-N(P_L1_Mes)+1)&gt;=1,IF((134-N(P_L1_Mes)+1)=1,N(P_L1_Monto),EH$100)*N(P_L1_Tasa)/12,0)*EI$9</f>
        <v>0</v>
      </c>
      <c r="EJ98" s="34" t="n">
        <f aca="false">IF((135-N(P_L1_Mes)+1)&gt;=1,IF((135-N(P_L1_Mes)+1)=1,N(P_L1_Monto),EI$100)*N(P_L1_Tasa)/12,0)*EJ$9</f>
        <v>0</v>
      </c>
      <c r="EK98" s="34" t="n">
        <f aca="false">IF((136-N(P_L1_Mes)+1)&gt;=1,IF((136-N(P_L1_Mes)+1)=1,N(P_L1_Monto),EJ$100)*N(P_L1_Tasa)/12,0)*EK$9</f>
        <v>0</v>
      </c>
      <c r="EL98" s="34" t="n">
        <f aca="false">IF((137-N(P_L1_Mes)+1)&gt;=1,IF((137-N(P_L1_Mes)+1)=1,N(P_L1_Monto),EK$100)*N(P_L1_Tasa)/12,0)*EL$9</f>
        <v>0</v>
      </c>
      <c r="EM98" s="34" t="n">
        <f aca="false">IF((138-N(P_L1_Mes)+1)&gt;=1,IF((138-N(P_L1_Mes)+1)=1,N(P_L1_Monto),EL$100)*N(P_L1_Tasa)/12,0)*EM$9</f>
        <v>0</v>
      </c>
      <c r="EN98" s="34" t="n">
        <f aca="false">IF((139-N(P_L1_Mes)+1)&gt;=1,IF((139-N(P_L1_Mes)+1)=1,N(P_L1_Monto),EM$100)*N(P_L1_Tasa)/12,0)*EN$9</f>
        <v>0</v>
      </c>
      <c r="EO98" s="34" t="n">
        <f aca="false">IF((140-N(P_L1_Mes)+1)&gt;=1,IF((140-N(P_L1_Mes)+1)=1,N(P_L1_Monto),EN$100)*N(P_L1_Tasa)/12,0)*EO$9</f>
        <v>0</v>
      </c>
      <c r="EP98" s="34" t="n">
        <f aca="false">IF((141-N(P_L1_Mes)+1)&gt;=1,IF((141-N(P_L1_Mes)+1)=1,N(P_L1_Monto),EO$100)*N(P_L1_Tasa)/12,0)*EP$9</f>
        <v>0</v>
      </c>
      <c r="EQ98" s="34" t="n">
        <f aca="false">IF((142-N(P_L1_Mes)+1)&gt;=1,IF((142-N(P_L1_Mes)+1)=1,N(P_L1_Monto),EP$100)*N(P_L1_Tasa)/12,0)*EQ$9</f>
        <v>0</v>
      </c>
      <c r="ER98" s="34" t="n">
        <f aca="false">IF((143-N(P_L1_Mes)+1)&gt;=1,IF((143-N(P_L1_Mes)+1)=1,N(P_L1_Monto),EQ$100)*N(P_L1_Tasa)/12,0)*ER$9</f>
        <v>0</v>
      </c>
      <c r="ES98" s="34" t="n">
        <f aca="false">IF((144-N(P_L1_Mes)+1)&gt;=1,IF((144-N(P_L1_Mes)+1)=1,N(P_L1_Monto),ER$100)*N(P_L1_Tasa)/12,0)*ES$9</f>
        <v>0</v>
      </c>
    </row>
    <row r="99" customFormat="false" ht="15" hidden="false" customHeight="false" outlineLevel="0" collapsed="false">
      <c r="A99" s="2" t="s">
        <v>681</v>
      </c>
      <c r="B99" s="6" t="s">
        <v>682</v>
      </c>
      <c r="C99" s="6" t="s">
        <v>250</v>
      </c>
      <c r="E99" s="40" t="n">
        <f aca="false">SUM(F99:ES99)</f>
        <v>2791587</v>
      </c>
      <c r="F99" s="34" t="n">
        <f aca="false">IF(AND((1-N(P_L1_Mes)+1)&gt;N(P_L1_Gracia),(1-N(P_L1_Mes)+1)&lt;=N(P_L1_Gracia)+N(P_L1_Cuotas),N(P_L1_Cuotas)&gt;0),IF((1-N(P_L1_Mes)+1)=N(P_L1_Gracia)+N(P_L1_Cuotas),IF((1-N(P_L1_Mes)+1)=1,N(P_L1_Monto),0),PMT(N(P_L1_Tasa)/12,N(P_L1_Cuotas),-N(P_L1_Monto))-F$98),0)*F$9</f>
        <v>0</v>
      </c>
      <c r="G99" s="34" t="n">
        <f aca="false">IF(AND((2-N(P_L1_Mes)+1)&gt;N(P_L1_Gracia),(2-N(P_L1_Mes)+1)&lt;=N(P_L1_Gracia)+N(P_L1_Cuotas),N(P_L1_Cuotas)&gt;0),IF((2-N(P_L1_Mes)+1)=N(P_L1_Gracia)+N(P_L1_Cuotas),IF((2-N(P_L1_Mes)+1)=1,N(P_L1_Monto),F$100),PMT(N(P_L1_Tasa)/12,N(P_L1_Cuotas),-N(P_L1_Monto))-G$98),0)*G$9</f>
        <v>0</v>
      </c>
      <c r="H99" s="34" t="n">
        <f aca="false">IF(AND((3-N(P_L1_Mes)+1)&gt;N(P_L1_Gracia),(3-N(P_L1_Mes)+1)&lt;=N(P_L1_Gracia)+N(P_L1_Cuotas),N(P_L1_Cuotas)&gt;0),IF((3-N(P_L1_Mes)+1)=N(P_L1_Gracia)+N(P_L1_Cuotas),IF((3-N(P_L1_Mes)+1)=1,N(P_L1_Monto),G$100),PMT(N(P_L1_Tasa)/12,N(P_L1_Cuotas),-N(P_L1_Monto))-H$98),0)*H$9</f>
        <v>0</v>
      </c>
      <c r="I99" s="34" t="n">
        <f aca="false">IF(AND((4-N(P_L1_Mes)+1)&gt;N(P_L1_Gracia),(4-N(P_L1_Mes)+1)&lt;=N(P_L1_Gracia)+N(P_L1_Cuotas),N(P_L1_Cuotas)&gt;0),IF((4-N(P_L1_Mes)+1)=N(P_L1_Gracia)+N(P_L1_Cuotas),IF((4-N(P_L1_Mes)+1)=1,N(P_L1_Monto),H$100),PMT(N(P_L1_Tasa)/12,N(P_L1_Cuotas),-N(P_L1_Monto))-I$98),0)*I$9</f>
        <v>0</v>
      </c>
      <c r="J99" s="34" t="n">
        <f aca="false">IF(AND((5-N(P_L1_Mes)+1)&gt;N(P_L1_Gracia),(5-N(P_L1_Mes)+1)&lt;=N(P_L1_Gracia)+N(P_L1_Cuotas),N(P_L1_Cuotas)&gt;0),IF((5-N(P_L1_Mes)+1)=N(P_L1_Gracia)+N(P_L1_Cuotas),IF((5-N(P_L1_Mes)+1)=1,N(P_L1_Monto),I$100),PMT(N(P_L1_Tasa)/12,N(P_L1_Cuotas),-N(P_L1_Monto))-J$98),0)*J$9</f>
        <v>0</v>
      </c>
      <c r="K99" s="34" t="n">
        <f aca="false">IF(AND((6-N(P_L1_Mes)+1)&gt;N(P_L1_Gracia),(6-N(P_L1_Mes)+1)&lt;=N(P_L1_Gracia)+N(P_L1_Cuotas),N(P_L1_Cuotas)&gt;0),IF((6-N(P_L1_Mes)+1)=N(P_L1_Gracia)+N(P_L1_Cuotas),IF((6-N(P_L1_Mes)+1)=1,N(P_L1_Monto),J$100),PMT(N(P_L1_Tasa)/12,N(P_L1_Cuotas),-N(P_L1_Monto))-K$98),0)*K$9</f>
        <v>0</v>
      </c>
      <c r="L99" s="34" t="n">
        <f aca="false">IF(AND((7-N(P_L1_Mes)+1)&gt;N(P_L1_Gracia),(7-N(P_L1_Mes)+1)&lt;=N(P_L1_Gracia)+N(P_L1_Cuotas),N(P_L1_Cuotas)&gt;0),IF((7-N(P_L1_Mes)+1)=N(P_L1_Gracia)+N(P_L1_Cuotas),IF((7-N(P_L1_Mes)+1)=1,N(P_L1_Monto),K$100),PMT(N(P_L1_Tasa)/12,N(P_L1_Cuotas),-N(P_L1_Monto))-L$98),0)*L$9</f>
        <v>42123.3040946878</v>
      </c>
      <c r="M99" s="34" t="n">
        <f aca="false">IF(AND((8-N(P_L1_Mes)+1)&gt;N(P_L1_Gracia),(8-N(P_L1_Mes)+1)&lt;=N(P_L1_Gracia)+N(P_L1_Cuotas),N(P_L1_Cuotas)&gt;0),IF((8-N(P_L1_Mes)+1)=N(P_L1_Gracia)+N(P_L1_Cuotas),IF((8-N(P_L1_Mes)+1)=1,N(P_L1_Monto),L$100),PMT(N(P_L1_Tasa)/12,N(P_L1_Cuotas),-N(P_L1_Monto))-M$98),0)*M$9</f>
        <v>42439.2288753979</v>
      </c>
      <c r="N99" s="34" t="n">
        <f aca="false">IF(AND((9-N(P_L1_Mes)+1)&gt;N(P_L1_Gracia),(9-N(P_L1_Mes)+1)&lt;=N(P_L1_Gracia)+N(P_L1_Cuotas),N(P_L1_Cuotas)&gt;0),IF((9-N(P_L1_Mes)+1)=N(P_L1_Gracia)+N(P_L1_Cuotas),IF((9-N(P_L1_Mes)+1)=1,N(P_L1_Monto),M$100),PMT(N(P_L1_Tasa)/12,N(P_L1_Cuotas),-N(P_L1_Monto))-N$98),0)*N$9</f>
        <v>42757.5230919634</v>
      </c>
      <c r="O99" s="34" t="n">
        <f aca="false">IF(AND((10-N(P_L1_Mes)+1)&gt;N(P_L1_Gracia),(10-N(P_L1_Mes)+1)&lt;=N(P_L1_Gracia)+N(P_L1_Cuotas),N(P_L1_Cuotas)&gt;0),IF((10-N(P_L1_Mes)+1)=N(P_L1_Gracia)+N(P_L1_Cuotas),IF((10-N(P_L1_Mes)+1)=1,N(P_L1_Monto),N$100),PMT(N(P_L1_Tasa)/12,N(P_L1_Cuotas),-N(P_L1_Monto))-O$98),0)*O$9</f>
        <v>43078.2045151531</v>
      </c>
      <c r="P99" s="34" t="n">
        <f aca="false">IF(AND((11-N(P_L1_Mes)+1)&gt;N(P_L1_Gracia),(11-N(P_L1_Mes)+1)&lt;=N(P_L1_Gracia)+N(P_L1_Cuotas),N(P_L1_Cuotas)&gt;0),IF((11-N(P_L1_Mes)+1)=N(P_L1_Gracia)+N(P_L1_Cuotas),IF((11-N(P_L1_Mes)+1)=1,N(P_L1_Monto),O$100),PMT(N(P_L1_Tasa)/12,N(P_L1_Cuotas),-N(P_L1_Monto))-P$98),0)*P$9</f>
        <v>43401.2910490168</v>
      </c>
      <c r="Q99" s="34" t="n">
        <f aca="false">IF(AND((12-N(P_L1_Mes)+1)&gt;N(P_L1_Gracia),(12-N(P_L1_Mes)+1)&lt;=N(P_L1_Gracia)+N(P_L1_Cuotas),N(P_L1_Cuotas)&gt;0),IF((12-N(P_L1_Mes)+1)=N(P_L1_Gracia)+N(P_L1_Cuotas),IF((12-N(P_L1_Mes)+1)=1,N(P_L1_Monto),P$100),PMT(N(P_L1_Tasa)/12,N(P_L1_Cuotas),-N(P_L1_Monto))-Q$98),0)*Q$9</f>
        <v>43726.8007318844</v>
      </c>
      <c r="R99" s="34" t="n">
        <f aca="false">IF(AND((13-N(P_L1_Mes)+1)&gt;N(P_L1_Gracia),(13-N(P_L1_Mes)+1)&lt;=N(P_L1_Gracia)+N(P_L1_Cuotas),N(P_L1_Cuotas)&gt;0),IF((13-N(P_L1_Mes)+1)=N(P_L1_Gracia)+N(P_L1_Cuotas),IF((13-N(P_L1_Mes)+1)=1,N(P_L1_Monto),Q$100),PMT(N(P_L1_Tasa)/12,N(P_L1_Cuotas),-N(P_L1_Monto))-R$98),0)*R$9</f>
        <v>44054.7517373735</v>
      </c>
      <c r="S99" s="34" t="n">
        <f aca="false">IF(AND((14-N(P_L1_Mes)+1)&gt;N(P_L1_Gracia),(14-N(P_L1_Mes)+1)&lt;=N(P_L1_Gracia)+N(P_L1_Cuotas),N(P_L1_Cuotas)&gt;0),IF((14-N(P_L1_Mes)+1)=N(P_L1_Gracia)+N(P_L1_Cuotas),IF((14-N(P_L1_Mes)+1)=1,N(P_L1_Monto),R$100),PMT(N(P_L1_Tasa)/12,N(P_L1_Cuotas),-N(P_L1_Monto))-S$98),0)*S$9</f>
        <v>44385.1623754038</v>
      </c>
      <c r="T99" s="34" t="n">
        <f aca="false">IF(AND((15-N(P_L1_Mes)+1)&gt;N(P_L1_Gracia),(15-N(P_L1_Mes)+1)&lt;=N(P_L1_Gracia)+N(P_L1_Cuotas),N(P_L1_Cuotas)&gt;0),IF((15-N(P_L1_Mes)+1)=N(P_L1_Gracia)+N(P_L1_Cuotas),IF((15-N(P_L1_Mes)+1)=1,N(P_L1_Monto),S$100),PMT(N(P_L1_Tasa)/12,N(P_L1_Cuotas),-N(P_L1_Monto))-T$98),0)*T$9</f>
        <v>44718.0510932194</v>
      </c>
      <c r="U99" s="34" t="n">
        <f aca="false">IF(AND((16-N(P_L1_Mes)+1)&gt;N(P_L1_Gracia),(16-N(P_L1_Mes)+1)&lt;=N(P_L1_Gracia)+N(P_L1_Cuotas),N(P_L1_Cuotas)&gt;0),IF((16-N(P_L1_Mes)+1)=N(P_L1_Gracia)+N(P_L1_Cuotas),IF((16-N(P_L1_Mes)+1)=1,N(P_L1_Monto),T$100),PMT(N(P_L1_Tasa)/12,N(P_L1_Cuotas),-N(P_L1_Monto))-U$98),0)*U$9</f>
        <v>45053.4364764185</v>
      </c>
      <c r="V99" s="34" t="n">
        <f aca="false">IF(AND((17-N(P_L1_Mes)+1)&gt;N(P_L1_Gracia),(17-N(P_L1_Mes)+1)&lt;=N(P_L1_Gracia)+N(P_L1_Cuotas),N(P_L1_Cuotas)&gt;0),IF((17-N(P_L1_Mes)+1)=N(P_L1_Gracia)+N(P_L1_Cuotas),IF((17-N(P_L1_Mes)+1)=1,N(P_L1_Monto),U$100),PMT(N(P_L1_Tasa)/12,N(P_L1_Cuotas),-N(P_L1_Monto))-V$98),0)*V$9</f>
        <v>45391.3372499916</v>
      </c>
      <c r="W99" s="34" t="n">
        <f aca="false">IF(AND((18-N(P_L1_Mes)+1)&gt;N(P_L1_Gracia),(18-N(P_L1_Mes)+1)&lt;=N(P_L1_Gracia)+N(P_L1_Cuotas),N(P_L1_Cuotas)&gt;0),IF((18-N(P_L1_Mes)+1)=N(P_L1_Gracia)+N(P_L1_Cuotas),IF((18-N(P_L1_Mes)+1)=1,N(P_L1_Monto),V$100),PMT(N(P_L1_Tasa)/12,N(P_L1_Cuotas),-N(P_L1_Monto))-W$98),0)*W$9</f>
        <v>45731.7722793666</v>
      </c>
      <c r="X99" s="34" t="n">
        <f aca="false">IF(AND((19-N(P_L1_Mes)+1)&gt;N(P_L1_Gracia),(19-N(P_L1_Mes)+1)&lt;=N(P_L1_Gracia)+N(P_L1_Cuotas),N(P_L1_Cuotas)&gt;0),IF((19-N(P_L1_Mes)+1)=N(P_L1_Gracia)+N(P_L1_Cuotas),IF((19-N(P_L1_Mes)+1)=1,N(P_L1_Monto),W$100),PMT(N(P_L1_Tasa)/12,N(P_L1_Cuotas),-N(P_L1_Monto))-X$98),0)*X$9</f>
        <v>46074.7605714618</v>
      </c>
      <c r="Y99" s="34" t="n">
        <f aca="false">IF(AND((20-N(P_L1_Mes)+1)&gt;N(P_L1_Gracia),(20-N(P_L1_Mes)+1)&lt;=N(P_L1_Gracia)+N(P_L1_Cuotas),N(P_L1_Cuotas)&gt;0),IF((20-N(P_L1_Mes)+1)=N(P_L1_Gracia)+N(P_L1_Cuotas),IF((20-N(P_L1_Mes)+1)=1,N(P_L1_Monto),X$100),PMT(N(P_L1_Tasa)/12,N(P_L1_Cuotas),-N(P_L1_Monto))-Y$98),0)*Y$9</f>
        <v>46420.3212757478</v>
      </c>
      <c r="Z99" s="34" t="n">
        <f aca="false">IF(AND((21-N(P_L1_Mes)+1)&gt;N(P_L1_Gracia),(21-N(P_L1_Mes)+1)&lt;=N(P_L1_Gracia)+N(P_L1_Cuotas),N(P_L1_Cuotas)&gt;0),IF((21-N(P_L1_Mes)+1)=N(P_L1_Gracia)+N(P_L1_Cuotas),IF((21-N(P_L1_Mes)+1)=1,N(P_L1_Monto),Y$100),PMT(N(P_L1_Tasa)/12,N(P_L1_Cuotas),-N(P_L1_Monto))-Z$98),0)*Z$9</f>
        <v>46768.4736853159</v>
      </c>
      <c r="AA99" s="34" t="n">
        <f aca="false">IF(AND((22-N(P_L1_Mes)+1)&gt;N(P_L1_Gracia),(22-N(P_L1_Mes)+1)&lt;=N(P_L1_Gracia)+N(P_L1_Cuotas),N(P_L1_Cuotas)&gt;0),IF((22-N(P_L1_Mes)+1)=N(P_L1_Gracia)+N(P_L1_Cuotas),IF((22-N(P_L1_Mes)+1)=1,N(P_L1_Monto),Z$100),PMT(N(P_L1_Tasa)/12,N(P_L1_Cuotas),-N(P_L1_Monto))-AA$98),0)*AA$9</f>
        <v>47119.2372379558</v>
      </c>
      <c r="AB99" s="34" t="n">
        <f aca="false">IF(AND((23-N(P_L1_Mes)+1)&gt;N(P_L1_Gracia),(23-N(P_L1_Mes)+1)&lt;=N(P_L1_Gracia)+N(P_L1_Cuotas),N(P_L1_Cuotas)&gt;0),IF((23-N(P_L1_Mes)+1)=N(P_L1_Gracia)+N(P_L1_Cuotas),IF((23-N(P_L1_Mes)+1)=1,N(P_L1_Monto),AA$100),PMT(N(P_L1_Tasa)/12,N(P_L1_Cuotas),-N(P_L1_Monto))-AB$98),0)*AB$9</f>
        <v>47472.6315172404</v>
      </c>
      <c r="AC99" s="34" t="n">
        <f aca="false">IF(AND((24-N(P_L1_Mes)+1)&gt;N(P_L1_Gracia),(24-N(P_L1_Mes)+1)&lt;=N(P_L1_Gracia)+N(P_L1_Cuotas),N(P_L1_Cuotas)&gt;0),IF((24-N(P_L1_Mes)+1)=N(P_L1_Gracia)+N(P_L1_Cuotas),IF((24-N(P_L1_Mes)+1)=1,N(P_L1_Monto),AB$100),PMT(N(P_L1_Tasa)/12,N(P_L1_Cuotas),-N(P_L1_Monto))-AC$98),0)*AC$9</f>
        <v>47828.6762536197</v>
      </c>
      <c r="AD99" s="34" t="n">
        <f aca="false">IF(AND((25-N(P_L1_Mes)+1)&gt;N(P_L1_Gracia),(25-N(P_L1_Mes)+1)&lt;=N(P_L1_Gracia)+N(P_L1_Cuotas),N(P_L1_Cuotas)&gt;0),IF((25-N(P_L1_Mes)+1)=N(P_L1_Gracia)+N(P_L1_Cuotas),IF((25-N(P_L1_Mes)+1)=1,N(P_L1_Monto),AC$100),PMT(N(P_L1_Tasa)/12,N(P_L1_Cuotas),-N(P_L1_Monto))-AD$98),0)*AD$9</f>
        <v>48187.3913255219</v>
      </c>
      <c r="AE99" s="34" t="n">
        <f aca="false">IF(AND((26-N(P_L1_Mes)+1)&gt;N(P_L1_Gracia),(26-N(P_L1_Mes)+1)&lt;=N(P_L1_Gracia)+N(P_L1_Cuotas),N(P_L1_Cuotas)&gt;0),IF((26-N(P_L1_Mes)+1)=N(P_L1_Gracia)+N(P_L1_Cuotas),IF((26-N(P_L1_Mes)+1)=1,N(P_L1_Monto),AD$100),PMT(N(P_L1_Tasa)/12,N(P_L1_Cuotas),-N(P_L1_Monto))-AE$98),0)*AE$9</f>
        <v>48548.7967604633</v>
      </c>
      <c r="AF99" s="34" t="n">
        <f aca="false">IF(AND((27-N(P_L1_Mes)+1)&gt;N(P_L1_Gracia),(27-N(P_L1_Mes)+1)&lt;=N(P_L1_Gracia)+N(P_L1_Cuotas),N(P_L1_Cuotas)&gt;0),IF((27-N(P_L1_Mes)+1)=N(P_L1_Gracia)+N(P_L1_Cuotas),IF((27-N(P_L1_Mes)+1)=1,N(P_L1_Monto),AE$100),PMT(N(P_L1_Tasa)/12,N(P_L1_Cuotas),-N(P_L1_Monto))-AF$98),0)*AF$9</f>
        <v>48912.9127361668</v>
      </c>
      <c r="AG99" s="34" t="n">
        <f aca="false">IF(AND((28-N(P_L1_Mes)+1)&gt;N(P_L1_Gracia),(28-N(P_L1_Mes)+1)&lt;=N(P_L1_Gracia)+N(P_L1_Cuotas),N(P_L1_Cuotas)&gt;0),IF((28-N(P_L1_Mes)+1)=N(P_L1_Gracia)+N(P_L1_Cuotas),IF((28-N(P_L1_Mes)+1)=1,N(P_L1_Monto),AF$100),PMT(N(P_L1_Tasa)/12,N(P_L1_Cuotas),-N(P_L1_Monto))-AG$98),0)*AG$9</f>
        <v>49279.759581688</v>
      </c>
      <c r="AH99" s="34" t="n">
        <f aca="false">IF(AND((29-N(P_L1_Mes)+1)&gt;N(P_L1_Gracia),(29-N(P_L1_Mes)+1)&lt;=N(P_L1_Gracia)+N(P_L1_Cuotas),N(P_L1_Cuotas)&gt;0),IF((29-N(P_L1_Mes)+1)=N(P_L1_Gracia)+N(P_L1_Cuotas),IF((29-N(P_L1_Mes)+1)=1,N(P_L1_Monto),AG$100),PMT(N(P_L1_Tasa)/12,N(P_L1_Cuotas),-N(P_L1_Monto))-AH$98),0)*AH$9</f>
        <v>49649.3577785507</v>
      </c>
      <c r="AI99" s="34" t="n">
        <f aca="false">IF(AND((30-N(P_L1_Mes)+1)&gt;N(P_L1_Gracia),(30-N(P_L1_Mes)+1)&lt;=N(P_L1_Gracia)+N(P_L1_Cuotas),N(P_L1_Cuotas)&gt;0),IF((30-N(P_L1_Mes)+1)=N(P_L1_Gracia)+N(P_L1_Cuotas),IF((30-N(P_L1_Mes)+1)=1,N(P_L1_Monto),AH$100),PMT(N(P_L1_Tasa)/12,N(P_L1_Cuotas),-N(P_L1_Monto))-AI$98),0)*AI$9</f>
        <v>50021.7279618898</v>
      </c>
      <c r="AJ99" s="34" t="n">
        <f aca="false">IF(AND((31-N(P_L1_Mes)+1)&gt;N(P_L1_Gracia),(31-N(P_L1_Mes)+1)&lt;=N(P_L1_Gracia)+N(P_L1_Cuotas),N(P_L1_Cuotas)&gt;0),IF((31-N(P_L1_Mes)+1)=N(P_L1_Gracia)+N(P_L1_Cuotas),IF((31-N(P_L1_Mes)+1)=1,N(P_L1_Monto),AI$100),PMT(N(P_L1_Tasa)/12,N(P_L1_Cuotas),-N(P_L1_Monto))-AJ$98),0)*AJ$9</f>
        <v>50396.890921604</v>
      </c>
      <c r="AK99" s="34" t="n">
        <f aca="false">IF(AND((32-N(P_L1_Mes)+1)&gt;N(P_L1_Gracia),(32-N(P_L1_Mes)+1)&lt;=N(P_L1_Gracia)+N(P_L1_Cuotas),N(P_L1_Cuotas)&gt;0),IF((32-N(P_L1_Mes)+1)=N(P_L1_Gracia)+N(P_L1_Cuotas),IF((32-N(P_L1_Mes)+1)=1,N(P_L1_Monto),AJ$100),PMT(N(P_L1_Tasa)/12,N(P_L1_Cuotas),-N(P_L1_Monto))-AK$98),0)*AK$9</f>
        <v>50774.867603516</v>
      </c>
      <c r="AL99" s="34" t="n">
        <f aca="false">IF(AND((33-N(P_L1_Mes)+1)&gt;N(P_L1_Gracia),(33-N(P_L1_Mes)+1)&lt;=N(P_L1_Gracia)+N(P_L1_Cuotas),N(P_L1_Cuotas)&gt;0),IF((33-N(P_L1_Mes)+1)=N(P_L1_Gracia)+N(P_L1_Cuotas),IF((33-N(P_L1_Mes)+1)=1,N(P_L1_Monto),AK$100),PMT(N(P_L1_Tasa)/12,N(P_L1_Cuotas),-N(P_L1_Monto))-AL$98),0)*AL$9</f>
        <v>51155.6791105424</v>
      </c>
      <c r="AM99" s="34" t="n">
        <f aca="false">IF(AND((34-N(P_L1_Mes)+1)&gt;N(P_L1_Gracia),(34-N(P_L1_Mes)+1)&lt;=N(P_L1_Gracia)+N(P_L1_Cuotas),N(P_L1_Cuotas)&gt;0),IF((34-N(P_L1_Mes)+1)=N(P_L1_Gracia)+N(P_L1_Cuotas),IF((34-N(P_L1_Mes)+1)=1,N(P_L1_Monto),AL$100),PMT(N(P_L1_Tasa)/12,N(P_L1_Cuotas),-N(P_L1_Monto))-AM$98),0)*AM$9</f>
        <v>51539.3467038715</v>
      </c>
      <c r="AN99" s="34" t="n">
        <f aca="false">IF(AND((35-N(P_L1_Mes)+1)&gt;N(P_L1_Gracia),(35-N(P_L1_Mes)+1)&lt;=N(P_L1_Gracia)+N(P_L1_Cuotas),N(P_L1_Cuotas)&gt;0),IF((35-N(P_L1_Mes)+1)=N(P_L1_Gracia)+N(P_L1_Cuotas),IF((35-N(P_L1_Mes)+1)=1,N(P_L1_Monto),AM$100),PMT(N(P_L1_Tasa)/12,N(P_L1_Cuotas),-N(P_L1_Monto))-AN$98),0)*AN$9</f>
        <v>51925.8918041505</v>
      </c>
      <c r="AO99" s="34" t="n">
        <f aca="false">IF(AND((36-N(P_L1_Mes)+1)&gt;N(P_L1_Gracia),(36-N(P_L1_Mes)+1)&lt;=N(P_L1_Gracia)+N(P_L1_Cuotas),N(P_L1_Cuotas)&gt;0),IF((36-N(P_L1_Mes)+1)=N(P_L1_Gracia)+N(P_L1_Cuotas),IF((36-N(P_L1_Mes)+1)=1,N(P_L1_Monto),AN$100),PMT(N(P_L1_Tasa)/12,N(P_L1_Cuotas),-N(P_L1_Monto))-AO$98),0)*AO$9</f>
        <v>52315.3359926816</v>
      </c>
      <c r="AP99" s="34" t="n">
        <f aca="false">IF(AND((37-N(P_L1_Mes)+1)&gt;N(P_L1_Gracia),(37-N(P_L1_Mes)+1)&lt;=N(P_L1_Gracia)+N(P_L1_Cuotas),N(P_L1_Cuotas)&gt;0),IF((37-N(P_L1_Mes)+1)=N(P_L1_Gracia)+N(P_L1_Cuotas),IF((37-N(P_L1_Mes)+1)=1,N(P_L1_Monto),AO$100),PMT(N(P_L1_Tasa)/12,N(P_L1_Cuotas),-N(P_L1_Monto))-AP$98),0)*AP$9</f>
        <v>52707.7010126267</v>
      </c>
      <c r="AQ99" s="34" t="n">
        <f aca="false">IF(AND((38-N(P_L1_Mes)+1)&gt;N(P_L1_Gracia),(38-N(P_L1_Mes)+1)&lt;=N(P_L1_Gracia)+N(P_L1_Cuotas),N(P_L1_Cuotas)&gt;0),IF((38-N(P_L1_Mes)+1)=N(P_L1_Gracia)+N(P_L1_Cuotas),IF((38-N(P_L1_Mes)+1)=1,N(P_L1_Monto),AP$100),PMT(N(P_L1_Tasa)/12,N(P_L1_Cuotas),-N(P_L1_Monto))-AQ$98),0)*AQ$9</f>
        <v>53103.0087702214</v>
      </c>
      <c r="AR99" s="34" t="n">
        <f aca="false">IF(AND((39-N(P_L1_Mes)+1)&gt;N(P_L1_Gracia),(39-N(P_L1_Mes)+1)&lt;=N(P_L1_Gracia)+N(P_L1_Cuotas),N(P_L1_Cuotas)&gt;0),IF((39-N(P_L1_Mes)+1)=N(P_L1_Gracia)+N(P_L1_Cuotas),IF((39-N(P_L1_Mes)+1)=1,N(P_L1_Monto),AQ$100),PMT(N(P_L1_Tasa)/12,N(P_L1_Cuotas),-N(P_L1_Monto))-AR$98),0)*AR$9</f>
        <v>53501.2813359981</v>
      </c>
      <c r="AS99" s="34" t="n">
        <f aca="false">IF(AND((40-N(P_L1_Mes)+1)&gt;N(P_L1_Gracia),(40-N(P_L1_Mes)+1)&lt;=N(P_L1_Gracia)+N(P_L1_Cuotas),N(P_L1_Cuotas)&gt;0),IF((40-N(P_L1_Mes)+1)=N(P_L1_Gracia)+N(P_L1_Cuotas),IF((40-N(P_L1_Mes)+1)=1,N(P_L1_Monto),AR$100),PMT(N(P_L1_Tasa)/12,N(P_L1_Cuotas),-N(P_L1_Monto))-AS$98),0)*AS$9</f>
        <v>53902.5409460181</v>
      </c>
      <c r="AT99" s="34" t="n">
        <f aca="false">IF(AND((41-N(P_L1_Mes)+1)&gt;N(P_L1_Gracia),(41-N(P_L1_Mes)+1)&lt;=N(P_L1_Gracia)+N(P_L1_Cuotas),N(P_L1_Cuotas)&gt;0),IF((41-N(P_L1_Mes)+1)=N(P_L1_Gracia)+N(P_L1_Cuotas),IF((41-N(P_L1_Mes)+1)=1,N(P_L1_Monto),AS$100),PMT(N(P_L1_Tasa)/12,N(P_L1_Cuotas),-N(P_L1_Monto))-AT$98),0)*AT$9</f>
        <v>54306.8100031132</v>
      </c>
      <c r="AU99" s="34" t="n">
        <f aca="false">IF(AND((42-N(P_L1_Mes)+1)&gt;N(P_L1_Gracia),(42-N(P_L1_Mes)+1)&lt;=N(P_L1_Gracia)+N(P_L1_Cuotas),N(P_L1_Cuotas)&gt;0),IF((42-N(P_L1_Mes)+1)=N(P_L1_Gracia)+N(P_L1_Cuotas),IF((42-N(P_L1_Mes)+1)=1,N(P_L1_Monto),AT$100),PMT(N(P_L1_Tasa)/12,N(P_L1_Cuotas),-N(P_L1_Monto))-AU$98),0)*AU$9</f>
        <v>54714.1110781366</v>
      </c>
      <c r="AV99" s="34" t="n">
        <f aca="false">IF(AND((43-N(P_L1_Mes)+1)&gt;N(P_L1_Gracia),(43-N(P_L1_Mes)+1)&lt;=N(P_L1_Gracia)+N(P_L1_Cuotas),N(P_L1_Cuotas)&gt;0),IF((43-N(P_L1_Mes)+1)=N(P_L1_Gracia)+N(P_L1_Cuotas),IF((43-N(P_L1_Mes)+1)=1,N(P_L1_Monto),AU$100),PMT(N(P_L1_Tasa)/12,N(P_L1_Cuotas),-N(P_L1_Monto))-AV$98),0)*AV$9</f>
        <v>55124.4669112226</v>
      </c>
      <c r="AW99" s="34" t="n">
        <f aca="false">IF(AND((44-N(P_L1_Mes)+1)&gt;N(P_L1_Gracia),(44-N(P_L1_Mes)+1)&lt;=N(P_L1_Gracia)+N(P_L1_Cuotas),N(P_L1_Cuotas)&gt;0),IF((44-N(P_L1_Mes)+1)=N(P_L1_Gracia)+N(P_L1_Cuotas),IF((44-N(P_L1_Mes)+1)=1,N(P_L1_Monto),AV$100),PMT(N(P_L1_Tasa)/12,N(P_L1_Cuotas),-N(P_L1_Monto))-AW$98),0)*AW$9</f>
        <v>55537.9004130568</v>
      </c>
      <c r="AX99" s="34" t="n">
        <f aca="false">IF(AND((45-N(P_L1_Mes)+1)&gt;N(P_L1_Gracia),(45-N(P_L1_Mes)+1)&lt;=N(P_L1_Gracia)+N(P_L1_Cuotas),N(P_L1_Cuotas)&gt;0),IF((45-N(P_L1_Mes)+1)=N(P_L1_Gracia)+N(P_L1_Cuotas),IF((45-N(P_L1_Mes)+1)=1,N(P_L1_Monto),AW$100),PMT(N(P_L1_Tasa)/12,N(P_L1_Cuotas),-N(P_L1_Monto))-AX$98),0)*AX$9</f>
        <v>55954.4346661547</v>
      </c>
      <c r="AY99" s="34" t="n">
        <f aca="false">IF(AND((46-N(P_L1_Mes)+1)&gt;N(P_L1_Gracia),(46-N(P_L1_Mes)+1)&lt;=N(P_L1_Gracia)+N(P_L1_Cuotas),N(P_L1_Cuotas)&gt;0),IF((46-N(P_L1_Mes)+1)=N(P_L1_Gracia)+N(P_L1_Cuotas),IF((46-N(P_L1_Mes)+1)=1,N(P_L1_Monto),AX$100),PMT(N(P_L1_Tasa)/12,N(P_L1_Cuotas),-N(P_L1_Monto))-AY$98),0)*AY$9</f>
        <v>56374.0929261509</v>
      </c>
      <c r="AZ99" s="34" t="n">
        <f aca="false">IF(AND((47-N(P_L1_Mes)+1)&gt;N(P_L1_Gracia),(47-N(P_L1_Mes)+1)&lt;=N(P_L1_Gracia)+N(P_L1_Cuotas),N(P_L1_Cuotas)&gt;0),IF((47-N(P_L1_Mes)+1)=N(P_L1_Gracia)+N(P_L1_Cuotas),IF((47-N(P_L1_Mes)+1)=1,N(P_L1_Monto),AY$100),PMT(N(P_L1_Tasa)/12,N(P_L1_Cuotas),-N(P_L1_Monto))-AZ$98),0)*AZ$9</f>
        <v>56796.898623097</v>
      </c>
      <c r="BA99" s="34" t="n">
        <f aca="false">IF(AND((48-N(P_L1_Mes)+1)&gt;N(P_L1_Gracia),(48-N(P_L1_Mes)+1)&lt;=N(P_L1_Gracia)+N(P_L1_Cuotas),N(P_L1_Cuotas)&gt;0),IF((48-N(P_L1_Mes)+1)=N(P_L1_Gracia)+N(P_L1_Cuotas),IF((48-N(P_L1_Mes)+1)=1,N(P_L1_Monto),AZ$100),PMT(N(P_L1_Tasa)/12,N(P_L1_Cuotas),-N(P_L1_Monto))-BA$98),0)*BA$9</f>
        <v>57222.8753627702</v>
      </c>
      <c r="BB99" s="34" t="n">
        <f aca="false">IF(AND((49-N(P_L1_Mes)+1)&gt;N(P_L1_Gracia),(49-N(P_L1_Mes)+1)&lt;=N(P_L1_Gracia)+N(P_L1_Cuotas),N(P_L1_Cuotas)&gt;0),IF((49-N(P_L1_Mes)+1)=N(P_L1_Gracia)+N(P_L1_Cuotas),IF((49-N(P_L1_Mes)+1)=1,N(P_L1_Monto),BA$100),PMT(N(P_L1_Tasa)/12,N(P_L1_Cuotas),-N(P_L1_Monto))-BB$98),0)*BB$9</f>
        <v>57652.046927991</v>
      </c>
      <c r="BC99" s="34" t="n">
        <f aca="false">IF(AND((50-N(P_L1_Mes)+1)&gt;N(P_L1_Gracia),(50-N(P_L1_Mes)+1)&lt;=N(P_L1_Gracia)+N(P_L1_Cuotas),N(P_L1_Cuotas)&gt;0),IF((50-N(P_L1_Mes)+1)=N(P_L1_Gracia)+N(P_L1_Cuotas),IF((50-N(P_L1_Mes)+1)=1,N(P_L1_Monto),BB$100),PMT(N(P_L1_Tasa)/12,N(P_L1_Cuotas),-N(P_L1_Monto))-BC$98),0)*BC$9</f>
        <v>58084.4372799509</v>
      </c>
      <c r="BD99" s="34" t="n">
        <f aca="false">IF(AND((51-N(P_L1_Mes)+1)&gt;N(P_L1_Gracia),(51-N(P_L1_Mes)+1)&lt;=N(P_L1_Gracia)+N(P_L1_Cuotas),N(P_L1_Cuotas)&gt;0),IF((51-N(P_L1_Mes)+1)=N(P_L1_Gracia)+N(P_L1_Cuotas),IF((51-N(P_L1_Mes)+1)=1,N(P_L1_Monto),BC$100),PMT(N(P_L1_Tasa)/12,N(P_L1_Cuotas),-N(P_L1_Monto))-BD$98),0)*BD$9</f>
        <v>58520.0705595506</v>
      </c>
      <c r="BE99" s="34" t="n">
        <f aca="false">IF(AND((52-N(P_L1_Mes)+1)&gt;N(P_L1_Gracia),(52-N(P_L1_Mes)+1)&lt;=N(P_L1_Gracia)+N(P_L1_Cuotas),N(P_L1_Cuotas)&gt;0),IF((52-N(P_L1_Mes)+1)=N(P_L1_Gracia)+N(P_L1_Cuotas),IF((52-N(P_L1_Mes)+1)=1,N(P_L1_Monto),BD$100),PMT(N(P_L1_Tasa)/12,N(P_L1_Cuotas),-N(P_L1_Monto))-BE$98),0)*BE$9</f>
        <v>58958.9710887472</v>
      </c>
      <c r="BF99" s="34" t="n">
        <f aca="false">IF(AND((53-N(P_L1_Mes)+1)&gt;N(P_L1_Gracia),(53-N(P_L1_Mes)+1)&lt;=N(P_L1_Gracia)+N(P_L1_Cuotas),N(P_L1_Cuotas)&gt;0),IF((53-N(P_L1_Mes)+1)=N(P_L1_Gracia)+N(P_L1_Cuotas),IF((53-N(P_L1_Mes)+1)=1,N(P_L1_Monto),BE$100),PMT(N(P_L1_Tasa)/12,N(P_L1_Cuotas),-N(P_L1_Monto))-BF$98),0)*BF$9</f>
        <v>59401.1633719128</v>
      </c>
      <c r="BG99" s="34" t="n">
        <f aca="false">IF(AND((54-N(P_L1_Mes)+1)&gt;N(P_L1_Gracia),(54-N(P_L1_Mes)+1)&lt;=N(P_L1_Gracia)+N(P_L1_Cuotas),N(P_L1_Cuotas)&gt;0),IF((54-N(P_L1_Mes)+1)=N(P_L1_Gracia)+N(P_L1_Cuotas),IF((54-N(P_L1_Mes)+1)=1,N(P_L1_Monto),BF$100),PMT(N(P_L1_Tasa)/12,N(P_L1_Cuotas),-N(P_L1_Monto))-BG$98),0)*BG$9</f>
        <v>59846.6720972021</v>
      </c>
      <c r="BH99" s="34" t="n">
        <f aca="false">IF(AND((55-N(P_L1_Mes)+1)&gt;N(P_L1_Gracia),(55-N(P_L1_Mes)+1)&lt;=N(P_L1_Gracia)+N(P_L1_Cuotas),N(P_L1_Cuotas)&gt;0),IF((55-N(P_L1_Mes)+1)=N(P_L1_Gracia)+N(P_L1_Cuotas),IF((55-N(P_L1_Mes)+1)=1,N(P_L1_Monto),BG$100),PMT(N(P_L1_Tasa)/12,N(P_L1_Cuotas),-N(P_L1_Monto))-BH$98),0)*BH$9</f>
        <v>60295.5221379312</v>
      </c>
      <c r="BI99" s="34" t="n">
        <f aca="false">IF(AND((56-N(P_L1_Mes)+1)&gt;N(P_L1_Gracia),(56-N(P_L1_Mes)+1)&lt;=N(P_L1_Gracia)+N(P_L1_Cuotas),N(P_L1_Cuotas)&gt;0),IF((56-N(P_L1_Mes)+1)=N(P_L1_Gracia)+N(P_L1_Cuotas),IF((56-N(P_L1_Mes)+1)=1,N(P_L1_Monto),BH$100),PMT(N(P_L1_Tasa)/12,N(P_L1_Cuotas),-N(P_L1_Monto))-BI$98),0)*BI$9</f>
        <v>60747.7385539656</v>
      </c>
      <c r="BJ99" s="34" t="n">
        <f aca="false">IF(AND((57-N(P_L1_Mes)+1)&gt;N(P_L1_Gracia),(57-N(P_L1_Mes)+1)&lt;=N(P_L1_Gracia)+N(P_L1_Cuotas),N(P_L1_Cuotas)&gt;0),IF((57-N(P_L1_Mes)+1)=N(P_L1_Gracia)+N(P_L1_Cuotas),IF((57-N(P_L1_Mes)+1)=1,N(P_L1_Monto),BI$100),PMT(N(P_L1_Tasa)/12,N(P_L1_Cuotas),-N(P_L1_Monto))-BJ$98),0)*BJ$9</f>
        <v>61203.3465931204</v>
      </c>
      <c r="BK99" s="34" t="n">
        <f aca="false">IF(AND((58-N(P_L1_Mes)+1)&gt;N(P_L1_Gracia),(58-N(P_L1_Mes)+1)&lt;=N(P_L1_Gracia)+N(P_L1_Cuotas),N(P_L1_Cuotas)&gt;0),IF((58-N(P_L1_Mes)+1)=N(P_L1_Gracia)+N(P_L1_Cuotas),IF((58-N(P_L1_Mes)+1)=1,N(P_L1_Monto),BJ$100),PMT(N(P_L1_Tasa)/12,N(P_L1_Cuotas),-N(P_L1_Monto))-BK$98),0)*BK$9</f>
        <v>61662.3716925688</v>
      </c>
      <c r="BL99" s="34" t="n">
        <f aca="false">IF(AND((59-N(P_L1_Mes)+1)&gt;N(P_L1_Gracia),(59-N(P_L1_Mes)+1)&lt;=N(P_L1_Gracia)+N(P_L1_Cuotas),N(P_L1_Cuotas)&gt;0),IF((59-N(P_L1_Mes)+1)=N(P_L1_Gracia)+N(P_L1_Cuotas),IF((59-N(P_L1_Mes)+1)=1,N(P_L1_Monto),BK$100),PMT(N(P_L1_Tasa)/12,N(P_L1_Cuotas),-N(P_L1_Monto))-BL$98),0)*BL$9</f>
        <v>62124.839480263</v>
      </c>
      <c r="BM99" s="34" t="n">
        <f aca="false">IF(AND((60-N(P_L1_Mes)+1)&gt;N(P_L1_Gracia),(60-N(P_L1_Mes)+1)&lt;=N(P_L1_Gracia)+N(P_L1_Cuotas),N(P_L1_Cuotas)&gt;0),IF((60-N(P_L1_Mes)+1)=N(P_L1_Gracia)+N(P_L1_Cuotas),IF((60-N(P_L1_Mes)+1)=1,N(P_L1_Monto),BL$100),PMT(N(P_L1_Tasa)/12,N(P_L1_Cuotas),-N(P_L1_Monto))-BM$98),0)*BM$9</f>
        <v>62590.7757763667</v>
      </c>
      <c r="BN99" s="34" t="n">
        <f aca="false">IF(AND((61-N(P_L1_Mes)+1)&gt;N(P_L1_Gracia),(61-N(P_L1_Mes)+1)&lt;=N(P_L1_Gracia)+N(P_L1_Cuotas),N(P_L1_Cuotas)&gt;0),IF((61-N(P_L1_Mes)+1)=N(P_L1_Gracia)+N(P_L1_Cuotas),IF((61-N(P_L1_Mes)+1)=1,N(P_L1_Monto),BM$100),PMT(N(P_L1_Tasa)/12,N(P_L1_Cuotas),-N(P_L1_Monto))-BN$98),0)*BN$9</f>
        <v>0</v>
      </c>
      <c r="BO99" s="34" t="n">
        <f aca="false">IF(AND((62-N(P_L1_Mes)+1)&gt;N(P_L1_Gracia),(62-N(P_L1_Mes)+1)&lt;=N(P_L1_Gracia)+N(P_L1_Cuotas),N(P_L1_Cuotas)&gt;0),IF((62-N(P_L1_Mes)+1)=N(P_L1_Gracia)+N(P_L1_Cuotas),IF((62-N(P_L1_Mes)+1)=1,N(P_L1_Monto),BN$100),PMT(N(P_L1_Tasa)/12,N(P_L1_Cuotas),-N(P_L1_Monto))-BO$98),0)*BO$9</f>
        <v>0</v>
      </c>
      <c r="BP99" s="34" t="n">
        <f aca="false">IF(AND((63-N(P_L1_Mes)+1)&gt;N(P_L1_Gracia),(63-N(P_L1_Mes)+1)&lt;=N(P_L1_Gracia)+N(P_L1_Cuotas),N(P_L1_Cuotas)&gt;0),IF((63-N(P_L1_Mes)+1)=N(P_L1_Gracia)+N(P_L1_Cuotas),IF((63-N(P_L1_Mes)+1)=1,N(P_L1_Monto),BO$100),PMT(N(P_L1_Tasa)/12,N(P_L1_Cuotas),-N(P_L1_Monto))-BP$98),0)*BP$9</f>
        <v>0</v>
      </c>
      <c r="BQ99" s="34" t="n">
        <f aca="false">IF(AND((64-N(P_L1_Mes)+1)&gt;N(P_L1_Gracia),(64-N(P_L1_Mes)+1)&lt;=N(P_L1_Gracia)+N(P_L1_Cuotas),N(P_L1_Cuotas)&gt;0),IF((64-N(P_L1_Mes)+1)=N(P_L1_Gracia)+N(P_L1_Cuotas),IF((64-N(P_L1_Mes)+1)=1,N(P_L1_Monto),BP$100),PMT(N(P_L1_Tasa)/12,N(P_L1_Cuotas),-N(P_L1_Monto))-BQ$98),0)*BQ$9</f>
        <v>0</v>
      </c>
      <c r="BR99" s="34" t="n">
        <f aca="false">IF(AND((65-N(P_L1_Mes)+1)&gt;N(P_L1_Gracia),(65-N(P_L1_Mes)+1)&lt;=N(P_L1_Gracia)+N(P_L1_Cuotas),N(P_L1_Cuotas)&gt;0),IF((65-N(P_L1_Mes)+1)=N(P_L1_Gracia)+N(P_L1_Cuotas),IF((65-N(P_L1_Mes)+1)=1,N(P_L1_Monto),BQ$100),PMT(N(P_L1_Tasa)/12,N(P_L1_Cuotas),-N(P_L1_Monto))-BR$98),0)*BR$9</f>
        <v>0</v>
      </c>
      <c r="BS99" s="34" t="n">
        <f aca="false">IF(AND((66-N(P_L1_Mes)+1)&gt;N(P_L1_Gracia),(66-N(P_L1_Mes)+1)&lt;=N(P_L1_Gracia)+N(P_L1_Cuotas),N(P_L1_Cuotas)&gt;0),IF((66-N(P_L1_Mes)+1)=N(P_L1_Gracia)+N(P_L1_Cuotas),IF((66-N(P_L1_Mes)+1)=1,N(P_L1_Monto),BR$100),PMT(N(P_L1_Tasa)/12,N(P_L1_Cuotas),-N(P_L1_Monto))-BS$98),0)*BS$9</f>
        <v>0</v>
      </c>
      <c r="BT99" s="34" t="n">
        <f aca="false">IF(AND((67-N(P_L1_Mes)+1)&gt;N(P_L1_Gracia),(67-N(P_L1_Mes)+1)&lt;=N(P_L1_Gracia)+N(P_L1_Cuotas),N(P_L1_Cuotas)&gt;0),IF((67-N(P_L1_Mes)+1)=N(P_L1_Gracia)+N(P_L1_Cuotas),IF((67-N(P_L1_Mes)+1)=1,N(P_L1_Monto),BS$100),PMT(N(P_L1_Tasa)/12,N(P_L1_Cuotas),-N(P_L1_Monto))-BT$98),0)*BT$9</f>
        <v>0</v>
      </c>
      <c r="BU99" s="34" t="n">
        <f aca="false">IF(AND((68-N(P_L1_Mes)+1)&gt;N(P_L1_Gracia),(68-N(P_L1_Mes)+1)&lt;=N(P_L1_Gracia)+N(P_L1_Cuotas),N(P_L1_Cuotas)&gt;0),IF((68-N(P_L1_Mes)+1)=N(P_L1_Gracia)+N(P_L1_Cuotas),IF((68-N(P_L1_Mes)+1)=1,N(P_L1_Monto),BT$100),PMT(N(P_L1_Tasa)/12,N(P_L1_Cuotas),-N(P_L1_Monto))-BU$98),0)*BU$9</f>
        <v>0</v>
      </c>
      <c r="BV99" s="34" t="n">
        <f aca="false">IF(AND((69-N(P_L1_Mes)+1)&gt;N(P_L1_Gracia),(69-N(P_L1_Mes)+1)&lt;=N(P_L1_Gracia)+N(P_L1_Cuotas),N(P_L1_Cuotas)&gt;0),IF((69-N(P_L1_Mes)+1)=N(P_L1_Gracia)+N(P_L1_Cuotas),IF((69-N(P_L1_Mes)+1)=1,N(P_L1_Monto),BU$100),PMT(N(P_L1_Tasa)/12,N(P_L1_Cuotas),-N(P_L1_Monto))-BV$98),0)*BV$9</f>
        <v>0</v>
      </c>
      <c r="BW99" s="34" t="n">
        <f aca="false">IF(AND((70-N(P_L1_Mes)+1)&gt;N(P_L1_Gracia),(70-N(P_L1_Mes)+1)&lt;=N(P_L1_Gracia)+N(P_L1_Cuotas),N(P_L1_Cuotas)&gt;0),IF((70-N(P_L1_Mes)+1)=N(P_L1_Gracia)+N(P_L1_Cuotas),IF((70-N(P_L1_Mes)+1)=1,N(P_L1_Monto),BV$100),PMT(N(P_L1_Tasa)/12,N(P_L1_Cuotas),-N(P_L1_Monto))-BW$98),0)*BW$9</f>
        <v>0</v>
      </c>
      <c r="BX99" s="34" t="n">
        <f aca="false">IF(AND((71-N(P_L1_Mes)+1)&gt;N(P_L1_Gracia),(71-N(P_L1_Mes)+1)&lt;=N(P_L1_Gracia)+N(P_L1_Cuotas),N(P_L1_Cuotas)&gt;0),IF((71-N(P_L1_Mes)+1)=N(P_L1_Gracia)+N(P_L1_Cuotas),IF((71-N(P_L1_Mes)+1)=1,N(P_L1_Monto),BW$100),PMT(N(P_L1_Tasa)/12,N(P_L1_Cuotas),-N(P_L1_Monto))-BX$98),0)*BX$9</f>
        <v>0</v>
      </c>
      <c r="BY99" s="34" t="n">
        <f aca="false">IF(AND((72-N(P_L1_Mes)+1)&gt;N(P_L1_Gracia),(72-N(P_L1_Mes)+1)&lt;=N(P_L1_Gracia)+N(P_L1_Cuotas),N(P_L1_Cuotas)&gt;0),IF((72-N(P_L1_Mes)+1)=N(P_L1_Gracia)+N(P_L1_Cuotas),IF((72-N(P_L1_Mes)+1)=1,N(P_L1_Monto),BX$100),PMT(N(P_L1_Tasa)/12,N(P_L1_Cuotas),-N(P_L1_Monto))-BY$98),0)*BY$9</f>
        <v>0</v>
      </c>
      <c r="BZ99" s="34" t="n">
        <f aca="false">IF(AND((73-N(P_L1_Mes)+1)&gt;N(P_L1_Gracia),(73-N(P_L1_Mes)+1)&lt;=N(P_L1_Gracia)+N(P_L1_Cuotas),N(P_L1_Cuotas)&gt;0),IF((73-N(P_L1_Mes)+1)=N(P_L1_Gracia)+N(P_L1_Cuotas),IF((73-N(P_L1_Mes)+1)=1,N(P_L1_Monto),BY$100),PMT(N(P_L1_Tasa)/12,N(P_L1_Cuotas),-N(P_L1_Monto))-BZ$98),0)*BZ$9</f>
        <v>0</v>
      </c>
      <c r="CA99" s="34" t="n">
        <f aca="false">IF(AND((74-N(P_L1_Mes)+1)&gt;N(P_L1_Gracia),(74-N(P_L1_Mes)+1)&lt;=N(P_L1_Gracia)+N(P_L1_Cuotas),N(P_L1_Cuotas)&gt;0),IF((74-N(P_L1_Mes)+1)=N(P_L1_Gracia)+N(P_L1_Cuotas),IF((74-N(P_L1_Mes)+1)=1,N(P_L1_Monto),BZ$100),PMT(N(P_L1_Tasa)/12,N(P_L1_Cuotas),-N(P_L1_Monto))-CA$98),0)*CA$9</f>
        <v>0</v>
      </c>
      <c r="CB99" s="34" t="n">
        <f aca="false">IF(AND((75-N(P_L1_Mes)+1)&gt;N(P_L1_Gracia),(75-N(P_L1_Mes)+1)&lt;=N(P_L1_Gracia)+N(P_L1_Cuotas),N(P_L1_Cuotas)&gt;0),IF((75-N(P_L1_Mes)+1)=N(P_L1_Gracia)+N(P_L1_Cuotas),IF((75-N(P_L1_Mes)+1)=1,N(P_L1_Monto),CA$100),PMT(N(P_L1_Tasa)/12,N(P_L1_Cuotas),-N(P_L1_Monto))-CB$98),0)*CB$9</f>
        <v>0</v>
      </c>
      <c r="CC99" s="34" t="n">
        <f aca="false">IF(AND((76-N(P_L1_Mes)+1)&gt;N(P_L1_Gracia),(76-N(P_L1_Mes)+1)&lt;=N(P_L1_Gracia)+N(P_L1_Cuotas),N(P_L1_Cuotas)&gt;0),IF((76-N(P_L1_Mes)+1)=N(P_L1_Gracia)+N(P_L1_Cuotas),IF((76-N(P_L1_Mes)+1)=1,N(P_L1_Monto),CB$100),PMT(N(P_L1_Tasa)/12,N(P_L1_Cuotas),-N(P_L1_Monto))-CC$98),0)*CC$9</f>
        <v>0</v>
      </c>
      <c r="CD99" s="34" t="n">
        <f aca="false">IF(AND((77-N(P_L1_Mes)+1)&gt;N(P_L1_Gracia),(77-N(P_L1_Mes)+1)&lt;=N(P_L1_Gracia)+N(P_L1_Cuotas),N(P_L1_Cuotas)&gt;0),IF((77-N(P_L1_Mes)+1)=N(P_L1_Gracia)+N(P_L1_Cuotas),IF((77-N(P_L1_Mes)+1)=1,N(P_L1_Monto),CC$100),PMT(N(P_L1_Tasa)/12,N(P_L1_Cuotas),-N(P_L1_Monto))-CD$98),0)*CD$9</f>
        <v>0</v>
      </c>
      <c r="CE99" s="34" t="n">
        <f aca="false">IF(AND((78-N(P_L1_Mes)+1)&gt;N(P_L1_Gracia),(78-N(P_L1_Mes)+1)&lt;=N(P_L1_Gracia)+N(P_L1_Cuotas),N(P_L1_Cuotas)&gt;0),IF((78-N(P_L1_Mes)+1)=N(P_L1_Gracia)+N(P_L1_Cuotas),IF((78-N(P_L1_Mes)+1)=1,N(P_L1_Monto),CD$100),PMT(N(P_L1_Tasa)/12,N(P_L1_Cuotas),-N(P_L1_Monto))-CE$98),0)*CE$9</f>
        <v>0</v>
      </c>
      <c r="CF99" s="34" t="n">
        <f aca="false">IF(AND((79-N(P_L1_Mes)+1)&gt;N(P_L1_Gracia),(79-N(P_L1_Mes)+1)&lt;=N(P_L1_Gracia)+N(P_L1_Cuotas),N(P_L1_Cuotas)&gt;0),IF((79-N(P_L1_Mes)+1)=N(P_L1_Gracia)+N(P_L1_Cuotas),IF((79-N(P_L1_Mes)+1)=1,N(P_L1_Monto),CE$100),PMT(N(P_L1_Tasa)/12,N(P_L1_Cuotas),-N(P_L1_Monto))-CF$98),0)*CF$9</f>
        <v>0</v>
      </c>
      <c r="CG99" s="34" t="n">
        <f aca="false">IF(AND((80-N(P_L1_Mes)+1)&gt;N(P_L1_Gracia),(80-N(P_L1_Mes)+1)&lt;=N(P_L1_Gracia)+N(P_L1_Cuotas),N(P_L1_Cuotas)&gt;0),IF((80-N(P_L1_Mes)+1)=N(P_L1_Gracia)+N(P_L1_Cuotas),IF((80-N(P_L1_Mes)+1)=1,N(P_L1_Monto),CF$100),PMT(N(P_L1_Tasa)/12,N(P_L1_Cuotas),-N(P_L1_Monto))-CG$98),0)*CG$9</f>
        <v>0</v>
      </c>
      <c r="CH99" s="34" t="n">
        <f aca="false">IF(AND((81-N(P_L1_Mes)+1)&gt;N(P_L1_Gracia),(81-N(P_L1_Mes)+1)&lt;=N(P_L1_Gracia)+N(P_L1_Cuotas),N(P_L1_Cuotas)&gt;0),IF((81-N(P_L1_Mes)+1)=N(P_L1_Gracia)+N(P_L1_Cuotas),IF((81-N(P_L1_Mes)+1)=1,N(P_L1_Monto),CG$100),PMT(N(P_L1_Tasa)/12,N(P_L1_Cuotas),-N(P_L1_Monto))-CH$98),0)*CH$9</f>
        <v>0</v>
      </c>
      <c r="CI99" s="34" t="n">
        <f aca="false">IF(AND((82-N(P_L1_Mes)+1)&gt;N(P_L1_Gracia),(82-N(P_L1_Mes)+1)&lt;=N(P_L1_Gracia)+N(P_L1_Cuotas),N(P_L1_Cuotas)&gt;0),IF((82-N(P_L1_Mes)+1)=N(P_L1_Gracia)+N(P_L1_Cuotas),IF((82-N(P_L1_Mes)+1)=1,N(P_L1_Monto),CH$100),PMT(N(P_L1_Tasa)/12,N(P_L1_Cuotas),-N(P_L1_Monto))-CI$98),0)*CI$9</f>
        <v>0</v>
      </c>
      <c r="CJ99" s="34" t="n">
        <f aca="false">IF(AND((83-N(P_L1_Mes)+1)&gt;N(P_L1_Gracia),(83-N(P_L1_Mes)+1)&lt;=N(P_L1_Gracia)+N(P_L1_Cuotas),N(P_L1_Cuotas)&gt;0),IF((83-N(P_L1_Mes)+1)=N(P_L1_Gracia)+N(P_L1_Cuotas),IF((83-N(P_L1_Mes)+1)=1,N(P_L1_Monto),CI$100),PMT(N(P_L1_Tasa)/12,N(P_L1_Cuotas),-N(P_L1_Monto))-CJ$98),0)*CJ$9</f>
        <v>0</v>
      </c>
      <c r="CK99" s="34" t="n">
        <f aca="false">IF(AND((84-N(P_L1_Mes)+1)&gt;N(P_L1_Gracia),(84-N(P_L1_Mes)+1)&lt;=N(P_L1_Gracia)+N(P_L1_Cuotas),N(P_L1_Cuotas)&gt;0),IF((84-N(P_L1_Mes)+1)=N(P_L1_Gracia)+N(P_L1_Cuotas),IF((84-N(P_L1_Mes)+1)=1,N(P_L1_Monto),CJ$100),PMT(N(P_L1_Tasa)/12,N(P_L1_Cuotas),-N(P_L1_Monto))-CK$98),0)*CK$9</f>
        <v>0</v>
      </c>
      <c r="CL99" s="34" t="n">
        <f aca="false">IF(AND((85-N(P_L1_Mes)+1)&gt;N(P_L1_Gracia),(85-N(P_L1_Mes)+1)&lt;=N(P_L1_Gracia)+N(P_L1_Cuotas),N(P_L1_Cuotas)&gt;0),IF((85-N(P_L1_Mes)+1)=N(P_L1_Gracia)+N(P_L1_Cuotas),IF((85-N(P_L1_Mes)+1)=1,N(P_L1_Monto),CK$100),PMT(N(P_L1_Tasa)/12,N(P_L1_Cuotas),-N(P_L1_Monto))-CL$98),0)*CL$9</f>
        <v>0</v>
      </c>
      <c r="CM99" s="34" t="n">
        <f aca="false">IF(AND((86-N(P_L1_Mes)+1)&gt;N(P_L1_Gracia),(86-N(P_L1_Mes)+1)&lt;=N(P_L1_Gracia)+N(P_L1_Cuotas),N(P_L1_Cuotas)&gt;0),IF((86-N(P_L1_Mes)+1)=N(P_L1_Gracia)+N(P_L1_Cuotas),IF((86-N(P_L1_Mes)+1)=1,N(P_L1_Monto),CL$100),PMT(N(P_L1_Tasa)/12,N(P_L1_Cuotas),-N(P_L1_Monto))-CM$98),0)*CM$9</f>
        <v>0</v>
      </c>
      <c r="CN99" s="34" t="n">
        <f aca="false">IF(AND((87-N(P_L1_Mes)+1)&gt;N(P_L1_Gracia),(87-N(P_L1_Mes)+1)&lt;=N(P_L1_Gracia)+N(P_L1_Cuotas),N(P_L1_Cuotas)&gt;0),IF((87-N(P_L1_Mes)+1)=N(P_L1_Gracia)+N(P_L1_Cuotas),IF((87-N(P_L1_Mes)+1)=1,N(P_L1_Monto),CM$100),PMT(N(P_L1_Tasa)/12,N(P_L1_Cuotas),-N(P_L1_Monto))-CN$98),0)*CN$9</f>
        <v>0</v>
      </c>
      <c r="CO99" s="34" t="n">
        <f aca="false">IF(AND((88-N(P_L1_Mes)+1)&gt;N(P_L1_Gracia),(88-N(P_L1_Mes)+1)&lt;=N(P_L1_Gracia)+N(P_L1_Cuotas),N(P_L1_Cuotas)&gt;0),IF((88-N(P_L1_Mes)+1)=N(P_L1_Gracia)+N(P_L1_Cuotas),IF((88-N(P_L1_Mes)+1)=1,N(P_L1_Monto),CN$100),PMT(N(P_L1_Tasa)/12,N(P_L1_Cuotas),-N(P_L1_Monto))-CO$98),0)*CO$9</f>
        <v>0</v>
      </c>
      <c r="CP99" s="34" t="n">
        <f aca="false">IF(AND((89-N(P_L1_Mes)+1)&gt;N(P_L1_Gracia),(89-N(P_L1_Mes)+1)&lt;=N(P_L1_Gracia)+N(P_L1_Cuotas),N(P_L1_Cuotas)&gt;0),IF((89-N(P_L1_Mes)+1)=N(P_L1_Gracia)+N(P_L1_Cuotas),IF((89-N(P_L1_Mes)+1)=1,N(P_L1_Monto),CO$100),PMT(N(P_L1_Tasa)/12,N(P_L1_Cuotas),-N(P_L1_Monto))-CP$98),0)*CP$9</f>
        <v>0</v>
      </c>
      <c r="CQ99" s="34" t="n">
        <f aca="false">IF(AND((90-N(P_L1_Mes)+1)&gt;N(P_L1_Gracia),(90-N(P_L1_Mes)+1)&lt;=N(P_L1_Gracia)+N(P_L1_Cuotas),N(P_L1_Cuotas)&gt;0),IF((90-N(P_L1_Mes)+1)=N(P_L1_Gracia)+N(P_L1_Cuotas),IF((90-N(P_L1_Mes)+1)=1,N(P_L1_Monto),CP$100),PMT(N(P_L1_Tasa)/12,N(P_L1_Cuotas),-N(P_L1_Monto))-CQ$98),0)*CQ$9</f>
        <v>0</v>
      </c>
      <c r="CR99" s="34" t="n">
        <f aca="false">IF(AND((91-N(P_L1_Mes)+1)&gt;N(P_L1_Gracia),(91-N(P_L1_Mes)+1)&lt;=N(P_L1_Gracia)+N(P_L1_Cuotas),N(P_L1_Cuotas)&gt;0),IF((91-N(P_L1_Mes)+1)=N(P_L1_Gracia)+N(P_L1_Cuotas),IF((91-N(P_L1_Mes)+1)=1,N(P_L1_Monto),CQ$100),PMT(N(P_L1_Tasa)/12,N(P_L1_Cuotas),-N(P_L1_Monto))-CR$98),0)*CR$9</f>
        <v>0</v>
      </c>
      <c r="CS99" s="34" t="n">
        <f aca="false">IF(AND((92-N(P_L1_Mes)+1)&gt;N(P_L1_Gracia),(92-N(P_L1_Mes)+1)&lt;=N(P_L1_Gracia)+N(P_L1_Cuotas),N(P_L1_Cuotas)&gt;0),IF((92-N(P_L1_Mes)+1)=N(P_L1_Gracia)+N(P_L1_Cuotas),IF((92-N(P_L1_Mes)+1)=1,N(P_L1_Monto),CR$100),PMT(N(P_L1_Tasa)/12,N(P_L1_Cuotas),-N(P_L1_Monto))-CS$98),0)*CS$9</f>
        <v>0</v>
      </c>
      <c r="CT99" s="34" t="n">
        <f aca="false">IF(AND((93-N(P_L1_Mes)+1)&gt;N(P_L1_Gracia),(93-N(P_L1_Mes)+1)&lt;=N(P_L1_Gracia)+N(P_L1_Cuotas),N(P_L1_Cuotas)&gt;0),IF((93-N(P_L1_Mes)+1)=N(P_L1_Gracia)+N(P_L1_Cuotas),IF((93-N(P_L1_Mes)+1)=1,N(P_L1_Monto),CS$100),PMT(N(P_L1_Tasa)/12,N(P_L1_Cuotas),-N(P_L1_Monto))-CT$98),0)*CT$9</f>
        <v>0</v>
      </c>
      <c r="CU99" s="34" t="n">
        <f aca="false">IF(AND((94-N(P_L1_Mes)+1)&gt;N(P_L1_Gracia),(94-N(P_L1_Mes)+1)&lt;=N(P_L1_Gracia)+N(P_L1_Cuotas),N(P_L1_Cuotas)&gt;0),IF((94-N(P_L1_Mes)+1)=N(P_L1_Gracia)+N(P_L1_Cuotas),IF((94-N(P_L1_Mes)+1)=1,N(P_L1_Monto),CT$100),PMT(N(P_L1_Tasa)/12,N(P_L1_Cuotas),-N(P_L1_Monto))-CU$98),0)*CU$9</f>
        <v>0</v>
      </c>
      <c r="CV99" s="34" t="n">
        <f aca="false">IF(AND((95-N(P_L1_Mes)+1)&gt;N(P_L1_Gracia),(95-N(P_L1_Mes)+1)&lt;=N(P_L1_Gracia)+N(P_L1_Cuotas),N(P_L1_Cuotas)&gt;0),IF((95-N(P_L1_Mes)+1)=N(P_L1_Gracia)+N(P_L1_Cuotas),IF((95-N(P_L1_Mes)+1)=1,N(P_L1_Monto),CU$100),PMT(N(P_L1_Tasa)/12,N(P_L1_Cuotas),-N(P_L1_Monto))-CV$98),0)*CV$9</f>
        <v>0</v>
      </c>
      <c r="CW99" s="34" t="n">
        <f aca="false">IF(AND((96-N(P_L1_Mes)+1)&gt;N(P_L1_Gracia),(96-N(P_L1_Mes)+1)&lt;=N(P_L1_Gracia)+N(P_L1_Cuotas),N(P_L1_Cuotas)&gt;0),IF((96-N(P_L1_Mes)+1)=N(P_L1_Gracia)+N(P_L1_Cuotas),IF((96-N(P_L1_Mes)+1)=1,N(P_L1_Monto),CV$100),PMT(N(P_L1_Tasa)/12,N(P_L1_Cuotas),-N(P_L1_Monto))-CW$98),0)*CW$9</f>
        <v>0</v>
      </c>
      <c r="CX99" s="34" t="n">
        <f aca="false">IF(AND((97-N(P_L1_Mes)+1)&gt;N(P_L1_Gracia),(97-N(P_L1_Mes)+1)&lt;=N(P_L1_Gracia)+N(P_L1_Cuotas),N(P_L1_Cuotas)&gt;0),IF((97-N(P_L1_Mes)+1)=N(P_L1_Gracia)+N(P_L1_Cuotas),IF((97-N(P_L1_Mes)+1)=1,N(P_L1_Monto),CW$100),PMT(N(P_L1_Tasa)/12,N(P_L1_Cuotas),-N(P_L1_Monto))-CX$98),0)*CX$9</f>
        <v>0</v>
      </c>
      <c r="CY99" s="34" t="n">
        <f aca="false">IF(AND((98-N(P_L1_Mes)+1)&gt;N(P_L1_Gracia),(98-N(P_L1_Mes)+1)&lt;=N(P_L1_Gracia)+N(P_L1_Cuotas),N(P_L1_Cuotas)&gt;0),IF((98-N(P_L1_Mes)+1)=N(P_L1_Gracia)+N(P_L1_Cuotas),IF((98-N(P_L1_Mes)+1)=1,N(P_L1_Monto),CX$100),PMT(N(P_L1_Tasa)/12,N(P_L1_Cuotas),-N(P_L1_Monto))-CY$98),0)*CY$9</f>
        <v>0</v>
      </c>
      <c r="CZ99" s="34" t="n">
        <f aca="false">IF(AND((99-N(P_L1_Mes)+1)&gt;N(P_L1_Gracia),(99-N(P_L1_Mes)+1)&lt;=N(P_L1_Gracia)+N(P_L1_Cuotas),N(P_L1_Cuotas)&gt;0),IF((99-N(P_L1_Mes)+1)=N(P_L1_Gracia)+N(P_L1_Cuotas),IF((99-N(P_L1_Mes)+1)=1,N(P_L1_Monto),CY$100),PMT(N(P_L1_Tasa)/12,N(P_L1_Cuotas),-N(P_L1_Monto))-CZ$98),0)*CZ$9</f>
        <v>0</v>
      </c>
      <c r="DA99" s="34" t="n">
        <f aca="false">IF(AND((100-N(P_L1_Mes)+1)&gt;N(P_L1_Gracia),(100-N(P_L1_Mes)+1)&lt;=N(P_L1_Gracia)+N(P_L1_Cuotas),N(P_L1_Cuotas)&gt;0),IF((100-N(P_L1_Mes)+1)=N(P_L1_Gracia)+N(P_L1_Cuotas),IF((100-N(P_L1_Mes)+1)=1,N(P_L1_Monto),CZ$100),PMT(N(P_L1_Tasa)/12,N(P_L1_Cuotas),-N(P_L1_Monto))-DA$98),0)*DA$9</f>
        <v>0</v>
      </c>
      <c r="DB99" s="34" t="n">
        <f aca="false">IF(AND((101-N(P_L1_Mes)+1)&gt;N(P_L1_Gracia),(101-N(P_L1_Mes)+1)&lt;=N(P_L1_Gracia)+N(P_L1_Cuotas),N(P_L1_Cuotas)&gt;0),IF((101-N(P_L1_Mes)+1)=N(P_L1_Gracia)+N(P_L1_Cuotas),IF((101-N(P_L1_Mes)+1)=1,N(P_L1_Monto),DA$100),PMT(N(P_L1_Tasa)/12,N(P_L1_Cuotas),-N(P_L1_Monto))-DB$98),0)*DB$9</f>
        <v>0</v>
      </c>
      <c r="DC99" s="34" t="n">
        <f aca="false">IF(AND((102-N(P_L1_Mes)+1)&gt;N(P_L1_Gracia),(102-N(P_L1_Mes)+1)&lt;=N(P_L1_Gracia)+N(P_L1_Cuotas),N(P_L1_Cuotas)&gt;0),IF((102-N(P_L1_Mes)+1)=N(P_L1_Gracia)+N(P_L1_Cuotas),IF((102-N(P_L1_Mes)+1)=1,N(P_L1_Monto),DB$100),PMT(N(P_L1_Tasa)/12,N(P_L1_Cuotas),-N(P_L1_Monto))-DC$98),0)*DC$9</f>
        <v>0</v>
      </c>
      <c r="DD99" s="34" t="n">
        <f aca="false">IF(AND((103-N(P_L1_Mes)+1)&gt;N(P_L1_Gracia),(103-N(P_L1_Mes)+1)&lt;=N(P_L1_Gracia)+N(P_L1_Cuotas),N(P_L1_Cuotas)&gt;0),IF((103-N(P_L1_Mes)+1)=N(P_L1_Gracia)+N(P_L1_Cuotas),IF((103-N(P_L1_Mes)+1)=1,N(P_L1_Monto),DC$100),PMT(N(P_L1_Tasa)/12,N(P_L1_Cuotas),-N(P_L1_Monto))-DD$98),0)*DD$9</f>
        <v>0</v>
      </c>
      <c r="DE99" s="34" t="n">
        <f aca="false">IF(AND((104-N(P_L1_Mes)+1)&gt;N(P_L1_Gracia),(104-N(P_L1_Mes)+1)&lt;=N(P_L1_Gracia)+N(P_L1_Cuotas),N(P_L1_Cuotas)&gt;0),IF((104-N(P_L1_Mes)+1)=N(P_L1_Gracia)+N(P_L1_Cuotas),IF((104-N(P_L1_Mes)+1)=1,N(P_L1_Monto),DD$100),PMT(N(P_L1_Tasa)/12,N(P_L1_Cuotas),-N(P_L1_Monto))-DE$98),0)*DE$9</f>
        <v>0</v>
      </c>
      <c r="DF99" s="34" t="n">
        <f aca="false">IF(AND((105-N(P_L1_Mes)+1)&gt;N(P_L1_Gracia),(105-N(P_L1_Mes)+1)&lt;=N(P_L1_Gracia)+N(P_L1_Cuotas),N(P_L1_Cuotas)&gt;0),IF((105-N(P_L1_Mes)+1)=N(P_L1_Gracia)+N(P_L1_Cuotas),IF((105-N(P_L1_Mes)+1)=1,N(P_L1_Monto),DE$100),PMT(N(P_L1_Tasa)/12,N(P_L1_Cuotas),-N(P_L1_Monto))-DF$98),0)*DF$9</f>
        <v>0</v>
      </c>
      <c r="DG99" s="34" t="n">
        <f aca="false">IF(AND((106-N(P_L1_Mes)+1)&gt;N(P_L1_Gracia),(106-N(P_L1_Mes)+1)&lt;=N(P_L1_Gracia)+N(P_L1_Cuotas),N(P_L1_Cuotas)&gt;0),IF((106-N(P_L1_Mes)+1)=N(P_L1_Gracia)+N(P_L1_Cuotas),IF((106-N(P_L1_Mes)+1)=1,N(P_L1_Monto),DF$100),PMT(N(P_L1_Tasa)/12,N(P_L1_Cuotas),-N(P_L1_Monto))-DG$98),0)*DG$9</f>
        <v>0</v>
      </c>
      <c r="DH99" s="34" t="n">
        <f aca="false">IF(AND((107-N(P_L1_Mes)+1)&gt;N(P_L1_Gracia),(107-N(P_L1_Mes)+1)&lt;=N(P_L1_Gracia)+N(P_L1_Cuotas),N(P_L1_Cuotas)&gt;0),IF((107-N(P_L1_Mes)+1)=N(P_L1_Gracia)+N(P_L1_Cuotas),IF((107-N(P_L1_Mes)+1)=1,N(P_L1_Monto),DG$100),PMT(N(P_L1_Tasa)/12,N(P_L1_Cuotas),-N(P_L1_Monto))-DH$98),0)*DH$9</f>
        <v>0</v>
      </c>
      <c r="DI99" s="34" t="n">
        <f aca="false">IF(AND((108-N(P_L1_Mes)+1)&gt;N(P_L1_Gracia),(108-N(P_L1_Mes)+1)&lt;=N(P_L1_Gracia)+N(P_L1_Cuotas),N(P_L1_Cuotas)&gt;0),IF((108-N(P_L1_Mes)+1)=N(P_L1_Gracia)+N(P_L1_Cuotas),IF((108-N(P_L1_Mes)+1)=1,N(P_L1_Monto),DH$100),PMT(N(P_L1_Tasa)/12,N(P_L1_Cuotas),-N(P_L1_Monto))-DI$98),0)*DI$9</f>
        <v>0</v>
      </c>
      <c r="DJ99" s="34" t="n">
        <f aca="false">IF(AND((109-N(P_L1_Mes)+1)&gt;N(P_L1_Gracia),(109-N(P_L1_Mes)+1)&lt;=N(P_L1_Gracia)+N(P_L1_Cuotas),N(P_L1_Cuotas)&gt;0),IF((109-N(P_L1_Mes)+1)=N(P_L1_Gracia)+N(P_L1_Cuotas),IF((109-N(P_L1_Mes)+1)=1,N(P_L1_Monto),DI$100),PMT(N(P_L1_Tasa)/12,N(P_L1_Cuotas),-N(P_L1_Monto))-DJ$98),0)*DJ$9</f>
        <v>0</v>
      </c>
      <c r="DK99" s="34" t="n">
        <f aca="false">IF(AND((110-N(P_L1_Mes)+1)&gt;N(P_L1_Gracia),(110-N(P_L1_Mes)+1)&lt;=N(P_L1_Gracia)+N(P_L1_Cuotas),N(P_L1_Cuotas)&gt;0),IF((110-N(P_L1_Mes)+1)=N(P_L1_Gracia)+N(P_L1_Cuotas),IF((110-N(P_L1_Mes)+1)=1,N(P_L1_Monto),DJ$100),PMT(N(P_L1_Tasa)/12,N(P_L1_Cuotas),-N(P_L1_Monto))-DK$98),0)*DK$9</f>
        <v>0</v>
      </c>
      <c r="DL99" s="34" t="n">
        <f aca="false">IF(AND((111-N(P_L1_Mes)+1)&gt;N(P_L1_Gracia),(111-N(P_L1_Mes)+1)&lt;=N(P_L1_Gracia)+N(P_L1_Cuotas),N(P_L1_Cuotas)&gt;0),IF((111-N(P_L1_Mes)+1)=N(P_L1_Gracia)+N(P_L1_Cuotas),IF((111-N(P_L1_Mes)+1)=1,N(P_L1_Monto),DK$100),PMT(N(P_L1_Tasa)/12,N(P_L1_Cuotas),-N(P_L1_Monto))-DL$98),0)*DL$9</f>
        <v>0</v>
      </c>
      <c r="DM99" s="34" t="n">
        <f aca="false">IF(AND((112-N(P_L1_Mes)+1)&gt;N(P_L1_Gracia),(112-N(P_L1_Mes)+1)&lt;=N(P_L1_Gracia)+N(P_L1_Cuotas),N(P_L1_Cuotas)&gt;0),IF((112-N(P_L1_Mes)+1)=N(P_L1_Gracia)+N(P_L1_Cuotas),IF((112-N(P_L1_Mes)+1)=1,N(P_L1_Monto),DL$100),PMT(N(P_L1_Tasa)/12,N(P_L1_Cuotas),-N(P_L1_Monto))-DM$98),0)*DM$9</f>
        <v>0</v>
      </c>
      <c r="DN99" s="34" t="n">
        <f aca="false">IF(AND((113-N(P_L1_Mes)+1)&gt;N(P_L1_Gracia),(113-N(P_L1_Mes)+1)&lt;=N(P_L1_Gracia)+N(P_L1_Cuotas),N(P_L1_Cuotas)&gt;0),IF((113-N(P_L1_Mes)+1)=N(P_L1_Gracia)+N(P_L1_Cuotas),IF((113-N(P_L1_Mes)+1)=1,N(P_L1_Monto),DM$100),PMT(N(P_L1_Tasa)/12,N(P_L1_Cuotas),-N(P_L1_Monto))-DN$98),0)*DN$9</f>
        <v>0</v>
      </c>
      <c r="DO99" s="34" t="n">
        <f aca="false">IF(AND((114-N(P_L1_Mes)+1)&gt;N(P_L1_Gracia),(114-N(P_L1_Mes)+1)&lt;=N(P_L1_Gracia)+N(P_L1_Cuotas),N(P_L1_Cuotas)&gt;0),IF((114-N(P_L1_Mes)+1)=N(P_L1_Gracia)+N(P_L1_Cuotas),IF((114-N(P_L1_Mes)+1)=1,N(P_L1_Monto),DN$100),PMT(N(P_L1_Tasa)/12,N(P_L1_Cuotas),-N(P_L1_Monto))-DO$98),0)*DO$9</f>
        <v>0</v>
      </c>
      <c r="DP99" s="34" t="n">
        <f aca="false">IF(AND((115-N(P_L1_Mes)+1)&gt;N(P_L1_Gracia),(115-N(P_L1_Mes)+1)&lt;=N(P_L1_Gracia)+N(P_L1_Cuotas),N(P_L1_Cuotas)&gt;0),IF((115-N(P_L1_Mes)+1)=N(P_L1_Gracia)+N(P_L1_Cuotas),IF((115-N(P_L1_Mes)+1)=1,N(P_L1_Monto),DO$100),PMT(N(P_L1_Tasa)/12,N(P_L1_Cuotas),-N(P_L1_Monto))-DP$98),0)*DP$9</f>
        <v>0</v>
      </c>
      <c r="DQ99" s="34" t="n">
        <f aca="false">IF(AND((116-N(P_L1_Mes)+1)&gt;N(P_L1_Gracia),(116-N(P_L1_Mes)+1)&lt;=N(P_L1_Gracia)+N(P_L1_Cuotas),N(P_L1_Cuotas)&gt;0),IF((116-N(P_L1_Mes)+1)=N(P_L1_Gracia)+N(P_L1_Cuotas),IF((116-N(P_L1_Mes)+1)=1,N(P_L1_Monto),DP$100),PMT(N(P_L1_Tasa)/12,N(P_L1_Cuotas),-N(P_L1_Monto))-DQ$98),0)*DQ$9</f>
        <v>0</v>
      </c>
      <c r="DR99" s="34" t="n">
        <f aca="false">IF(AND((117-N(P_L1_Mes)+1)&gt;N(P_L1_Gracia),(117-N(P_L1_Mes)+1)&lt;=N(P_L1_Gracia)+N(P_L1_Cuotas),N(P_L1_Cuotas)&gt;0),IF((117-N(P_L1_Mes)+1)=N(P_L1_Gracia)+N(P_L1_Cuotas),IF((117-N(P_L1_Mes)+1)=1,N(P_L1_Monto),DQ$100),PMT(N(P_L1_Tasa)/12,N(P_L1_Cuotas),-N(P_L1_Monto))-DR$98),0)*DR$9</f>
        <v>0</v>
      </c>
      <c r="DS99" s="34" t="n">
        <f aca="false">IF(AND((118-N(P_L1_Mes)+1)&gt;N(P_L1_Gracia),(118-N(P_L1_Mes)+1)&lt;=N(P_L1_Gracia)+N(P_L1_Cuotas),N(P_L1_Cuotas)&gt;0),IF((118-N(P_L1_Mes)+1)=N(P_L1_Gracia)+N(P_L1_Cuotas),IF((118-N(P_L1_Mes)+1)=1,N(P_L1_Monto),DR$100),PMT(N(P_L1_Tasa)/12,N(P_L1_Cuotas),-N(P_L1_Monto))-DS$98),0)*DS$9</f>
        <v>0</v>
      </c>
      <c r="DT99" s="34" t="n">
        <f aca="false">IF(AND((119-N(P_L1_Mes)+1)&gt;N(P_L1_Gracia),(119-N(P_L1_Mes)+1)&lt;=N(P_L1_Gracia)+N(P_L1_Cuotas),N(P_L1_Cuotas)&gt;0),IF((119-N(P_L1_Mes)+1)=N(P_L1_Gracia)+N(P_L1_Cuotas),IF((119-N(P_L1_Mes)+1)=1,N(P_L1_Monto),DS$100),PMT(N(P_L1_Tasa)/12,N(P_L1_Cuotas),-N(P_L1_Monto))-DT$98),0)*DT$9</f>
        <v>0</v>
      </c>
      <c r="DU99" s="34" t="n">
        <f aca="false">IF(AND((120-N(P_L1_Mes)+1)&gt;N(P_L1_Gracia),(120-N(P_L1_Mes)+1)&lt;=N(P_L1_Gracia)+N(P_L1_Cuotas),N(P_L1_Cuotas)&gt;0),IF((120-N(P_L1_Mes)+1)=N(P_L1_Gracia)+N(P_L1_Cuotas),IF((120-N(P_L1_Mes)+1)=1,N(P_L1_Monto),DT$100),PMT(N(P_L1_Tasa)/12,N(P_L1_Cuotas),-N(P_L1_Monto))-DU$98),0)*DU$9</f>
        <v>0</v>
      </c>
      <c r="DV99" s="34" t="n">
        <f aca="false">IF(AND((121-N(P_L1_Mes)+1)&gt;N(P_L1_Gracia),(121-N(P_L1_Mes)+1)&lt;=N(P_L1_Gracia)+N(P_L1_Cuotas),N(P_L1_Cuotas)&gt;0),IF((121-N(P_L1_Mes)+1)=N(P_L1_Gracia)+N(P_L1_Cuotas),IF((121-N(P_L1_Mes)+1)=1,N(P_L1_Monto),DU$100),PMT(N(P_L1_Tasa)/12,N(P_L1_Cuotas),-N(P_L1_Monto))-DV$98),0)*DV$9</f>
        <v>0</v>
      </c>
      <c r="DW99" s="34" t="n">
        <f aca="false">IF(AND((122-N(P_L1_Mes)+1)&gt;N(P_L1_Gracia),(122-N(P_L1_Mes)+1)&lt;=N(P_L1_Gracia)+N(P_L1_Cuotas),N(P_L1_Cuotas)&gt;0),IF((122-N(P_L1_Mes)+1)=N(P_L1_Gracia)+N(P_L1_Cuotas),IF((122-N(P_L1_Mes)+1)=1,N(P_L1_Monto),DV$100),PMT(N(P_L1_Tasa)/12,N(P_L1_Cuotas),-N(P_L1_Monto))-DW$98),0)*DW$9</f>
        <v>0</v>
      </c>
      <c r="DX99" s="34" t="n">
        <f aca="false">IF(AND((123-N(P_L1_Mes)+1)&gt;N(P_L1_Gracia),(123-N(P_L1_Mes)+1)&lt;=N(P_L1_Gracia)+N(P_L1_Cuotas),N(P_L1_Cuotas)&gt;0),IF((123-N(P_L1_Mes)+1)=N(P_L1_Gracia)+N(P_L1_Cuotas),IF((123-N(P_L1_Mes)+1)=1,N(P_L1_Monto),DW$100),PMT(N(P_L1_Tasa)/12,N(P_L1_Cuotas),-N(P_L1_Monto))-DX$98),0)*DX$9</f>
        <v>0</v>
      </c>
      <c r="DY99" s="34" t="n">
        <f aca="false">IF(AND((124-N(P_L1_Mes)+1)&gt;N(P_L1_Gracia),(124-N(P_L1_Mes)+1)&lt;=N(P_L1_Gracia)+N(P_L1_Cuotas),N(P_L1_Cuotas)&gt;0),IF((124-N(P_L1_Mes)+1)=N(P_L1_Gracia)+N(P_L1_Cuotas),IF((124-N(P_L1_Mes)+1)=1,N(P_L1_Monto),DX$100),PMT(N(P_L1_Tasa)/12,N(P_L1_Cuotas),-N(P_L1_Monto))-DY$98),0)*DY$9</f>
        <v>0</v>
      </c>
      <c r="DZ99" s="34" t="n">
        <f aca="false">IF(AND((125-N(P_L1_Mes)+1)&gt;N(P_L1_Gracia),(125-N(P_L1_Mes)+1)&lt;=N(P_L1_Gracia)+N(P_L1_Cuotas),N(P_L1_Cuotas)&gt;0),IF((125-N(P_L1_Mes)+1)=N(P_L1_Gracia)+N(P_L1_Cuotas),IF((125-N(P_L1_Mes)+1)=1,N(P_L1_Monto),DY$100),PMT(N(P_L1_Tasa)/12,N(P_L1_Cuotas),-N(P_L1_Monto))-DZ$98),0)*DZ$9</f>
        <v>0</v>
      </c>
      <c r="EA99" s="34" t="n">
        <f aca="false">IF(AND((126-N(P_L1_Mes)+1)&gt;N(P_L1_Gracia),(126-N(P_L1_Mes)+1)&lt;=N(P_L1_Gracia)+N(P_L1_Cuotas),N(P_L1_Cuotas)&gt;0),IF((126-N(P_L1_Mes)+1)=N(P_L1_Gracia)+N(P_L1_Cuotas),IF((126-N(P_L1_Mes)+1)=1,N(P_L1_Monto),DZ$100),PMT(N(P_L1_Tasa)/12,N(P_L1_Cuotas),-N(P_L1_Monto))-EA$98),0)*EA$9</f>
        <v>0</v>
      </c>
      <c r="EB99" s="34" t="n">
        <f aca="false">IF(AND((127-N(P_L1_Mes)+1)&gt;N(P_L1_Gracia),(127-N(P_L1_Mes)+1)&lt;=N(P_L1_Gracia)+N(P_L1_Cuotas),N(P_L1_Cuotas)&gt;0),IF((127-N(P_L1_Mes)+1)=N(P_L1_Gracia)+N(P_L1_Cuotas),IF((127-N(P_L1_Mes)+1)=1,N(P_L1_Monto),EA$100),PMT(N(P_L1_Tasa)/12,N(P_L1_Cuotas),-N(P_L1_Monto))-EB$98),0)*EB$9</f>
        <v>0</v>
      </c>
      <c r="EC99" s="34" t="n">
        <f aca="false">IF(AND((128-N(P_L1_Mes)+1)&gt;N(P_L1_Gracia),(128-N(P_L1_Mes)+1)&lt;=N(P_L1_Gracia)+N(P_L1_Cuotas),N(P_L1_Cuotas)&gt;0),IF((128-N(P_L1_Mes)+1)=N(P_L1_Gracia)+N(P_L1_Cuotas),IF((128-N(P_L1_Mes)+1)=1,N(P_L1_Monto),EB$100),PMT(N(P_L1_Tasa)/12,N(P_L1_Cuotas),-N(P_L1_Monto))-EC$98),0)*EC$9</f>
        <v>0</v>
      </c>
      <c r="ED99" s="34" t="n">
        <f aca="false">IF(AND((129-N(P_L1_Mes)+1)&gt;N(P_L1_Gracia),(129-N(P_L1_Mes)+1)&lt;=N(P_L1_Gracia)+N(P_L1_Cuotas),N(P_L1_Cuotas)&gt;0),IF((129-N(P_L1_Mes)+1)=N(P_L1_Gracia)+N(P_L1_Cuotas),IF((129-N(P_L1_Mes)+1)=1,N(P_L1_Monto),EC$100),PMT(N(P_L1_Tasa)/12,N(P_L1_Cuotas),-N(P_L1_Monto))-ED$98),0)*ED$9</f>
        <v>0</v>
      </c>
      <c r="EE99" s="34" t="n">
        <f aca="false">IF(AND((130-N(P_L1_Mes)+1)&gt;N(P_L1_Gracia),(130-N(P_L1_Mes)+1)&lt;=N(P_L1_Gracia)+N(P_L1_Cuotas),N(P_L1_Cuotas)&gt;0),IF((130-N(P_L1_Mes)+1)=N(P_L1_Gracia)+N(P_L1_Cuotas),IF((130-N(P_L1_Mes)+1)=1,N(P_L1_Monto),ED$100),PMT(N(P_L1_Tasa)/12,N(P_L1_Cuotas),-N(P_L1_Monto))-EE$98),0)*EE$9</f>
        <v>0</v>
      </c>
      <c r="EF99" s="34" t="n">
        <f aca="false">IF(AND((131-N(P_L1_Mes)+1)&gt;N(P_L1_Gracia),(131-N(P_L1_Mes)+1)&lt;=N(P_L1_Gracia)+N(P_L1_Cuotas),N(P_L1_Cuotas)&gt;0),IF((131-N(P_L1_Mes)+1)=N(P_L1_Gracia)+N(P_L1_Cuotas),IF((131-N(P_L1_Mes)+1)=1,N(P_L1_Monto),EE$100),PMT(N(P_L1_Tasa)/12,N(P_L1_Cuotas),-N(P_L1_Monto))-EF$98),0)*EF$9</f>
        <v>0</v>
      </c>
      <c r="EG99" s="34" t="n">
        <f aca="false">IF(AND((132-N(P_L1_Mes)+1)&gt;N(P_L1_Gracia),(132-N(P_L1_Mes)+1)&lt;=N(P_L1_Gracia)+N(P_L1_Cuotas),N(P_L1_Cuotas)&gt;0),IF((132-N(P_L1_Mes)+1)=N(P_L1_Gracia)+N(P_L1_Cuotas),IF((132-N(P_L1_Mes)+1)=1,N(P_L1_Monto),EF$100),PMT(N(P_L1_Tasa)/12,N(P_L1_Cuotas),-N(P_L1_Monto))-EG$98),0)*EG$9</f>
        <v>0</v>
      </c>
      <c r="EH99" s="34" t="n">
        <f aca="false">IF(AND((133-N(P_L1_Mes)+1)&gt;N(P_L1_Gracia),(133-N(P_L1_Mes)+1)&lt;=N(P_L1_Gracia)+N(P_L1_Cuotas),N(P_L1_Cuotas)&gt;0),IF((133-N(P_L1_Mes)+1)=N(P_L1_Gracia)+N(P_L1_Cuotas),IF((133-N(P_L1_Mes)+1)=1,N(P_L1_Monto),EG$100),PMT(N(P_L1_Tasa)/12,N(P_L1_Cuotas),-N(P_L1_Monto))-EH$98),0)*EH$9</f>
        <v>0</v>
      </c>
      <c r="EI99" s="34" t="n">
        <f aca="false">IF(AND((134-N(P_L1_Mes)+1)&gt;N(P_L1_Gracia),(134-N(P_L1_Mes)+1)&lt;=N(P_L1_Gracia)+N(P_L1_Cuotas),N(P_L1_Cuotas)&gt;0),IF((134-N(P_L1_Mes)+1)=N(P_L1_Gracia)+N(P_L1_Cuotas),IF((134-N(P_L1_Mes)+1)=1,N(P_L1_Monto),EH$100),PMT(N(P_L1_Tasa)/12,N(P_L1_Cuotas),-N(P_L1_Monto))-EI$98),0)*EI$9</f>
        <v>0</v>
      </c>
      <c r="EJ99" s="34" t="n">
        <f aca="false">IF(AND((135-N(P_L1_Mes)+1)&gt;N(P_L1_Gracia),(135-N(P_L1_Mes)+1)&lt;=N(P_L1_Gracia)+N(P_L1_Cuotas),N(P_L1_Cuotas)&gt;0),IF((135-N(P_L1_Mes)+1)=N(P_L1_Gracia)+N(P_L1_Cuotas),IF((135-N(P_L1_Mes)+1)=1,N(P_L1_Monto),EI$100),PMT(N(P_L1_Tasa)/12,N(P_L1_Cuotas),-N(P_L1_Monto))-EJ$98),0)*EJ$9</f>
        <v>0</v>
      </c>
      <c r="EK99" s="34" t="n">
        <f aca="false">IF(AND((136-N(P_L1_Mes)+1)&gt;N(P_L1_Gracia),(136-N(P_L1_Mes)+1)&lt;=N(P_L1_Gracia)+N(P_L1_Cuotas),N(P_L1_Cuotas)&gt;0),IF((136-N(P_L1_Mes)+1)=N(P_L1_Gracia)+N(P_L1_Cuotas),IF((136-N(P_L1_Mes)+1)=1,N(P_L1_Monto),EJ$100),PMT(N(P_L1_Tasa)/12,N(P_L1_Cuotas),-N(P_L1_Monto))-EK$98),0)*EK$9</f>
        <v>0</v>
      </c>
      <c r="EL99" s="34" t="n">
        <f aca="false">IF(AND((137-N(P_L1_Mes)+1)&gt;N(P_L1_Gracia),(137-N(P_L1_Mes)+1)&lt;=N(P_L1_Gracia)+N(P_L1_Cuotas),N(P_L1_Cuotas)&gt;0),IF((137-N(P_L1_Mes)+1)=N(P_L1_Gracia)+N(P_L1_Cuotas),IF((137-N(P_L1_Mes)+1)=1,N(P_L1_Monto),EK$100),PMT(N(P_L1_Tasa)/12,N(P_L1_Cuotas),-N(P_L1_Monto))-EL$98),0)*EL$9</f>
        <v>0</v>
      </c>
      <c r="EM99" s="34" t="n">
        <f aca="false">IF(AND((138-N(P_L1_Mes)+1)&gt;N(P_L1_Gracia),(138-N(P_L1_Mes)+1)&lt;=N(P_L1_Gracia)+N(P_L1_Cuotas),N(P_L1_Cuotas)&gt;0),IF((138-N(P_L1_Mes)+1)=N(P_L1_Gracia)+N(P_L1_Cuotas),IF((138-N(P_L1_Mes)+1)=1,N(P_L1_Monto),EL$100),PMT(N(P_L1_Tasa)/12,N(P_L1_Cuotas),-N(P_L1_Monto))-EM$98),0)*EM$9</f>
        <v>0</v>
      </c>
      <c r="EN99" s="34" t="n">
        <f aca="false">IF(AND((139-N(P_L1_Mes)+1)&gt;N(P_L1_Gracia),(139-N(P_L1_Mes)+1)&lt;=N(P_L1_Gracia)+N(P_L1_Cuotas),N(P_L1_Cuotas)&gt;0),IF((139-N(P_L1_Mes)+1)=N(P_L1_Gracia)+N(P_L1_Cuotas),IF((139-N(P_L1_Mes)+1)=1,N(P_L1_Monto),EM$100),PMT(N(P_L1_Tasa)/12,N(P_L1_Cuotas),-N(P_L1_Monto))-EN$98),0)*EN$9</f>
        <v>0</v>
      </c>
      <c r="EO99" s="34" t="n">
        <f aca="false">IF(AND((140-N(P_L1_Mes)+1)&gt;N(P_L1_Gracia),(140-N(P_L1_Mes)+1)&lt;=N(P_L1_Gracia)+N(P_L1_Cuotas),N(P_L1_Cuotas)&gt;0),IF((140-N(P_L1_Mes)+1)=N(P_L1_Gracia)+N(P_L1_Cuotas),IF((140-N(P_L1_Mes)+1)=1,N(P_L1_Monto),EN$100),PMT(N(P_L1_Tasa)/12,N(P_L1_Cuotas),-N(P_L1_Monto))-EO$98),0)*EO$9</f>
        <v>0</v>
      </c>
      <c r="EP99" s="34" t="n">
        <f aca="false">IF(AND((141-N(P_L1_Mes)+1)&gt;N(P_L1_Gracia),(141-N(P_L1_Mes)+1)&lt;=N(P_L1_Gracia)+N(P_L1_Cuotas),N(P_L1_Cuotas)&gt;0),IF((141-N(P_L1_Mes)+1)=N(P_L1_Gracia)+N(P_L1_Cuotas),IF((141-N(P_L1_Mes)+1)=1,N(P_L1_Monto),EO$100),PMT(N(P_L1_Tasa)/12,N(P_L1_Cuotas),-N(P_L1_Monto))-EP$98),0)*EP$9</f>
        <v>0</v>
      </c>
      <c r="EQ99" s="34" t="n">
        <f aca="false">IF(AND((142-N(P_L1_Mes)+1)&gt;N(P_L1_Gracia),(142-N(P_L1_Mes)+1)&lt;=N(P_L1_Gracia)+N(P_L1_Cuotas),N(P_L1_Cuotas)&gt;0),IF((142-N(P_L1_Mes)+1)=N(P_L1_Gracia)+N(P_L1_Cuotas),IF((142-N(P_L1_Mes)+1)=1,N(P_L1_Monto),EP$100),PMT(N(P_L1_Tasa)/12,N(P_L1_Cuotas),-N(P_L1_Monto))-EQ$98),0)*EQ$9</f>
        <v>0</v>
      </c>
      <c r="ER99" s="34" t="n">
        <f aca="false">IF(AND((143-N(P_L1_Mes)+1)&gt;N(P_L1_Gracia),(143-N(P_L1_Mes)+1)&lt;=N(P_L1_Gracia)+N(P_L1_Cuotas),N(P_L1_Cuotas)&gt;0),IF((143-N(P_L1_Mes)+1)=N(P_L1_Gracia)+N(P_L1_Cuotas),IF((143-N(P_L1_Mes)+1)=1,N(P_L1_Monto),EQ$100),PMT(N(P_L1_Tasa)/12,N(P_L1_Cuotas),-N(P_L1_Monto))-ER$98),0)*ER$9</f>
        <v>0</v>
      </c>
      <c r="ES99" s="34" t="n">
        <f aca="false">IF(AND((144-N(P_L1_Mes)+1)&gt;N(P_L1_Gracia),(144-N(P_L1_Mes)+1)&lt;=N(P_L1_Gracia)+N(P_L1_Cuotas),N(P_L1_Cuotas)&gt;0),IF((144-N(P_L1_Mes)+1)=N(P_L1_Gracia)+N(P_L1_Cuotas),IF((144-N(P_L1_Mes)+1)=1,N(P_L1_Monto),ER$100),PMT(N(P_L1_Tasa)/12,N(P_L1_Cuotas),-N(P_L1_Monto))-ES$98),0)*ES$9</f>
        <v>0</v>
      </c>
    </row>
    <row r="100" customFormat="false" ht="15" hidden="false" customHeight="false" outlineLevel="0" collapsed="false">
      <c r="A100" s="2" t="s">
        <v>683</v>
      </c>
      <c r="B100" s="6" t="s">
        <v>684</v>
      </c>
      <c r="C100" s="6" t="s">
        <v>250</v>
      </c>
      <c r="E100" s="40" t="n">
        <f aca="false">INDEX(F100:ES100,1,MIN(144,Fin))</f>
        <v>0</v>
      </c>
      <c r="F100" s="34" t="n">
        <f aca="false">IF((1-N(P_L1_Mes)+1)&lt;1,0,IF((1-N(P_L1_Mes)+1)=1,N(P_L1_Monto),0)-F$99)</f>
        <v>2791587</v>
      </c>
      <c r="G100" s="34" t="n">
        <f aca="false">IF((2-N(P_L1_Mes)+1)&lt;1,0,IF((2-N(P_L1_Mes)+1)=1,N(P_L1_Monto),F$100)-G$99)</f>
        <v>2791587</v>
      </c>
      <c r="H100" s="34" t="n">
        <f aca="false">IF((3-N(P_L1_Mes)+1)&lt;1,0,IF((3-N(P_L1_Mes)+1)=1,N(P_L1_Monto),G$100)-H$99)</f>
        <v>2791587</v>
      </c>
      <c r="I100" s="34" t="n">
        <f aca="false">IF((4-N(P_L1_Mes)+1)&lt;1,0,IF((4-N(P_L1_Mes)+1)=1,N(P_L1_Monto),H$100)-I$99)</f>
        <v>2791587</v>
      </c>
      <c r="J100" s="34" t="n">
        <f aca="false">IF((5-N(P_L1_Mes)+1)&lt;1,0,IF((5-N(P_L1_Mes)+1)=1,N(P_L1_Monto),I$100)-J$99)</f>
        <v>2791587</v>
      </c>
      <c r="K100" s="34" t="n">
        <f aca="false">IF((6-N(P_L1_Mes)+1)&lt;1,0,IF((6-N(P_L1_Mes)+1)=1,N(P_L1_Monto),J$100)-K$99)</f>
        <v>2791587</v>
      </c>
      <c r="L100" s="34" t="n">
        <f aca="false">IF((7-N(P_L1_Mes)+1)&lt;1,0,IF((7-N(P_L1_Mes)+1)=1,N(P_L1_Monto),K$100)-L$99)</f>
        <v>2749463.69590531</v>
      </c>
      <c r="M100" s="34" t="n">
        <f aca="false">IF((8-N(P_L1_Mes)+1)&lt;1,0,IF((8-N(P_L1_Mes)+1)=1,N(P_L1_Monto),L$100)-M$99)</f>
        <v>2707024.46702991</v>
      </c>
      <c r="N100" s="34" t="n">
        <f aca="false">IF((9-N(P_L1_Mes)+1)&lt;1,0,IF((9-N(P_L1_Mes)+1)=1,N(P_L1_Monto),M$100)-N$99)</f>
        <v>2664266.94393795</v>
      </c>
      <c r="O100" s="34" t="n">
        <f aca="false">IF((10-N(P_L1_Mes)+1)&lt;1,0,IF((10-N(P_L1_Mes)+1)=1,N(P_L1_Monto),N$100)-O$99)</f>
        <v>2621188.7394228</v>
      </c>
      <c r="P100" s="34" t="n">
        <f aca="false">IF((11-N(P_L1_Mes)+1)&lt;1,0,IF((11-N(P_L1_Mes)+1)=1,N(P_L1_Monto),O$100)-P$99)</f>
        <v>2577787.44837378</v>
      </c>
      <c r="Q100" s="34" t="n">
        <f aca="false">IF((12-N(P_L1_Mes)+1)&lt;1,0,IF((12-N(P_L1_Mes)+1)=1,N(P_L1_Monto),P$100)-Q$99)</f>
        <v>2534060.6476419</v>
      </c>
      <c r="R100" s="34" t="n">
        <f aca="false">IF((13-N(P_L1_Mes)+1)&lt;1,0,IF((13-N(P_L1_Mes)+1)=1,N(P_L1_Monto),Q$100)-R$99)</f>
        <v>2490005.89590452</v>
      </c>
      <c r="S100" s="34" t="n">
        <f aca="false">IF((14-N(P_L1_Mes)+1)&lt;1,0,IF((14-N(P_L1_Mes)+1)=1,N(P_L1_Monto),R$100)-S$99)</f>
        <v>2445620.73352912</v>
      </c>
      <c r="T100" s="34" t="n">
        <f aca="false">IF((15-N(P_L1_Mes)+1)&lt;1,0,IF((15-N(P_L1_Mes)+1)=1,N(P_L1_Monto),S$100)-T$99)</f>
        <v>2400902.6824359</v>
      </c>
      <c r="U100" s="34" t="n">
        <f aca="false">IF((16-N(P_L1_Mes)+1)&lt;1,0,IF((16-N(P_L1_Mes)+1)=1,N(P_L1_Monto),T$100)-U$99)</f>
        <v>2355849.24595948</v>
      </c>
      <c r="V100" s="34" t="n">
        <f aca="false">IF((17-N(P_L1_Mes)+1)&lt;1,0,IF((17-N(P_L1_Mes)+1)=1,N(P_L1_Monto),U$100)-V$99)</f>
        <v>2310457.90870949</v>
      </c>
      <c r="W100" s="34" t="n">
        <f aca="false">IF((18-N(P_L1_Mes)+1)&lt;1,0,IF((18-N(P_L1_Mes)+1)=1,N(P_L1_Monto),V$100)-W$99)</f>
        <v>2264726.13643012</v>
      </c>
      <c r="X100" s="34" t="n">
        <f aca="false">IF((19-N(P_L1_Mes)+1)&lt;1,0,IF((19-N(P_L1_Mes)+1)=1,N(P_L1_Monto),W$100)-X$99)</f>
        <v>2218651.37585866</v>
      </c>
      <c r="Y100" s="34" t="n">
        <f aca="false">IF((20-N(P_L1_Mes)+1)&lt;1,0,IF((20-N(P_L1_Mes)+1)=1,N(P_L1_Monto),X$100)-Y$99)</f>
        <v>2172231.05458292</v>
      </c>
      <c r="Z100" s="34" t="n">
        <f aca="false">IF((21-N(P_L1_Mes)+1)&lt;1,0,IF((21-N(P_L1_Mes)+1)=1,N(P_L1_Monto),Y$100)-Z$99)</f>
        <v>2125462.5808976</v>
      </c>
      <c r="AA100" s="34" t="n">
        <f aca="false">IF((22-N(P_L1_Mes)+1)&lt;1,0,IF((22-N(P_L1_Mes)+1)=1,N(P_L1_Monto),Z$100)-AA$99)</f>
        <v>2078343.34365964</v>
      </c>
      <c r="AB100" s="34" t="n">
        <f aca="false">IF((23-N(P_L1_Mes)+1)&lt;1,0,IF((23-N(P_L1_Mes)+1)=1,N(P_L1_Monto),AA$100)-AB$99)</f>
        <v>2030870.7121424</v>
      </c>
      <c r="AC100" s="34" t="n">
        <f aca="false">IF((24-N(P_L1_Mes)+1)&lt;1,0,IF((24-N(P_L1_Mes)+1)=1,N(P_L1_Monto),AB$100)-AC$99)</f>
        <v>1983042.03588878</v>
      </c>
      <c r="AD100" s="34" t="n">
        <f aca="false">IF((25-N(P_L1_Mes)+1)&lt;1,0,IF((25-N(P_L1_Mes)+1)=1,N(P_L1_Monto),AC$100)-AD$99)</f>
        <v>1934854.64456326</v>
      </c>
      <c r="AE100" s="34" t="n">
        <f aca="false">IF((26-N(P_L1_Mes)+1)&lt;1,0,IF((26-N(P_L1_Mes)+1)=1,N(P_L1_Monto),AD$100)-AE$99)</f>
        <v>1886305.8478028</v>
      </c>
      <c r="AF100" s="34" t="n">
        <f aca="false">IF((27-N(P_L1_Mes)+1)&lt;1,0,IF((27-N(P_L1_Mes)+1)=1,N(P_L1_Monto),AE$100)-AF$99)</f>
        <v>1837392.93506663</v>
      </c>
      <c r="AG100" s="34" t="n">
        <f aca="false">IF((28-N(P_L1_Mes)+1)&lt;1,0,IF((28-N(P_L1_Mes)+1)=1,N(P_L1_Monto),AF$100)-AG$99)</f>
        <v>1788113.17548494</v>
      </c>
      <c r="AH100" s="34" t="n">
        <f aca="false">IF((29-N(P_L1_Mes)+1)&lt;1,0,IF((29-N(P_L1_Mes)+1)=1,N(P_L1_Monto),AG$100)-AH$99)</f>
        <v>1738463.81770639</v>
      </c>
      <c r="AI100" s="34" t="n">
        <f aca="false">IF((30-N(P_L1_Mes)+1)&lt;1,0,IF((30-N(P_L1_Mes)+1)=1,N(P_L1_Monto),AH$100)-AI$99)</f>
        <v>1688442.0897445</v>
      </c>
      <c r="AJ100" s="34" t="n">
        <f aca="false">IF((31-N(P_L1_Mes)+1)&lt;1,0,IF((31-N(P_L1_Mes)+1)=1,N(P_L1_Monto),AI$100)-AJ$99)</f>
        <v>1638045.1988229</v>
      </c>
      <c r="AK100" s="34" t="n">
        <f aca="false">IF((32-N(P_L1_Mes)+1)&lt;1,0,IF((32-N(P_L1_Mes)+1)=1,N(P_L1_Monto),AJ$100)-AK$99)</f>
        <v>1587270.33121938</v>
      </c>
      <c r="AL100" s="34" t="n">
        <f aca="false">IF((33-N(P_L1_Mes)+1)&lt;1,0,IF((33-N(P_L1_Mes)+1)=1,N(P_L1_Monto),AK$100)-AL$99)</f>
        <v>1536114.65210884</v>
      </c>
      <c r="AM100" s="34" t="n">
        <f aca="false">IF((34-N(P_L1_Mes)+1)&lt;1,0,IF((34-N(P_L1_Mes)+1)=1,N(P_L1_Monto),AL$100)-AM$99)</f>
        <v>1484575.30540497</v>
      </c>
      <c r="AN100" s="34" t="n">
        <f aca="false">IF((35-N(P_L1_Mes)+1)&lt;1,0,IF((35-N(P_L1_Mes)+1)=1,N(P_L1_Monto),AM$100)-AN$99)</f>
        <v>1432649.41360082</v>
      </c>
      <c r="AO100" s="34" t="n">
        <f aca="false">IF((36-N(P_L1_Mes)+1)&lt;1,0,IF((36-N(P_L1_Mes)+1)=1,N(P_L1_Monto),AN$100)-AO$99)</f>
        <v>1380334.07760814</v>
      </c>
      <c r="AP100" s="34" t="n">
        <f aca="false">IF((37-N(P_L1_Mes)+1)&lt;1,0,IF((37-N(P_L1_Mes)+1)=1,N(P_L1_Monto),AO$100)-AP$99)</f>
        <v>1327626.37659551</v>
      </c>
      <c r="AQ100" s="34" t="n">
        <f aca="false">IF((38-N(P_L1_Mes)+1)&lt;1,0,IF((38-N(P_L1_Mes)+1)=1,N(P_L1_Monto),AP$100)-AQ$99)</f>
        <v>1274523.36782529</v>
      </c>
      <c r="AR100" s="34" t="n">
        <f aca="false">IF((39-N(P_L1_Mes)+1)&lt;1,0,IF((39-N(P_L1_Mes)+1)=1,N(P_L1_Monto),AQ$100)-AR$99)</f>
        <v>1221022.08648929</v>
      </c>
      <c r="AS100" s="34" t="n">
        <f aca="false">IF((40-N(P_L1_Mes)+1)&lt;1,0,IF((40-N(P_L1_Mes)+1)=1,N(P_L1_Monto),AR$100)-AS$99)</f>
        <v>1167119.54554327</v>
      </c>
      <c r="AT100" s="34" t="n">
        <f aca="false">IF((41-N(P_L1_Mes)+1)&lt;1,0,IF((41-N(P_L1_Mes)+1)=1,N(P_L1_Monto),AS$100)-AT$99)</f>
        <v>1112812.73554016</v>
      </c>
      <c r="AU100" s="34" t="n">
        <f aca="false">IF((42-N(P_L1_Mes)+1)&lt;1,0,IF((42-N(P_L1_Mes)+1)=1,N(P_L1_Monto),AT$100)-AU$99)</f>
        <v>1058098.62446202</v>
      </c>
      <c r="AV100" s="34" t="n">
        <f aca="false">IF((43-N(P_L1_Mes)+1)&lt;1,0,IF((43-N(P_L1_Mes)+1)=1,N(P_L1_Monto),AU$100)-AV$99)</f>
        <v>1002974.1575508</v>
      </c>
      <c r="AW100" s="34" t="n">
        <f aca="false">IF((44-N(P_L1_Mes)+1)&lt;1,0,IF((44-N(P_L1_Mes)+1)=1,N(P_L1_Monto),AV$100)-AW$99)</f>
        <v>947436.257137743</v>
      </c>
      <c r="AX100" s="34" t="n">
        <f aca="false">IF((45-N(P_L1_Mes)+1)&lt;1,0,IF((45-N(P_L1_Mes)+1)=1,N(P_L1_Monto),AW$100)-AX$99)</f>
        <v>891481.822471588</v>
      </c>
      <c r="AY100" s="34" t="n">
        <f aca="false">IF((46-N(P_L1_Mes)+1)&lt;1,0,IF((46-N(P_L1_Mes)+1)=1,N(P_L1_Monto),AX$100)-AY$99)</f>
        <v>835107.729545437</v>
      </c>
      <c r="AZ100" s="34" t="n">
        <f aca="false">IF((47-N(P_L1_Mes)+1)&lt;1,0,IF((47-N(P_L1_Mes)+1)=1,N(P_L1_Monto),AY$100)-AZ$99)</f>
        <v>778310.83092234</v>
      </c>
      <c r="BA100" s="34" t="n">
        <f aca="false">IF((48-N(P_L1_Mes)+1)&lt;1,0,IF((48-N(P_L1_Mes)+1)=1,N(P_L1_Monto),AZ$100)-BA$99)</f>
        <v>721087.95555957</v>
      </c>
      <c r="BB100" s="34" t="n">
        <f aca="false">IF((49-N(P_L1_Mes)+1)&lt;1,0,IF((49-N(P_L1_Mes)+1)=1,N(P_L1_Monto),BA$100)-BB$99)</f>
        <v>663435.908631579</v>
      </c>
      <c r="BC100" s="34" t="n">
        <f aca="false">IF((50-N(P_L1_Mes)+1)&lt;1,0,IF((50-N(P_L1_Mes)+1)=1,N(P_L1_Monto),BB$100)-BC$99)</f>
        <v>605351.471351628</v>
      </c>
      <c r="BD100" s="34" t="n">
        <f aca="false">IF((51-N(P_L1_Mes)+1)&lt;1,0,IF((51-N(P_L1_Mes)+1)=1,N(P_L1_Monto),BC$100)-BD$99)</f>
        <v>546831.400792078</v>
      </c>
      <c r="BE100" s="34" t="n">
        <f aca="false">IF((52-N(P_L1_Mes)+1)&lt;1,0,IF((52-N(P_L1_Mes)+1)=1,N(P_L1_Monto),BD$100)-BE$99)</f>
        <v>487872.429703331</v>
      </c>
      <c r="BF100" s="34" t="n">
        <f aca="false">IF((53-N(P_L1_Mes)+1)&lt;1,0,IF((53-N(P_L1_Mes)+1)=1,N(P_L1_Monto),BE$100)-BF$99)</f>
        <v>428471.266331418</v>
      </c>
      <c r="BG100" s="34" t="n">
        <f aca="false">IF((54-N(P_L1_Mes)+1)&lt;1,0,IF((54-N(P_L1_Mes)+1)=1,N(P_L1_Monto),BF$100)-BG$99)</f>
        <v>368624.594234216</v>
      </c>
      <c r="BH100" s="34" t="n">
        <f aca="false">IF((55-N(P_L1_Mes)+1)&lt;1,0,IF((55-N(P_L1_Mes)+1)=1,N(P_L1_Monto),BG$100)-BH$99)</f>
        <v>308329.072096285</v>
      </c>
      <c r="BI100" s="34" t="n">
        <f aca="false">IF((56-N(P_L1_Mes)+1)&lt;1,0,IF((56-N(P_L1_Mes)+1)=1,N(P_L1_Monto),BH$100)-BI$99)</f>
        <v>247581.333542319</v>
      </c>
      <c r="BJ100" s="34" t="n">
        <f aca="false">IF((57-N(P_L1_Mes)+1)&lt;1,0,IF((57-N(P_L1_Mes)+1)=1,N(P_L1_Monto),BI$100)-BJ$99)</f>
        <v>186377.986949199</v>
      </c>
      <c r="BK100" s="34" t="n">
        <f aca="false">IF((58-N(P_L1_Mes)+1)&lt;1,0,IF((58-N(P_L1_Mes)+1)=1,N(P_L1_Monto),BJ$100)-BK$99)</f>
        <v>124715.61525663</v>
      </c>
      <c r="BL100" s="34" t="n">
        <f aca="false">IF((59-N(P_L1_Mes)+1)&lt;1,0,IF((59-N(P_L1_Mes)+1)=1,N(P_L1_Monto),BK$100)-BL$99)</f>
        <v>62590.7757763667</v>
      </c>
      <c r="BM100" s="34" t="n">
        <f aca="false">IF((60-N(P_L1_Mes)+1)&lt;1,0,IF((60-N(P_L1_Mes)+1)=1,N(P_L1_Monto),BL$100)-BM$99)</f>
        <v>0</v>
      </c>
      <c r="BN100" s="34" t="n">
        <f aca="false">IF((61-N(P_L1_Mes)+1)&lt;1,0,IF((61-N(P_L1_Mes)+1)=1,N(P_L1_Monto),BM$100)-BN$99)</f>
        <v>0</v>
      </c>
      <c r="BO100" s="34" t="n">
        <f aca="false">IF((62-N(P_L1_Mes)+1)&lt;1,0,IF((62-N(P_L1_Mes)+1)=1,N(P_L1_Monto),BN$100)-BO$99)</f>
        <v>0</v>
      </c>
      <c r="BP100" s="34" t="n">
        <f aca="false">IF((63-N(P_L1_Mes)+1)&lt;1,0,IF((63-N(P_L1_Mes)+1)=1,N(P_L1_Monto),BO$100)-BP$99)</f>
        <v>0</v>
      </c>
      <c r="BQ100" s="34" t="n">
        <f aca="false">IF((64-N(P_L1_Mes)+1)&lt;1,0,IF((64-N(P_L1_Mes)+1)=1,N(P_L1_Monto),BP$100)-BQ$99)</f>
        <v>0</v>
      </c>
      <c r="BR100" s="34" t="n">
        <f aca="false">IF((65-N(P_L1_Mes)+1)&lt;1,0,IF((65-N(P_L1_Mes)+1)=1,N(P_L1_Monto),BQ$100)-BR$99)</f>
        <v>0</v>
      </c>
      <c r="BS100" s="34" t="n">
        <f aca="false">IF((66-N(P_L1_Mes)+1)&lt;1,0,IF((66-N(P_L1_Mes)+1)=1,N(P_L1_Monto),BR$100)-BS$99)</f>
        <v>0</v>
      </c>
      <c r="BT100" s="34" t="n">
        <f aca="false">IF((67-N(P_L1_Mes)+1)&lt;1,0,IF((67-N(P_L1_Mes)+1)=1,N(P_L1_Monto),BS$100)-BT$99)</f>
        <v>0</v>
      </c>
      <c r="BU100" s="34" t="n">
        <f aca="false">IF((68-N(P_L1_Mes)+1)&lt;1,0,IF((68-N(P_L1_Mes)+1)=1,N(P_L1_Monto),BT$100)-BU$99)</f>
        <v>0</v>
      </c>
      <c r="BV100" s="34" t="n">
        <f aca="false">IF((69-N(P_L1_Mes)+1)&lt;1,0,IF((69-N(P_L1_Mes)+1)=1,N(P_L1_Monto),BU$100)-BV$99)</f>
        <v>0</v>
      </c>
      <c r="BW100" s="34" t="n">
        <f aca="false">IF((70-N(P_L1_Mes)+1)&lt;1,0,IF((70-N(P_L1_Mes)+1)=1,N(P_L1_Monto),BV$100)-BW$99)</f>
        <v>0</v>
      </c>
      <c r="BX100" s="34" t="n">
        <f aca="false">IF((71-N(P_L1_Mes)+1)&lt;1,0,IF((71-N(P_L1_Mes)+1)=1,N(P_L1_Monto),BW$100)-BX$99)</f>
        <v>0</v>
      </c>
      <c r="BY100" s="34" t="n">
        <f aca="false">IF((72-N(P_L1_Mes)+1)&lt;1,0,IF((72-N(P_L1_Mes)+1)=1,N(P_L1_Monto),BX$100)-BY$99)</f>
        <v>0</v>
      </c>
      <c r="BZ100" s="34" t="n">
        <f aca="false">IF((73-N(P_L1_Mes)+1)&lt;1,0,IF((73-N(P_L1_Mes)+1)=1,N(P_L1_Monto),BY$100)-BZ$99)</f>
        <v>0</v>
      </c>
      <c r="CA100" s="34" t="n">
        <f aca="false">IF((74-N(P_L1_Mes)+1)&lt;1,0,IF((74-N(P_L1_Mes)+1)=1,N(P_L1_Monto),BZ$100)-CA$99)</f>
        <v>0</v>
      </c>
      <c r="CB100" s="34" t="n">
        <f aca="false">IF((75-N(P_L1_Mes)+1)&lt;1,0,IF((75-N(P_L1_Mes)+1)=1,N(P_L1_Monto),CA$100)-CB$99)</f>
        <v>0</v>
      </c>
      <c r="CC100" s="34" t="n">
        <f aca="false">IF((76-N(P_L1_Mes)+1)&lt;1,0,IF((76-N(P_L1_Mes)+1)=1,N(P_L1_Monto),CB$100)-CC$99)</f>
        <v>0</v>
      </c>
      <c r="CD100" s="34" t="n">
        <f aca="false">IF((77-N(P_L1_Mes)+1)&lt;1,0,IF((77-N(P_L1_Mes)+1)=1,N(P_L1_Monto),CC$100)-CD$99)</f>
        <v>0</v>
      </c>
      <c r="CE100" s="34" t="n">
        <f aca="false">IF((78-N(P_L1_Mes)+1)&lt;1,0,IF((78-N(P_L1_Mes)+1)=1,N(P_L1_Monto),CD$100)-CE$99)</f>
        <v>0</v>
      </c>
      <c r="CF100" s="34" t="n">
        <f aca="false">IF((79-N(P_L1_Mes)+1)&lt;1,0,IF((79-N(P_L1_Mes)+1)=1,N(P_L1_Monto),CE$100)-CF$99)</f>
        <v>0</v>
      </c>
      <c r="CG100" s="34" t="n">
        <f aca="false">IF((80-N(P_L1_Mes)+1)&lt;1,0,IF((80-N(P_L1_Mes)+1)=1,N(P_L1_Monto),CF$100)-CG$99)</f>
        <v>0</v>
      </c>
      <c r="CH100" s="34" t="n">
        <f aca="false">IF((81-N(P_L1_Mes)+1)&lt;1,0,IF((81-N(P_L1_Mes)+1)=1,N(P_L1_Monto),CG$100)-CH$99)</f>
        <v>0</v>
      </c>
      <c r="CI100" s="34" t="n">
        <f aca="false">IF((82-N(P_L1_Mes)+1)&lt;1,0,IF((82-N(P_L1_Mes)+1)=1,N(P_L1_Monto),CH$100)-CI$99)</f>
        <v>0</v>
      </c>
      <c r="CJ100" s="34" t="n">
        <f aca="false">IF((83-N(P_L1_Mes)+1)&lt;1,0,IF((83-N(P_L1_Mes)+1)=1,N(P_L1_Monto),CI$100)-CJ$99)</f>
        <v>0</v>
      </c>
      <c r="CK100" s="34" t="n">
        <f aca="false">IF((84-N(P_L1_Mes)+1)&lt;1,0,IF((84-N(P_L1_Mes)+1)=1,N(P_L1_Monto),CJ$100)-CK$99)</f>
        <v>0</v>
      </c>
      <c r="CL100" s="34" t="n">
        <f aca="false">IF((85-N(P_L1_Mes)+1)&lt;1,0,IF((85-N(P_L1_Mes)+1)=1,N(P_L1_Monto),CK$100)-CL$99)</f>
        <v>0</v>
      </c>
      <c r="CM100" s="34" t="n">
        <f aca="false">IF((86-N(P_L1_Mes)+1)&lt;1,0,IF((86-N(P_L1_Mes)+1)=1,N(P_L1_Monto),CL$100)-CM$99)</f>
        <v>0</v>
      </c>
      <c r="CN100" s="34" t="n">
        <f aca="false">IF((87-N(P_L1_Mes)+1)&lt;1,0,IF((87-N(P_L1_Mes)+1)=1,N(P_L1_Monto),CM$100)-CN$99)</f>
        <v>0</v>
      </c>
      <c r="CO100" s="34" t="n">
        <f aca="false">IF((88-N(P_L1_Mes)+1)&lt;1,0,IF((88-N(P_L1_Mes)+1)=1,N(P_L1_Monto),CN$100)-CO$99)</f>
        <v>0</v>
      </c>
      <c r="CP100" s="34" t="n">
        <f aca="false">IF((89-N(P_L1_Mes)+1)&lt;1,0,IF((89-N(P_L1_Mes)+1)=1,N(P_L1_Monto),CO$100)-CP$99)</f>
        <v>0</v>
      </c>
      <c r="CQ100" s="34" t="n">
        <f aca="false">IF((90-N(P_L1_Mes)+1)&lt;1,0,IF((90-N(P_L1_Mes)+1)=1,N(P_L1_Monto),CP$100)-CQ$99)</f>
        <v>0</v>
      </c>
      <c r="CR100" s="34" t="n">
        <f aca="false">IF((91-N(P_L1_Mes)+1)&lt;1,0,IF((91-N(P_L1_Mes)+1)=1,N(P_L1_Monto),CQ$100)-CR$99)</f>
        <v>0</v>
      </c>
      <c r="CS100" s="34" t="n">
        <f aca="false">IF((92-N(P_L1_Mes)+1)&lt;1,0,IF((92-N(P_L1_Mes)+1)=1,N(P_L1_Monto),CR$100)-CS$99)</f>
        <v>0</v>
      </c>
      <c r="CT100" s="34" t="n">
        <f aca="false">IF((93-N(P_L1_Mes)+1)&lt;1,0,IF((93-N(P_L1_Mes)+1)=1,N(P_L1_Monto),CS$100)-CT$99)</f>
        <v>0</v>
      </c>
      <c r="CU100" s="34" t="n">
        <f aca="false">IF((94-N(P_L1_Mes)+1)&lt;1,0,IF((94-N(P_L1_Mes)+1)=1,N(P_L1_Monto),CT$100)-CU$99)</f>
        <v>0</v>
      </c>
      <c r="CV100" s="34" t="n">
        <f aca="false">IF((95-N(P_L1_Mes)+1)&lt;1,0,IF((95-N(P_L1_Mes)+1)=1,N(P_L1_Monto),CU$100)-CV$99)</f>
        <v>0</v>
      </c>
      <c r="CW100" s="34" t="n">
        <f aca="false">IF((96-N(P_L1_Mes)+1)&lt;1,0,IF((96-N(P_L1_Mes)+1)=1,N(P_L1_Monto),CV$100)-CW$99)</f>
        <v>0</v>
      </c>
      <c r="CX100" s="34" t="n">
        <f aca="false">IF((97-N(P_L1_Mes)+1)&lt;1,0,IF((97-N(P_L1_Mes)+1)=1,N(P_L1_Monto),CW$100)-CX$99)</f>
        <v>0</v>
      </c>
      <c r="CY100" s="34" t="n">
        <f aca="false">IF((98-N(P_L1_Mes)+1)&lt;1,0,IF((98-N(P_L1_Mes)+1)=1,N(P_L1_Monto),CX$100)-CY$99)</f>
        <v>0</v>
      </c>
      <c r="CZ100" s="34" t="n">
        <f aca="false">IF((99-N(P_L1_Mes)+1)&lt;1,0,IF((99-N(P_L1_Mes)+1)=1,N(P_L1_Monto),CY$100)-CZ$99)</f>
        <v>0</v>
      </c>
      <c r="DA100" s="34" t="n">
        <f aca="false">IF((100-N(P_L1_Mes)+1)&lt;1,0,IF((100-N(P_L1_Mes)+1)=1,N(P_L1_Monto),CZ$100)-DA$99)</f>
        <v>0</v>
      </c>
      <c r="DB100" s="34" t="n">
        <f aca="false">IF((101-N(P_L1_Mes)+1)&lt;1,0,IF((101-N(P_L1_Mes)+1)=1,N(P_L1_Monto),DA$100)-DB$99)</f>
        <v>0</v>
      </c>
      <c r="DC100" s="34" t="n">
        <f aca="false">IF((102-N(P_L1_Mes)+1)&lt;1,0,IF((102-N(P_L1_Mes)+1)=1,N(P_L1_Monto),DB$100)-DC$99)</f>
        <v>0</v>
      </c>
      <c r="DD100" s="34" t="n">
        <f aca="false">IF((103-N(P_L1_Mes)+1)&lt;1,0,IF((103-N(P_L1_Mes)+1)=1,N(P_L1_Monto),DC$100)-DD$99)</f>
        <v>0</v>
      </c>
      <c r="DE100" s="34" t="n">
        <f aca="false">IF((104-N(P_L1_Mes)+1)&lt;1,0,IF((104-N(P_L1_Mes)+1)=1,N(P_L1_Monto),DD$100)-DE$99)</f>
        <v>0</v>
      </c>
      <c r="DF100" s="34" t="n">
        <f aca="false">IF((105-N(P_L1_Mes)+1)&lt;1,0,IF((105-N(P_L1_Mes)+1)=1,N(P_L1_Monto),DE$100)-DF$99)</f>
        <v>0</v>
      </c>
      <c r="DG100" s="34" t="n">
        <f aca="false">IF((106-N(P_L1_Mes)+1)&lt;1,0,IF((106-N(P_L1_Mes)+1)=1,N(P_L1_Monto),DF$100)-DG$99)</f>
        <v>0</v>
      </c>
      <c r="DH100" s="34" t="n">
        <f aca="false">IF((107-N(P_L1_Mes)+1)&lt;1,0,IF((107-N(P_L1_Mes)+1)=1,N(P_L1_Monto),DG$100)-DH$99)</f>
        <v>0</v>
      </c>
      <c r="DI100" s="34" t="n">
        <f aca="false">IF((108-N(P_L1_Mes)+1)&lt;1,0,IF((108-N(P_L1_Mes)+1)=1,N(P_L1_Monto),DH$100)-DI$99)</f>
        <v>0</v>
      </c>
      <c r="DJ100" s="34" t="n">
        <f aca="false">IF((109-N(P_L1_Mes)+1)&lt;1,0,IF((109-N(P_L1_Mes)+1)=1,N(P_L1_Monto),DI$100)-DJ$99)</f>
        <v>0</v>
      </c>
      <c r="DK100" s="34" t="n">
        <f aca="false">IF((110-N(P_L1_Mes)+1)&lt;1,0,IF((110-N(P_L1_Mes)+1)=1,N(P_L1_Monto),DJ$100)-DK$99)</f>
        <v>0</v>
      </c>
      <c r="DL100" s="34" t="n">
        <f aca="false">IF((111-N(P_L1_Mes)+1)&lt;1,0,IF((111-N(P_L1_Mes)+1)=1,N(P_L1_Monto),DK$100)-DL$99)</f>
        <v>0</v>
      </c>
      <c r="DM100" s="34" t="n">
        <f aca="false">IF((112-N(P_L1_Mes)+1)&lt;1,0,IF((112-N(P_L1_Mes)+1)=1,N(P_L1_Monto),DL$100)-DM$99)</f>
        <v>0</v>
      </c>
      <c r="DN100" s="34" t="n">
        <f aca="false">IF((113-N(P_L1_Mes)+1)&lt;1,0,IF((113-N(P_L1_Mes)+1)=1,N(P_L1_Monto),DM$100)-DN$99)</f>
        <v>0</v>
      </c>
      <c r="DO100" s="34" t="n">
        <f aca="false">IF((114-N(P_L1_Mes)+1)&lt;1,0,IF((114-N(P_L1_Mes)+1)=1,N(P_L1_Monto),DN$100)-DO$99)</f>
        <v>0</v>
      </c>
      <c r="DP100" s="34" t="n">
        <f aca="false">IF((115-N(P_L1_Mes)+1)&lt;1,0,IF((115-N(P_L1_Mes)+1)=1,N(P_L1_Monto),DO$100)-DP$99)</f>
        <v>0</v>
      </c>
      <c r="DQ100" s="34" t="n">
        <f aca="false">IF((116-N(P_L1_Mes)+1)&lt;1,0,IF((116-N(P_L1_Mes)+1)=1,N(P_L1_Monto),DP$100)-DQ$99)</f>
        <v>0</v>
      </c>
      <c r="DR100" s="34" t="n">
        <f aca="false">IF((117-N(P_L1_Mes)+1)&lt;1,0,IF((117-N(P_L1_Mes)+1)=1,N(P_L1_Monto),DQ$100)-DR$99)</f>
        <v>0</v>
      </c>
      <c r="DS100" s="34" t="n">
        <f aca="false">IF((118-N(P_L1_Mes)+1)&lt;1,0,IF((118-N(P_L1_Mes)+1)=1,N(P_L1_Monto),DR$100)-DS$99)</f>
        <v>0</v>
      </c>
      <c r="DT100" s="34" t="n">
        <f aca="false">IF((119-N(P_L1_Mes)+1)&lt;1,0,IF((119-N(P_L1_Mes)+1)=1,N(P_L1_Monto),DS$100)-DT$99)</f>
        <v>0</v>
      </c>
      <c r="DU100" s="34" t="n">
        <f aca="false">IF((120-N(P_L1_Mes)+1)&lt;1,0,IF((120-N(P_L1_Mes)+1)=1,N(P_L1_Monto),DT$100)-DU$99)</f>
        <v>0</v>
      </c>
      <c r="DV100" s="34" t="n">
        <f aca="false">IF((121-N(P_L1_Mes)+1)&lt;1,0,IF((121-N(P_L1_Mes)+1)=1,N(P_L1_Monto),DU$100)-DV$99)</f>
        <v>0</v>
      </c>
      <c r="DW100" s="34" t="n">
        <f aca="false">IF((122-N(P_L1_Mes)+1)&lt;1,0,IF((122-N(P_L1_Mes)+1)=1,N(P_L1_Monto),DV$100)-DW$99)</f>
        <v>0</v>
      </c>
      <c r="DX100" s="34" t="n">
        <f aca="false">IF((123-N(P_L1_Mes)+1)&lt;1,0,IF((123-N(P_L1_Mes)+1)=1,N(P_L1_Monto),DW$100)-DX$99)</f>
        <v>0</v>
      </c>
      <c r="DY100" s="34" t="n">
        <f aca="false">IF((124-N(P_L1_Mes)+1)&lt;1,0,IF((124-N(P_L1_Mes)+1)=1,N(P_L1_Monto),DX$100)-DY$99)</f>
        <v>0</v>
      </c>
      <c r="DZ100" s="34" t="n">
        <f aca="false">IF((125-N(P_L1_Mes)+1)&lt;1,0,IF((125-N(P_L1_Mes)+1)=1,N(P_L1_Monto),DY$100)-DZ$99)</f>
        <v>0</v>
      </c>
      <c r="EA100" s="34" t="n">
        <f aca="false">IF((126-N(P_L1_Mes)+1)&lt;1,0,IF((126-N(P_L1_Mes)+1)=1,N(P_L1_Monto),DZ$100)-EA$99)</f>
        <v>0</v>
      </c>
      <c r="EB100" s="34" t="n">
        <f aca="false">IF((127-N(P_L1_Mes)+1)&lt;1,0,IF((127-N(P_L1_Mes)+1)=1,N(P_L1_Monto),EA$100)-EB$99)</f>
        <v>0</v>
      </c>
      <c r="EC100" s="34" t="n">
        <f aca="false">IF((128-N(P_L1_Mes)+1)&lt;1,0,IF((128-N(P_L1_Mes)+1)=1,N(P_L1_Monto),EB$100)-EC$99)</f>
        <v>0</v>
      </c>
      <c r="ED100" s="34" t="n">
        <f aca="false">IF((129-N(P_L1_Mes)+1)&lt;1,0,IF((129-N(P_L1_Mes)+1)=1,N(P_L1_Monto),EC$100)-ED$99)</f>
        <v>0</v>
      </c>
      <c r="EE100" s="34" t="n">
        <f aca="false">IF((130-N(P_L1_Mes)+1)&lt;1,0,IF((130-N(P_L1_Mes)+1)=1,N(P_L1_Monto),ED$100)-EE$99)</f>
        <v>0</v>
      </c>
      <c r="EF100" s="34" t="n">
        <f aca="false">IF((131-N(P_L1_Mes)+1)&lt;1,0,IF((131-N(P_L1_Mes)+1)=1,N(P_L1_Monto),EE$100)-EF$99)</f>
        <v>0</v>
      </c>
      <c r="EG100" s="34" t="n">
        <f aca="false">IF((132-N(P_L1_Mes)+1)&lt;1,0,IF((132-N(P_L1_Mes)+1)=1,N(P_L1_Monto),EF$100)-EG$99)</f>
        <v>0</v>
      </c>
      <c r="EH100" s="34" t="n">
        <f aca="false">IF((133-N(P_L1_Mes)+1)&lt;1,0,IF((133-N(P_L1_Mes)+1)=1,N(P_L1_Monto),EG$100)-EH$99)</f>
        <v>0</v>
      </c>
      <c r="EI100" s="34" t="n">
        <f aca="false">IF((134-N(P_L1_Mes)+1)&lt;1,0,IF((134-N(P_L1_Mes)+1)=1,N(P_L1_Monto),EH$100)-EI$99)</f>
        <v>0</v>
      </c>
      <c r="EJ100" s="34" t="n">
        <f aca="false">IF((135-N(P_L1_Mes)+1)&lt;1,0,IF((135-N(P_L1_Mes)+1)=1,N(P_L1_Monto),EI$100)-EJ$99)</f>
        <v>0</v>
      </c>
      <c r="EK100" s="34" t="n">
        <f aca="false">IF((136-N(P_L1_Mes)+1)&lt;1,0,IF((136-N(P_L1_Mes)+1)=1,N(P_L1_Monto),EJ$100)-EK$99)</f>
        <v>0</v>
      </c>
      <c r="EL100" s="34" t="n">
        <f aca="false">IF((137-N(P_L1_Mes)+1)&lt;1,0,IF((137-N(P_L1_Mes)+1)=1,N(P_L1_Monto),EK$100)-EL$99)</f>
        <v>0</v>
      </c>
      <c r="EM100" s="34" t="n">
        <f aca="false">IF((138-N(P_L1_Mes)+1)&lt;1,0,IF((138-N(P_L1_Mes)+1)=1,N(P_L1_Monto),EL$100)-EM$99)</f>
        <v>0</v>
      </c>
      <c r="EN100" s="34" t="n">
        <f aca="false">IF((139-N(P_L1_Mes)+1)&lt;1,0,IF((139-N(P_L1_Mes)+1)=1,N(P_L1_Monto),EM$100)-EN$99)</f>
        <v>0</v>
      </c>
      <c r="EO100" s="34" t="n">
        <f aca="false">IF((140-N(P_L1_Mes)+1)&lt;1,0,IF((140-N(P_L1_Mes)+1)=1,N(P_L1_Monto),EN$100)-EO$99)</f>
        <v>0</v>
      </c>
      <c r="EP100" s="34" t="n">
        <f aca="false">IF((141-N(P_L1_Mes)+1)&lt;1,0,IF((141-N(P_L1_Mes)+1)=1,N(P_L1_Monto),EO$100)-EP$99)</f>
        <v>0</v>
      </c>
      <c r="EQ100" s="34" t="n">
        <f aca="false">IF((142-N(P_L1_Mes)+1)&lt;1,0,IF((142-N(P_L1_Mes)+1)=1,N(P_L1_Monto),EP$100)-EQ$99)</f>
        <v>0</v>
      </c>
      <c r="ER100" s="34" t="n">
        <f aca="false">IF((143-N(P_L1_Mes)+1)&lt;1,0,IF((143-N(P_L1_Mes)+1)=1,N(P_L1_Monto),EQ$100)-ER$99)</f>
        <v>0</v>
      </c>
      <c r="ES100" s="34" t="n">
        <f aca="false">IF((144-N(P_L1_Mes)+1)&lt;1,0,IF((144-N(P_L1_Mes)+1)=1,N(P_L1_Monto),ER$100)-ES$99)</f>
        <v>0</v>
      </c>
    </row>
    <row r="101" customFormat="false" ht="15" hidden="false" customHeight="false" outlineLevel="0" collapsed="false">
      <c r="A101" s="2" t="s">
        <v>685</v>
      </c>
      <c r="B101" s="6" t="s">
        <v>686</v>
      </c>
      <c r="C101" s="6" t="s">
        <v>250</v>
      </c>
      <c r="E101" s="40" t="n">
        <f aca="false">SUM(F101:ES101)</f>
        <v>0</v>
      </c>
      <c r="F101" s="34" t="n">
        <f aca="false">IF((1-N(P_L2_Mes)+1)=1,N(P_L2_Monto),0)*F$9</f>
        <v>0</v>
      </c>
      <c r="G101" s="34" t="n">
        <f aca="false">IF((2-N(P_L2_Mes)+1)=1,N(P_L2_Monto),0)*G$9</f>
        <v>0</v>
      </c>
      <c r="H101" s="34" t="n">
        <f aca="false">IF((3-N(P_L2_Mes)+1)=1,N(P_L2_Monto),0)*H$9</f>
        <v>0</v>
      </c>
      <c r="I101" s="34" t="n">
        <f aca="false">IF((4-N(P_L2_Mes)+1)=1,N(P_L2_Monto),0)*I$9</f>
        <v>0</v>
      </c>
      <c r="J101" s="34" t="n">
        <f aca="false">IF((5-N(P_L2_Mes)+1)=1,N(P_L2_Monto),0)*J$9</f>
        <v>0</v>
      </c>
      <c r="K101" s="34" t="n">
        <f aca="false">IF((6-N(P_L2_Mes)+1)=1,N(P_L2_Monto),0)*K$9</f>
        <v>0</v>
      </c>
      <c r="L101" s="34" t="n">
        <f aca="false">IF((7-N(P_L2_Mes)+1)=1,N(P_L2_Monto),0)*L$9</f>
        <v>0</v>
      </c>
      <c r="M101" s="34" t="n">
        <f aca="false">IF((8-N(P_L2_Mes)+1)=1,N(P_L2_Monto),0)*M$9</f>
        <v>0</v>
      </c>
      <c r="N101" s="34" t="n">
        <f aca="false">IF((9-N(P_L2_Mes)+1)=1,N(P_L2_Monto),0)*N$9</f>
        <v>0</v>
      </c>
      <c r="O101" s="34" t="n">
        <f aca="false">IF((10-N(P_L2_Mes)+1)=1,N(P_L2_Monto),0)*O$9</f>
        <v>0</v>
      </c>
      <c r="P101" s="34" t="n">
        <f aca="false">IF((11-N(P_L2_Mes)+1)=1,N(P_L2_Monto),0)*P$9</f>
        <v>0</v>
      </c>
      <c r="Q101" s="34" t="n">
        <f aca="false">IF((12-N(P_L2_Mes)+1)=1,N(P_L2_Monto),0)*Q$9</f>
        <v>0</v>
      </c>
      <c r="R101" s="34" t="n">
        <f aca="false">IF((13-N(P_L2_Mes)+1)=1,N(P_L2_Monto),0)*R$9</f>
        <v>0</v>
      </c>
      <c r="S101" s="34" t="n">
        <f aca="false">IF((14-N(P_L2_Mes)+1)=1,N(P_L2_Monto),0)*S$9</f>
        <v>0</v>
      </c>
      <c r="T101" s="34" t="n">
        <f aca="false">IF((15-N(P_L2_Mes)+1)=1,N(P_L2_Monto),0)*T$9</f>
        <v>0</v>
      </c>
      <c r="U101" s="34" t="n">
        <f aca="false">IF((16-N(P_L2_Mes)+1)=1,N(P_L2_Monto),0)*U$9</f>
        <v>0</v>
      </c>
      <c r="V101" s="34" t="n">
        <f aca="false">IF((17-N(P_L2_Mes)+1)=1,N(P_L2_Monto),0)*V$9</f>
        <v>0</v>
      </c>
      <c r="W101" s="34" t="n">
        <f aca="false">IF((18-N(P_L2_Mes)+1)=1,N(P_L2_Monto),0)*W$9</f>
        <v>0</v>
      </c>
      <c r="X101" s="34" t="n">
        <f aca="false">IF((19-N(P_L2_Mes)+1)=1,N(P_L2_Monto),0)*X$9</f>
        <v>0</v>
      </c>
      <c r="Y101" s="34" t="n">
        <f aca="false">IF((20-N(P_L2_Mes)+1)=1,N(P_L2_Monto),0)*Y$9</f>
        <v>0</v>
      </c>
      <c r="Z101" s="34" t="n">
        <f aca="false">IF((21-N(P_L2_Mes)+1)=1,N(P_L2_Monto),0)*Z$9</f>
        <v>0</v>
      </c>
      <c r="AA101" s="34" t="n">
        <f aca="false">IF((22-N(P_L2_Mes)+1)=1,N(P_L2_Monto),0)*AA$9</f>
        <v>0</v>
      </c>
      <c r="AB101" s="34" t="n">
        <f aca="false">IF((23-N(P_L2_Mes)+1)=1,N(P_L2_Monto),0)*AB$9</f>
        <v>0</v>
      </c>
      <c r="AC101" s="34" t="n">
        <f aca="false">IF((24-N(P_L2_Mes)+1)=1,N(P_L2_Monto),0)*AC$9</f>
        <v>0</v>
      </c>
      <c r="AD101" s="34" t="n">
        <f aca="false">IF((25-N(P_L2_Mes)+1)=1,N(P_L2_Monto),0)*AD$9</f>
        <v>0</v>
      </c>
      <c r="AE101" s="34" t="n">
        <f aca="false">IF((26-N(P_L2_Mes)+1)=1,N(P_L2_Monto),0)*AE$9</f>
        <v>0</v>
      </c>
      <c r="AF101" s="34" t="n">
        <f aca="false">IF((27-N(P_L2_Mes)+1)=1,N(P_L2_Monto),0)*AF$9</f>
        <v>0</v>
      </c>
      <c r="AG101" s="34" t="n">
        <f aca="false">IF((28-N(P_L2_Mes)+1)=1,N(P_L2_Monto),0)*AG$9</f>
        <v>0</v>
      </c>
      <c r="AH101" s="34" t="n">
        <f aca="false">IF((29-N(P_L2_Mes)+1)=1,N(P_L2_Monto),0)*AH$9</f>
        <v>0</v>
      </c>
      <c r="AI101" s="34" t="n">
        <f aca="false">IF((30-N(P_L2_Mes)+1)=1,N(P_L2_Monto),0)*AI$9</f>
        <v>0</v>
      </c>
      <c r="AJ101" s="34" t="n">
        <f aca="false">IF((31-N(P_L2_Mes)+1)=1,N(P_L2_Monto),0)*AJ$9</f>
        <v>0</v>
      </c>
      <c r="AK101" s="34" t="n">
        <f aca="false">IF((32-N(P_L2_Mes)+1)=1,N(P_L2_Monto),0)*AK$9</f>
        <v>0</v>
      </c>
      <c r="AL101" s="34" t="n">
        <f aca="false">IF((33-N(P_L2_Mes)+1)=1,N(P_L2_Monto),0)*AL$9</f>
        <v>0</v>
      </c>
      <c r="AM101" s="34" t="n">
        <f aca="false">IF((34-N(P_L2_Mes)+1)=1,N(P_L2_Monto),0)*AM$9</f>
        <v>0</v>
      </c>
      <c r="AN101" s="34" t="n">
        <f aca="false">IF((35-N(P_L2_Mes)+1)=1,N(P_L2_Monto),0)*AN$9</f>
        <v>0</v>
      </c>
      <c r="AO101" s="34" t="n">
        <f aca="false">IF((36-N(P_L2_Mes)+1)=1,N(P_L2_Monto),0)*AO$9</f>
        <v>0</v>
      </c>
      <c r="AP101" s="34" t="n">
        <f aca="false">IF((37-N(P_L2_Mes)+1)=1,N(P_L2_Monto),0)*AP$9</f>
        <v>0</v>
      </c>
      <c r="AQ101" s="34" t="n">
        <f aca="false">IF((38-N(P_L2_Mes)+1)=1,N(P_L2_Monto),0)*AQ$9</f>
        <v>0</v>
      </c>
      <c r="AR101" s="34" t="n">
        <f aca="false">IF((39-N(P_L2_Mes)+1)=1,N(P_L2_Monto),0)*AR$9</f>
        <v>0</v>
      </c>
      <c r="AS101" s="34" t="n">
        <f aca="false">IF((40-N(P_L2_Mes)+1)=1,N(P_L2_Monto),0)*AS$9</f>
        <v>0</v>
      </c>
      <c r="AT101" s="34" t="n">
        <f aca="false">IF((41-N(P_L2_Mes)+1)=1,N(P_L2_Monto),0)*AT$9</f>
        <v>0</v>
      </c>
      <c r="AU101" s="34" t="n">
        <f aca="false">IF((42-N(P_L2_Mes)+1)=1,N(P_L2_Monto),0)*AU$9</f>
        <v>0</v>
      </c>
      <c r="AV101" s="34" t="n">
        <f aca="false">IF((43-N(P_L2_Mes)+1)=1,N(P_L2_Monto),0)*AV$9</f>
        <v>0</v>
      </c>
      <c r="AW101" s="34" t="n">
        <f aca="false">IF((44-N(P_L2_Mes)+1)=1,N(P_L2_Monto),0)*AW$9</f>
        <v>0</v>
      </c>
      <c r="AX101" s="34" t="n">
        <f aca="false">IF((45-N(P_L2_Mes)+1)=1,N(P_L2_Monto),0)*AX$9</f>
        <v>0</v>
      </c>
      <c r="AY101" s="34" t="n">
        <f aca="false">IF((46-N(P_L2_Mes)+1)=1,N(P_L2_Monto),0)*AY$9</f>
        <v>0</v>
      </c>
      <c r="AZ101" s="34" t="n">
        <f aca="false">IF((47-N(P_L2_Mes)+1)=1,N(P_L2_Monto),0)*AZ$9</f>
        <v>0</v>
      </c>
      <c r="BA101" s="34" t="n">
        <f aca="false">IF((48-N(P_L2_Mes)+1)=1,N(P_L2_Monto),0)*BA$9</f>
        <v>0</v>
      </c>
      <c r="BB101" s="34" t="n">
        <f aca="false">IF((49-N(P_L2_Mes)+1)=1,N(P_L2_Monto),0)*BB$9</f>
        <v>0</v>
      </c>
      <c r="BC101" s="34" t="n">
        <f aca="false">IF((50-N(P_L2_Mes)+1)=1,N(P_L2_Monto),0)*BC$9</f>
        <v>0</v>
      </c>
      <c r="BD101" s="34" t="n">
        <f aca="false">IF((51-N(P_L2_Mes)+1)=1,N(P_L2_Monto),0)*BD$9</f>
        <v>0</v>
      </c>
      <c r="BE101" s="34" t="n">
        <f aca="false">IF((52-N(P_L2_Mes)+1)=1,N(P_L2_Monto),0)*BE$9</f>
        <v>0</v>
      </c>
      <c r="BF101" s="34" t="n">
        <f aca="false">IF((53-N(P_L2_Mes)+1)=1,N(P_L2_Monto),0)*BF$9</f>
        <v>0</v>
      </c>
      <c r="BG101" s="34" t="n">
        <f aca="false">IF((54-N(P_L2_Mes)+1)=1,N(P_L2_Monto),0)*BG$9</f>
        <v>0</v>
      </c>
      <c r="BH101" s="34" t="n">
        <f aca="false">IF((55-N(P_L2_Mes)+1)=1,N(P_L2_Monto),0)*BH$9</f>
        <v>0</v>
      </c>
      <c r="BI101" s="34" t="n">
        <f aca="false">IF((56-N(P_L2_Mes)+1)=1,N(P_L2_Monto),0)*BI$9</f>
        <v>0</v>
      </c>
      <c r="BJ101" s="34" t="n">
        <f aca="false">IF((57-N(P_L2_Mes)+1)=1,N(P_L2_Monto),0)*BJ$9</f>
        <v>0</v>
      </c>
      <c r="BK101" s="34" t="n">
        <f aca="false">IF((58-N(P_L2_Mes)+1)=1,N(P_L2_Monto),0)*BK$9</f>
        <v>0</v>
      </c>
      <c r="BL101" s="34" t="n">
        <f aca="false">IF((59-N(P_L2_Mes)+1)=1,N(P_L2_Monto),0)*BL$9</f>
        <v>0</v>
      </c>
      <c r="BM101" s="34" t="n">
        <f aca="false">IF((60-N(P_L2_Mes)+1)=1,N(P_L2_Monto),0)*BM$9</f>
        <v>0</v>
      </c>
      <c r="BN101" s="34" t="n">
        <f aca="false">IF((61-N(P_L2_Mes)+1)=1,N(P_L2_Monto),0)*BN$9</f>
        <v>0</v>
      </c>
      <c r="BO101" s="34" t="n">
        <f aca="false">IF((62-N(P_L2_Mes)+1)=1,N(P_L2_Monto),0)*BO$9</f>
        <v>0</v>
      </c>
      <c r="BP101" s="34" t="n">
        <f aca="false">IF((63-N(P_L2_Mes)+1)=1,N(P_L2_Monto),0)*BP$9</f>
        <v>0</v>
      </c>
      <c r="BQ101" s="34" t="n">
        <f aca="false">IF((64-N(P_L2_Mes)+1)=1,N(P_L2_Monto),0)*BQ$9</f>
        <v>0</v>
      </c>
      <c r="BR101" s="34" t="n">
        <f aca="false">IF((65-N(P_L2_Mes)+1)=1,N(P_L2_Monto),0)*BR$9</f>
        <v>0</v>
      </c>
      <c r="BS101" s="34" t="n">
        <f aca="false">IF((66-N(P_L2_Mes)+1)=1,N(P_L2_Monto),0)*BS$9</f>
        <v>0</v>
      </c>
      <c r="BT101" s="34" t="n">
        <f aca="false">IF((67-N(P_L2_Mes)+1)=1,N(P_L2_Monto),0)*BT$9</f>
        <v>0</v>
      </c>
      <c r="BU101" s="34" t="n">
        <f aca="false">IF((68-N(P_L2_Mes)+1)=1,N(P_L2_Monto),0)*BU$9</f>
        <v>0</v>
      </c>
      <c r="BV101" s="34" t="n">
        <f aca="false">IF((69-N(P_L2_Mes)+1)=1,N(P_L2_Monto),0)*BV$9</f>
        <v>0</v>
      </c>
      <c r="BW101" s="34" t="n">
        <f aca="false">IF((70-N(P_L2_Mes)+1)=1,N(P_L2_Monto),0)*BW$9</f>
        <v>0</v>
      </c>
      <c r="BX101" s="34" t="n">
        <f aca="false">IF((71-N(P_L2_Mes)+1)=1,N(P_L2_Monto),0)*BX$9</f>
        <v>0</v>
      </c>
      <c r="BY101" s="34" t="n">
        <f aca="false">IF((72-N(P_L2_Mes)+1)=1,N(P_L2_Monto),0)*BY$9</f>
        <v>0</v>
      </c>
      <c r="BZ101" s="34" t="n">
        <f aca="false">IF((73-N(P_L2_Mes)+1)=1,N(P_L2_Monto),0)*BZ$9</f>
        <v>0</v>
      </c>
      <c r="CA101" s="34" t="n">
        <f aca="false">IF((74-N(P_L2_Mes)+1)=1,N(P_L2_Monto),0)*CA$9</f>
        <v>0</v>
      </c>
      <c r="CB101" s="34" t="n">
        <f aca="false">IF((75-N(P_L2_Mes)+1)=1,N(P_L2_Monto),0)*CB$9</f>
        <v>0</v>
      </c>
      <c r="CC101" s="34" t="n">
        <f aca="false">IF((76-N(P_L2_Mes)+1)=1,N(P_L2_Monto),0)*CC$9</f>
        <v>0</v>
      </c>
      <c r="CD101" s="34" t="n">
        <f aca="false">IF((77-N(P_L2_Mes)+1)=1,N(P_L2_Monto),0)*CD$9</f>
        <v>0</v>
      </c>
      <c r="CE101" s="34" t="n">
        <f aca="false">IF((78-N(P_L2_Mes)+1)=1,N(P_L2_Monto),0)*CE$9</f>
        <v>0</v>
      </c>
      <c r="CF101" s="34" t="n">
        <f aca="false">IF((79-N(P_L2_Mes)+1)=1,N(P_L2_Monto),0)*CF$9</f>
        <v>0</v>
      </c>
      <c r="CG101" s="34" t="n">
        <f aca="false">IF((80-N(P_L2_Mes)+1)=1,N(P_L2_Monto),0)*CG$9</f>
        <v>0</v>
      </c>
      <c r="CH101" s="34" t="n">
        <f aca="false">IF((81-N(P_L2_Mes)+1)=1,N(P_L2_Monto),0)*CH$9</f>
        <v>0</v>
      </c>
      <c r="CI101" s="34" t="n">
        <f aca="false">IF((82-N(P_L2_Mes)+1)=1,N(P_L2_Monto),0)*CI$9</f>
        <v>0</v>
      </c>
      <c r="CJ101" s="34" t="n">
        <f aca="false">IF((83-N(P_L2_Mes)+1)=1,N(P_L2_Monto),0)*CJ$9</f>
        <v>0</v>
      </c>
      <c r="CK101" s="34" t="n">
        <f aca="false">IF((84-N(P_L2_Mes)+1)=1,N(P_L2_Monto),0)*CK$9</f>
        <v>0</v>
      </c>
      <c r="CL101" s="34" t="n">
        <f aca="false">IF((85-N(P_L2_Mes)+1)=1,N(P_L2_Monto),0)*CL$9</f>
        <v>0</v>
      </c>
      <c r="CM101" s="34" t="n">
        <f aca="false">IF((86-N(P_L2_Mes)+1)=1,N(P_L2_Monto),0)*CM$9</f>
        <v>0</v>
      </c>
      <c r="CN101" s="34" t="n">
        <f aca="false">IF((87-N(P_L2_Mes)+1)=1,N(P_L2_Monto),0)*CN$9</f>
        <v>0</v>
      </c>
      <c r="CO101" s="34" t="n">
        <f aca="false">IF((88-N(P_L2_Mes)+1)=1,N(P_L2_Monto),0)*CO$9</f>
        <v>0</v>
      </c>
      <c r="CP101" s="34" t="n">
        <f aca="false">IF((89-N(P_L2_Mes)+1)=1,N(P_L2_Monto),0)*CP$9</f>
        <v>0</v>
      </c>
      <c r="CQ101" s="34" t="n">
        <f aca="false">IF((90-N(P_L2_Mes)+1)=1,N(P_L2_Monto),0)*CQ$9</f>
        <v>0</v>
      </c>
      <c r="CR101" s="34" t="n">
        <f aca="false">IF((91-N(P_L2_Mes)+1)=1,N(P_L2_Monto),0)*CR$9</f>
        <v>0</v>
      </c>
      <c r="CS101" s="34" t="n">
        <f aca="false">IF((92-N(P_L2_Mes)+1)=1,N(P_L2_Monto),0)*CS$9</f>
        <v>0</v>
      </c>
      <c r="CT101" s="34" t="n">
        <f aca="false">IF((93-N(P_L2_Mes)+1)=1,N(P_L2_Monto),0)*CT$9</f>
        <v>0</v>
      </c>
      <c r="CU101" s="34" t="n">
        <f aca="false">IF((94-N(P_L2_Mes)+1)=1,N(P_L2_Monto),0)*CU$9</f>
        <v>0</v>
      </c>
      <c r="CV101" s="34" t="n">
        <f aca="false">IF((95-N(P_L2_Mes)+1)=1,N(P_L2_Monto),0)*CV$9</f>
        <v>0</v>
      </c>
      <c r="CW101" s="34" t="n">
        <f aca="false">IF((96-N(P_L2_Mes)+1)=1,N(P_L2_Monto),0)*CW$9</f>
        <v>0</v>
      </c>
      <c r="CX101" s="34" t="n">
        <f aca="false">IF((97-N(P_L2_Mes)+1)=1,N(P_L2_Monto),0)*CX$9</f>
        <v>0</v>
      </c>
      <c r="CY101" s="34" t="n">
        <f aca="false">IF((98-N(P_L2_Mes)+1)=1,N(P_L2_Monto),0)*CY$9</f>
        <v>0</v>
      </c>
      <c r="CZ101" s="34" t="n">
        <f aca="false">IF((99-N(P_L2_Mes)+1)=1,N(P_L2_Monto),0)*CZ$9</f>
        <v>0</v>
      </c>
      <c r="DA101" s="34" t="n">
        <f aca="false">IF((100-N(P_L2_Mes)+1)=1,N(P_L2_Monto),0)*DA$9</f>
        <v>0</v>
      </c>
      <c r="DB101" s="34" t="n">
        <f aca="false">IF((101-N(P_L2_Mes)+1)=1,N(P_L2_Monto),0)*DB$9</f>
        <v>0</v>
      </c>
      <c r="DC101" s="34" t="n">
        <f aca="false">IF((102-N(P_L2_Mes)+1)=1,N(P_L2_Monto),0)*DC$9</f>
        <v>0</v>
      </c>
      <c r="DD101" s="34" t="n">
        <f aca="false">IF((103-N(P_L2_Mes)+1)=1,N(P_L2_Monto),0)*DD$9</f>
        <v>0</v>
      </c>
      <c r="DE101" s="34" t="n">
        <f aca="false">IF((104-N(P_L2_Mes)+1)=1,N(P_L2_Monto),0)*DE$9</f>
        <v>0</v>
      </c>
      <c r="DF101" s="34" t="n">
        <f aca="false">IF((105-N(P_L2_Mes)+1)=1,N(P_L2_Monto),0)*DF$9</f>
        <v>0</v>
      </c>
      <c r="DG101" s="34" t="n">
        <f aca="false">IF((106-N(P_L2_Mes)+1)=1,N(P_L2_Monto),0)*DG$9</f>
        <v>0</v>
      </c>
      <c r="DH101" s="34" t="n">
        <f aca="false">IF((107-N(P_L2_Mes)+1)=1,N(P_L2_Monto),0)*DH$9</f>
        <v>0</v>
      </c>
      <c r="DI101" s="34" t="n">
        <f aca="false">IF((108-N(P_L2_Mes)+1)=1,N(P_L2_Monto),0)*DI$9</f>
        <v>0</v>
      </c>
      <c r="DJ101" s="34" t="n">
        <f aca="false">IF((109-N(P_L2_Mes)+1)=1,N(P_L2_Monto),0)*DJ$9</f>
        <v>0</v>
      </c>
      <c r="DK101" s="34" t="n">
        <f aca="false">IF((110-N(P_L2_Mes)+1)=1,N(P_L2_Monto),0)*DK$9</f>
        <v>0</v>
      </c>
      <c r="DL101" s="34" t="n">
        <f aca="false">IF((111-N(P_L2_Mes)+1)=1,N(P_L2_Monto),0)*DL$9</f>
        <v>0</v>
      </c>
      <c r="DM101" s="34" t="n">
        <f aca="false">IF((112-N(P_L2_Mes)+1)=1,N(P_L2_Monto),0)*DM$9</f>
        <v>0</v>
      </c>
      <c r="DN101" s="34" t="n">
        <f aca="false">IF((113-N(P_L2_Mes)+1)=1,N(P_L2_Monto),0)*DN$9</f>
        <v>0</v>
      </c>
      <c r="DO101" s="34" t="n">
        <f aca="false">IF((114-N(P_L2_Mes)+1)=1,N(P_L2_Monto),0)*DO$9</f>
        <v>0</v>
      </c>
      <c r="DP101" s="34" t="n">
        <f aca="false">IF((115-N(P_L2_Mes)+1)=1,N(P_L2_Monto),0)*DP$9</f>
        <v>0</v>
      </c>
      <c r="DQ101" s="34" t="n">
        <f aca="false">IF((116-N(P_L2_Mes)+1)=1,N(P_L2_Monto),0)*DQ$9</f>
        <v>0</v>
      </c>
      <c r="DR101" s="34" t="n">
        <f aca="false">IF((117-N(P_L2_Mes)+1)=1,N(P_L2_Monto),0)*DR$9</f>
        <v>0</v>
      </c>
      <c r="DS101" s="34" t="n">
        <f aca="false">IF((118-N(P_L2_Mes)+1)=1,N(P_L2_Monto),0)*DS$9</f>
        <v>0</v>
      </c>
      <c r="DT101" s="34" t="n">
        <f aca="false">IF((119-N(P_L2_Mes)+1)=1,N(P_L2_Monto),0)*DT$9</f>
        <v>0</v>
      </c>
      <c r="DU101" s="34" t="n">
        <f aca="false">IF((120-N(P_L2_Mes)+1)=1,N(P_L2_Monto),0)*DU$9</f>
        <v>0</v>
      </c>
      <c r="DV101" s="34" t="n">
        <f aca="false">IF((121-N(P_L2_Mes)+1)=1,N(P_L2_Monto),0)*DV$9</f>
        <v>0</v>
      </c>
      <c r="DW101" s="34" t="n">
        <f aca="false">IF((122-N(P_L2_Mes)+1)=1,N(P_L2_Monto),0)*DW$9</f>
        <v>0</v>
      </c>
      <c r="DX101" s="34" t="n">
        <f aca="false">IF((123-N(P_L2_Mes)+1)=1,N(P_L2_Monto),0)*DX$9</f>
        <v>0</v>
      </c>
      <c r="DY101" s="34" t="n">
        <f aca="false">IF((124-N(P_L2_Mes)+1)=1,N(P_L2_Monto),0)*DY$9</f>
        <v>0</v>
      </c>
      <c r="DZ101" s="34" t="n">
        <f aca="false">IF((125-N(P_L2_Mes)+1)=1,N(P_L2_Monto),0)*DZ$9</f>
        <v>0</v>
      </c>
      <c r="EA101" s="34" t="n">
        <f aca="false">IF((126-N(P_L2_Mes)+1)=1,N(P_L2_Monto),0)*EA$9</f>
        <v>0</v>
      </c>
      <c r="EB101" s="34" t="n">
        <f aca="false">IF((127-N(P_L2_Mes)+1)=1,N(P_L2_Monto),0)*EB$9</f>
        <v>0</v>
      </c>
      <c r="EC101" s="34" t="n">
        <f aca="false">IF((128-N(P_L2_Mes)+1)=1,N(P_L2_Monto),0)*EC$9</f>
        <v>0</v>
      </c>
      <c r="ED101" s="34" t="n">
        <f aca="false">IF((129-N(P_L2_Mes)+1)=1,N(P_L2_Monto),0)*ED$9</f>
        <v>0</v>
      </c>
      <c r="EE101" s="34" t="n">
        <f aca="false">IF((130-N(P_L2_Mes)+1)=1,N(P_L2_Monto),0)*EE$9</f>
        <v>0</v>
      </c>
      <c r="EF101" s="34" t="n">
        <f aca="false">IF((131-N(P_L2_Mes)+1)=1,N(P_L2_Monto),0)*EF$9</f>
        <v>0</v>
      </c>
      <c r="EG101" s="34" t="n">
        <f aca="false">IF((132-N(P_L2_Mes)+1)=1,N(P_L2_Monto),0)*EG$9</f>
        <v>0</v>
      </c>
      <c r="EH101" s="34" t="n">
        <f aca="false">IF((133-N(P_L2_Mes)+1)=1,N(P_L2_Monto),0)*EH$9</f>
        <v>0</v>
      </c>
      <c r="EI101" s="34" t="n">
        <f aca="false">IF((134-N(P_L2_Mes)+1)=1,N(P_L2_Monto),0)*EI$9</f>
        <v>0</v>
      </c>
      <c r="EJ101" s="34" t="n">
        <f aca="false">IF((135-N(P_L2_Mes)+1)=1,N(P_L2_Monto),0)*EJ$9</f>
        <v>0</v>
      </c>
      <c r="EK101" s="34" t="n">
        <f aca="false">IF((136-N(P_L2_Mes)+1)=1,N(P_L2_Monto),0)*EK$9</f>
        <v>0</v>
      </c>
      <c r="EL101" s="34" t="n">
        <f aca="false">IF((137-N(P_L2_Mes)+1)=1,N(P_L2_Monto),0)*EL$9</f>
        <v>0</v>
      </c>
      <c r="EM101" s="34" t="n">
        <f aca="false">IF((138-N(P_L2_Mes)+1)=1,N(P_L2_Monto),0)*EM$9</f>
        <v>0</v>
      </c>
      <c r="EN101" s="34" t="n">
        <f aca="false">IF((139-N(P_L2_Mes)+1)=1,N(P_L2_Monto),0)*EN$9</f>
        <v>0</v>
      </c>
      <c r="EO101" s="34" t="n">
        <f aca="false">IF((140-N(P_L2_Mes)+1)=1,N(P_L2_Monto),0)*EO$9</f>
        <v>0</v>
      </c>
      <c r="EP101" s="34" t="n">
        <f aca="false">IF((141-N(P_L2_Mes)+1)=1,N(P_L2_Monto),0)*EP$9</f>
        <v>0</v>
      </c>
      <c r="EQ101" s="34" t="n">
        <f aca="false">IF((142-N(P_L2_Mes)+1)=1,N(P_L2_Monto),0)*EQ$9</f>
        <v>0</v>
      </c>
      <c r="ER101" s="34" t="n">
        <f aca="false">IF((143-N(P_L2_Mes)+1)=1,N(P_L2_Monto),0)*ER$9</f>
        <v>0</v>
      </c>
      <c r="ES101" s="34" t="n">
        <f aca="false">IF((144-N(P_L2_Mes)+1)=1,N(P_L2_Monto),0)*ES$9</f>
        <v>0</v>
      </c>
    </row>
    <row r="102" customFormat="false" ht="15" hidden="false" customHeight="false" outlineLevel="0" collapsed="false">
      <c r="A102" s="2" t="s">
        <v>687</v>
      </c>
      <c r="B102" s="6" t="s">
        <v>688</v>
      </c>
      <c r="C102" s="6" t="s">
        <v>250</v>
      </c>
      <c r="E102" s="40" t="n">
        <f aca="false">SUM(F102:ES102)</f>
        <v>0</v>
      </c>
      <c r="F102" s="34" t="n">
        <f aca="false">IF((1-N(P_L2_Mes)+1)&gt;=1,IF((1-N(P_L2_Mes)+1)=1,N(P_L2_Monto),0)*N(P_L2_Tasa)/12,0)*F$9</f>
        <v>0</v>
      </c>
      <c r="G102" s="34" t="n">
        <f aca="false">IF((2-N(P_L2_Mes)+1)&gt;=1,IF((2-N(P_L2_Mes)+1)=1,N(P_L2_Monto),F$104)*N(P_L2_Tasa)/12,0)*G$9</f>
        <v>0</v>
      </c>
      <c r="H102" s="34" t="n">
        <f aca="false">IF((3-N(P_L2_Mes)+1)&gt;=1,IF((3-N(P_L2_Mes)+1)=1,N(P_L2_Monto),G$104)*N(P_L2_Tasa)/12,0)*H$9</f>
        <v>0</v>
      </c>
      <c r="I102" s="34" t="n">
        <f aca="false">IF((4-N(P_L2_Mes)+1)&gt;=1,IF((4-N(P_L2_Mes)+1)=1,N(P_L2_Monto),H$104)*N(P_L2_Tasa)/12,0)*I$9</f>
        <v>0</v>
      </c>
      <c r="J102" s="34" t="n">
        <f aca="false">IF((5-N(P_L2_Mes)+1)&gt;=1,IF((5-N(P_L2_Mes)+1)=1,N(P_L2_Monto),I$104)*N(P_L2_Tasa)/12,0)*J$9</f>
        <v>0</v>
      </c>
      <c r="K102" s="34" t="n">
        <f aca="false">IF((6-N(P_L2_Mes)+1)&gt;=1,IF((6-N(P_L2_Mes)+1)=1,N(P_L2_Monto),J$104)*N(P_L2_Tasa)/12,0)*K$9</f>
        <v>0</v>
      </c>
      <c r="L102" s="34" t="n">
        <f aca="false">IF((7-N(P_L2_Mes)+1)&gt;=1,IF((7-N(P_L2_Mes)+1)=1,N(P_L2_Monto),K$104)*N(P_L2_Tasa)/12,0)*L$9</f>
        <v>0</v>
      </c>
      <c r="M102" s="34" t="n">
        <f aca="false">IF((8-N(P_L2_Mes)+1)&gt;=1,IF((8-N(P_L2_Mes)+1)=1,N(P_L2_Monto),L$104)*N(P_L2_Tasa)/12,0)*M$9</f>
        <v>0</v>
      </c>
      <c r="N102" s="34" t="n">
        <f aca="false">IF((9-N(P_L2_Mes)+1)&gt;=1,IF((9-N(P_L2_Mes)+1)=1,N(P_L2_Monto),M$104)*N(P_L2_Tasa)/12,0)*N$9</f>
        <v>0</v>
      </c>
      <c r="O102" s="34" t="n">
        <f aca="false">IF((10-N(P_L2_Mes)+1)&gt;=1,IF((10-N(P_L2_Mes)+1)=1,N(P_L2_Monto),N$104)*N(P_L2_Tasa)/12,0)*O$9</f>
        <v>0</v>
      </c>
      <c r="P102" s="34" t="n">
        <f aca="false">IF((11-N(P_L2_Mes)+1)&gt;=1,IF((11-N(P_L2_Mes)+1)=1,N(P_L2_Monto),O$104)*N(P_L2_Tasa)/12,0)*P$9</f>
        <v>0</v>
      </c>
      <c r="Q102" s="34" t="n">
        <f aca="false">IF((12-N(P_L2_Mes)+1)&gt;=1,IF((12-N(P_L2_Mes)+1)=1,N(P_L2_Monto),P$104)*N(P_L2_Tasa)/12,0)*Q$9</f>
        <v>0</v>
      </c>
      <c r="R102" s="34" t="n">
        <f aca="false">IF((13-N(P_L2_Mes)+1)&gt;=1,IF((13-N(P_L2_Mes)+1)=1,N(P_L2_Monto),Q$104)*N(P_L2_Tasa)/12,0)*R$9</f>
        <v>0</v>
      </c>
      <c r="S102" s="34" t="n">
        <f aca="false">IF((14-N(P_L2_Mes)+1)&gt;=1,IF((14-N(P_L2_Mes)+1)=1,N(P_L2_Monto),R$104)*N(P_L2_Tasa)/12,0)*S$9</f>
        <v>0</v>
      </c>
      <c r="T102" s="34" t="n">
        <f aca="false">IF((15-N(P_L2_Mes)+1)&gt;=1,IF((15-N(P_L2_Mes)+1)=1,N(P_L2_Monto),S$104)*N(P_L2_Tasa)/12,0)*T$9</f>
        <v>0</v>
      </c>
      <c r="U102" s="34" t="n">
        <f aca="false">IF((16-N(P_L2_Mes)+1)&gt;=1,IF((16-N(P_L2_Mes)+1)=1,N(P_L2_Monto),T$104)*N(P_L2_Tasa)/12,0)*U$9</f>
        <v>0</v>
      </c>
      <c r="V102" s="34" t="n">
        <f aca="false">IF((17-N(P_L2_Mes)+1)&gt;=1,IF((17-N(P_L2_Mes)+1)=1,N(P_L2_Monto),U$104)*N(P_L2_Tasa)/12,0)*V$9</f>
        <v>0</v>
      </c>
      <c r="W102" s="34" t="n">
        <f aca="false">IF((18-N(P_L2_Mes)+1)&gt;=1,IF((18-N(P_L2_Mes)+1)=1,N(P_L2_Monto),V$104)*N(P_L2_Tasa)/12,0)*W$9</f>
        <v>0</v>
      </c>
      <c r="X102" s="34" t="n">
        <f aca="false">IF((19-N(P_L2_Mes)+1)&gt;=1,IF((19-N(P_L2_Mes)+1)=1,N(P_L2_Monto),W$104)*N(P_L2_Tasa)/12,0)*X$9</f>
        <v>0</v>
      </c>
      <c r="Y102" s="34" t="n">
        <f aca="false">IF((20-N(P_L2_Mes)+1)&gt;=1,IF((20-N(P_L2_Mes)+1)=1,N(P_L2_Monto),X$104)*N(P_L2_Tasa)/12,0)*Y$9</f>
        <v>0</v>
      </c>
      <c r="Z102" s="34" t="n">
        <f aca="false">IF((21-N(P_L2_Mes)+1)&gt;=1,IF((21-N(P_L2_Mes)+1)=1,N(P_L2_Monto),Y$104)*N(P_L2_Tasa)/12,0)*Z$9</f>
        <v>0</v>
      </c>
      <c r="AA102" s="34" t="n">
        <f aca="false">IF((22-N(P_L2_Mes)+1)&gt;=1,IF((22-N(P_L2_Mes)+1)=1,N(P_L2_Monto),Z$104)*N(P_L2_Tasa)/12,0)*AA$9</f>
        <v>0</v>
      </c>
      <c r="AB102" s="34" t="n">
        <f aca="false">IF((23-N(P_L2_Mes)+1)&gt;=1,IF((23-N(P_L2_Mes)+1)=1,N(P_L2_Monto),AA$104)*N(P_L2_Tasa)/12,0)*AB$9</f>
        <v>0</v>
      </c>
      <c r="AC102" s="34" t="n">
        <f aca="false">IF((24-N(P_L2_Mes)+1)&gt;=1,IF((24-N(P_L2_Mes)+1)=1,N(P_L2_Monto),AB$104)*N(P_L2_Tasa)/12,0)*AC$9</f>
        <v>0</v>
      </c>
      <c r="AD102" s="34" t="n">
        <f aca="false">IF((25-N(P_L2_Mes)+1)&gt;=1,IF((25-N(P_L2_Mes)+1)=1,N(P_L2_Monto),AC$104)*N(P_L2_Tasa)/12,0)*AD$9</f>
        <v>0</v>
      </c>
      <c r="AE102" s="34" t="n">
        <f aca="false">IF((26-N(P_L2_Mes)+1)&gt;=1,IF((26-N(P_L2_Mes)+1)=1,N(P_L2_Monto),AD$104)*N(P_L2_Tasa)/12,0)*AE$9</f>
        <v>0</v>
      </c>
      <c r="AF102" s="34" t="n">
        <f aca="false">IF((27-N(P_L2_Mes)+1)&gt;=1,IF((27-N(P_L2_Mes)+1)=1,N(P_L2_Monto),AE$104)*N(P_L2_Tasa)/12,0)*AF$9</f>
        <v>0</v>
      </c>
      <c r="AG102" s="34" t="n">
        <f aca="false">IF((28-N(P_L2_Mes)+1)&gt;=1,IF((28-N(P_L2_Mes)+1)=1,N(P_L2_Monto),AF$104)*N(P_L2_Tasa)/12,0)*AG$9</f>
        <v>0</v>
      </c>
      <c r="AH102" s="34" t="n">
        <f aca="false">IF((29-N(P_L2_Mes)+1)&gt;=1,IF((29-N(P_L2_Mes)+1)=1,N(P_L2_Monto),AG$104)*N(P_L2_Tasa)/12,0)*AH$9</f>
        <v>0</v>
      </c>
      <c r="AI102" s="34" t="n">
        <f aca="false">IF((30-N(P_L2_Mes)+1)&gt;=1,IF((30-N(P_L2_Mes)+1)=1,N(P_L2_Monto),AH$104)*N(P_L2_Tasa)/12,0)*AI$9</f>
        <v>0</v>
      </c>
      <c r="AJ102" s="34" t="n">
        <f aca="false">IF((31-N(P_L2_Mes)+1)&gt;=1,IF((31-N(P_L2_Mes)+1)=1,N(P_L2_Monto),AI$104)*N(P_L2_Tasa)/12,0)*AJ$9</f>
        <v>0</v>
      </c>
      <c r="AK102" s="34" t="n">
        <f aca="false">IF((32-N(P_L2_Mes)+1)&gt;=1,IF((32-N(P_L2_Mes)+1)=1,N(P_L2_Monto),AJ$104)*N(P_L2_Tasa)/12,0)*AK$9</f>
        <v>0</v>
      </c>
      <c r="AL102" s="34" t="n">
        <f aca="false">IF((33-N(P_L2_Mes)+1)&gt;=1,IF((33-N(P_L2_Mes)+1)=1,N(P_L2_Monto),AK$104)*N(P_L2_Tasa)/12,0)*AL$9</f>
        <v>0</v>
      </c>
      <c r="AM102" s="34" t="n">
        <f aca="false">IF((34-N(P_L2_Mes)+1)&gt;=1,IF((34-N(P_L2_Mes)+1)=1,N(P_L2_Monto),AL$104)*N(P_L2_Tasa)/12,0)*AM$9</f>
        <v>0</v>
      </c>
      <c r="AN102" s="34" t="n">
        <f aca="false">IF((35-N(P_L2_Mes)+1)&gt;=1,IF((35-N(P_L2_Mes)+1)=1,N(P_L2_Monto),AM$104)*N(P_L2_Tasa)/12,0)*AN$9</f>
        <v>0</v>
      </c>
      <c r="AO102" s="34" t="n">
        <f aca="false">IF((36-N(P_L2_Mes)+1)&gt;=1,IF((36-N(P_L2_Mes)+1)=1,N(P_L2_Monto),AN$104)*N(P_L2_Tasa)/12,0)*AO$9</f>
        <v>0</v>
      </c>
      <c r="AP102" s="34" t="n">
        <f aca="false">IF((37-N(P_L2_Mes)+1)&gt;=1,IF((37-N(P_L2_Mes)+1)=1,N(P_L2_Monto),AO$104)*N(P_L2_Tasa)/12,0)*AP$9</f>
        <v>0</v>
      </c>
      <c r="AQ102" s="34" t="n">
        <f aca="false">IF((38-N(P_L2_Mes)+1)&gt;=1,IF((38-N(P_L2_Mes)+1)=1,N(P_L2_Monto),AP$104)*N(P_L2_Tasa)/12,0)*AQ$9</f>
        <v>0</v>
      </c>
      <c r="AR102" s="34" t="n">
        <f aca="false">IF((39-N(P_L2_Mes)+1)&gt;=1,IF((39-N(P_L2_Mes)+1)=1,N(P_L2_Monto),AQ$104)*N(P_L2_Tasa)/12,0)*AR$9</f>
        <v>0</v>
      </c>
      <c r="AS102" s="34" t="n">
        <f aca="false">IF((40-N(P_L2_Mes)+1)&gt;=1,IF((40-N(P_L2_Mes)+1)=1,N(P_L2_Monto),AR$104)*N(P_L2_Tasa)/12,0)*AS$9</f>
        <v>0</v>
      </c>
      <c r="AT102" s="34" t="n">
        <f aca="false">IF((41-N(P_L2_Mes)+1)&gt;=1,IF((41-N(P_L2_Mes)+1)=1,N(P_L2_Monto),AS$104)*N(P_L2_Tasa)/12,0)*AT$9</f>
        <v>0</v>
      </c>
      <c r="AU102" s="34" t="n">
        <f aca="false">IF((42-N(P_L2_Mes)+1)&gt;=1,IF((42-N(P_L2_Mes)+1)=1,N(P_L2_Monto),AT$104)*N(P_L2_Tasa)/12,0)*AU$9</f>
        <v>0</v>
      </c>
      <c r="AV102" s="34" t="n">
        <f aca="false">IF((43-N(P_L2_Mes)+1)&gt;=1,IF((43-N(P_L2_Mes)+1)=1,N(P_L2_Monto),AU$104)*N(P_L2_Tasa)/12,0)*AV$9</f>
        <v>0</v>
      </c>
      <c r="AW102" s="34" t="n">
        <f aca="false">IF((44-N(P_L2_Mes)+1)&gt;=1,IF((44-N(P_L2_Mes)+1)=1,N(P_L2_Monto),AV$104)*N(P_L2_Tasa)/12,0)*AW$9</f>
        <v>0</v>
      </c>
      <c r="AX102" s="34" t="n">
        <f aca="false">IF((45-N(P_L2_Mes)+1)&gt;=1,IF((45-N(P_L2_Mes)+1)=1,N(P_L2_Monto),AW$104)*N(P_L2_Tasa)/12,0)*AX$9</f>
        <v>0</v>
      </c>
      <c r="AY102" s="34" t="n">
        <f aca="false">IF((46-N(P_L2_Mes)+1)&gt;=1,IF((46-N(P_L2_Mes)+1)=1,N(P_L2_Monto),AX$104)*N(P_L2_Tasa)/12,0)*AY$9</f>
        <v>0</v>
      </c>
      <c r="AZ102" s="34" t="n">
        <f aca="false">IF((47-N(P_L2_Mes)+1)&gt;=1,IF((47-N(P_L2_Mes)+1)=1,N(P_L2_Monto),AY$104)*N(P_L2_Tasa)/12,0)*AZ$9</f>
        <v>0</v>
      </c>
      <c r="BA102" s="34" t="n">
        <f aca="false">IF((48-N(P_L2_Mes)+1)&gt;=1,IF((48-N(P_L2_Mes)+1)=1,N(P_L2_Monto),AZ$104)*N(P_L2_Tasa)/12,0)*BA$9</f>
        <v>0</v>
      </c>
      <c r="BB102" s="34" t="n">
        <f aca="false">IF((49-N(P_L2_Mes)+1)&gt;=1,IF((49-N(P_L2_Mes)+1)=1,N(P_L2_Monto),BA$104)*N(P_L2_Tasa)/12,0)*BB$9</f>
        <v>0</v>
      </c>
      <c r="BC102" s="34" t="n">
        <f aca="false">IF((50-N(P_L2_Mes)+1)&gt;=1,IF((50-N(P_L2_Mes)+1)=1,N(P_L2_Monto),BB$104)*N(P_L2_Tasa)/12,0)*BC$9</f>
        <v>0</v>
      </c>
      <c r="BD102" s="34" t="n">
        <f aca="false">IF((51-N(P_L2_Mes)+1)&gt;=1,IF((51-N(P_L2_Mes)+1)=1,N(P_L2_Monto),BC$104)*N(P_L2_Tasa)/12,0)*BD$9</f>
        <v>0</v>
      </c>
      <c r="BE102" s="34" t="n">
        <f aca="false">IF((52-N(P_L2_Mes)+1)&gt;=1,IF((52-N(P_L2_Mes)+1)=1,N(P_L2_Monto),BD$104)*N(P_L2_Tasa)/12,0)*BE$9</f>
        <v>0</v>
      </c>
      <c r="BF102" s="34" t="n">
        <f aca="false">IF((53-N(P_L2_Mes)+1)&gt;=1,IF((53-N(P_L2_Mes)+1)=1,N(P_L2_Monto),BE$104)*N(P_L2_Tasa)/12,0)*BF$9</f>
        <v>0</v>
      </c>
      <c r="BG102" s="34" t="n">
        <f aca="false">IF((54-N(P_L2_Mes)+1)&gt;=1,IF((54-N(P_L2_Mes)+1)=1,N(P_L2_Monto),BF$104)*N(P_L2_Tasa)/12,0)*BG$9</f>
        <v>0</v>
      </c>
      <c r="BH102" s="34" t="n">
        <f aca="false">IF((55-N(P_L2_Mes)+1)&gt;=1,IF((55-N(P_L2_Mes)+1)=1,N(P_L2_Monto),BG$104)*N(P_L2_Tasa)/12,0)*BH$9</f>
        <v>0</v>
      </c>
      <c r="BI102" s="34" t="n">
        <f aca="false">IF((56-N(P_L2_Mes)+1)&gt;=1,IF((56-N(P_L2_Mes)+1)=1,N(P_L2_Monto),BH$104)*N(P_L2_Tasa)/12,0)*BI$9</f>
        <v>0</v>
      </c>
      <c r="BJ102" s="34" t="n">
        <f aca="false">IF((57-N(P_L2_Mes)+1)&gt;=1,IF((57-N(P_L2_Mes)+1)=1,N(P_L2_Monto),BI$104)*N(P_L2_Tasa)/12,0)*BJ$9</f>
        <v>0</v>
      </c>
      <c r="BK102" s="34" t="n">
        <f aca="false">IF((58-N(P_L2_Mes)+1)&gt;=1,IF((58-N(P_L2_Mes)+1)=1,N(P_L2_Monto),BJ$104)*N(P_L2_Tasa)/12,0)*BK$9</f>
        <v>0</v>
      </c>
      <c r="BL102" s="34" t="n">
        <f aca="false">IF((59-N(P_L2_Mes)+1)&gt;=1,IF((59-N(P_L2_Mes)+1)=1,N(P_L2_Monto),BK$104)*N(P_L2_Tasa)/12,0)*BL$9</f>
        <v>0</v>
      </c>
      <c r="BM102" s="34" t="n">
        <f aca="false">IF((60-N(P_L2_Mes)+1)&gt;=1,IF((60-N(P_L2_Mes)+1)=1,N(P_L2_Monto),BL$104)*N(P_L2_Tasa)/12,0)*BM$9</f>
        <v>0</v>
      </c>
      <c r="BN102" s="34" t="n">
        <f aca="false">IF((61-N(P_L2_Mes)+1)&gt;=1,IF((61-N(P_L2_Mes)+1)=1,N(P_L2_Monto),BM$104)*N(P_L2_Tasa)/12,0)*BN$9</f>
        <v>0</v>
      </c>
      <c r="BO102" s="34" t="n">
        <f aca="false">IF((62-N(P_L2_Mes)+1)&gt;=1,IF((62-N(P_L2_Mes)+1)=1,N(P_L2_Monto),BN$104)*N(P_L2_Tasa)/12,0)*BO$9</f>
        <v>0</v>
      </c>
      <c r="BP102" s="34" t="n">
        <f aca="false">IF((63-N(P_L2_Mes)+1)&gt;=1,IF((63-N(P_L2_Mes)+1)=1,N(P_L2_Monto),BO$104)*N(P_L2_Tasa)/12,0)*BP$9</f>
        <v>0</v>
      </c>
      <c r="BQ102" s="34" t="n">
        <f aca="false">IF((64-N(P_L2_Mes)+1)&gt;=1,IF((64-N(P_L2_Mes)+1)=1,N(P_L2_Monto),BP$104)*N(P_L2_Tasa)/12,0)*BQ$9</f>
        <v>0</v>
      </c>
      <c r="BR102" s="34" t="n">
        <f aca="false">IF((65-N(P_L2_Mes)+1)&gt;=1,IF((65-N(P_L2_Mes)+1)=1,N(P_L2_Monto),BQ$104)*N(P_L2_Tasa)/12,0)*BR$9</f>
        <v>0</v>
      </c>
      <c r="BS102" s="34" t="n">
        <f aca="false">IF((66-N(P_L2_Mes)+1)&gt;=1,IF((66-N(P_L2_Mes)+1)=1,N(P_L2_Monto),BR$104)*N(P_L2_Tasa)/12,0)*BS$9</f>
        <v>0</v>
      </c>
      <c r="BT102" s="34" t="n">
        <f aca="false">IF((67-N(P_L2_Mes)+1)&gt;=1,IF((67-N(P_L2_Mes)+1)=1,N(P_L2_Monto),BS$104)*N(P_L2_Tasa)/12,0)*BT$9</f>
        <v>0</v>
      </c>
      <c r="BU102" s="34" t="n">
        <f aca="false">IF((68-N(P_L2_Mes)+1)&gt;=1,IF((68-N(P_L2_Mes)+1)=1,N(P_L2_Monto),BT$104)*N(P_L2_Tasa)/12,0)*BU$9</f>
        <v>0</v>
      </c>
      <c r="BV102" s="34" t="n">
        <f aca="false">IF((69-N(P_L2_Mes)+1)&gt;=1,IF((69-N(P_L2_Mes)+1)=1,N(P_L2_Monto),BU$104)*N(P_L2_Tasa)/12,0)*BV$9</f>
        <v>0</v>
      </c>
      <c r="BW102" s="34" t="n">
        <f aca="false">IF((70-N(P_L2_Mes)+1)&gt;=1,IF((70-N(P_L2_Mes)+1)=1,N(P_L2_Monto),BV$104)*N(P_L2_Tasa)/12,0)*BW$9</f>
        <v>0</v>
      </c>
      <c r="BX102" s="34" t="n">
        <f aca="false">IF((71-N(P_L2_Mes)+1)&gt;=1,IF((71-N(P_L2_Mes)+1)=1,N(P_L2_Monto),BW$104)*N(P_L2_Tasa)/12,0)*BX$9</f>
        <v>0</v>
      </c>
      <c r="BY102" s="34" t="n">
        <f aca="false">IF((72-N(P_L2_Mes)+1)&gt;=1,IF((72-N(P_L2_Mes)+1)=1,N(P_L2_Monto),BX$104)*N(P_L2_Tasa)/12,0)*BY$9</f>
        <v>0</v>
      </c>
      <c r="BZ102" s="34" t="n">
        <f aca="false">IF((73-N(P_L2_Mes)+1)&gt;=1,IF((73-N(P_L2_Mes)+1)=1,N(P_L2_Monto),BY$104)*N(P_L2_Tasa)/12,0)*BZ$9</f>
        <v>0</v>
      </c>
      <c r="CA102" s="34" t="n">
        <f aca="false">IF((74-N(P_L2_Mes)+1)&gt;=1,IF((74-N(P_L2_Mes)+1)=1,N(P_L2_Monto),BZ$104)*N(P_L2_Tasa)/12,0)*CA$9</f>
        <v>0</v>
      </c>
      <c r="CB102" s="34" t="n">
        <f aca="false">IF((75-N(P_L2_Mes)+1)&gt;=1,IF((75-N(P_L2_Mes)+1)=1,N(P_L2_Monto),CA$104)*N(P_L2_Tasa)/12,0)*CB$9</f>
        <v>0</v>
      </c>
      <c r="CC102" s="34" t="n">
        <f aca="false">IF((76-N(P_L2_Mes)+1)&gt;=1,IF((76-N(P_L2_Mes)+1)=1,N(P_L2_Monto),CB$104)*N(P_L2_Tasa)/12,0)*CC$9</f>
        <v>0</v>
      </c>
      <c r="CD102" s="34" t="n">
        <f aca="false">IF((77-N(P_L2_Mes)+1)&gt;=1,IF((77-N(P_L2_Mes)+1)=1,N(P_L2_Monto),CC$104)*N(P_L2_Tasa)/12,0)*CD$9</f>
        <v>0</v>
      </c>
      <c r="CE102" s="34" t="n">
        <f aca="false">IF((78-N(P_L2_Mes)+1)&gt;=1,IF((78-N(P_L2_Mes)+1)=1,N(P_L2_Monto),CD$104)*N(P_L2_Tasa)/12,0)*CE$9</f>
        <v>0</v>
      </c>
      <c r="CF102" s="34" t="n">
        <f aca="false">IF((79-N(P_L2_Mes)+1)&gt;=1,IF((79-N(P_L2_Mes)+1)=1,N(P_L2_Monto),CE$104)*N(P_L2_Tasa)/12,0)*CF$9</f>
        <v>0</v>
      </c>
      <c r="CG102" s="34" t="n">
        <f aca="false">IF((80-N(P_L2_Mes)+1)&gt;=1,IF((80-N(P_L2_Mes)+1)=1,N(P_L2_Monto),CF$104)*N(P_L2_Tasa)/12,0)*CG$9</f>
        <v>0</v>
      </c>
      <c r="CH102" s="34" t="n">
        <f aca="false">IF((81-N(P_L2_Mes)+1)&gt;=1,IF((81-N(P_L2_Mes)+1)=1,N(P_L2_Monto),CG$104)*N(P_L2_Tasa)/12,0)*CH$9</f>
        <v>0</v>
      </c>
      <c r="CI102" s="34" t="n">
        <f aca="false">IF((82-N(P_L2_Mes)+1)&gt;=1,IF((82-N(P_L2_Mes)+1)=1,N(P_L2_Monto),CH$104)*N(P_L2_Tasa)/12,0)*CI$9</f>
        <v>0</v>
      </c>
      <c r="CJ102" s="34" t="n">
        <f aca="false">IF((83-N(P_L2_Mes)+1)&gt;=1,IF((83-N(P_L2_Mes)+1)=1,N(P_L2_Monto),CI$104)*N(P_L2_Tasa)/12,0)*CJ$9</f>
        <v>0</v>
      </c>
      <c r="CK102" s="34" t="n">
        <f aca="false">IF((84-N(P_L2_Mes)+1)&gt;=1,IF((84-N(P_L2_Mes)+1)=1,N(P_L2_Monto),CJ$104)*N(P_L2_Tasa)/12,0)*CK$9</f>
        <v>0</v>
      </c>
      <c r="CL102" s="34" t="n">
        <f aca="false">IF((85-N(P_L2_Mes)+1)&gt;=1,IF((85-N(P_L2_Mes)+1)=1,N(P_L2_Monto),CK$104)*N(P_L2_Tasa)/12,0)*CL$9</f>
        <v>0</v>
      </c>
      <c r="CM102" s="34" t="n">
        <f aca="false">IF((86-N(P_L2_Mes)+1)&gt;=1,IF((86-N(P_L2_Mes)+1)=1,N(P_L2_Monto),CL$104)*N(P_L2_Tasa)/12,0)*CM$9</f>
        <v>0</v>
      </c>
      <c r="CN102" s="34" t="n">
        <f aca="false">IF((87-N(P_L2_Mes)+1)&gt;=1,IF((87-N(P_L2_Mes)+1)=1,N(P_L2_Monto),CM$104)*N(P_L2_Tasa)/12,0)*CN$9</f>
        <v>0</v>
      </c>
      <c r="CO102" s="34" t="n">
        <f aca="false">IF((88-N(P_L2_Mes)+1)&gt;=1,IF((88-N(P_L2_Mes)+1)=1,N(P_L2_Monto),CN$104)*N(P_L2_Tasa)/12,0)*CO$9</f>
        <v>0</v>
      </c>
      <c r="CP102" s="34" t="n">
        <f aca="false">IF((89-N(P_L2_Mes)+1)&gt;=1,IF((89-N(P_L2_Mes)+1)=1,N(P_L2_Monto),CO$104)*N(P_L2_Tasa)/12,0)*CP$9</f>
        <v>0</v>
      </c>
      <c r="CQ102" s="34" t="n">
        <f aca="false">IF((90-N(P_L2_Mes)+1)&gt;=1,IF((90-N(P_L2_Mes)+1)=1,N(P_L2_Monto),CP$104)*N(P_L2_Tasa)/12,0)*CQ$9</f>
        <v>0</v>
      </c>
      <c r="CR102" s="34" t="n">
        <f aca="false">IF((91-N(P_L2_Mes)+1)&gt;=1,IF((91-N(P_L2_Mes)+1)=1,N(P_L2_Monto),CQ$104)*N(P_L2_Tasa)/12,0)*CR$9</f>
        <v>0</v>
      </c>
      <c r="CS102" s="34" t="n">
        <f aca="false">IF((92-N(P_L2_Mes)+1)&gt;=1,IF((92-N(P_L2_Mes)+1)=1,N(P_L2_Monto),CR$104)*N(P_L2_Tasa)/12,0)*CS$9</f>
        <v>0</v>
      </c>
      <c r="CT102" s="34" t="n">
        <f aca="false">IF((93-N(P_L2_Mes)+1)&gt;=1,IF((93-N(P_L2_Mes)+1)=1,N(P_L2_Monto),CS$104)*N(P_L2_Tasa)/12,0)*CT$9</f>
        <v>0</v>
      </c>
      <c r="CU102" s="34" t="n">
        <f aca="false">IF((94-N(P_L2_Mes)+1)&gt;=1,IF((94-N(P_L2_Mes)+1)=1,N(P_L2_Monto),CT$104)*N(P_L2_Tasa)/12,0)*CU$9</f>
        <v>0</v>
      </c>
      <c r="CV102" s="34" t="n">
        <f aca="false">IF((95-N(P_L2_Mes)+1)&gt;=1,IF((95-N(P_L2_Mes)+1)=1,N(P_L2_Monto),CU$104)*N(P_L2_Tasa)/12,0)*CV$9</f>
        <v>0</v>
      </c>
      <c r="CW102" s="34" t="n">
        <f aca="false">IF((96-N(P_L2_Mes)+1)&gt;=1,IF((96-N(P_L2_Mes)+1)=1,N(P_L2_Monto),CV$104)*N(P_L2_Tasa)/12,0)*CW$9</f>
        <v>0</v>
      </c>
      <c r="CX102" s="34" t="n">
        <f aca="false">IF((97-N(P_L2_Mes)+1)&gt;=1,IF((97-N(P_L2_Mes)+1)=1,N(P_L2_Monto),CW$104)*N(P_L2_Tasa)/12,0)*CX$9</f>
        <v>0</v>
      </c>
      <c r="CY102" s="34" t="n">
        <f aca="false">IF((98-N(P_L2_Mes)+1)&gt;=1,IF((98-N(P_L2_Mes)+1)=1,N(P_L2_Monto),CX$104)*N(P_L2_Tasa)/12,0)*CY$9</f>
        <v>0</v>
      </c>
      <c r="CZ102" s="34" t="n">
        <f aca="false">IF((99-N(P_L2_Mes)+1)&gt;=1,IF((99-N(P_L2_Mes)+1)=1,N(P_L2_Monto),CY$104)*N(P_L2_Tasa)/12,0)*CZ$9</f>
        <v>0</v>
      </c>
      <c r="DA102" s="34" t="n">
        <f aca="false">IF((100-N(P_L2_Mes)+1)&gt;=1,IF((100-N(P_L2_Mes)+1)=1,N(P_L2_Monto),CZ$104)*N(P_L2_Tasa)/12,0)*DA$9</f>
        <v>0</v>
      </c>
      <c r="DB102" s="34" t="n">
        <f aca="false">IF((101-N(P_L2_Mes)+1)&gt;=1,IF((101-N(P_L2_Mes)+1)=1,N(P_L2_Monto),DA$104)*N(P_L2_Tasa)/12,0)*DB$9</f>
        <v>0</v>
      </c>
      <c r="DC102" s="34" t="n">
        <f aca="false">IF((102-N(P_L2_Mes)+1)&gt;=1,IF((102-N(P_L2_Mes)+1)=1,N(P_L2_Monto),DB$104)*N(P_L2_Tasa)/12,0)*DC$9</f>
        <v>0</v>
      </c>
      <c r="DD102" s="34" t="n">
        <f aca="false">IF((103-N(P_L2_Mes)+1)&gt;=1,IF((103-N(P_L2_Mes)+1)=1,N(P_L2_Monto),DC$104)*N(P_L2_Tasa)/12,0)*DD$9</f>
        <v>0</v>
      </c>
      <c r="DE102" s="34" t="n">
        <f aca="false">IF((104-N(P_L2_Mes)+1)&gt;=1,IF((104-N(P_L2_Mes)+1)=1,N(P_L2_Monto),DD$104)*N(P_L2_Tasa)/12,0)*DE$9</f>
        <v>0</v>
      </c>
      <c r="DF102" s="34" t="n">
        <f aca="false">IF((105-N(P_L2_Mes)+1)&gt;=1,IF((105-N(P_L2_Mes)+1)=1,N(P_L2_Monto),DE$104)*N(P_L2_Tasa)/12,0)*DF$9</f>
        <v>0</v>
      </c>
      <c r="DG102" s="34" t="n">
        <f aca="false">IF((106-N(P_L2_Mes)+1)&gt;=1,IF((106-N(P_L2_Mes)+1)=1,N(P_L2_Monto),DF$104)*N(P_L2_Tasa)/12,0)*DG$9</f>
        <v>0</v>
      </c>
      <c r="DH102" s="34" t="n">
        <f aca="false">IF((107-N(P_L2_Mes)+1)&gt;=1,IF((107-N(P_L2_Mes)+1)=1,N(P_L2_Monto),DG$104)*N(P_L2_Tasa)/12,0)*DH$9</f>
        <v>0</v>
      </c>
      <c r="DI102" s="34" t="n">
        <f aca="false">IF((108-N(P_L2_Mes)+1)&gt;=1,IF((108-N(P_L2_Mes)+1)=1,N(P_L2_Monto),DH$104)*N(P_L2_Tasa)/12,0)*DI$9</f>
        <v>0</v>
      </c>
      <c r="DJ102" s="34" t="n">
        <f aca="false">IF((109-N(P_L2_Mes)+1)&gt;=1,IF((109-N(P_L2_Mes)+1)=1,N(P_L2_Monto),DI$104)*N(P_L2_Tasa)/12,0)*DJ$9</f>
        <v>0</v>
      </c>
      <c r="DK102" s="34" t="n">
        <f aca="false">IF((110-N(P_L2_Mes)+1)&gt;=1,IF((110-N(P_L2_Mes)+1)=1,N(P_L2_Monto),DJ$104)*N(P_L2_Tasa)/12,0)*DK$9</f>
        <v>0</v>
      </c>
      <c r="DL102" s="34" t="n">
        <f aca="false">IF((111-N(P_L2_Mes)+1)&gt;=1,IF((111-N(P_L2_Mes)+1)=1,N(P_L2_Monto),DK$104)*N(P_L2_Tasa)/12,0)*DL$9</f>
        <v>0</v>
      </c>
      <c r="DM102" s="34" t="n">
        <f aca="false">IF((112-N(P_L2_Mes)+1)&gt;=1,IF((112-N(P_L2_Mes)+1)=1,N(P_L2_Monto),DL$104)*N(P_L2_Tasa)/12,0)*DM$9</f>
        <v>0</v>
      </c>
      <c r="DN102" s="34" t="n">
        <f aca="false">IF((113-N(P_L2_Mes)+1)&gt;=1,IF((113-N(P_L2_Mes)+1)=1,N(P_L2_Monto),DM$104)*N(P_L2_Tasa)/12,0)*DN$9</f>
        <v>0</v>
      </c>
      <c r="DO102" s="34" t="n">
        <f aca="false">IF((114-N(P_L2_Mes)+1)&gt;=1,IF((114-N(P_L2_Mes)+1)=1,N(P_L2_Monto),DN$104)*N(P_L2_Tasa)/12,0)*DO$9</f>
        <v>0</v>
      </c>
      <c r="DP102" s="34" t="n">
        <f aca="false">IF((115-N(P_L2_Mes)+1)&gt;=1,IF((115-N(P_L2_Mes)+1)=1,N(P_L2_Monto),DO$104)*N(P_L2_Tasa)/12,0)*DP$9</f>
        <v>0</v>
      </c>
      <c r="DQ102" s="34" t="n">
        <f aca="false">IF((116-N(P_L2_Mes)+1)&gt;=1,IF((116-N(P_L2_Mes)+1)=1,N(P_L2_Monto),DP$104)*N(P_L2_Tasa)/12,0)*DQ$9</f>
        <v>0</v>
      </c>
      <c r="DR102" s="34" t="n">
        <f aca="false">IF((117-N(P_L2_Mes)+1)&gt;=1,IF((117-N(P_L2_Mes)+1)=1,N(P_L2_Monto),DQ$104)*N(P_L2_Tasa)/12,0)*DR$9</f>
        <v>0</v>
      </c>
      <c r="DS102" s="34" t="n">
        <f aca="false">IF((118-N(P_L2_Mes)+1)&gt;=1,IF((118-N(P_L2_Mes)+1)=1,N(P_L2_Monto),DR$104)*N(P_L2_Tasa)/12,0)*DS$9</f>
        <v>0</v>
      </c>
      <c r="DT102" s="34" t="n">
        <f aca="false">IF((119-N(P_L2_Mes)+1)&gt;=1,IF((119-N(P_L2_Mes)+1)=1,N(P_L2_Monto),DS$104)*N(P_L2_Tasa)/12,0)*DT$9</f>
        <v>0</v>
      </c>
      <c r="DU102" s="34" t="n">
        <f aca="false">IF((120-N(P_L2_Mes)+1)&gt;=1,IF((120-N(P_L2_Mes)+1)=1,N(P_L2_Monto),DT$104)*N(P_L2_Tasa)/12,0)*DU$9</f>
        <v>0</v>
      </c>
      <c r="DV102" s="34" t="n">
        <f aca="false">IF((121-N(P_L2_Mes)+1)&gt;=1,IF((121-N(P_L2_Mes)+1)=1,N(P_L2_Monto),DU$104)*N(P_L2_Tasa)/12,0)*DV$9</f>
        <v>0</v>
      </c>
      <c r="DW102" s="34" t="n">
        <f aca="false">IF((122-N(P_L2_Mes)+1)&gt;=1,IF((122-N(P_L2_Mes)+1)=1,N(P_L2_Monto),DV$104)*N(P_L2_Tasa)/12,0)*DW$9</f>
        <v>0</v>
      </c>
      <c r="DX102" s="34" t="n">
        <f aca="false">IF((123-N(P_L2_Mes)+1)&gt;=1,IF((123-N(P_L2_Mes)+1)=1,N(P_L2_Monto),DW$104)*N(P_L2_Tasa)/12,0)*DX$9</f>
        <v>0</v>
      </c>
      <c r="DY102" s="34" t="n">
        <f aca="false">IF((124-N(P_L2_Mes)+1)&gt;=1,IF((124-N(P_L2_Mes)+1)=1,N(P_L2_Monto),DX$104)*N(P_L2_Tasa)/12,0)*DY$9</f>
        <v>0</v>
      </c>
      <c r="DZ102" s="34" t="n">
        <f aca="false">IF((125-N(P_L2_Mes)+1)&gt;=1,IF((125-N(P_L2_Mes)+1)=1,N(P_L2_Monto),DY$104)*N(P_L2_Tasa)/12,0)*DZ$9</f>
        <v>0</v>
      </c>
      <c r="EA102" s="34" t="n">
        <f aca="false">IF((126-N(P_L2_Mes)+1)&gt;=1,IF((126-N(P_L2_Mes)+1)=1,N(P_L2_Monto),DZ$104)*N(P_L2_Tasa)/12,0)*EA$9</f>
        <v>0</v>
      </c>
      <c r="EB102" s="34" t="n">
        <f aca="false">IF((127-N(P_L2_Mes)+1)&gt;=1,IF((127-N(P_L2_Mes)+1)=1,N(P_L2_Monto),EA$104)*N(P_L2_Tasa)/12,0)*EB$9</f>
        <v>0</v>
      </c>
      <c r="EC102" s="34" t="n">
        <f aca="false">IF((128-N(P_L2_Mes)+1)&gt;=1,IF((128-N(P_L2_Mes)+1)=1,N(P_L2_Monto),EB$104)*N(P_L2_Tasa)/12,0)*EC$9</f>
        <v>0</v>
      </c>
      <c r="ED102" s="34" t="n">
        <f aca="false">IF((129-N(P_L2_Mes)+1)&gt;=1,IF((129-N(P_L2_Mes)+1)=1,N(P_L2_Monto),EC$104)*N(P_L2_Tasa)/12,0)*ED$9</f>
        <v>0</v>
      </c>
      <c r="EE102" s="34" t="n">
        <f aca="false">IF((130-N(P_L2_Mes)+1)&gt;=1,IF((130-N(P_L2_Mes)+1)=1,N(P_L2_Monto),ED$104)*N(P_L2_Tasa)/12,0)*EE$9</f>
        <v>0</v>
      </c>
      <c r="EF102" s="34" t="n">
        <f aca="false">IF((131-N(P_L2_Mes)+1)&gt;=1,IF((131-N(P_L2_Mes)+1)=1,N(P_L2_Monto),EE$104)*N(P_L2_Tasa)/12,0)*EF$9</f>
        <v>0</v>
      </c>
      <c r="EG102" s="34" t="n">
        <f aca="false">IF((132-N(P_L2_Mes)+1)&gt;=1,IF((132-N(P_L2_Mes)+1)=1,N(P_L2_Monto),EF$104)*N(P_L2_Tasa)/12,0)*EG$9</f>
        <v>0</v>
      </c>
      <c r="EH102" s="34" t="n">
        <f aca="false">IF((133-N(P_L2_Mes)+1)&gt;=1,IF((133-N(P_L2_Mes)+1)=1,N(P_L2_Monto),EG$104)*N(P_L2_Tasa)/12,0)*EH$9</f>
        <v>0</v>
      </c>
      <c r="EI102" s="34" t="n">
        <f aca="false">IF((134-N(P_L2_Mes)+1)&gt;=1,IF((134-N(P_L2_Mes)+1)=1,N(P_L2_Monto),EH$104)*N(P_L2_Tasa)/12,0)*EI$9</f>
        <v>0</v>
      </c>
      <c r="EJ102" s="34" t="n">
        <f aca="false">IF((135-N(P_L2_Mes)+1)&gt;=1,IF((135-N(P_L2_Mes)+1)=1,N(P_L2_Monto),EI$104)*N(P_L2_Tasa)/12,0)*EJ$9</f>
        <v>0</v>
      </c>
      <c r="EK102" s="34" t="n">
        <f aca="false">IF((136-N(P_L2_Mes)+1)&gt;=1,IF((136-N(P_L2_Mes)+1)=1,N(P_L2_Monto),EJ$104)*N(P_L2_Tasa)/12,0)*EK$9</f>
        <v>0</v>
      </c>
      <c r="EL102" s="34" t="n">
        <f aca="false">IF((137-N(P_L2_Mes)+1)&gt;=1,IF((137-N(P_L2_Mes)+1)=1,N(P_L2_Monto),EK$104)*N(P_L2_Tasa)/12,0)*EL$9</f>
        <v>0</v>
      </c>
      <c r="EM102" s="34" t="n">
        <f aca="false">IF((138-N(P_L2_Mes)+1)&gt;=1,IF((138-N(P_L2_Mes)+1)=1,N(P_L2_Monto),EL$104)*N(P_L2_Tasa)/12,0)*EM$9</f>
        <v>0</v>
      </c>
      <c r="EN102" s="34" t="n">
        <f aca="false">IF((139-N(P_L2_Mes)+1)&gt;=1,IF((139-N(P_L2_Mes)+1)=1,N(P_L2_Monto),EM$104)*N(P_L2_Tasa)/12,0)*EN$9</f>
        <v>0</v>
      </c>
      <c r="EO102" s="34" t="n">
        <f aca="false">IF((140-N(P_L2_Mes)+1)&gt;=1,IF((140-N(P_L2_Mes)+1)=1,N(P_L2_Monto),EN$104)*N(P_L2_Tasa)/12,0)*EO$9</f>
        <v>0</v>
      </c>
      <c r="EP102" s="34" t="n">
        <f aca="false">IF((141-N(P_L2_Mes)+1)&gt;=1,IF((141-N(P_L2_Mes)+1)=1,N(P_L2_Monto),EO$104)*N(P_L2_Tasa)/12,0)*EP$9</f>
        <v>0</v>
      </c>
      <c r="EQ102" s="34" t="n">
        <f aca="false">IF((142-N(P_L2_Mes)+1)&gt;=1,IF((142-N(P_L2_Mes)+1)=1,N(P_L2_Monto),EP$104)*N(P_L2_Tasa)/12,0)*EQ$9</f>
        <v>0</v>
      </c>
      <c r="ER102" s="34" t="n">
        <f aca="false">IF((143-N(P_L2_Mes)+1)&gt;=1,IF((143-N(P_L2_Mes)+1)=1,N(P_L2_Monto),EQ$104)*N(P_L2_Tasa)/12,0)*ER$9</f>
        <v>0</v>
      </c>
      <c r="ES102" s="34" t="n">
        <f aca="false">IF((144-N(P_L2_Mes)+1)&gt;=1,IF((144-N(P_L2_Mes)+1)=1,N(P_L2_Monto),ER$104)*N(P_L2_Tasa)/12,0)*ES$9</f>
        <v>0</v>
      </c>
    </row>
    <row r="103" customFormat="false" ht="15" hidden="false" customHeight="false" outlineLevel="0" collapsed="false">
      <c r="A103" s="2" t="s">
        <v>689</v>
      </c>
      <c r="B103" s="6" t="s">
        <v>690</v>
      </c>
      <c r="C103" s="6" t="s">
        <v>250</v>
      </c>
      <c r="E103" s="40" t="n">
        <f aca="false">SUM(F103:ES103)</f>
        <v>0</v>
      </c>
      <c r="F103" s="34" t="n">
        <f aca="false">IF(AND((1-N(P_L2_Mes)+1)&gt;N(P_L2_Gracia),(1-N(P_L2_Mes)+1)&lt;=N(P_L2_Gracia)+N(P_L2_Cuotas),N(P_L2_Cuotas)&gt;0),IF((1-N(P_L2_Mes)+1)=N(P_L2_Gracia)+N(P_L2_Cuotas),IF((1-N(P_L2_Mes)+1)=1,N(P_L2_Monto),0),PMT(N(P_L2_Tasa)/12,N(P_L2_Cuotas),-N(P_L2_Monto))-F$102),0)*F$9</f>
        <v>0</v>
      </c>
      <c r="G103" s="34" t="n">
        <f aca="false">IF(AND((2-N(P_L2_Mes)+1)&gt;N(P_L2_Gracia),(2-N(P_L2_Mes)+1)&lt;=N(P_L2_Gracia)+N(P_L2_Cuotas),N(P_L2_Cuotas)&gt;0),IF((2-N(P_L2_Mes)+1)=N(P_L2_Gracia)+N(P_L2_Cuotas),IF((2-N(P_L2_Mes)+1)=1,N(P_L2_Monto),F$104),PMT(N(P_L2_Tasa)/12,N(P_L2_Cuotas),-N(P_L2_Monto))-G$102),0)*G$9</f>
        <v>0</v>
      </c>
      <c r="H103" s="34" t="n">
        <f aca="false">IF(AND((3-N(P_L2_Mes)+1)&gt;N(P_L2_Gracia),(3-N(P_L2_Mes)+1)&lt;=N(P_L2_Gracia)+N(P_L2_Cuotas),N(P_L2_Cuotas)&gt;0),IF((3-N(P_L2_Mes)+1)=N(P_L2_Gracia)+N(P_L2_Cuotas),IF((3-N(P_L2_Mes)+1)=1,N(P_L2_Monto),G$104),PMT(N(P_L2_Tasa)/12,N(P_L2_Cuotas),-N(P_L2_Monto))-H$102),0)*H$9</f>
        <v>0</v>
      </c>
      <c r="I103" s="34" t="n">
        <f aca="false">IF(AND((4-N(P_L2_Mes)+1)&gt;N(P_L2_Gracia),(4-N(P_L2_Mes)+1)&lt;=N(P_L2_Gracia)+N(P_L2_Cuotas),N(P_L2_Cuotas)&gt;0),IF((4-N(P_L2_Mes)+1)=N(P_L2_Gracia)+N(P_L2_Cuotas),IF((4-N(P_L2_Mes)+1)=1,N(P_L2_Monto),H$104),PMT(N(P_L2_Tasa)/12,N(P_L2_Cuotas),-N(P_L2_Monto))-I$102),0)*I$9</f>
        <v>0</v>
      </c>
      <c r="J103" s="34" t="n">
        <f aca="false">IF(AND((5-N(P_L2_Mes)+1)&gt;N(P_L2_Gracia),(5-N(P_L2_Mes)+1)&lt;=N(P_L2_Gracia)+N(P_L2_Cuotas),N(P_L2_Cuotas)&gt;0),IF((5-N(P_L2_Mes)+1)=N(P_L2_Gracia)+N(P_L2_Cuotas),IF((5-N(P_L2_Mes)+1)=1,N(P_L2_Monto),I$104),PMT(N(P_L2_Tasa)/12,N(P_L2_Cuotas),-N(P_L2_Monto))-J$102),0)*J$9</f>
        <v>0</v>
      </c>
      <c r="K103" s="34" t="n">
        <f aca="false">IF(AND((6-N(P_L2_Mes)+1)&gt;N(P_L2_Gracia),(6-N(P_L2_Mes)+1)&lt;=N(P_L2_Gracia)+N(P_L2_Cuotas),N(P_L2_Cuotas)&gt;0),IF((6-N(P_L2_Mes)+1)=N(P_L2_Gracia)+N(P_L2_Cuotas),IF((6-N(P_L2_Mes)+1)=1,N(P_L2_Monto),J$104),PMT(N(P_L2_Tasa)/12,N(P_L2_Cuotas),-N(P_L2_Monto))-K$102),0)*K$9</f>
        <v>0</v>
      </c>
      <c r="L103" s="34" t="n">
        <f aca="false">IF(AND((7-N(P_L2_Mes)+1)&gt;N(P_L2_Gracia),(7-N(P_L2_Mes)+1)&lt;=N(P_L2_Gracia)+N(P_L2_Cuotas),N(P_L2_Cuotas)&gt;0),IF((7-N(P_L2_Mes)+1)=N(P_L2_Gracia)+N(P_L2_Cuotas),IF((7-N(P_L2_Mes)+1)=1,N(P_L2_Monto),K$104),PMT(N(P_L2_Tasa)/12,N(P_L2_Cuotas),-N(P_L2_Monto))-L$102),0)*L$9</f>
        <v>0</v>
      </c>
      <c r="M103" s="34" t="n">
        <f aca="false">IF(AND((8-N(P_L2_Mes)+1)&gt;N(P_L2_Gracia),(8-N(P_L2_Mes)+1)&lt;=N(P_L2_Gracia)+N(P_L2_Cuotas),N(P_L2_Cuotas)&gt;0),IF((8-N(P_L2_Mes)+1)=N(P_L2_Gracia)+N(P_L2_Cuotas),IF((8-N(P_L2_Mes)+1)=1,N(P_L2_Monto),L$104),PMT(N(P_L2_Tasa)/12,N(P_L2_Cuotas),-N(P_L2_Monto))-M$102),0)*M$9</f>
        <v>0</v>
      </c>
      <c r="N103" s="34" t="n">
        <f aca="false">IF(AND((9-N(P_L2_Mes)+1)&gt;N(P_L2_Gracia),(9-N(P_L2_Mes)+1)&lt;=N(P_L2_Gracia)+N(P_L2_Cuotas),N(P_L2_Cuotas)&gt;0),IF((9-N(P_L2_Mes)+1)=N(P_L2_Gracia)+N(P_L2_Cuotas),IF((9-N(P_L2_Mes)+1)=1,N(P_L2_Monto),M$104),PMT(N(P_L2_Tasa)/12,N(P_L2_Cuotas),-N(P_L2_Monto))-N$102),0)*N$9</f>
        <v>0</v>
      </c>
      <c r="O103" s="34" t="n">
        <f aca="false">IF(AND((10-N(P_L2_Mes)+1)&gt;N(P_L2_Gracia),(10-N(P_L2_Mes)+1)&lt;=N(P_L2_Gracia)+N(P_L2_Cuotas),N(P_L2_Cuotas)&gt;0),IF((10-N(P_L2_Mes)+1)=N(P_L2_Gracia)+N(P_L2_Cuotas),IF((10-N(P_L2_Mes)+1)=1,N(P_L2_Monto),N$104),PMT(N(P_L2_Tasa)/12,N(P_L2_Cuotas),-N(P_L2_Monto))-O$102),0)*O$9</f>
        <v>0</v>
      </c>
      <c r="P103" s="34" t="n">
        <f aca="false">IF(AND((11-N(P_L2_Mes)+1)&gt;N(P_L2_Gracia),(11-N(P_L2_Mes)+1)&lt;=N(P_L2_Gracia)+N(P_L2_Cuotas),N(P_L2_Cuotas)&gt;0),IF((11-N(P_L2_Mes)+1)=N(P_L2_Gracia)+N(P_L2_Cuotas),IF((11-N(P_L2_Mes)+1)=1,N(P_L2_Monto),O$104),PMT(N(P_L2_Tasa)/12,N(P_L2_Cuotas),-N(P_L2_Monto))-P$102),0)*P$9</f>
        <v>0</v>
      </c>
      <c r="Q103" s="34" t="n">
        <f aca="false">IF(AND((12-N(P_L2_Mes)+1)&gt;N(P_L2_Gracia),(12-N(P_L2_Mes)+1)&lt;=N(P_L2_Gracia)+N(P_L2_Cuotas),N(P_L2_Cuotas)&gt;0),IF((12-N(P_L2_Mes)+1)=N(P_L2_Gracia)+N(P_L2_Cuotas),IF((12-N(P_L2_Mes)+1)=1,N(P_L2_Monto),P$104),PMT(N(P_L2_Tasa)/12,N(P_L2_Cuotas),-N(P_L2_Monto))-Q$102),0)*Q$9</f>
        <v>0</v>
      </c>
      <c r="R103" s="34" t="n">
        <f aca="false">IF(AND((13-N(P_L2_Mes)+1)&gt;N(P_L2_Gracia),(13-N(P_L2_Mes)+1)&lt;=N(P_L2_Gracia)+N(P_L2_Cuotas),N(P_L2_Cuotas)&gt;0),IF((13-N(P_L2_Mes)+1)=N(P_L2_Gracia)+N(P_L2_Cuotas),IF((13-N(P_L2_Mes)+1)=1,N(P_L2_Monto),Q$104),PMT(N(P_L2_Tasa)/12,N(P_L2_Cuotas),-N(P_L2_Monto))-R$102),0)*R$9</f>
        <v>0</v>
      </c>
      <c r="S103" s="34" t="n">
        <f aca="false">IF(AND((14-N(P_L2_Mes)+1)&gt;N(P_L2_Gracia),(14-N(P_L2_Mes)+1)&lt;=N(P_L2_Gracia)+N(P_L2_Cuotas),N(P_L2_Cuotas)&gt;0),IF((14-N(P_L2_Mes)+1)=N(P_L2_Gracia)+N(P_L2_Cuotas),IF((14-N(P_L2_Mes)+1)=1,N(P_L2_Monto),R$104),PMT(N(P_L2_Tasa)/12,N(P_L2_Cuotas),-N(P_L2_Monto))-S$102),0)*S$9</f>
        <v>0</v>
      </c>
      <c r="T103" s="34" t="n">
        <f aca="false">IF(AND((15-N(P_L2_Mes)+1)&gt;N(P_L2_Gracia),(15-N(P_L2_Mes)+1)&lt;=N(P_L2_Gracia)+N(P_L2_Cuotas),N(P_L2_Cuotas)&gt;0),IF((15-N(P_L2_Mes)+1)=N(P_L2_Gracia)+N(P_L2_Cuotas),IF((15-N(P_L2_Mes)+1)=1,N(P_L2_Monto),S$104),PMT(N(P_L2_Tasa)/12,N(P_L2_Cuotas),-N(P_L2_Monto))-T$102),0)*T$9</f>
        <v>0</v>
      </c>
      <c r="U103" s="34" t="n">
        <f aca="false">IF(AND((16-N(P_L2_Mes)+1)&gt;N(P_L2_Gracia),(16-N(P_L2_Mes)+1)&lt;=N(P_L2_Gracia)+N(P_L2_Cuotas),N(P_L2_Cuotas)&gt;0),IF((16-N(P_L2_Mes)+1)=N(P_L2_Gracia)+N(P_L2_Cuotas),IF((16-N(P_L2_Mes)+1)=1,N(P_L2_Monto),T$104),PMT(N(P_L2_Tasa)/12,N(P_L2_Cuotas),-N(P_L2_Monto))-U$102),0)*U$9</f>
        <v>0</v>
      </c>
      <c r="V103" s="34" t="n">
        <f aca="false">IF(AND((17-N(P_L2_Mes)+1)&gt;N(P_L2_Gracia),(17-N(P_L2_Mes)+1)&lt;=N(P_L2_Gracia)+N(P_L2_Cuotas),N(P_L2_Cuotas)&gt;0),IF((17-N(P_L2_Mes)+1)=N(P_L2_Gracia)+N(P_L2_Cuotas),IF((17-N(P_L2_Mes)+1)=1,N(P_L2_Monto),U$104),PMT(N(P_L2_Tasa)/12,N(P_L2_Cuotas),-N(P_L2_Monto))-V$102),0)*V$9</f>
        <v>0</v>
      </c>
      <c r="W103" s="34" t="n">
        <f aca="false">IF(AND((18-N(P_L2_Mes)+1)&gt;N(P_L2_Gracia),(18-N(P_L2_Mes)+1)&lt;=N(P_L2_Gracia)+N(P_L2_Cuotas),N(P_L2_Cuotas)&gt;0),IF((18-N(P_L2_Mes)+1)=N(P_L2_Gracia)+N(P_L2_Cuotas),IF((18-N(P_L2_Mes)+1)=1,N(P_L2_Monto),V$104),PMT(N(P_L2_Tasa)/12,N(P_L2_Cuotas),-N(P_L2_Monto))-W$102),0)*W$9</f>
        <v>0</v>
      </c>
      <c r="X103" s="34" t="n">
        <f aca="false">IF(AND((19-N(P_L2_Mes)+1)&gt;N(P_L2_Gracia),(19-N(P_L2_Mes)+1)&lt;=N(P_L2_Gracia)+N(P_L2_Cuotas),N(P_L2_Cuotas)&gt;0),IF((19-N(P_L2_Mes)+1)=N(P_L2_Gracia)+N(P_L2_Cuotas),IF((19-N(P_L2_Mes)+1)=1,N(P_L2_Monto),W$104),PMT(N(P_L2_Tasa)/12,N(P_L2_Cuotas),-N(P_L2_Monto))-X$102),0)*X$9</f>
        <v>0</v>
      </c>
      <c r="Y103" s="34" t="n">
        <f aca="false">IF(AND((20-N(P_L2_Mes)+1)&gt;N(P_L2_Gracia),(20-N(P_L2_Mes)+1)&lt;=N(P_L2_Gracia)+N(P_L2_Cuotas),N(P_L2_Cuotas)&gt;0),IF((20-N(P_L2_Mes)+1)=N(P_L2_Gracia)+N(P_L2_Cuotas),IF((20-N(P_L2_Mes)+1)=1,N(P_L2_Monto),X$104),PMT(N(P_L2_Tasa)/12,N(P_L2_Cuotas),-N(P_L2_Monto))-Y$102),0)*Y$9</f>
        <v>0</v>
      </c>
      <c r="Z103" s="34" t="n">
        <f aca="false">IF(AND((21-N(P_L2_Mes)+1)&gt;N(P_L2_Gracia),(21-N(P_L2_Mes)+1)&lt;=N(P_L2_Gracia)+N(P_L2_Cuotas),N(P_L2_Cuotas)&gt;0),IF((21-N(P_L2_Mes)+1)=N(P_L2_Gracia)+N(P_L2_Cuotas),IF((21-N(P_L2_Mes)+1)=1,N(P_L2_Monto),Y$104),PMT(N(P_L2_Tasa)/12,N(P_L2_Cuotas),-N(P_L2_Monto))-Z$102),0)*Z$9</f>
        <v>0</v>
      </c>
      <c r="AA103" s="34" t="n">
        <f aca="false">IF(AND((22-N(P_L2_Mes)+1)&gt;N(P_L2_Gracia),(22-N(P_L2_Mes)+1)&lt;=N(P_L2_Gracia)+N(P_L2_Cuotas),N(P_L2_Cuotas)&gt;0),IF((22-N(P_L2_Mes)+1)=N(P_L2_Gracia)+N(P_L2_Cuotas),IF((22-N(P_L2_Mes)+1)=1,N(P_L2_Monto),Z$104),PMT(N(P_L2_Tasa)/12,N(P_L2_Cuotas),-N(P_L2_Monto))-AA$102),0)*AA$9</f>
        <v>0</v>
      </c>
      <c r="AB103" s="34" t="n">
        <f aca="false">IF(AND((23-N(P_L2_Mes)+1)&gt;N(P_L2_Gracia),(23-N(P_L2_Mes)+1)&lt;=N(P_L2_Gracia)+N(P_L2_Cuotas),N(P_L2_Cuotas)&gt;0),IF((23-N(P_L2_Mes)+1)=N(P_L2_Gracia)+N(P_L2_Cuotas),IF((23-N(P_L2_Mes)+1)=1,N(P_L2_Monto),AA$104),PMT(N(P_L2_Tasa)/12,N(P_L2_Cuotas),-N(P_L2_Monto))-AB$102),0)*AB$9</f>
        <v>0</v>
      </c>
      <c r="AC103" s="34" t="n">
        <f aca="false">IF(AND((24-N(P_L2_Mes)+1)&gt;N(P_L2_Gracia),(24-N(P_L2_Mes)+1)&lt;=N(P_L2_Gracia)+N(P_L2_Cuotas),N(P_L2_Cuotas)&gt;0),IF((24-N(P_L2_Mes)+1)=N(P_L2_Gracia)+N(P_L2_Cuotas),IF((24-N(P_L2_Mes)+1)=1,N(P_L2_Monto),AB$104),PMT(N(P_L2_Tasa)/12,N(P_L2_Cuotas),-N(P_L2_Monto))-AC$102),0)*AC$9</f>
        <v>0</v>
      </c>
      <c r="AD103" s="34" t="n">
        <f aca="false">IF(AND((25-N(P_L2_Mes)+1)&gt;N(P_L2_Gracia),(25-N(P_L2_Mes)+1)&lt;=N(P_L2_Gracia)+N(P_L2_Cuotas),N(P_L2_Cuotas)&gt;0),IF((25-N(P_L2_Mes)+1)=N(P_L2_Gracia)+N(P_L2_Cuotas),IF((25-N(P_L2_Mes)+1)=1,N(P_L2_Monto),AC$104),PMT(N(P_L2_Tasa)/12,N(P_L2_Cuotas),-N(P_L2_Monto))-AD$102),0)*AD$9</f>
        <v>0</v>
      </c>
      <c r="AE103" s="34" t="n">
        <f aca="false">IF(AND((26-N(P_L2_Mes)+1)&gt;N(P_L2_Gracia),(26-N(P_L2_Mes)+1)&lt;=N(P_L2_Gracia)+N(P_L2_Cuotas),N(P_L2_Cuotas)&gt;0),IF((26-N(P_L2_Mes)+1)=N(P_L2_Gracia)+N(P_L2_Cuotas),IF((26-N(P_L2_Mes)+1)=1,N(P_L2_Monto),AD$104),PMT(N(P_L2_Tasa)/12,N(P_L2_Cuotas),-N(P_L2_Monto))-AE$102),0)*AE$9</f>
        <v>0</v>
      </c>
      <c r="AF103" s="34" t="n">
        <f aca="false">IF(AND((27-N(P_L2_Mes)+1)&gt;N(P_L2_Gracia),(27-N(P_L2_Mes)+1)&lt;=N(P_L2_Gracia)+N(P_L2_Cuotas),N(P_L2_Cuotas)&gt;0),IF((27-N(P_L2_Mes)+1)=N(P_L2_Gracia)+N(P_L2_Cuotas),IF((27-N(P_L2_Mes)+1)=1,N(P_L2_Monto),AE$104),PMT(N(P_L2_Tasa)/12,N(P_L2_Cuotas),-N(P_L2_Monto))-AF$102),0)*AF$9</f>
        <v>0</v>
      </c>
      <c r="AG103" s="34" t="n">
        <f aca="false">IF(AND((28-N(P_L2_Mes)+1)&gt;N(P_L2_Gracia),(28-N(P_L2_Mes)+1)&lt;=N(P_L2_Gracia)+N(P_L2_Cuotas),N(P_L2_Cuotas)&gt;0),IF((28-N(P_L2_Mes)+1)=N(P_L2_Gracia)+N(P_L2_Cuotas),IF((28-N(P_L2_Mes)+1)=1,N(P_L2_Monto),AF$104),PMT(N(P_L2_Tasa)/12,N(P_L2_Cuotas),-N(P_L2_Monto))-AG$102),0)*AG$9</f>
        <v>0</v>
      </c>
      <c r="AH103" s="34" t="n">
        <f aca="false">IF(AND((29-N(P_L2_Mes)+1)&gt;N(P_L2_Gracia),(29-N(P_L2_Mes)+1)&lt;=N(P_L2_Gracia)+N(P_L2_Cuotas),N(P_L2_Cuotas)&gt;0),IF((29-N(P_L2_Mes)+1)=N(P_L2_Gracia)+N(P_L2_Cuotas),IF((29-N(P_L2_Mes)+1)=1,N(P_L2_Monto),AG$104),PMT(N(P_L2_Tasa)/12,N(P_L2_Cuotas),-N(P_L2_Monto))-AH$102),0)*AH$9</f>
        <v>0</v>
      </c>
      <c r="AI103" s="34" t="n">
        <f aca="false">IF(AND((30-N(P_L2_Mes)+1)&gt;N(P_L2_Gracia),(30-N(P_L2_Mes)+1)&lt;=N(P_L2_Gracia)+N(P_L2_Cuotas),N(P_L2_Cuotas)&gt;0),IF((30-N(P_L2_Mes)+1)=N(P_L2_Gracia)+N(P_L2_Cuotas),IF((30-N(P_L2_Mes)+1)=1,N(P_L2_Monto),AH$104),PMT(N(P_L2_Tasa)/12,N(P_L2_Cuotas),-N(P_L2_Monto))-AI$102),0)*AI$9</f>
        <v>0</v>
      </c>
      <c r="AJ103" s="34" t="n">
        <f aca="false">IF(AND((31-N(P_L2_Mes)+1)&gt;N(P_L2_Gracia),(31-N(P_L2_Mes)+1)&lt;=N(P_L2_Gracia)+N(P_L2_Cuotas),N(P_L2_Cuotas)&gt;0),IF((31-N(P_L2_Mes)+1)=N(P_L2_Gracia)+N(P_L2_Cuotas),IF((31-N(P_L2_Mes)+1)=1,N(P_L2_Monto),AI$104),PMT(N(P_L2_Tasa)/12,N(P_L2_Cuotas),-N(P_L2_Monto))-AJ$102),0)*AJ$9</f>
        <v>0</v>
      </c>
      <c r="AK103" s="34" t="n">
        <f aca="false">IF(AND((32-N(P_L2_Mes)+1)&gt;N(P_L2_Gracia),(32-N(P_L2_Mes)+1)&lt;=N(P_L2_Gracia)+N(P_L2_Cuotas),N(P_L2_Cuotas)&gt;0),IF((32-N(P_L2_Mes)+1)=N(P_L2_Gracia)+N(P_L2_Cuotas),IF((32-N(P_L2_Mes)+1)=1,N(P_L2_Monto),AJ$104),PMT(N(P_L2_Tasa)/12,N(P_L2_Cuotas),-N(P_L2_Monto))-AK$102),0)*AK$9</f>
        <v>0</v>
      </c>
      <c r="AL103" s="34" t="n">
        <f aca="false">IF(AND((33-N(P_L2_Mes)+1)&gt;N(P_L2_Gracia),(33-N(P_L2_Mes)+1)&lt;=N(P_L2_Gracia)+N(P_L2_Cuotas),N(P_L2_Cuotas)&gt;0),IF((33-N(P_L2_Mes)+1)=N(P_L2_Gracia)+N(P_L2_Cuotas),IF((33-N(P_L2_Mes)+1)=1,N(P_L2_Monto),AK$104),PMT(N(P_L2_Tasa)/12,N(P_L2_Cuotas),-N(P_L2_Monto))-AL$102),0)*AL$9</f>
        <v>0</v>
      </c>
      <c r="AM103" s="34" t="n">
        <f aca="false">IF(AND((34-N(P_L2_Mes)+1)&gt;N(P_L2_Gracia),(34-N(P_L2_Mes)+1)&lt;=N(P_L2_Gracia)+N(P_L2_Cuotas),N(P_L2_Cuotas)&gt;0),IF((34-N(P_L2_Mes)+1)=N(P_L2_Gracia)+N(P_L2_Cuotas),IF((34-N(P_L2_Mes)+1)=1,N(P_L2_Monto),AL$104),PMT(N(P_L2_Tasa)/12,N(P_L2_Cuotas),-N(P_L2_Monto))-AM$102),0)*AM$9</f>
        <v>0</v>
      </c>
      <c r="AN103" s="34" t="n">
        <f aca="false">IF(AND((35-N(P_L2_Mes)+1)&gt;N(P_L2_Gracia),(35-N(P_L2_Mes)+1)&lt;=N(P_L2_Gracia)+N(P_L2_Cuotas),N(P_L2_Cuotas)&gt;0),IF((35-N(P_L2_Mes)+1)=N(P_L2_Gracia)+N(P_L2_Cuotas),IF((35-N(P_L2_Mes)+1)=1,N(P_L2_Monto),AM$104),PMT(N(P_L2_Tasa)/12,N(P_L2_Cuotas),-N(P_L2_Monto))-AN$102),0)*AN$9</f>
        <v>0</v>
      </c>
      <c r="AO103" s="34" t="n">
        <f aca="false">IF(AND((36-N(P_L2_Mes)+1)&gt;N(P_L2_Gracia),(36-N(P_L2_Mes)+1)&lt;=N(P_L2_Gracia)+N(P_L2_Cuotas),N(P_L2_Cuotas)&gt;0),IF((36-N(P_L2_Mes)+1)=N(P_L2_Gracia)+N(P_L2_Cuotas),IF((36-N(P_L2_Mes)+1)=1,N(P_L2_Monto),AN$104),PMT(N(P_L2_Tasa)/12,N(P_L2_Cuotas),-N(P_L2_Monto))-AO$102),0)*AO$9</f>
        <v>0</v>
      </c>
      <c r="AP103" s="34" t="n">
        <f aca="false">IF(AND((37-N(P_L2_Mes)+1)&gt;N(P_L2_Gracia),(37-N(P_L2_Mes)+1)&lt;=N(P_L2_Gracia)+N(P_L2_Cuotas),N(P_L2_Cuotas)&gt;0),IF((37-N(P_L2_Mes)+1)=N(P_L2_Gracia)+N(P_L2_Cuotas),IF((37-N(P_L2_Mes)+1)=1,N(P_L2_Monto),AO$104),PMT(N(P_L2_Tasa)/12,N(P_L2_Cuotas),-N(P_L2_Monto))-AP$102),0)*AP$9</f>
        <v>0</v>
      </c>
      <c r="AQ103" s="34" t="n">
        <f aca="false">IF(AND((38-N(P_L2_Mes)+1)&gt;N(P_L2_Gracia),(38-N(P_L2_Mes)+1)&lt;=N(P_L2_Gracia)+N(P_L2_Cuotas),N(P_L2_Cuotas)&gt;0),IF((38-N(P_L2_Mes)+1)=N(P_L2_Gracia)+N(P_L2_Cuotas),IF((38-N(P_L2_Mes)+1)=1,N(P_L2_Monto),AP$104),PMT(N(P_L2_Tasa)/12,N(P_L2_Cuotas),-N(P_L2_Monto))-AQ$102),0)*AQ$9</f>
        <v>0</v>
      </c>
      <c r="AR103" s="34" t="n">
        <f aca="false">IF(AND((39-N(P_L2_Mes)+1)&gt;N(P_L2_Gracia),(39-N(P_L2_Mes)+1)&lt;=N(P_L2_Gracia)+N(P_L2_Cuotas),N(P_L2_Cuotas)&gt;0),IF((39-N(P_L2_Mes)+1)=N(P_L2_Gracia)+N(P_L2_Cuotas),IF((39-N(P_L2_Mes)+1)=1,N(P_L2_Monto),AQ$104),PMT(N(P_L2_Tasa)/12,N(P_L2_Cuotas),-N(P_L2_Monto))-AR$102),0)*AR$9</f>
        <v>0</v>
      </c>
      <c r="AS103" s="34" t="n">
        <f aca="false">IF(AND((40-N(P_L2_Mes)+1)&gt;N(P_L2_Gracia),(40-N(P_L2_Mes)+1)&lt;=N(P_L2_Gracia)+N(P_L2_Cuotas),N(P_L2_Cuotas)&gt;0),IF((40-N(P_L2_Mes)+1)=N(P_L2_Gracia)+N(P_L2_Cuotas),IF((40-N(P_L2_Mes)+1)=1,N(P_L2_Monto),AR$104),PMT(N(P_L2_Tasa)/12,N(P_L2_Cuotas),-N(P_L2_Monto))-AS$102),0)*AS$9</f>
        <v>0</v>
      </c>
      <c r="AT103" s="34" t="n">
        <f aca="false">IF(AND((41-N(P_L2_Mes)+1)&gt;N(P_L2_Gracia),(41-N(P_L2_Mes)+1)&lt;=N(P_L2_Gracia)+N(P_L2_Cuotas),N(P_L2_Cuotas)&gt;0),IF((41-N(P_L2_Mes)+1)=N(P_L2_Gracia)+N(P_L2_Cuotas),IF((41-N(P_L2_Mes)+1)=1,N(P_L2_Monto),AS$104),PMT(N(P_L2_Tasa)/12,N(P_L2_Cuotas),-N(P_L2_Monto))-AT$102),0)*AT$9</f>
        <v>0</v>
      </c>
      <c r="AU103" s="34" t="n">
        <f aca="false">IF(AND((42-N(P_L2_Mes)+1)&gt;N(P_L2_Gracia),(42-N(P_L2_Mes)+1)&lt;=N(P_L2_Gracia)+N(P_L2_Cuotas),N(P_L2_Cuotas)&gt;0),IF((42-N(P_L2_Mes)+1)=N(P_L2_Gracia)+N(P_L2_Cuotas),IF((42-N(P_L2_Mes)+1)=1,N(P_L2_Monto),AT$104),PMT(N(P_L2_Tasa)/12,N(P_L2_Cuotas),-N(P_L2_Monto))-AU$102),0)*AU$9</f>
        <v>0</v>
      </c>
      <c r="AV103" s="34" t="n">
        <f aca="false">IF(AND((43-N(P_L2_Mes)+1)&gt;N(P_L2_Gracia),(43-N(P_L2_Mes)+1)&lt;=N(P_L2_Gracia)+N(P_L2_Cuotas),N(P_L2_Cuotas)&gt;0),IF((43-N(P_L2_Mes)+1)=N(P_L2_Gracia)+N(P_L2_Cuotas),IF((43-N(P_L2_Mes)+1)=1,N(P_L2_Monto),AU$104),PMT(N(P_L2_Tasa)/12,N(P_L2_Cuotas),-N(P_L2_Monto))-AV$102),0)*AV$9</f>
        <v>0</v>
      </c>
      <c r="AW103" s="34" t="n">
        <f aca="false">IF(AND((44-N(P_L2_Mes)+1)&gt;N(P_L2_Gracia),(44-N(P_L2_Mes)+1)&lt;=N(P_L2_Gracia)+N(P_L2_Cuotas),N(P_L2_Cuotas)&gt;0),IF((44-N(P_L2_Mes)+1)=N(P_L2_Gracia)+N(P_L2_Cuotas),IF((44-N(P_L2_Mes)+1)=1,N(P_L2_Monto),AV$104),PMT(N(P_L2_Tasa)/12,N(P_L2_Cuotas),-N(P_L2_Monto))-AW$102),0)*AW$9</f>
        <v>0</v>
      </c>
      <c r="AX103" s="34" t="n">
        <f aca="false">IF(AND((45-N(P_L2_Mes)+1)&gt;N(P_L2_Gracia),(45-N(P_L2_Mes)+1)&lt;=N(P_L2_Gracia)+N(P_L2_Cuotas),N(P_L2_Cuotas)&gt;0),IF((45-N(P_L2_Mes)+1)=N(P_L2_Gracia)+N(P_L2_Cuotas),IF((45-N(P_L2_Mes)+1)=1,N(P_L2_Monto),AW$104),PMT(N(P_L2_Tasa)/12,N(P_L2_Cuotas),-N(P_L2_Monto))-AX$102),0)*AX$9</f>
        <v>0</v>
      </c>
      <c r="AY103" s="34" t="n">
        <f aca="false">IF(AND((46-N(P_L2_Mes)+1)&gt;N(P_L2_Gracia),(46-N(P_L2_Mes)+1)&lt;=N(P_L2_Gracia)+N(P_L2_Cuotas),N(P_L2_Cuotas)&gt;0),IF((46-N(P_L2_Mes)+1)=N(P_L2_Gracia)+N(P_L2_Cuotas),IF((46-N(P_L2_Mes)+1)=1,N(P_L2_Monto),AX$104),PMT(N(P_L2_Tasa)/12,N(P_L2_Cuotas),-N(P_L2_Monto))-AY$102),0)*AY$9</f>
        <v>0</v>
      </c>
      <c r="AZ103" s="34" t="n">
        <f aca="false">IF(AND((47-N(P_L2_Mes)+1)&gt;N(P_L2_Gracia),(47-N(P_L2_Mes)+1)&lt;=N(P_L2_Gracia)+N(P_L2_Cuotas),N(P_L2_Cuotas)&gt;0),IF((47-N(P_L2_Mes)+1)=N(P_L2_Gracia)+N(P_L2_Cuotas),IF((47-N(P_L2_Mes)+1)=1,N(P_L2_Monto),AY$104),PMT(N(P_L2_Tasa)/12,N(P_L2_Cuotas),-N(P_L2_Monto))-AZ$102),0)*AZ$9</f>
        <v>0</v>
      </c>
      <c r="BA103" s="34" t="n">
        <f aca="false">IF(AND((48-N(P_L2_Mes)+1)&gt;N(P_L2_Gracia),(48-N(P_L2_Mes)+1)&lt;=N(P_L2_Gracia)+N(P_L2_Cuotas),N(P_L2_Cuotas)&gt;0),IF((48-N(P_L2_Mes)+1)=N(P_L2_Gracia)+N(P_L2_Cuotas),IF((48-N(P_L2_Mes)+1)=1,N(P_L2_Monto),AZ$104),PMT(N(P_L2_Tasa)/12,N(P_L2_Cuotas),-N(P_L2_Monto))-BA$102),0)*BA$9</f>
        <v>0</v>
      </c>
      <c r="BB103" s="34" t="n">
        <f aca="false">IF(AND((49-N(P_L2_Mes)+1)&gt;N(P_L2_Gracia),(49-N(P_L2_Mes)+1)&lt;=N(P_L2_Gracia)+N(P_L2_Cuotas),N(P_L2_Cuotas)&gt;0),IF((49-N(P_L2_Mes)+1)=N(P_L2_Gracia)+N(P_L2_Cuotas),IF((49-N(P_L2_Mes)+1)=1,N(P_L2_Monto),BA$104),PMT(N(P_L2_Tasa)/12,N(P_L2_Cuotas),-N(P_L2_Monto))-BB$102),0)*BB$9</f>
        <v>0</v>
      </c>
      <c r="BC103" s="34" t="n">
        <f aca="false">IF(AND((50-N(P_L2_Mes)+1)&gt;N(P_L2_Gracia),(50-N(P_L2_Mes)+1)&lt;=N(P_L2_Gracia)+N(P_L2_Cuotas),N(P_L2_Cuotas)&gt;0),IF((50-N(P_L2_Mes)+1)=N(P_L2_Gracia)+N(P_L2_Cuotas),IF((50-N(P_L2_Mes)+1)=1,N(P_L2_Monto),BB$104),PMT(N(P_L2_Tasa)/12,N(P_L2_Cuotas),-N(P_L2_Monto))-BC$102),0)*BC$9</f>
        <v>0</v>
      </c>
      <c r="BD103" s="34" t="n">
        <f aca="false">IF(AND((51-N(P_L2_Mes)+1)&gt;N(P_L2_Gracia),(51-N(P_L2_Mes)+1)&lt;=N(P_L2_Gracia)+N(P_L2_Cuotas),N(P_L2_Cuotas)&gt;0),IF((51-N(P_L2_Mes)+1)=N(P_L2_Gracia)+N(P_L2_Cuotas),IF((51-N(P_L2_Mes)+1)=1,N(P_L2_Monto),BC$104),PMT(N(P_L2_Tasa)/12,N(P_L2_Cuotas),-N(P_L2_Monto))-BD$102),0)*BD$9</f>
        <v>0</v>
      </c>
      <c r="BE103" s="34" t="n">
        <f aca="false">IF(AND((52-N(P_L2_Mes)+1)&gt;N(P_L2_Gracia),(52-N(P_L2_Mes)+1)&lt;=N(P_L2_Gracia)+N(P_L2_Cuotas),N(P_L2_Cuotas)&gt;0),IF((52-N(P_L2_Mes)+1)=N(P_L2_Gracia)+N(P_L2_Cuotas),IF((52-N(P_L2_Mes)+1)=1,N(P_L2_Monto),BD$104),PMT(N(P_L2_Tasa)/12,N(P_L2_Cuotas),-N(P_L2_Monto))-BE$102),0)*BE$9</f>
        <v>0</v>
      </c>
      <c r="BF103" s="34" t="n">
        <f aca="false">IF(AND((53-N(P_L2_Mes)+1)&gt;N(P_L2_Gracia),(53-N(P_L2_Mes)+1)&lt;=N(P_L2_Gracia)+N(P_L2_Cuotas),N(P_L2_Cuotas)&gt;0),IF((53-N(P_L2_Mes)+1)=N(P_L2_Gracia)+N(P_L2_Cuotas),IF((53-N(P_L2_Mes)+1)=1,N(P_L2_Monto),BE$104),PMT(N(P_L2_Tasa)/12,N(P_L2_Cuotas),-N(P_L2_Monto))-BF$102),0)*BF$9</f>
        <v>0</v>
      </c>
      <c r="BG103" s="34" t="n">
        <f aca="false">IF(AND((54-N(P_L2_Mes)+1)&gt;N(P_L2_Gracia),(54-N(P_L2_Mes)+1)&lt;=N(P_L2_Gracia)+N(P_L2_Cuotas),N(P_L2_Cuotas)&gt;0),IF((54-N(P_L2_Mes)+1)=N(P_L2_Gracia)+N(P_L2_Cuotas),IF((54-N(P_L2_Mes)+1)=1,N(P_L2_Monto),BF$104),PMT(N(P_L2_Tasa)/12,N(P_L2_Cuotas),-N(P_L2_Monto))-BG$102),0)*BG$9</f>
        <v>0</v>
      </c>
      <c r="BH103" s="34" t="n">
        <f aca="false">IF(AND((55-N(P_L2_Mes)+1)&gt;N(P_L2_Gracia),(55-N(P_L2_Mes)+1)&lt;=N(P_L2_Gracia)+N(P_L2_Cuotas),N(P_L2_Cuotas)&gt;0),IF((55-N(P_L2_Mes)+1)=N(P_L2_Gracia)+N(P_L2_Cuotas),IF((55-N(P_L2_Mes)+1)=1,N(P_L2_Monto),BG$104),PMT(N(P_L2_Tasa)/12,N(P_L2_Cuotas),-N(P_L2_Monto))-BH$102),0)*BH$9</f>
        <v>0</v>
      </c>
      <c r="BI103" s="34" t="n">
        <f aca="false">IF(AND((56-N(P_L2_Mes)+1)&gt;N(P_L2_Gracia),(56-N(P_L2_Mes)+1)&lt;=N(P_L2_Gracia)+N(P_L2_Cuotas),N(P_L2_Cuotas)&gt;0),IF((56-N(P_L2_Mes)+1)=N(P_L2_Gracia)+N(P_L2_Cuotas),IF((56-N(P_L2_Mes)+1)=1,N(P_L2_Monto),BH$104),PMT(N(P_L2_Tasa)/12,N(P_L2_Cuotas),-N(P_L2_Monto))-BI$102),0)*BI$9</f>
        <v>0</v>
      </c>
      <c r="BJ103" s="34" t="n">
        <f aca="false">IF(AND((57-N(P_L2_Mes)+1)&gt;N(P_L2_Gracia),(57-N(P_L2_Mes)+1)&lt;=N(P_L2_Gracia)+N(P_L2_Cuotas),N(P_L2_Cuotas)&gt;0),IF((57-N(P_L2_Mes)+1)=N(P_L2_Gracia)+N(P_L2_Cuotas),IF((57-N(P_L2_Mes)+1)=1,N(P_L2_Monto),BI$104),PMT(N(P_L2_Tasa)/12,N(P_L2_Cuotas),-N(P_L2_Monto))-BJ$102),0)*BJ$9</f>
        <v>0</v>
      </c>
      <c r="BK103" s="34" t="n">
        <f aca="false">IF(AND((58-N(P_L2_Mes)+1)&gt;N(P_L2_Gracia),(58-N(P_L2_Mes)+1)&lt;=N(P_L2_Gracia)+N(P_L2_Cuotas),N(P_L2_Cuotas)&gt;0),IF((58-N(P_L2_Mes)+1)=N(P_L2_Gracia)+N(P_L2_Cuotas),IF((58-N(P_L2_Mes)+1)=1,N(P_L2_Monto),BJ$104),PMT(N(P_L2_Tasa)/12,N(P_L2_Cuotas),-N(P_L2_Monto))-BK$102),0)*BK$9</f>
        <v>0</v>
      </c>
      <c r="BL103" s="34" t="n">
        <f aca="false">IF(AND((59-N(P_L2_Mes)+1)&gt;N(P_L2_Gracia),(59-N(P_L2_Mes)+1)&lt;=N(P_L2_Gracia)+N(P_L2_Cuotas),N(P_L2_Cuotas)&gt;0),IF((59-N(P_L2_Mes)+1)=N(P_L2_Gracia)+N(P_L2_Cuotas),IF((59-N(P_L2_Mes)+1)=1,N(P_L2_Monto),BK$104),PMT(N(P_L2_Tasa)/12,N(P_L2_Cuotas),-N(P_L2_Monto))-BL$102),0)*BL$9</f>
        <v>0</v>
      </c>
      <c r="BM103" s="34" t="n">
        <f aca="false">IF(AND((60-N(P_L2_Mes)+1)&gt;N(P_L2_Gracia),(60-N(P_L2_Mes)+1)&lt;=N(P_L2_Gracia)+N(P_L2_Cuotas),N(P_L2_Cuotas)&gt;0),IF((60-N(P_L2_Mes)+1)=N(P_L2_Gracia)+N(P_L2_Cuotas),IF((60-N(P_L2_Mes)+1)=1,N(P_L2_Monto),BL$104),PMT(N(P_L2_Tasa)/12,N(P_L2_Cuotas),-N(P_L2_Monto))-BM$102),0)*BM$9</f>
        <v>0</v>
      </c>
      <c r="BN103" s="34" t="n">
        <f aca="false">IF(AND((61-N(P_L2_Mes)+1)&gt;N(P_L2_Gracia),(61-N(P_L2_Mes)+1)&lt;=N(P_L2_Gracia)+N(P_L2_Cuotas),N(P_L2_Cuotas)&gt;0),IF((61-N(P_L2_Mes)+1)=N(P_L2_Gracia)+N(P_L2_Cuotas),IF((61-N(P_L2_Mes)+1)=1,N(P_L2_Monto),BM$104),PMT(N(P_L2_Tasa)/12,N(P_L2_Cuotas),-N(P_L2_Monto))-BN$102),0)*BN$9</f>
        <v>0</v>
      </c>
      <c r="BO103" s="34" t="n">
        <f aca="false">IF(AND((62-N(P_L2_Mes)+1)&gt;N(P_L2_Gracia),(62-N(P_L2_Mes)+1)&lt;=N(P_L2_Gracia)+N(P_L2_Cuotas),N(P_L2_Cuotas)&gt;0),IF((62-N(P_L2_Mes)+1)=N(P_L2_Gracia)+N(P_L2_Cuotas),IF((62-N(P_L2_Mes)+1)=1,N(P_L2_Monto),BN$104),PMT(N(P_L2_Tasa)/12,N(P_L2_Cuotas),-N(P_L2_Monto))-BO$102),0)*BO$9</f>
        <v>0</v>
      </c>
      <c r="BP103" s="34" t="n">
        <f aca="false">IF(AND((63-N(P_L2_Mes)+1)&gt;N(P_L2_Gracia),(63-N(P_L2_Mes)+1)&lt;=N(P_L2_Gracia)+N(P_L2_Cuotas),N(P_L2_Cuotas)&gt;0),IF((63-N(P_L2_Mes)+1)=N(P_L2_Gracia)+N(P_L2_Cuotas),IF((63-N(P_L2_Mes)+1)=1,N(P_L2_Monto),BO$104),PMT(N(P_L2_Tasa)/12,N(P_L2_Cuotas),-N(P_L2_Monto))-BP$102),0)*BP$9</f>
        <v>0</v>
      </c>
      <c r="BQ103" s="34" t="n">
        <f aca="false">IF(AND((64-N(P_L2_Mes)+1)&gt;N(P_L2_Gracia),(64-N(P_L2_Mes)+1)&lt;=N(P_L2_Gracia)+N(P_L2_Cuotas),N(P_L2_Cuotas)&gt;0),IF((64-N(P_L2_Mes)+1)=N(P_L2_Gracia)+N(P_L2_Cuotas),IF((64-N(P_L2_Mes)+1)=1,N(P_L2_Monto),BP$104),PMT(N(P_L2_Tasa)/12,N(P_L2_Cuotas),-N(P_L2_Monto))-BQ$102),0)*BQ$9</f>
        <v>0</v>
      </c>
      <c r="BR103" s="34" t="n">
        <f aca="false">IF(AND((65-N(P_L2_Mes)+1)&gt;N(P_L2_Gracia),(65-N(P_L2_Mes)+1)&lt;=N(P_L2_Gracia)+N(P_L2_Cuotas),N(P_L2_Cuotas)&gt;0),IF((65-N(P_L2_Mes)+1)=N(P_L2_Gracia)+N(P_L2_Cuotas),IF((65-N(P_L2_Mes)+1)=1,N(P_L2_Monto),BQ$104),PMT(N(P_L2_Tasa)/12,N(P_L2_Cuotas),-N(P_L2_Monto))-BR$102),0)*BR$9</f>
        <v>0</v>
      </c>
      <c r="BS103" s="34" t="n">
        <f aca="false">IF(AND((66-N(P_L2_Mes)+1)&gt;N(P_L2_Gracia),(66-N(P_L2_Mes)+1)&lt;=N(P_L2_Gracia)+N(P_L2_Cuotas),N(P_L2_Cuotas)&gt;0),IF((66-N(P_L2_Mes)+1)=N(P_L2_Gracia)+N(P_L2_Cuotas),IF((66-N(P_L2_Mes)+1)=1,N(P_L2_Monto),BR$104),PMT(N(P_L2_Tasa)/12,N(P_L2_Cuotas),-N(P_L2_Monto))-BS$102),0)*BS$9</f>
        <v>0</v>
      </c>
      <c r="BT103" s="34" t="n">
        <f aca="false">IF(AND((67-N(P_L2_Mes)+1)&gt;N(P_L2_Gracia),(67-N(P_L2_Mes)+1)&lt;=N(P_L2_Gracia)+N(P_L2_Cuotas),N(P_L2_Cuotas)&gt;0),IF((67-N(P_L2_Mes)+1)=N(P_L2_Gracia)+N(P_L2_Cuotas),IF((67-N(P_L2_Mes)+1)=1,N(P_L2_Monto),BS$104),PMT(N(P_L2_Tasa)/12,N(P_L2_Cuotas),-N(P_L2_Monto))-BT$102),0)*BT$9</f>
        <v>0</v>
      </c>
      <c r="BU103" s="34" t="n">
        <f aca="false">IF(AND((68-N(P_L2_Mes)+1)&gt;N(P_L2_Gracia),(68-N(P_L2_Mes)+1)&lt;=N(P_L2_Gracia)+N(P_L2_Cuotas),N(P_L2_Cuotas)&gt;0),IF((68-N(P_L2_Mes)+1)=N(P_L2_Gracia)+N(P_L2_Cuotas),IF((68-N(P_L2_Mes)+1)=1,N(P_L2_Monto),BT$104),PMT(N(P_L2_Tasa)/12,N(P_L2_Cuotas),-N(P_L2_Monto))-BU$102),0)*BU$9</f>
        <v>0</v>
      </c>
      <c r="BV103" s="34" t="n">
        <f aca="false">IF(AND((69-N(P_L2_Mes)+1)&gt;N(P_L2_Gracia),(69-N(P_L2_Mes)+1)&lt;=N(P_L2_Gracia)+N(P_L2_Cuotas),N(P_L2_Cuotas)&gt;0),IF((69-N(P_L2_Mes)+1)=N(P_L2_Gracia)+N(P_L2_Cuotas),IF((69-N(P_L2_Mes)+1)=1,N(P_L2_Monto),BU$104),PMT(N(P_L2_Tasa)/12,N(P_L2_Cuotas),-N(P_L2_Monto))-BV$102),0)*BV$9</f>
        <v>0</v>
      </c>
      <c r="BW103" s="34" t="n">
        <f aca="false">IF(AND((70-N(P_L2_Mes)+1)&gt;N(P_L2_Gracia),(70-N(P_L2_Mes)+1)&lt;=N(P_L2_Gracia)+N(P_L2_Cuotas),N(P_L2_Cuotas)&gt;0),IF((70-N(P_L2_Mes)+1)=N(P_L2_Gracia)+N(P_L2_Cuotas),IF((70-N(P_L2_Mes)+1)=1,N(P_L2_Monto),BV$104),PMT(N(P_L2_Tasa)/12,N(P_L2_Cuotas),-N(P_L2_Monto))-BW$102),0)*BW$9</f>
        <v>0</v>
      </c>
      <c r="BX103" s="34" t="n">
        <f aca="false">IF(AND((71-N(P_L2_Mes)+1)&gt;N(P_L2_Gracia),(71-N(P_L2_Mes)+1)&lt;=N(P_L2_Gracia)+N(P_L2_Cuotas),N(P_L2_Cuotas)&gt;0),IF((71-N(P_L2_Mes)+1)=N(P_L2_Gracia)+N(P_L2_Cuotas),IF((71-N(P_L2_Mes)+1)=1,N(P_L2_Monto),BW$104),PMT(N(P_L2_Tasa)/12,N(P_L2_Cuotas),-N(P_L2_Monto))-BX$102),0)*BX$9</f>
        <v>0</v>
      </c>
      <c r="BY103" s="34" t="n">
        <f aca="false">IF(AND((72-N(P_L2_Mes)+1)&gt;N(P_L2_Gracia),(72-N(P_L2_Mes)+1)&lt;=N(P_L2_Gracia)+N(P_L2_Cuotas),N(P_L2_Cuotas)&gt;0),IF((72-N(P_L2_Mes)+1)=N(P_L2_Gracia)+N(P_L2_Cuotas),IF((72-N(P_L2_Mes)+1)=1,N(P_L2_Monto),BX$104),PMT(N(P_L2_Tasa)/12,N(P_L2_Cuotas),-N(P_L2_Monto))-BY$102),0)*BY$9</f>
        <v>0</v>
      </c>
      <c r="BZ103" s="34" t="n">
        <f aca="false">IF(AND((73-N(P_L2_Mes)+1)&gt;N(P_L2_Gracia),(73-N(P_L2_Mes)+1)&lt;=N(P_L2_Gracia)+N(P_L2_Cuotas),N(P_L2_Cuotas)&gt;0),IF((73-N(P_L2_Mes)+1)=N(P_L2_Gracia)+N(P_L2_Cuotas),IF((73-N(P_L2_Mes)+1)=1,N(P_L2_Monto),BY$104),PMT(N(P_L2_Tasa)/12,N(P_L2_Cuotas),-N(P_L2_Monto))-BZ$102),0)*BZ$9</f>
        <v>0</v>
      </c>
      <c r="CA103" s="34" t="n">
        <f aca="false">IF(AND((74-N(P_L2_Mes)+1)&gt;N(P_L2_Gracia),(74-N(P_L2_Mes)+1)&lt;=N(P_L2_Gracia)+N(P_L2_Cuotas),N(P_L2_Cuotas)&gt;0),IF((74-N(P_L2_Mes)+1)=N(P_L2_Gracia)+N(P_L2_Cuotas),IF((74-N(P_L2_Mes)+1)=1,N(P_L2_Monto),BZ$104),PMT(N(P_L2_Tasa)/12,N(P_L2_Cuotas),-N(P_L2_Monto))-CA$102),0)*CA$9</f>
        <v>0</v>
      </c>
      <c r="CB103" s="34" t="n">
        <f aca="false">IF(AND((75-N(P_L2_Mes)+1)&gt;N(P_L2_Gracia),(75-N(P_L2_Mes)+1)&lt;=N(P_L2_Gracia)+N(P_L2_Cuotas),N(P_L2_Cuotas)&gt;0),IF((75-N(P_L2_Mes)+1)=N(P_L2_Gracia)+N(P_L2_Cuotas),IF((75-N(P_L2_Mes)+1)=1,N(P_L2_Monto),CA$104),PMT(N(P_L2_Tasa)/12,N(P_L2_Cuotas),-N(P_L2_Monto))-CB$102),0)*CB$9</f>
        <v>0</v>
      </c>
      <c r="CC103" s="34" t="n">
        <f aca="false">IF(AND((76-N(P_L2_Mes)+1)&gt;N(P_L2_Gracia),(76-N(P_L2_Mes)+1)&lt;=N(P_L2_Gracia)+N(P_L2_Cuotas),N(P_L2_Cuotas)&gt;0),IF((76-N(P_L2_Mes)+1)=N(P_L2_Gracia)+N(P_L2_Cuotas),IF((76-N(P_L2_Mes)+1)=1,N(P_L2_Monto),CB$104),PMT(N(P_L2_Tasa)/12,N(P_L2_Cuotas),-N(P_L2_Monto))-CC$102),0)*CC$9</f>
        <v>0</v>
      </c>
      <c r="CD103" s="34" t="n">
        <f aca="false">IF(AND((77-N(P_L2_Mes)+1)&gt;N(P_L2_Gracia),(77-N(P_L2_Mes)+1)&lt;=N(P_L2_Gracia)+N(P_L2_Cuotas),N(P_L2_Cuotas)&gt;0),IF((77-N(P_L2_Mes)+1)=N(P_L2_Gracia)+N(P_L2_Cuotas),IF((77-N(P_L2_Mes)+1)=1,N(P_L2_Monto),CC$104),PMT(N(P_L2_Tasa)/12,N(P_L2_Cuotas),-N(P_L2_Monto))-CD$102),0)*CD$9</f>
        <v>0</v>
      </c>
      <c r="CE103" s="34" t="n">
        <f aca="false">IF(AND((78-N(P_L2_Mes)+1)&gt;N(P_L2_Gracia),(78-N(P_L2_Mes)+1)&lt;=N(P_L2_Gracia)+N(P_L2_Cuotas),N(P_L2_Cuotas)&gt;0),IF((78-N(P_L2_Mes)+1)=N(P_L2_Gracia)+N(P_L2_Cuotas),IF((78-N(P_L2_Mes)+1)=1,N(P_L2_Monto),CD$104),PMT(N(P_L2_Tasa)/12,N(P_L2_Cuotas),-N(P_L2_Monto))-CE$102),0)*CE$9</f>
        <v>0</v>
      </c>
      <c r="CF103" s="34" t="n">
        <f aca="false">IF(AND((79-N(P_L2_Mes)+1)&gt;N(P_L2_Gracia),(79-N(P_L2_Mes)+1)&lt;=N(P_L2_Gracia)+N(P_L2_Cuotas),N(P_L2_Cuotas)&gt;0),IF((79-N(P_L2_Mes)+1)=N(P_L2_Gracia)+N(P_L2_Cuotas),IF((79-N(P_L2_Mes)+1)=1,N(P_L2_Monto),CE$104),PMT(N(P_L2_Tasa)/12,N(P_L2_Cuotas),-N(P_L2_Monto))-CF$102),0)*CF$9</f>
        <v>0</v>
      </c>
      <c r="CG103" s="34" t="n">
        <f aca="false">IF(AND((80-N(P_L2_Mes)+1)&gt;N(P_L2_Gracia),(80-N(P_L2_Mes)+1)&lt;=N(P_L2_Gracia)+N(P_L2_Cuotas),N(P_L2_Cuotas)&gt;0),IF((80-N(P_L2_Mes)+1)=N(P_L2_Gracia)+N(P_L2_Cuotas),IF((80-N(P_L2_Mes)+1)=1,N(P_L2_Monto),CF$104),PMT(N(P_L2_Tasa)/12,N(P_L2_Cuotas),-N(P_L2_Monto))-CG$102),0)*CG$9</f>
        <v>0</v>
      </c>
      <c r="CH103" s="34" t="n">
        <f aca="false">IF(AND((81-N(P_L2_Mes)+1)&gt;N(P_L2_Gracia),(81-N(P_L2_Mes)+1)&lt;=N(P_L2_Gracia)+N(P_L2_Cuotas),N(P_L2_Cuotas)&gt;0),IF((81-N(P_L2_Mes)+1)=N(P_L2_Gracia)+N(P_L2_Cuotas),IF((81-N(P_L2_Mes)+1)=1,N(P_L2_Monto),CG$104),PMT(N(P_L2_Tasa)/12,N(P_L2_Cuotas),-N(P_L2_Monto))-CH$102),0)*CH$9</f>
        <v>0</v>
      </c>
      <c r="CI103" s="34" t="n">
        <f aca="false">IF(AND((82-N(P_L2_Mes)+1)&gt;N(P_L2_Gracia),(82-N(P_L2_Mes)+1)&lt;=N(P_L2_Gracia)+N(P_L2_Cuotas),N(P_L2_Cuotas)&gt;0),IF((82-N(P_L2_Mes)+1)=N(P_L2_Gracia)+N(P_L2_Cuotas),IF((82-N(P_L2_Mes)+1)=1,N(P_L2_Monto),CH$104),PMT(N(P_L2_Tasa)/12,N(P_L2_Cuotas),-N(P_L2_Monto))-CI$102),0)*CI$9</f>
        <v>0</v>
      </c>
      <c r="CJ103" s="34" t="n">
        <f aca="false">IF(AND((83-N(P_L2_Mes)+1)&gt;N(P_L2_Gracia),(83-N(P_L2_Mes)+1)&lt;=N(P_L2_Gracia)+N(P_L2_Cuotas),N(P_L2_Cuotas)&gt;0),IF((83-N(P_L2_Mes)+1)=N(P_L2_Gracia)+N(P_L2_Cuotas),IF((83-N(P_L2_Mes)+1)=1,N(P_L2_Monto),CI$104),PMT(N(P_L2_Tasa)/12,N(P_L2_Cuotas),-N(P_L2_Monto))-CJ$102),0)*CJ$9</f>
        <v>0</v>
      </c>
      <c r="CK103" s="34" t="n">
        <f aca="false">IF(AND((84-N(P_L2_Mes)+1)&gt;N(P_L2_Gracia),(84-N(P_L2_Mes)+1)&lt;=N(P_L2_Gracia)+N(P_L2_Cuotas),N(P_L2_Cuotas)&gt;0),IF((84-N(P_L2_Mes)+1)=N(P_L2_Gracia)+N(P_L2_Cuotas),IF((84-N(P_L2_Mes)+1)=1,N(P_L2_Monto),CJ$104),PMT(N(P_L2_Tasa)/12,N(P_L2_Cuotas),-N(P_L2_Monto))-CK$102),0)*CK$9</f>
        <v>0</v>
      </c>
      <c r="CL103" s="34" t="n">
        <f aca="false">IF(AND((85-N(P_L2_Mes)+1)&gt;N(P_L2_Gracia),(85-N(P_L2_Mes)+1)&lt;=N(P_L2_Gracia)+N(P_L2_Cuotas),N(P_L2_Cuotas)&gt;0),IF((85-N(P_L2_Mes)+1)=N(P_L2_Gracia)+N(P_L2_Cuotas),IF((85-N(P_L2_Mes)+1)=1,N(P_L2_Monto),CK$104),PMT(N(P_L2_Tasa)/12,N(P_L2_Cuotas),-N(P_L2_Monto))-CL$102),0)*CL$9</f>
        <v>0</v>
      </c>
      <c r="CM103" s="34" t="n">
        <f aca="false">IF(AND((86-N(P_L2_Mes)+1)&gt;N(P_L2_Gracia),(86-N(P_L2_Mes)+1)&lt;=N(P_L2_Gracia)+N(P_L2_Cuotas),N(P_L2_Cuotas)&gt;0),IF((86-N(P_L2_Mes)+1)=N(P_L2_Gracia)+N(P_L2_Cuotas),IF((86-N(P_L2_Mes)+1)=1,N(P_L2_Monto),CL$104),PMT(N(P_L2_Tasa)/12,N(P_L2_Cuotas),-N(P_L2_Monto))-CM$102),0)*CM$9</f>
        <v>0</v>
      </c>
      <c r="CN103" s="34" t="n">
        <f aca="false">IF(AND((87-N(P_L2_Mes)+1)&gt;N(P_L2_Gracia),(87-N(P_L2_Mes)+1)&lt;=N(P_L2_Gracia)+N(P_L2_Cuotas),N(P_L2_Cuotas)&gt;0),IF((87-N(P_L2_Mes)+1)=N(P_L2_Gracia)+N(P_L2_Cuotas),IF((87-N(P_L2_Mes)+1)=1,N(P_L2_Monto),CM$104),PMT(N(P_L2_Tasa)/12,N(P_L2_Cuotas),-N(P_L2_Monto))-CN$102),0)*CN$9</f>
        <v>0</v>
      </c>
      <c r="CO103" s="34" t="n">
        <f aca="false">IF(AND((88-N(P_L2_Mes)+1)&gt;N(P_L2_Gracia),(88-N(P_L2_Mes)+1)&lt;=N(P_L2_Gracia)+N(P_L2_Cuotas),N(P_L2_Cuotas)&gt;0),IF((88-N(P_L2_Mes)+1)=N(P_L2_Gracia)+N(P_L2_Cuotas),IF((88-N(P_L2_Mes)+1)=1,N(P_L2_Monto),CN$104),PMT(N(P_L2_Tasa)/12,N(P_L2_Cuotas),-N(P_L2_Monto))-CO$102),0)*CO$9</f>
        <v>0</v>
      </c>
      <c r="CP103" s="34" t="n">
        <f aca="false">IF(AND((89-N(P_L2_Mes)+1)&gt;N(P_L2_Gracia),(89-N(P_L2_Mes)+1)&lt;=N(P_L2_Gracia)+N(P_L2_Cuotas),N(P_L2_Cuotas)&gt;0),IF((89-N(P_L2_Mes)+1)=N(P_L2_Gracia)+N(P_L2_Cuotas),IF((89-N(P_L2_Mes)+1)=1,N(P_L2_Monto),CO$104),PMT(N(P_L2_Tasa)/12,N(P_L2_Cuotas),-N(P_L2_Monto))-CP$102),0)*CP$9</f>
        <v>0</v>
      </c>
      <c r="CQ103" s="34" t="n">
        <f aca="false">IF(AND((90-N(P_L2_Mes)+1)&gt;N(P_L2_Gracia),(90-N(P_L2_Mes)+1)&lt;=N(P_L2_Gracia)+N(P_L2_Cuotas),N(P_L2_Cuotas)&gt;0),IF((90-N(P_L2_Mes)+1)=N(P_L2_Gracia)+N(P_L2_Cuotas),IF((90-N(P_L2_Mes)+1)=1,N(P_L2_Monto),CP$104),PMT(N(P_L2_Tasa)/12,N(P_L2_Cuotas),-N(P_L2_Monto))-CQ$102),0)*CQ$9</f>
        <v>0</v>
      </c>
      <c r="CR103" s="34" t="n">
        <f aca="false">IF(AND((91-N(P_L2_Mes)+1)&gt;N(P_L2_Gracia),(91-N(P_L2_Mes)+1)&lt;=N(P_L2_Gracia)+N(P_L2_Cuotas),N(P_L2_Cuotas)&gt;0),IF((91-N(P_L2_Mes)+1)=N(P_L2_Gracia)+N(P_L2_Cuotas),IF((91-N(P_L2_Mes)+1)=1,N(P_L2_Monto),CQ$104),PMT(N(P_L2_Tasa)/12,N(P_L2_Cuotas),-N(P_L2_Monto))-CR$102),0)*CR$9</f>
        <v>0</v>
      </c>
      <c r="CS103" s="34" t="n">
        <f aca="false">IF(AND((92-N(P_L2_Mes)+1)&gt;N(P_L2_Gracia),(92-N(P_L2_Mes)+1)&lt;=N(P_L2_Gracia)+N(P_L2_Cuotas),N(P_L2_Cuotas)&gt;0),IF((92-N(P_L2_Mes)+1)=N(P_L2_Gracia)+N(P_L2_Cuotas),IF((92-N(P_L2_Mes)+1)=1,N(P_L2_Monto),CR$104),PMT(N(P_L2_Tasa)/12,N(P_L2_Cuotas),-N(P_L2_Monto))-CS$102),0)*CS$9</f>
        <v>0</v>
      </c>
      <c r="CT103" s="34" t="n">
        <f aca="false">IF(AND((93-N(P_L2_Mes)+1)&gt;N(P_L2_Gracia),(93-N(P_L2_Mes)+1)&lt;=N(P_L2_Gracia)+N(P_L2_Cuotas),N(P_L2_Cuotas)&gt;0),IF((93-N(P_L2_Mes)+1)=N(P_L2_Gracia)+N(P_L2_Cuotas),IF((93-N(P_L2_Mes)+1)=1,N(P_L2_Monto),CS$104),PMT(N(P_L2_Tasa)/12,N(P_L2_Cuotas),-N(P_L2_Monto))-CT$102),0)*CT$9</f>
        <v>0</v>
      </c>
      <c r="CU103" s="34" t="n">
        <f aca="false">IF(AND((94-N(P_L2_Mes)+1)&gt;N(P_L2_Gracia),(94-N(P_L2_Mes)+1)&lt;=N(P_L2_Gracia)+N(P_L2_Cuotas),N(P_L2_Cuotas)&gt;0),IF((94-N(P_L2_Mes)+1)=N(P_L2_Gracia)+N(P_L2_Cuotas),IF((94-N(P_L2_Mes)+1)=1,N(P_L2_Monto),CT$104),PMT(N(P_L2_Tasa)/12,N(P_L2_Cuotas),-N(P_L2_Monto))-CU$102),0)*CU$9</f>
        <v>0</v>
      </c>
      <c r="CV103" s="34" t="n">
        <f aca="false">IF(AND((95-N(P_L2_Mes)+1)&gt;N(P_L2_Gracia),(95-N(P_L2_Mes)+1)&lt;=N(P_L2_Gracia)+N(P_L2_Cuotas),N(P_L2_Cuotas)&gt;0),IF((95-N(P_L2_Mes)+1)=N(P_L2_Gracia)+N(P_L2_Cuotas),IF((95-N(P_L2_Mes)+1)=1,N(P_L2_Monto),CU$104),PMT(N(P_L2_Tasa)/12,N(P_L2_Cuotas),-N(P_L2_Monto))-CV$102),0)*CV$9</f>
        <v>0</v>
      </c>
      <c r="CW103" s="34" t="n">
        <f aca="false">IF(AND((96-N(P_L2_Mes)+1)&gt;N(P_L2_Gracia),(96-N(P_L2_Mes)+1)&lt;=N(P_L2_Gracia)+N(P_L2_Cuotas),N(P_L2_Cuotas)&gt;0),IF((96-N(P_L2_Mes)+1)=N(P_L2_Gracia)+N(P_L2_Cuotas),IF((96-N(P_L2_Mes)+1)=1,N(P_L2_Monto),CV$104),PMT(N(P_L2_Tasa)/12,N(P_L2_Cuotas),-N(P_L2_Monto))-CW$102),0)*CW$9</f>
        <v>0</v>
      </c>
      <c r="CX103" s="34" t="n">
        <f aca="false">IF(AND((97-N(P_L2_Mes)+1)&gt;N(P_L2_Gracia),(97-N(P_L2_Mes)+1)&lt;=N(P_L2_Gracia)+N(P_L2_Cuotas),N(P_L2_Cuotas)&gt;0),IF((97-N(P_L2_Mes)+1)=N(P_L2_Gracia)+N(P_L2_Cuotas),IF((97-N(P_L2_Mes)+1)=1,N(P_L2_Monto),CW$104),PMT(N(P_L2_Tasa)/12,N(P_L2_Cuotas),-N(P_L2_Monto))-CX$102),0)*CX$9</f>
        <v>0</v>
      </c>
      <c r="CY103" s="34" t="n">
        <f aca="false">IF(AND((98-N(P_L2_Mes)+1)&gt;N(P_L2_Gracia),(98-N(P_L2_Mes)+1)&lt;=N(P_L2_Gracia)+N(P_L2_Cuotas),N(P_L2_Cuotas)&gt;0),IF((98-N(P_L2_Mes)+1)=N(P_L2_Gracia)+N(P_L2_Cuotas),IF((98-N(P_L2_Mes)+1)=1,N(P_L2_Monto),CX$104),PMT(N(P_L2_Tasa)/12,N(P_L2_Cuotas),-N(P_L2_Monto))-CY$102),0)*CY$9</f>
        <v>0</v>
      </c>
      <c r="CZ103" s="34" t="n">
        <f aca="false">IF(AND((99-N(P_L2_Mes)+1)&gt;N(P_L2_Gracia),(99-N(P_L2_Mes)+1)&lt;=N(P_L2_Gracia)+N(P_L2_Cuotas),N(P_L2_Cuotas)&gt;0),IF((99-N(P_L2_Mes)+1)=N(P_L2_Gracia)+N(P_L2_Cuotas),IF((99-N(P_L2_Mes)+1)=1,N(P_L2_Monto),CY$104),PMT(N(P_L2_Tasa)/12,N(P_L2_Cuotas),-N(P_L2_Monto))-CZ$102),0)*CZ$9</f>
        <v>0</v>
      </c>
      <c r="DA103" s="34" t="n">
        <f aca="false">IF(AND((100-N(P_L2_Mes)+1)&gt;N(P_L2_Gracia),(100-N(P_L2_Mes)+1)&lt;=N(P_L2_Gracia)+N(P_L2_Cuotas),N(P_L2_Cuotas)&gt;0),IF((100-N(P_L2_Mes)+1)=N(P_L2_Gracia)+N(P_L2_Cuotas),IF((100-N(P_L2_Mes)+1)=1,N(P_L2_Monto),CZ$104),PMT(N(P_L2_Tasa)/12,N(P_L2_Cuotas),-N(P_L2_Monto))-DA$102),0)*DA$9</f>
        <v>0</v>
      </c>
      <c r="DB103" s="34" t="n">
        <f aca="false">IF(AND((101-N(P_L2_Mes)+1)&gt;N(P_L2_Gracia),(101-N(P_L2_Mes)+1)&lt;=N(P_L2_Gracia)+N(P_L2_Cuotas),N(P_L2_Cuotas)&gt;0),IF((101-N(P_L2_Mes)+1)=N(P_L2_Gracia)+N(P_L2_Cuotas),IF((101-N(P_L2_Mes)+1)=1,N(P_L2_Monto),DA$104),PMT(N(P_L2_Tasa)/12,N(P_L2_Cuotas),-N(P_L2_Monto))-DB$102),0)*DB$9</f>
        <v>0</v>
      </c>
      <c r="DC103" s="34" t="n">
        <f aca="false">IF(AND((102-N(P_L2_Mes)+1)&gt;N(P_L2_Gracia),(102-N(P_L2_Mes)+1)&lt;=N(P_L2_Gracia)+N(P_L2_Cuotas),N(P_L2_Cuotas)&gt;0),IF((102-N(P_L2_Mes)+1)=N(P_L2_Gracia)+N(P_L2_Cuotas),IF((102-N(P_L2_Mes)+1)=1,N(P_L2_Monto),DB$104),PMT(N(P_L2_Tasa)/12,N(P_L2_Cuotas),-N(P_L2_Monto))-DC$102),0)*DC$9</f>
        <v>0</v>
      </c>
      <c r="DD103" s="34" t="n">
        <f aca="false">IF(AND((103-N(P_L2_Mes)+1)&gt;N(P_L2_Gracia),(103-N(P_L2_Mes)+1)&lt;=N(P_L2_Gracia)+N(P_L2_Cuotas),N(P_L2_Cuotas)&gt;0),IF((103-N(P_L2_Mes)+1)=N(P_L2_Gracia)+N(P_L2_Cuotas),IF((103-N(P_L2_Mes)+1)=1,N(P_L2_Monto),DC$104),PMT(N(P_L2_Tasa)/12,N(P_L2_Cuotas),-N(P_L2_Monto))-DD$102),0)*DD$9</f>
        <v>0</v>
      </c>
      <c r="DE103" s="34" t="n">
        <f aca="false">IF(AND((104-N(P_L2_Mes)+1)&gt;N(P_L2_Gracia),(104-N(P_L2_Mes)+1)&lt;=N(P_L2_Gracia)+N(P_L2_Cuotas),N(P_L2_Cuotas)&gt;0),IF((104-N(P_L2_Mes)+1)=N(P_L2_Gracia)+N(P_L2_Cuotas),IF((104-N(P_L2_Mes)+1)=1,N(P_L2_Monto),DD$104),PMT(N(P_L2_Tasa)/12,N(P_L2_Cuotas),-N(P_L2_Monto))-DE$102),0)*DE$9</f>
        <v>0</v>
      </c>
      <c r="DF103" s="34" t="n">
        <f aca="false">IF(AND((105-N(P_L2_Mes)+1)&gt;N(P_L2_Gracia),(105-N(P_L2_Mes)+1)&lt;=N(P_L2_Gracia)+N(P_L2_Cuotas),N(P_L2_Cuotas)&gt;0),IF((105-N(P_L2_Mes)+1)=N(P_L2_Gracia)+N(P_L2_Cuotas),IF((105-N(P_L2_Mes)+1)=1,N(P_L2_Monto),DE$104),PMT(N(P_L2_Tasa)/12,N(P_L2_Cuotas),-N(P_L2_Monto))-DF$102),0)*DF$9</f>
        <v>0</v>
      </c>
      <c r="DG103" s="34" t="n">
        <f aca="false">IF(AND((106-N(P_L2_Mes)+1)&gt;N(P_L2_Gracia),(106-N(P_L2_Mes)+1)&lt;=N(P_L2_Gracia)+N(P_L2_Cuotas),N(P_L2_Cuotas)&gt;0),IF((106-N(P_L2_Mes)+1)=N(P_L2_Gracia)+N(P_L2_Cuotas),IF((106-N(P_L2_Mes)+1)=1,N(P_L2_Monto),DF$104),PMT(N(P_L2_Tasa)/12,N(P_L2_Cuotas),-N(P_L2_Monto))-DG$102),0)*DG$9</f>
        <v>0</v>
      </c>
      <c r="DH103" s="34" t="n">
        <f aca="false">IF(AND((107-N(P_L2_Mes)+1)&gt;N(P_L2_Gracia),(107-N(P_L2_Mes)+1)&lt;=N(P_L2_Gracia)+N(P_L2_Cuotas),N(P_L2_Cuotas)&gt;0),IF((107-N(P_L2_Mes)+1)=N(P_L2_Gracia)+N(P_L2_Cuotas),IF((107-N(P_L2_Mes)+1)=1,N(P_L2_Monto),DG$104),PMT(N(P_L2_Tasa)/12,N(P_L2_Cuotas),-N(P_L2_Monto))-DH$102),0)*DH$9</f>
        <v>0</v>
      </c>
      <c r="DI103" s="34" t="n">
        <f aca="false">IF(AND((108-N(P_L2_Mes)+1)&gt;N(P_L2_Gracia),(108-N(P_L2_Mes)+1)&lt;=N(P_L2_Gracia)+N(P_L2_Cuotas),N(P_L2_Cuotas)&gt;0),IF((108-N(P_L2_Mes)+1)=N(P_L2_Gracia)+N(P_L2_Cuotas),IF((108-N(P_L2_Mes)+1)=1,N(P_L2_Monto),DH$104),PMT(N(P_L2_Tasa)/12,N(P_L2_Cuotas),-N(P_L2_Monto))-DI$102),0)*DI$9</f>
        <v>0</v>
      </c>
      <c r="DJ103" s="34" t="n">
        <f aca="false">IF(AND((109-N(P_L2_Mes)+1)&gt;N(P_L2_Gracia),(109-N(P_L2_Mes)+1)&lt;=N(P_L2_Gracia)+N(P_L2_Cuotas),N(P_L2_Cuotas)&gt;0),IF((109-N(P_L2_Mes)+1)=N(P_L2_Gracia)+N(P_L2_Cuotas),IF((109-N(P_L2_Mes)+1)=1,N(P_L2_Monto),DI$104),PMT(N(P_L2_Tasa)/12,N(P_L2_Cuotas),-N(P_L2_Monto))-DJ$102),0)*DJ$9</f>
        <v>0</v>
      </c>
      <c r="DK103" s="34" t="n">
        <f aca="false">IF(AND((110-N(P_L2_Mes)+1)&gt;N(P_L2_Gracia),(110-N(P_L2_Mes)+1)&lt;=N(P_L2_Gracia)+N(P_L2_Cuotas),N(P_L2_Cuotas)&gt;0),IF((110-N(P_L2_Mes)+1)=N(P_L2_Gracia)+N(P_L2_Cuotas),IF((110-N(P_L2_Mes)+1)=1,N(P_L2_Monto),DJ$104),PMT(N(P_L2_Tasa)/12,N(P_L2_Cuotas),-N(P_L2_Monto))-DK$102),0)*DK$9</f>
        <v>0</v>
      </c>
      <c r="DL103" s="34" t="n">
        <f aca="false">IF(AND((111-N(P_L2_Mes)+1)&gt;N(P_L2_Gracia),(111-N(P_L2_Mes)+1)&lt;=N(P_L2_Gracia)+N(P_L2_Cuotas),N(P_L2_Cuotas)&gt;0),IF((111-N(P_L2_Mes)+1)=N(P_L2_Gracia)+N(P_L2_Cuotas),IF((111-N(P_L2_Mes)+1)=1,N(P_L2_Monto),DK$104),PMT(N(P_L2_Tasa)/12,N(P_L2_Cuotas),-N(P_L2_Monto))-DL$102),0)*DL$9</f>
        <v>0</v>
      </c>
      <c r="DM103" s="34" t="n">
        <f aca="false">IF(AND((112-N(P_L2_Mes)+1)&gt;N(P_L2_Gracia),(112-N(P_L2_Mes)+1)&lt;=N(P_L2_Gracia)+N(P_L2_Cuotas),N(P_L2_Cuotas)&gt;0),IF((112-N(P_L2_Mes)+1)=N(P_L2_Gracia)+N(P_L2_Cuotas),IF((112-N(P_L2_Mes)+1)=1,N(P_L2_Monto),DL$104),PMT(N(P_L2_Tasa)/12,N(P_L2_Cuotas),-N(P_L2_Monto))-DM$102),0)*DM$9</f>
        <v>0</v>
      </c>
      <c r="DN103" s="34" t="n">
        <f aca="false">IF(AND((113-N(P_L2_Mes)+1)&gt;N(P_L2_Gracia),(113-N(P_L2_Mes)+1)&lt;=N(P_L2_Gracia)+N(P_L2_Cuotas),N(P_L2_Cuotas)&gt;0),IF((113-N(P_L2_Mes)+1)=N(P_L2_Gracia)+N(P_L2_Cuotas),IF((113-N(P_L2_Mes)+1)=1,N(P_L2_Monto),DM$104),PMT(N(P_L2_Tasa)/12,N(P_L2_Cuotas),-N(P_L2_Monto))-DN$102),0)*DN$9</f>
        <v>0</v>
      </c>
      <c r="DO103" s="34" t="n">
        <f aca="false">IF(AND((114-N(P_L2_Mes)+1)&gt;N(P_L2_Gracia),(114-N(P_L2_Mes)+1)&lt;=N(P_L2_Gracia)+N(P_L2_Cuotas),N(P_L2_Cuotas)&gt;0),IF((114-N(P_L2_Mes)+1)=N(P_L2_Gracia)+N(P_L2_Cuotas),IF((114-N(P_L2_Mes)+1)=1,N(P_L2_Monto),DN$104),PMT(N(P_L2_Tasa)/12,N(P_L2_Cuotas),-N(P_L2_Monto))-DO$102),0)*DO$9</f>
        <v>0</v>
      </c>
      <c r="DP103" s="34" t="n">
        <f aca="false">IF(AND((115-N(P_L2_Mes)+1)&gt;N(P_L2_Gracia),(115-N(P_L2_Mes)+1)&lt;=N(P_L2_Gracia)+N(P_L2_Cuotas),N(P_L2_Cuotas)&gt;0),IF((115-N(P_L2_Mes)+1)=N(P_L2_Gracia)+N(P_L2_Cuotas),IF((115-N(P_L2_Mes)+1)=1,N(P_L2_Monto),DO$104),PMT(N(P_L2_Tasa)/12,N(P_L2_Cuotas),-N(P_L2_Monto))-DP$102),0)*DP$9</f>
        <v>0</v>
      </c>
      <c r="DQ103" s="34" t="n">
        <f aca="false">IF(AND((116-N(P_L2_Mes)+1)&gt;N(P_L2_Gracia),(116-N(P_L2_Mes)+1)&lt;=N(P_L2_Gracia)+N(P_L2_Cuotas),N(P_L2_Cuotas)&gt;0),IF((116-N(P_L2_Mes)+1)=N(P_L2_Gracia)+N(P_L2_Cuotas),IF((116-N(P_L2_Mes)+1)=1,N(P_L2_Monto),DP$104),PMT(N(P_L2_Tasa)/12,N(P_L2_Cuotas),-N(P_L2_Monto))-DQ$102),0)*DQ$9</f>
        <v>0</v>
      </c>
      <c r="DR103" s="34" t="n">
        <f aca="false">IF(AND((117-N(P_L2_Mes)+1)&gt;N(P_L2_Gracia),(117-N(P_L2_Mes)+1)&lt;=N(P_L2_Gracia)+N(P_L2_Cuotas),N(P_L2_Cuotas)&gt;0),IF((117-N(P_L2_Mes)+1)=N(P_L2_Gracia)+N(P_L2_Cuotas),IF((117-N(P_L2_Mes)+1)=1,N(P_L2_Monto),DQ$104),PMT(N(P_L2_Tasa)/12,N(P_L2_Cuotas),-N(P_L2_Monto))-DR$102),0)*DR$9</f>
        <v>0</v>
      </c>
      <c r="DS103" s="34" t="n">
        <f aca="false">IF(AND((118-N(P_L2_Mes)+1)&gt;N(P_L2_Gracia),(118-N(P_L2_Mes)+1)&lt;=N(P_L2_Gracia)+N(P_L2_Cuotas),N(P_L2_Cuotas)&gt;0),IF((118-N(P_L2_Mes)+1)=N(P_L2_Gracia)+N(P_L2_Cuotas),IF((118-N(P_L2_Mes)+1)=1,N(P_L2_Monto),DR$104),PMT(N(P_L2_Tasa)/12,N(P_L2_Cuotas),-N(P_L2_Monto))-DS$102),0)*DS$9</f>
        <v>0</v>
      </c>
      <c r="DT103" s="34" t="n">
        <f aca="false">IF(AND((119-N(P_L2_Mes)+1)&gt;N(P_L2_Gracia),(119-N(P_L2_Mes)+1)&lt;=N(P_L2_Gracia)+N(P_L2_Cuotas),N(P_L2_Cuotas)&gt;0),IF((119-N(P_L2_Mes)+1)=N(P_L2_Gracia)+N(P_L2_Cuotas),IF((119-N(P_L2_Mes)+1)=1,N(P_L2_Monto),DS$104),PMT(N(P_L2_Tasa)/12,N(P_L2_Cuotas),-N(P_L2_Monto))-DT$102),0)*DT$9</f>
        <v>0</v>
      </c>
      <c r="DU103" s="34" t="n">
        <f aca="false">IF(AND((120-N(P_L2_Mes)+1)&gt;N(P_L2_Gracia),(120-N(P_L2_Mes)+1)&lt;=N(P_L2_Gracia)+N(P_L2_Cuotas),N(P_L2_Cuotas)&gt;0),IF((120-N(P_L2_Mes)+1)=N(P_L2_Gracia)+N(P_L2_Cuotas),IF((120-N(P_L2_Mes)+1)=1,N(P_L2_Monto),DT$104),PMT(N(P_L2_Tasa)/12,N(P_L2_Cuotas),-N(P_L2_Monto))-DU$102),0)*DU$9</f>
        <v>0</v>
      </c>
      <c r="DV103" s="34" t="n">
        <f aca="false">IF(AND((121-N(P_L2_Mes)+1)&gt;N(P_L2_Gracia),(121-N(P_L2_Mes)+1)&lt;=N(P_L2_Gracia)+N(P_L2_Cuotas),N(P_L2_Cuotas)&gt;0),IF((121-N(P_L2_Mes)+1)=N(P_L2_Gracia)+N(P_L2_Cuotas),IF((121-N(P_L2_Mes)+1)=1,N(P_L2_Monto),DU$104),PMT(N(P_L2_Tasa)/12,N(P_L2_Cuotas),-N(P_L2_Monto))-DV$102),0)*DV$9</f>
        <v>0</v>
      </c>
      <c r="DW103" s="34" t="n">
        <f aca="false">IF(AND((122-N(P_L2_Mes)+1)&gt;N(P_L2_Gracia),(122-N(P_L2_Mes)+1)&lt;=N(P_L2_Gracia)+N(P_L2_Cuotas),N(P_L2_Cuotas)&gt;0),IF((122-N(P_L2_Mes)+1)=N(P_L2_Gracia)+N(P_L2_Cuotas),IF((122-N(P_L2_Mes)+1)=1,N(P_L2_Monto),DV$104),PMT(N(P_L2_Tasa)/12,N(P_L2_Cuotas),-N(P_L2_Monto))-DW$102),0)*DW$9</f>
        <v>0</v>
      </c>
      <c r="DX103" s="34" t="n">
        <f aca="false">IF(AND((123-N(P_L2_Mes)+1)&gt;N(P_L2_Gracia),(123-N(P_L2_Mes)+1)&lt;=N(P_L2_Gracia)+N(P_L2_Cuotas),N(P_L2_Cuotas)&gt;0),IF((123-N(P_L2_Mes)+1)=N(P_L2_Gracia)+N(P_L2_Cuotas),IF((123-N(P_L2_Mes)+1)=1,N(P_L2_Monto),DW$104),PMT(N(P_L2_Tasa)/12,N(P_L2_Cuotas),-N(P_L2_Monto))-DX$102),0)*DX$9</f>
        <v>0</v>
      </c>
      <c r="DY103" s="34" t="n">
        <f aca="false">IF(AND((124-N(P_L2_Mes)+1)&gt;N(P_L2_Gracia),(124-N(P_L2_Mes)+1)&lt;=N(P_L2_Gracia)+N(P_L2_Cuotas),N(P_L2_Cuotas)&gt;0),IF((124-N(P_L2_Mes)+1)=N(P_L2_Gracia)+N(P_L2_Cuotas),IF((124-N(P_L2_Mes)+1)=1,N(P_L2_Monto),DX$104),PMT(N(P_L2_Tasa)/12,N(P_L2_Cuotas),-N(P_L2_Monto))-DY$102),0)*DY$9</f>
        <v>0</v>
      </c>
      <c r="DZ103" s="34" t="n">
        <f aca="false">IF(AND((125-N(P_L2_Mes)+1)&gt;N(P_L2_Gracia),(125-N(P_L2_Mes)+1)&lt;=N(P_L2_Gracia)+N(P_L2_Cuotas),N(P_L2_Cuotas)&gt;0),IF((125-N(P_L2_Mes)+1)=N(P_L2_Gracia)+N(P_L2_Cuotas),IF((125-N(P_L2_Mes)+1)=1,N(P_L2_Monto),DY$104),PMT(N(P_L2_Tasa)/12,N(P_L2_Cuotas),-N(P_L2_Monto))-DZ$102),0)*DZ$9</f>
        <v>0</v>
      </c>
      <c r="EA103" s="34" t="n">
        <f aca="false">IF(AND((126-N(P_L2_Mes)+1)&gt;N(P_L2_Gracia),(126-N(P_L2_Mes)+1)&lt;=N(P_L2_Gracia)+N(P_L2_Cuotas),N(P_L2_Cuotas)&gt;0),IF((126-N(P_L2_Mes)+1)=N(P_L2_Gracia)+N(P_L2_Cuotas),IF((126-N(P_L2_Mes)+1)=1,N(P_L2_Monto),DZ$104),PMT(N(P_L2_Tasa)/12,N(P_L2_Cuotas),-N(P_L2_Monto))-EA$102),0)*EA$9</f>
        <v>0</v>
      </c>
      <c r="EB103" s="34" t="n">
        <f aca="false">IF(AND((127-N(P_L2_Mes)+1)&gt;N(P_L2_Gracia),(127-N(P_L2_Mes)+1)&lt;=N(P_L2_Gracia)+N(P_L2_Cuotas),N(P_L2_Cuotas)&gt;0),IF((127-N(P_L2_Mes)+1)=N(P_L2_Gracia)+N(P_L2_Cuotas),IF((127-N(P_L2_Mes)+1)=1,N(P_L2_Monto),EA$104),PMT(N(P_L2_Tasa)/12,N(P_L2_Cuotas),-N(P_L2_Monto))-EB$102),0)*EB$9</f>
        <v>0</v>
      </c>
      <c r="EC103" s="34" t="n">
        <f aca="false">IF(AND((128-N(P_L2_Mes)+1)&gt;N(P_L2_Gracia),(128-N(P_L2_Mes)+1)&lt;=N(P_L2_Gracia)+N(P_L2_Cuotas),N(P_L2_Cuotas)&gt;0),IF((128-N(P_L2_Mes)+1)=N(P_L2_Gracia)+N(P_L2_Cuotas),IF((128-N(P_L2_Mes)+1)=1,N(P_L2_Monto),EB$104),PMT(N(P_L2_Tasa)/12,N(P_L2_Cuotas),-N(P_L2_Monto))-EC$102),0)*EC$9</f>
        <v>0</v>
      </c>
      <c r="ED103" s="34" t="n">
        <f aca="false">IF(AND((129-N(P_L2_Mes)+1)&gt;N(P_L2_Gracia),(129-N(P_L2_Mes)+1)&lt;=N(P_L2_Gracia)+N(P_L2_Cuotas),N(P_L2_Cuotas)&gt;0),IF((129-N(P_L2_Mes)+1)=N(P_L2_Gracia)+N(P_L2_Cuotas),IF((129-N(P_L2_Mes)+1)=1,N(P_L2_Monto),EC$104),PMT(N(P_L2_Tasa)/12,N(P_L2_Cuotas),-N(P_L2_Monto))-ED$102),0)*ED$9</f>
        <v>0</v>
      </c>
      <c r="EE103" s="34" t="n">
        <f aca="false">IF(AND((130-N(P_L2_Mes)+1)&gt;N(P_L2_Gracia),(130-N(P_L2_Mes)+1)&lt;=N(P_L2_Gracia)+N(P_L2_Cuotas),N(P_L2_Cuotas)&gt;0),IF((130-N(P_L2_Mes)+1)=N(P_L2_Gracia)+N(P_L2_Cuotas),IF((130-N(P_L2_Mes)+1)=1,N(P_L2_Monto),ED$104),PMT(N(P_L2_Tasa)/12,N(P_L2_Cuotas),-N(P_L2_Monto))-EE$102),0)*EE$9</f>
        <v>0</v>
      </c>
      <c r="EF103" s="34" t="n">
        <f aca="false">IF(AND((131-N(P_L2_Mes)+1)&gt;N(P_L2_Gracia),(131-N(P_L2_Mes)+1)&lt;=N(P_L2_Gracia)+N(P_L2_Cuotas),N(P_L2_Cuotas)&gt;0),IF((131-N(P_L2_Mes)+1)=N(P_L2_Gracia)+N(P_L2_Cuotas),IF((131-N(P_L2_Mes)+1)=1,N(P_L2_Monto),EE$104),PMT(N(P_L2_Tasa)/12,N(P_L2_Cuotas),-N(P_L2_Monto))-EF$102),0)*EF$9</f>
        <v>0</v>
      </c>
      <c r="EG103" s="34" t="n">
        <f aca="false">IF(AND((132-N(P_L2_Mes)+1)&gt;N(P_L2_Gracia),(132-N(P_L2_Mes)+1)&lt;=N(P_L2_Gracia)+N(P_L2_Cuotas),N(P_L2_Cuotas)&gt;0),IF((132-N(P_L2_Mes)+1)=N(P_L2_Gracia)+N(P_L2_Cuotas),IF((132-N(P_L2_Mes)+1)=1,N(P_L2_Monto),EF$104),PMT(N(P_L2_Tasa)/12,N(P_L2_Cuotas),-N(P_L2_Monto))-EG$102),0)*EG$9</f>
        <v>0</v>
      </c>
      <c r="EH103" s="34" t="n">
        <f aca="false">IF(AND((133-N(P_L2_Mes)+1)&gt;N(P_L2_Gracia),(133-N(P_L2_Mes)+1)&lt;=N(P_L2_Gracia)+N(P_L2_Cuotas),N(P_L2_Cuotas)&gt;0),IF((133-N(P_L2_Mes)+1)=N(P_L2_Gracia)+N(P_L2_Cuotas),IF((133-N(P_L2_Mes)+1)=1,N(P_L2_Monto),EG$104),PMT(N(P_L2_Tasa)/12,N(P_L2_Cuotas),-N(P_L2_Monto))-EH$102),0)*EH$9</f>
        <v>0</v>
      </c>
      <c r="EI103" s="34" t="n">
        <f aca="false">IF(AND((134-N(P_L2_Mes)+1)&gt;N(P_L2_Gracia),(134-N(P_L2_Mes)+1)&lt;=N(P_L2_Gracia)+N(P_L2_Cuotas),N(P_L2_Cuotas)&gt;0),IF((134-N(P_L2_Mes)+1)=N(P_L2_Gracia)+N(P_L2_Cuotas),IF((134-N(P_L2_Mes)+1)=1,N(P_L2_Monto),EH$104),PMT(N(P_L2_Tasa)/12,N(P_L2_Cuotas),-N(P_L2_Monto))-EI$102),0)*EI$9</f>
        <v>0</v>
      </c>
      <c r="EJ103" s="34" t="n">
        <f aca="false">IF(AND((135-N(P_L2_Mes)+1)&gt;N(P_L2_Gracia),(135-N(P_L2_Mes)+1)&lt;=N(P_L2_Gracia)+N(P_L2_Cuotas),N(P_L2_Cuotas)&gt;0),IF((135-N(P_L2_Mes)+1)=N(P_L2_Gracia)+N(P_L2_Cuotas),IF((135-N(P_L2_Mes)+1)=1,N(P_L2_Monto),EI$104),PMT(N(P_L2_Tasa)/12,N(P_L2_Cuotas),-N(P_L2_Monto))-EJ$102),0)*EJ$9</f>
        <v>0</v>
      </c>
      <c r="EK103" s="34" t="n">
        <f aca="false">IF(AND((136-N(P_L2_Mes)+1)&gt;N(P_L2_Gracia),(136-N(P_L2_Mes)+1)&lt;=N(P_L2_Gracia)+N(P_L2_Cuotas),N(P_L2_Cuotas)&gt;0),IF((136-N(P_L2_Mes)+1)=N(P_L2_Gracia)+N(P_L2_Cuotas),IF((136-N(P_L2_Mes)+1)=1,N(P_L2_Monto),EJ$104),PMT(N(P_L2_Tasa)/12,N(P_L2_Cuotas),-N(P_L2_Monto))-EK$102),0)*EK$9</f>
        <v>0</v>
      </c>
      <c r="EL103" s="34" t="n">
        <f aca="false">IF(AND((137-N(P_L2_Mes)+1)&gt;N(P_L2_Gracia),(137-N(P_L2_Mes)+1)&lt;=N(P_L2_Gracia)+N(P_L2_Cuotas),N(P_L2_Cuotas)&gt;0),IF((137-N(P_L2_Mes)+1)=N(P_L2_Gracia)+N(P_L2_Cuotas),IF((137-N(P_L2_Mes)+1)=1,N(P_L2_Monto),EK$104),PMT(N(P_L2_Tasa)/12,N(P_L2_Cuotas),-N(P_L2_Monto))-EL$102),0)*EL$9</f>
        <v>0</v>
      </c>
      <c r="EM103" s="34" t="n">
        <f aca="false">IF(AND((138-N(P_L2_Mes)+1)&gt;N(P_L2_Gracia),(138-N(P_L2_Mes)+1)&lt;=N(P_L2_Gracia)+N(P_L2_Cuotas),N(P_L2_Cuotas)&gt;0),IF((138-N(P_L2_Mes)+1)=N(P_L2_Gracia)+N(P_L2_Cuotas),IF((138-N(P_L2_Mes)+1)=1,N(P_L2_Monto),EL$104),PMT(N(P_L2_Tasa)/12,N(P_L2_Cuotas),-N(P_L2_Monto))-EM$102),0)*EM$9</f>
        <v>0</v>
      </c>
      <c r="EN103" s="34" t="n">
        <f aca="false">IF(AND((139-N(P_L2_Mes)+1)&gt;N(P_L2_Gracia),(139-N(P_L2_Mes)+1)&lt;=N(P_L2_Gracia)+N(P_L2_Cuotas),N(P_L2_Cuotas)&gt;0),IF((139-N(P_L2_Mes)+1)=N(P_L2_Gracia)+N(P_L2_Cuotas),IF((139-N(P_L2_Mes)+1)=1,N(P_L2_Monto),EM$104),PMT(N(P_L2_Tasa)/12,N(P_L2_Cuotas),-N(P_L2_Monto))-EN$102),0)*EN$9</f>
        <v>0</v>
      </c>
      <c r="EO103" s="34" t="n">
        <f aca="false">IF(AND((140-N(P_L2_Mes)+1)&gt;N(P_L2_Gracia),(140-N(P_L2_Mes)+1)&lt;=N(P_L2_Gracia)+N(P_L2_Cuotas),N(P_L2_Cuotas)&gt;0),IF((140-N(P_L2_Mes)+1)=N(P_L2_Gracia)+N(P_L2_Cuotas),IF((140-N(P_L2_Mes)+1)=1,N(P_L2_Monto),EN$104),PMT(N(P_L2_Tasa)/12,N(P_L2_Cuotas),-N(P_L2_Monto))-EO$102),0)*EO$9</f>
        <v>0</v>
      </c>
      <c r="EP103" s="34" t="n">
        <f aca="false">IF(AND((141-N(P_L2_Mes)+1)&gt;N(P_L2_Gracia),(141-N(P_L2_Mes)+1)&lt;=N(P_L2_Gracia)+N(P_L2_Cuotas),N(P_L2_Cuotas)&gt;0),IF((141-N(P_L2_Mes)+1)=N(P_L2_Gracia)+N(P_L2_Cuotas),IF((141-N(P_L2_Mes)+1)=1,N(P_L2_Monto),EO$104),PMT(N(P_L2_Tasa)/12,N(P_L2_Cuotas),-N(P_L2_Monto))-EP$102),0)*EP$9</f>
        <v>0</v>
      </c>
      <c r="EQ103" s="34" t="n">
        <f aca="false">IF(AND((142-N(P_L2_Mes)+1)&gt;N(P_L2_Gracia),(142-N(P_L2_Mes)+1)&lt;=N(P_L2_Gracia)+N(P_L2_Cuotas),N(P_L2_Cuotas)&gt;0),IF((142-N(P_L2_Mes)+1)=N(P_L2_Gracia)+N(P_L2_Cuotas),IF((142-N(P_L2_Mes)+1)=1,N(P_L2_Monto),EP$104),PMT(N(P_L2_Tasa)/12,N(P_L2_Cuotas),-N(P_L2_Monto))-EQ$102),0)*EQ$9</f>
        <v>0</v>
      </c>
      <c r="ER103" s="34" t="n">
        <f aca="false">IF(AND((143-N(P_L2_Mes)+1)&gt;N(P_L2_Gracia),(143-N(P_L2_Mes)+1)&lt;=N(P_L2_Gracia)+N(P_L2_Cuotas),N(P_L2_Cuotas)&gt;0),IF((143-N(P_L2_Mes)+1)=N(P_L2_Gracia)+N(P_L2_Cuotas),IF((143-N(P_L2_Mes)+1)=1,N(P_L2_Monto),EQ$104),PMT(N(P_L2_Tasa)/12,N(P_L2_Cuotas),-N(P_L2_Monto))-ER$102),0)*ER$9</f>
        <v>0</v>
      </c>
      <c r="ES103" s="34" t="n">
        <f aca="false">IF(AND((144-N(P_L2_Mes)+1)&gt;N(P_L2_Gracia),(144-N(P_L2_Mes)+1)&lt;=N(P_L2_Gracia)+N(P_L2_Cuotas),N(P_L2_Cuotas)&gt;0),IF((144-N(P_L2_Mes)+1)=N(P_L2_Gracia)+N(P_L2_Cuotas),IF((144-N(P_L2_Mes)+1)=1,N(P_L2_Monto),ER$104),PMT(N(P_L2_Tasa)/12,N(P_L2_Cuotas),-N(P_L2_Monto))-ES$102),0)*ES$9</f>
        <v>0</v>
      </c>
    </row>
    <row r="104" customFormat="false" ht="15" hidden="false" customHeight="false" outlineLevel="0" collapsed="false">
      <c r="A104" s="2" t="s">
        <v>691</v>
      </c>
      <c r="B104" s="6" t="s">
        <v>692</v>
      </c>
      <c r="C104" s="6" t="s">
        <v>250</v>
      </c>
      <c r="E104" s="40" t="n">
        <f aca="false">INDEX(F104:ES104,1,MIN(144,Fin))</f>
        <v>0</v>
      </c>
      <c r="F104" s="34" t="n">
        <f aca="false">IF((1-N(P_L2_Mes)+1)&lt;1,0,IF((1-N(P_L2_Mes)+1)=1,N(P_L2_Monto),0)-F$103)</f>
        <v>0</v>
      </c>
      <c r="G104" s="34" t="n">
        <f aca="false">IF((2-N(P_L2_Mes)+1)&lt;1,0,IF((2-N(P_L2_Mes)+1)=1,N(P_L2_Monto),F$104)-G$103)</f>
        <v>0</v>
      </c>
      <c r="H104" s="34" t="n">
        <f aca="false">IF((3-N(P_L2_Mes)+1)&lt;1,0,IF((3-N(P_L2_Mes)+1)=1,N(P_L2_Monto),G$104)-H$103)</f>
        <v>0</v>
      </c>
      <c r="I104" s="34" t="n">
        <f aca="false">IF((4-N(P_L2_Mes)+1)&lt;1,0,IF((4-N(P_L2_Mes)+1)=1,N(P_L2_Monto),H$104)-I$103)</f>
        <v>0</v>
      </c>
      <c r="J104" s="34" t="n">
        <f aca="false">IF((5-N(P_L2_Mes)+1)&lt;1,0,IF((5-N(P_L2_Mes)+1)=1,N(P_L2_Monto),I$104)-J$103)</f>
        <v>0</v>
      </c>
      <c r="K104" s="34" t="n">
        <f aca="false">IF((6-N(P_L2_Mes)+1)&lt;1,0,IF((6-N(P_L2_Mes)+1)=1,N(P_L2_Monto),J$104)-K$103)</f>
        <v>0</v>
      </c>
      <c r="L104" s="34" t="n">
        <f aca="false">IF((7-N(P_L2_Mes)+1)&lt;1,0,IF((7-N(P_L2_Mes)+1)=1,N(P_L2_Monto),K$104)-L$103)</f>
        <v>0</v>
      </c>
      <c r="M104" s="34" t="n">
        <f aca="false">IF((8-N(P_L2_Mes)+1)&lt;1,0,IF((8-N(P_L2_Mes)+1)=1,N(P_L2_Monto),L$104)-M$103)</f>
        <v>0</v>
      </c>
      <c r="N104" s="34" t="n">
        <f aca="false">IF((9-N(P_L2_Mes)+1)&lt;1,0,IF((9-N(P_L2_Mes)+1)=1,N(P_L2_Monto),M$104)-N$103)</f>
        <v>0</v>
      </c>
      <c r="O104" s="34" t="n">
        <f aca="false">IF((10-N(P_L2_Mes)+1)&lt;1,0,IF((10-N(P_L2_Mes)+1)=1,N(P_L2_Monto),N$104)-O$103)</f>
        <v>0</v>
      </c>
      <c r="P104" s="34" t="n">
        <f aca="false">IF((11-N(P_L2_Mes)+1)&lt;1,0,IF((11-N(P_L2_Mes)+1)=1,N(P_L2_Monto),O$104)-P$103)</f>
        <v>0</v>
      </c>
      <c r="Q104" s="34" t="n">
        <f aca="false">IF((12-N(P_L2_Mes)+1)&lt;1,0,IF((12-N(P_L2_Mes)+1)=1,N(P_L2_Monto),P$104)-Q$103)</f>
        <v>0</v>
      </c>
      <c r="R104" s="34" t="n">
        <f aca="false">IF((13-N(P_L2_Mes)+1)&lt;1,0,IF((13-N(P_L2_Mes)+1)=1,N(P_L2_Monto),Q$104)-R$103)</f>
        <v>0</v>
      </c>
      <c r="S104" s="34" t="n">
        <f aca="false">IF((14-N(P_L2_Mes)+1)&lt;1,0,IF((14-N(P_L2_Mes)+1)=1,N(P_L2_Monto),R$104)-S$103)</f>
        <v>0</v>
      </c>
      <c r="T104" s="34" t="n">
        <f aca="false">IF((15-N(P_L2_Mes)+1)&lt;1,0,IF((15-N(P_L2_Mes)+1)=1,N(P_L2_Monto),S$104)-T$103)</f>
        <v>0</v>
      </c>
      <c r="U104" s="34" t="n">
        <f aca="false">IF((16-N(P_L2_Mes)+1)&lt;1,0,IF((16-N(P_L2_Mes)+1)=1,N(P_L2_Monto),T$104)-U$103)</f>
        <v>0</v>
      </c>
      <c r="V104" s="34" t="n">
        <f aca="false">IF((17-N(P_L2_Mes)+1)&lt;1,0,IF((17-N(P_L2_Mes)+1)=1,N(P_L2_Monto),U$104)-V$103)</f>
        <v>0</v>
      </c>
      <c r="W104" s="34" t="n">
        <f aca="false">IF((18-N(P_L2_Mes)+1)&lt;1,0,IF((18-N(P_L2_Mes)+1)=1,N(P_L2_Monto),V$104)-W$103)</f>
        <v>0</v>
      </c>
      <c r="X104" s="34" t="n">
        <f aca="false">IF((19-N(P_L2_Mes)+1)&lt;1,0,IF((19-N(P_L2_Mes)+1)=1,N(P_L2_Monto),W$104)-X$103)</f>
        <v>0</v>
      </c>
      <c r="Y104" s="34" t="n">
        <f aca="false">IF((20-N(P_L2_Mes)+1)&lt;1,0,IF((20-N(P_L2_Mes)+1)=1,N(P_L2_Monto),X$104)-Y$103)</f>
        <v>0</v>
      </c>
      <c r="Z104" s="34" t="n">
        <f aca="false">IF((21-N(P_L2_Mes)+1)&lt;1,0,IF((21-N(P_L2_Mes)+1)=1,N(P_L2_Monto),Y$104)-Z$103)</f>
        <v>0</v>
      </c>
      <c r="AA104" s="34" t="n">
        <f aca="false">IF((22-N(P_L2_Mes)+1)&lt;1,0,IF((22-N(P_L2_Mes)+1)=1,N(P_L2_Monto),Z$104)-AA$103)</f>
        <v>0</v>
      </c>
      <c r="AB104" s="34" t="n">
        <f aca="false">IF((23-N(P_L2_Mes)+1)&lt;1,0,IF((23-N(P_L2_Mes)+1)=1,N(P_L2_Monto),AA$104)-AB$103)</f>
        <v>0</v>
      </c>
      <c r="AC104" s="34" t="n">
        <f aca="false">IF((24-N(P_L2_Mes)+1)&lt;1,0,IF((24-N(P_L2_Mes)+1)=1,N(P_L2_Monto),AB$104)-AC$103)</f>
        <v>0</v>
      </c>
      <c r="AD104" s="34" t="n">
        <f aca="false">IF((25-N(P_L2_Mes)+1)&lt;1,0,IF((25-N(P_L2_Mes)+1)=1,N(P_L2_Monto),AC$104)-AD$103)</f>
        <v>0</v>
      </c>
      <c r="AE104" s="34" t="n">
        <f aca="false">IF((26-N(P_L2_Mes)+1)&lt;1,0,IF((26-N(P_L2_Mes)+1)=1,N(P_L2_Monto),AD$104)-AE$103)</f>
        <v>0</v>
      </c>
      <c r="AF104" s="34" t="n">
        <f aca="false">IF((27-N(P_L2_Mes)+1)&lt;1,0,IF((27-N(P_L2_Mes)+1)=1,N(P_L2_Monto),AE$104)-AF$103)</f>
        <v>0</v>
      </c>
      <c r="AG104" s="34" t="n">
        <f aca="false">IF((28-N(P_L2_Mes)+1)&lt;1,0,IF((28-N(P_L2_Mes)+1)=1,N(P_L2_Monto),AF$104)-AG$103)</f>
        <v>0</v>
      </c>
      <c r="AH104" s="34" t="n">
        <f aca="false">IF((29-N(P_L2_Mes)+1)&lt;1,0,IF((29-N(P_L2_Mes)+1)=1,N(P_L2_Monto),AG$104)-AH$103)</f>
        <v>0</v>
      </c>
      <c r="AI104" s="34" t="n">
        <f aca="false">IF((30-N(P_L2_Mes)+1)&lt;1,0,IF((30-N(P_L2_Mes)+1)=1,N(P_L2_Monto),AH$104)-AI$103)</f>
        <v>0</v>
      </c>
      <c r="AJ104" s="34" t="n">
        <f aca="false">IF((31-N(P_L2_Mes)+1)&lt;1,0,IF((31-N(P_L2_Mes)+1)=1,N(P_L2_Monto),AI$104)-AJ$103)</f>
        <v>0</v>
      </c>
      <c r="AK104" s="34" t="n">
        <f aca="false">IF((32-N(P_L2_Mes)+1)&lt;1,0,IF((32-N(P_L2_Mes)+1)=1,N(P_L2_Monto),AJ$104)-AK$103)</f>
        <v>0</v>
      </c>
      <c r="AL104" s="34" t="n">
        <f aca="false">IF((33-N(P_L2_Mes)+1)&lt;1,0,IF((33-N(P_L2_Mes)+1)=1,N(P_L2_Monto),AK$104)-AL$103)</f>
        <v>0</v>
      </c>
      <c r="AM104" s="34" t="n">
        <f aca="false">IF((34-N(P_L2_Mes)+1)&lt;1,0,IF((34-N(P_L2_Mes)+1)=1,N(P_L2_Monto),AL$104)-AM$103)</f>
        <v>0</v>
      </c>
      <c r="AN104" s="34" t="n">
        <f aca="false">IF((35-N(P_L2_Mes)+1)&lt;1,0,IF((35-N(P_L2_Mes)+1)=1,N(P_L2_Monto),AM$104)-AN$103)</f>
        <v>0</v>
      </c>
      <c r="AO104" s="34" t="n">
        <f aca="false">IF((36-N(P_L2_Mes)+1)&lt;1,0,IF((36-N(P_L2_Mes)+1)=1,N(P_L2_Monto),AN$104)-AO$103)</f>
        <v>0</v>
      </c>
      <c r="AP104" s="34" t="n">
        <f aca="false">IF((37-N(P_L2_Mes)+1)&lt;1,0,IF((37-N(P_L2_Mes)+1)=1,N(P_L2_Monto),AO$104)-AP$103)</f>
        <v>0</v>
      </c>
      <c r="AQ104" s="34" t="n">
        <f aca="false">IF((38-N(P_L2_Mes)+1)&lt;1,0,IF((38-N(P_L2_Mes)+1)=1,N(P_L2_Monto),AP$104)-AQ$103)</f>
        <v>0</v>
      </c>
      <c r="AR104" s="34" t="n">
        <f aca="false">IF((39-N(P_L2_Mes)+1)&lt;1,0,IF((39-N(P_L2_Mes)+1)=1,N(P_L2_Monto),AQ$104)-AR$103)</f>
        <v>0</v>
      </c>
      <c r="AS104" s="34" t="n">
        <f aca="false">IF((40-N(P_L2_Mes)+1)&lt;1,0,IF((40-N(P_L2_Mes)+1)=1,N(P_L2_Monto),AR$104)-AS$103)</f>
        <v>0</v>
      </c>
      <c r="AT104" s="34" t="n">
        <f aca="false">IF((41-N(P_L2_Mes)+1)&lt;1,0,IF((41-N(P_L2_Mes)+1)=1,N(P_L2_Monto),AS$104)-AT$103)</f>
        <v>0</v>
      </c>
      <c r="AU104" s="34" t="n">
        <f aca="false">IF((42-N(P_L2_Mes)+1)&lt;1,0,IF((42-N(P_L2_Mes)+1)=1,N(P_L2_Monto),AT$104)-AU$103)</f>
        <v>0</v>
      </c>
      <c r="AV104" s="34" t="n">
        <f aca="false">IF((43-N(P_L2_Mes)+1)&lt;1,0,IF((43-N(P_L2_Mes)+1)=1,N(P_L2_Monto),AU$104)-AV$103)</f>
        <v>0</v>
      </c>
      <c r="AW104" s="34" t="n">
        <f aca="false">IF((44-N(P_L2_Mes)+1)&lt;1,0,IF((44-N(P_L2_Mes)+1)=1,N(P_L2_Monto),AV$104)-AW$103)</f>
        <v>0</v>
      </c>
      <c r="AX104" s="34" t="n">
        <f aca="false">IF((45-N(P_L2_Mes)+1)&lt;1,0,IF((45-N(P_L2_Mes)+1)=1,N(P_L2_Monto),AW$104)-AX$103)</f>
        <v>0</v>
      </c>
      <c r="AY104" s="34" t="n">
        <f aca="false">IF((46-N(P_L2_Mes)+1)&lt;1,0,IF((46-N(P_L2_Mes)+1)=1,N(P_L2_Monto),AX$104)-AY$103)</f>
        <v>0</v>
      </c>
      <c r="AZ104" s="34" t="n">
        <f aca="false">IF((47-N(P_L2_Mes)+1)&lt;1,0,IF((47-N(P_L2_Mes)+1)=1,N(P_L2_Monto),AY$104)-AZ$103)</f>
        <v>0</v>
      </c>
      <c r="BA104" s="34" t="n">
        <f aca="false">IF((48-N(P_L2_Mes)+1)&lt;1,0,IF((48-N(P_L2_Mes)+1)=1,N(P_L2_Monto),AZ$104)-BA$103)</f>
        <v>0</v>
      </c>
      <c r="BB104" s="34" t="n">
        <f aca="false">IF((49-N(P_L2_Mes)+1)&lt;1,0,IF((49-N(P_L2_Mes)+1)=1,N(P_L2_Monto),BA$104)-BB$103)</f>
        <v>0</v>
      </c>
      <c r="BC104" s="34" t="n">
        <f aca="false">IF((50-N(P_L2_Mes)+1)&lt;1,0,IF((50-N(P_L2_Mes)+1)=1,N(P_L2_Monto),BB$104)-BC$103)</f>
        <v>0</v>
      </c>
      <c r="BD104" s="34" t="n">
        <f aca="false">IF((51-N(P_L2_Mes)+1)&lt;1,0,IF((51-N(P_L2_Mes)+1)=1,N(P_L2_Monto),BC$104)-BD$103)</f>
        <v>0</v>
      </c>
      <c r="BE104" s="34" t="n">
        <f aca="false">IF((52-N(P_L2_Mes)+1)&lt;1,0,IF((52-N(P_L2_Mes)+1)=1,N(P_L2_Monto),BD$104)-BE$103)</f>
        <v>0</v>
      </c>
      <c r="BF104" s="34" t="n">
        <f aca="false">IF((53-N(P_L2_Mes)+1)&lt;1,0,IF((53-N(P_L2_Mes)+1)=1,N(P_L2_Monto),BE$104)-BF$103)</f>
        <v>0</v>
      </c>
      <c r="BG104" s="34" t="n">
        <f aca="false">IF((54-N(P_L2_Mes)+1)&lt;1,0,IF((54-N(P_L2_Mes)+1)=1,N(P_L2_Monto),BF$104)-BG$103)</f>
        <v>0</v>
      </c>
      <c r="BH104" s="34" t="n">
        <f aca="false">IF((55-N(P_L2_Mes)+1)&lt;1,0,IF((55-N(P_L2_Mes)+1)=1,N(P_L2_Monto),BG$104)-BH$103)</f>
        <v>0</v>
      </c>
      <c r="BI104" s="34" t="n">
        <f aca="false">IF((56-N(P_L2_Mes)+1)&lt;1,0,IF((56-N(P_L2_Mes)+1)=1,N(P_L2_Monto),BH$104)-BI$103)</f>
        <v>0</v>
      </c>
      <c r="BJ104" s="34" t="n">
        <f aca="false">IF((57-N(P_L2_Mes)+1)&lt;1,0,IF((57-N(P_L2_Mes)+1)=1,N(P_L2_Monto),BI$104)-BJ$103)</f>
        <v>0</v>
      </c>
      <c r="BK104" s="34" t="n">
        <f aca="false">IF((58-N(P_L2_Mes)+1)&lt;1,0,IF((58-N(P_L2_Mes)+1)=1,N(P_L2_Monto),BJ$104)-BK$103)</f>
        <v>0</v>
      </c>
      <c r="BL104" s="34" t="n">
        <f aca="false">IF((59-N(P_L2_Mes)+1)&lt;1,0,IF((59-N(P_L2_Mes)+1)=1,N(P_L2_Monto),BK$104)-BL$103)</f>
        <v>0</v>
      </c>
      <c r="BM104" s="34" t="n">
        <f aca="false">IF((60-N(P_L2_Mes)+1)&lt;1,0,IF((60-N(P_L2_Mes)+1)=1,N(P_L2_Monto),BL$104)-BM$103)</f>
        <v>0</v>
      </c>
      <c r="BN104" s="34" t="n">
        <f aca="false">IF((61-N(P_L2_Mes)+1)&lt;1,0,IF((61-N(P_L2_Mes)+1)=1,N(P_L2_Monto),BM$104)-BN$103)</f>
        <v>0</v>
      </c>
      <c r="BO104" s="34" t="n">
        <f aca="false">IF((62-N(P_L2_Mes)+1)&lt;1,0,IF((62-N(P_L2_Mes)+1)=1,N(P_L2_Monto),BN$104)-BO$103)</f>
        <v>0</v>
      </c>
      <c r="BP104" s="34" t="n">
        <f aca="false">IF((63-N(P_L2_Mes)+1)&lt;1,0,IF((63-N(P_L2_Mes)+1)=1,N(P_L2_Monto),BO$104)-BP$103)</f>
        <v>0</v>
      </c>
      <c r="BQ104" s="34" t="n">
        <f aca="false">IF((64-N(P_L2_Mes)+1)&lt;1,0,IF((64-N(P_L2_Mes)+1)=1,N(P_L2_Monto),BP$104)-BQ$103)</f>
        <v>0</v>
      </c>
      <c r="BR104" s="34" t="n">
        <f aca="false">IF((65-N(P_L2_Mes)+1)&lt;1,0,IF((65-N(P_L2_Mes)+1)=1,N(P_L2_Monto),BQ$104)-BR$103)</f>
        <v>0</v>
      </c>
      <c r="BS104" s="34" t="n">
        <f aca="false">IF((66-N(P_L2_Mes)+1)&lt;1,0,IF((66-N(P_L2_Mes)+1)=1,N(P_L2_Monto),BR$104)-BS$103)</f>
        <v>0</v>
      </c>
      <c r="BT104" s="34" t="n">
        <f aca="false">IF((67-N(P_L2_Mes)+1)&lt;1,0,IF((67-N(P_L2_Mes)+1)=1,N(P_L2_Monto),BS$104)-BT$103)</f>
        <v>0</v>
      </c>
      <c r="BU104" s="34" t="n">
        <f aca="false">IF((68-N(P_L2_Mes)+1)&lt;1,0,IF((68-N(P_L2_Mes)+1)=1,N(P_L2_Monto),BT$104)-BU$103)</f>
        <v>0</v>
      </c>
      <c r="BV104" s="34" t="n">
        <f aca="false">IF((69-N(P_L2_Mes)+1)&lt;1,0,IF((69-N(P_L2_Mes)+1)=1,N(P_L2_Monto),BU$104)-BV$103)</f>
        <v>0</v>
      </c>
      <c r="BW104" s="34" t="n">
        <f aca="false">IF((70-N(P_L2_Mes)+1)&lt;1,0,IF((70-N(P_L2_Mes)+1)=1,N(P_L2_Monto),BV$104)-BW$103)</f>
        <v>0</v>
      </c>
      <c r="BX104" s="34" t="n">
        <f aca="false">IF((71-N(P_L2_Mes)+1)&lt;1,0,IF((71-N(P_L2_Mes)+1)=1,N(P_L2_Monto),BW$104)-BX$103)</f>
        <v>0</v>
      </c>
      <c r="BY104" s="34" t="n">
        <f aca="false">IF((72-N(P_L2_Mes)+1)&lt;1,0,IF((72-N(P_L2_Mes)+1)=1,N(P_L2_Monto),BX$104)-BY$103)</f>
        <v>0</v>
      </c>
      <c r="BZ104" s="34" t="n">
        <f aca="false">IF((73-N(P_L2_Mes)+1)&lt;1,0,IF((73-N(P_L2_Mes)+1)=1,N(P_L2_Monto),BY$104)-BZ$103)</f>
        <v>0</v>
      </c>
      <c r="CA104" s="34" t="n">
        <f aca="false">IF((74-N(P_L2_Mes)+1)&lt;1,0,IF((74-N(P_L2_Mes)+1)=1,N(P_L2_Monto),BZ$104)-CA$103)</f>
        <v>0</v>
      </c>
      <c r="CB104" s="34" t="n">
        <f aca="false">IF((75-N(P_L2_Mes)+1)&lt;1,0,IF((75-N(P_L2_Mes)+1)=1,N(P_L2_Monto),CA$104)-CB$103)</f>
        <v>0</v>
      </c>
      <c r="CC104" s="34" t="n">
        <f aca="false">IF((76-N(P_L2_Mes)+1)&lt;1,0,IF((76-N(P_L2_Mes)+1)=1,N(P_L2_Monto),CB$104)-CC$103)</f>
        <v>0</v>
      </c>
      <c r="CD104" s="34" t="n">
        <f aca="false">IF((77-N(P_L2_Mes)+1)&lt;1,0,IF((77-N(P_L2_Mes)+1)=1,N(P_L2_Monto),CC$104)-CD$103)</f>
        <v>0</v>
      </c>
      <c r="CE104" s="34" t="n">
        <f aca="false">IF((78-N(P_L2_Mes)+1)&lt;1,0,IF((78-N(P_L2_Mes)+1)=1,N(P_L2_Monto),CD$104)-CE$103)</f>
        <v>0</v>
      </c>
      <c r="CF104" s="34" t="n">
        <f aca="false">IF((79-N(P_L2_Mes)+1)&lt;1,0,IF((79-N(P_L2_Mes)+1)=1,N(P_L2_Monto),CE$104)-CF$103)</f>
        <v>0</v>
      </c>
      <c r="CG104" s="34" t="n">
        <f aca="false">IF((80-N(P_L2_Mes)+1)&lt;1,0,IF((80-N(P_L2_Mes)+1)=1,N(P_L2_Monto),CF$104)-CG$103)</f>
        <v>0</v>
      </c>
      <c r="CH104" s="34" t="n">
        <f aca="false">IF((81-N(P_L2_Mes)+1)&lt;1,0,IF((81-N(P_L2_Mes)+1)=1,N(P_L2_Monto),CG$104)-CH$103)</f>
        <v>0</v>
      </c>
      <c r="CI104" s="34" t="n">
        <f aca="false">IF((82-N(P_L2_Mes)+1)&lt;1,0,IF((82-N(P_L2_Mes)+1)=1,N(P_L2_Monto),CH$104)-CI$103)</f>
        <v>0</v>
      </c>
      <c r="CJ104" s="34" t="n">
        <f aca="false">IF((83-N(P_L2_Mes)+1)&lt;1,0,IF((83-N(P_L2_Mes)+1)=1,N(P_L2_Monto),CI$104)-CJ$103)</f>
        <v>0</v>
      </c>
      <c r="CK104" s="34" t="n">
        <f aca="false">IF((84-N(P_L2_Mes)+1)&lt;1,0,IF((84-N(P_L2_Mes)+1)=1,N(P_L2_Monto),CJ$104)-CK$103)</f>
        <v>0</v>
      </c>
      <c r="CL104" s="34" t="n">
        <f aca="false">IF((85-N(P_L2_Mes)+1)&lt;1,0,IF((85-N(P_L2_Mes)+1)=1,N(P_L2_Monto),CK$104)-CL$103)</f>
        <v>0</v>
      </c>
      <c r="CM104" s="34" t="n">
        <f aca="false">IF((86-N(P_L2_Mes)+1)&lt;1,0,IF((86-N(P_L2_Mes)+1)=1,N(P_L2_Monto),CL$104)-CM$103)</f>
        <v>0</v>
      </c>
      <c r="CN104" s="34" t="n">
        <f aca="false">IF((87-N(P_L2_Mes)+1)&lt;1,0,IF((87-N(P_L2_Mes)+1)=1,N(P_L2_Monto),CM$104)-CN$103)</f>
        <v>0</v>
      </c>
      <c r="CO104" s="34" t="n">
        <f aca="false">IF((88-N(P_L2_Mes)+1)&lt;1,0,IF((88-N(P_L2_Mes)+1)=1,N(P_L2_Monto),CN$104)-CO$103)</f>
        <v>0</v>
      </c>
      <c r="CP104" s="34" t="n">
        <f aca="false">IF((89-N(P_L2_Mes)+1)&lt;1,0,IF((89-N(P_L2_Mes)+1)=1,N(P_L2_Monto),CO$104)-CP$103)</f>
        <v>0</v>
      </c>
      <c r="CQ104" s="34" t="n">
        <f aca="false">IF((90-N(P_L2_Mes)+1)&lt;1,0,IF((90-N(P_L2_Mes)+1)=1,N(P_L2_Monto),CP$104)-CQ$103)</f>
        <v>0</v>
      </c>
      <c r="CR104" s="34" t="n">
        <f aca="false">IF((91-N(P_L2_Mes)+1)&lt;1,0,IF((91-N(P_L2_Mes)+1)=1,N(P_L2_Monto),CQ$104)-CR$103)</f>
        <v>0</v>
      </c>
      <c r="CS104" s="34" t="n">
        <f aca="false">IF((92-N(P_L2_Mes)+1)&lt;1,0,IF((92-N(P_L2_Mes)+1)=1,N(P_L2_Monto),CR$104)-CS$103)</f>
        <v>0</v>
      </c>
      <c r="CT104" s="34" t="n">
        <f aca="false">IF((93-N(P_L2_Mes)+1)&lt;1,0,IF((93-N(P_L2_Mes)+1)=1,N(P_L2_Monto),CS$104)-CT$103)</f>
        <v>0</v>
      </c>
      <c r="CU104" s="34" t="n">
        <f aca="false">IF((94-N(P_L2_Mes)+1)&lt;1,0,IF((94-N(P_L2_Mes)+1)=1,N(P_L2_Monto),CT$104)-CU$103)</f>
        <v>0</v>
      </c>
      <c r="CV104" s="34" t="n">
        <f aca="false">IF((95-N(P_L2_Mes)+1)&lt;1,0,IF((95-N(P_L2_Mes)+1)=1,N(P_L2_Monto),CU$104)-CV$103)</f>
        <v>0</v>
      </c>
      <c r="CW104" s="34" t="n">
        <f aca="false">IF((96-N(P_L2_Mes)+1)&lt;1,0,IF((96-N(P_L2_Mes)+1)=1,N(P_L2_Monto),CV$104)-CW$103)</f>
        <v>0</v>
      </c>
      <c r="CX104" s="34" t="n">
        <f aca="false">IF((97-N(P_L2_Mes)+1)&lt;1,0,IF((97-N(P_L2_Mes)+1)=1,N(P_L2_Monto),CW$104)-CX$103)</f>
        <v>0</v>
      </c>
      <c r="CY104" s="34" t="n">
        <f aca="false">IF((98-N(P_L2_Mes)+1)&lt;1,0,IF((98-N(P_L2_Mes)+1)=1,N(P_L2_Monto),CX$104)-CY$103)</f>
        <v>0</v>
      </c>
      <c r="CZ104" s="34" t="n">
        <f aca="false">IF((99-N(P_L2_Mes)+1)&lt;1,0,IF((99-N(P_L2_Mes)+1)=1,N(P_L2_Monto),CY$104)-CZ$103)</f>
        <v>0</v>
      </c>
      <c r="DA104" s="34" t="n">
        <f aca="false">IF((100-N(P_L2_Mes)+1)&lt;1,0,IF((100-N(P_L2_Mes)+1)=1,N(P_L2_Monto),CZ$104)-DA$103)</f>
        <v>0</v>
      </c>
      <c r="DB104" s="34" t="n">
        <f aca="false">IF((101-N(P_L2_Mes)+1)&lt;1,0,IF((101-N(P_L2_Mes)+1)=1,N(P_L2_Monto),DA$104)-DB$103)</f>
        <v>0</v>
      </c>
      <c r="DC104" s="34" t="n">
        <f aca="false">IF((102-N(P_L2_Mes)+1)&lt;1,0,IF((102-N(P_L2_Mes)+1)=1,N(P_L2_Monto),DB$104)-DC$103)</f>
        <v>0</v>
      </c>
      <c r="DD104" s="34" t="n">
        <f aca="false">IF((103-N(P_L2_Mes)+1)&lt;1,0,IF((103-N(P_L2_Mes)+1)=1,N(P_L2_Monto),DC$104)-DD$103)</f>
        <v>0</v>
      </c>
      <c r="DE104" s="34" t="n">
        <f aca="false">IF((104-N(P_L2_Mes)+1)&lt;1,0,IF((104-N(P_L2_Mes)+1)=1,N(P_L2_Monto),DD$104)-DE$103)</f>
        <v>0</v>
      </c>
      <c r="DF104" s="34" t="n">
        <f aca="false">IF((105-N(P_L2_Mes)+1)&lt;1,0,IF((105-N(P_L2_Mes)+1)=1,N(P_L2_Monto),DE$104)-DF$103)</f>
        <v>0</v>
      </c>
      <c r="DG104" s="34" t="n">
        <f aca="false">IF((106-N(P_L2_Mes)+1)&lt;1,0,IF((106-N(P_L2_Mes)+1)=1,N(P_L2_Monto),DF$104)-DG$103)</f>
        <v>0</v>
      </c>
      <c r="DH104" s="34" t="n">
        <f aca="false">IF((107-N(P_L2_Mes)+1)&lt;1,0,IF((107-N(P_L2_Mes)+1)=1,N(P_L2_Monto),DG$104)-DH$103)</f>
        <v>0</v>
      </c>
      <c r="DI104" s="34" t="n">
        <f aca="false">IF((108-N(P_L2_Mes)+1)&lt;1,0,IF((108-N(P_L2_Mes)+1)=1,N(P_L2_Monto),DH$104)-DI$103)</f>
        <v>0</v>
      </c>
      <c r="DJ104" s="34" t="n">
        <f aca="false">IF((109-N(P_L2_Mes)+1)&lt;1,0,IF((109-N(P_L2_Mes)+1)=1,N(P_L2_Monto),DI$104)-DJ$103)</f>
        <v>0</v>
      </c>
      <c r="DK104" s="34" t="n">
        <f aca="false">IF((110-N(P_L2_Mes)+1)&lt;1,0,IF((110-N(P_L2_Mes)+1)=1,N(P_L2_Monto),DJ$104)-DK$103)</f>
        <v>0</v>
      </c>
      <c r="DL104" s="34" t="n">
        <f aca="false">IF((111-N(P_L2_Mes)+1)&lt;1,0,IF((111-N(P_L2_Mes)+1)=1,N(P_L2_Monto),DK$104)-DL$103)</f>
        <v>0</v>
      </c>
      <c r="DM104" s="34" t="n">
        <f aca="false">IF((112-N(P_L2_Mes)+1)&lt;1,0,IF((112-N(P_L2_Mes)+1)=1,N(P_L2_Monto),DL$104)-DM$103)</f>
        <v>0</v>
      </c>
      <c r="DN104" s="34" t="n">
        <f aca="false">IF((113-N(P_L2_Mes)+1)&lt;1,0,IF((113-N(P_L2_Mes)+1)=1,N(P_L2_Monto),DM$104)-DN$103)</f>
        <v>0</v>
      </c>
      <c r="DO104" s="34" t="n">
        <f aca="false">IF((114-N(P_L2_Mes)+1)&lt;1,0,IF((114-N(P_L2_Mes)+1)=1,N(P_L2_Monto),DN$104)-DO$103)</f>
        <v>0</v>
      </c>
      <c r="DP104" s="34" t="n">
        <f aca="false">IF((115-N(P_L2_Mes)+1)&lt;1,0,IF((115-N(P_L2_Mes)+1)=1,N(P_L2_Monto),DO$104)-DP$103)</f>
        <v>0</v>
      </c>
      <c r="DQ104" s="34" t="n">
        <f aca="false">IF((116-N(P_L2_Mes)+1)&lt;1,0,IF((116-N(P_L2_Mes)+1)=1,N(P_L2_Monto),DP$104)-DQ$103)</f>
        <v>0</v>
      </c>
      <c r="DR104" s="34" t="n">
        <f aca="false">IF((117-N(P_L2_Mes)+1)&lt;1,0,IF((117-N(P_L2_Mes)+1)=1,N(P_L2_Monto),DQ$104)-DR$103)</f>
        <v>0</v>
      </c>
      <c r="DS104" s="34" t="n">
        <f aca="false">IF((118-N(P_L2_Mes)+1)&lt;1,0,IF((118-N(P_L2_Mes)+1)=1,N(P_L2_Monto),DR$104)-DS$103)</f>
        <v>0</v>
      </c>
      <c r="DT104" s="34" t="n">
        <f aca="false">IF((119-N(P_L2_Mes)+1)&lt;1,0,IF((119-N(P_L2_Mes)+1)=1,N(P_L2_Monto),DS$104)-DT$103)</f>
        <v>0</v>
      </c>
      <c r="DU104" s="34" t="n">
        <f aca="false">IF((120-N(P_L2_Mes)+1)&lt;1,0,IF((120-N(P_L2_Mes)+1)=1,N(P_L2_Monto),DT$104)-DU$103)</f>
        <v>0</v>
      </c>
      <c r="DV104" s="34" t="n">
        <f aca="false">IF((121-N(P_L2_Mes)+1)&lt;1,0,IF((121-N(P_L2_Mes)+1)=1,N(P_L2_Monto),DU$104)-DV$103)</f>
        <v>0</v>
      </c>
      <c r="DW104" s="34" t="n">
        <f aca="false">IF((122-N(P_L2_Mes)+1)&lt;1,0,IF((122-N(P_L2_Mes)+1)=1,N(P_L2_Monto),DV$104)-DW$103)</f>
        <v>0</v>
      </c>
      <c r="DX104" s="34" t="n">
        <f aca="false">IF((123-N(P_L2_Mes)+1)&lt;1,0,IF((123-N(P_L2_Mes)+1)=1,N(P_L2_Monto),DW$104)-DX$103)</f>
        <v>0</v>
      </c>
      <c r="DY104" s="34" t="n">
        <f aca="false">IF((124-N(P_L2_Mes)+1)&lt;1,0,IF((124-N(P_L2_Mes)+1)=1,N(P_L2_Monto),DX$104)-DY$103)</f>
        <v>0</v>
      </c>
      <c r="DZ104" s="34" t="n">
        <f aca="false">IF((125-N(P_L2_Mes)+1)&lt;1,0,IF((125-N(P_L2_Mes)+1)=1,N(P_L2_Monto),DY$104)-DZ$103)</f>
        <v>0</v>
      </c>
      <c r="EA104" s="34" t="n">
        <f aca="false">IF((126-N(P_L2_Mes)+1)&lt;1,0,IF((126-N(P_L2_Mes)+1)=1,N(P_L2_Monto),DZ$104)-EA$103)</f>
        <v>0</v>
      </c>
      <c r="EB104" s="34" t="n">
        <f aca="false">IF((127-N(P_L2_Mes)+1)&lt;1,0,IF((127-N(P_L2_Mes)+1)=1,N(P_L2_Monto),EA$104)-EB$103)</f>
        <v>0</v>
      </c>
      <c r="EC104" s="34" t="n">
        <f aca="false">IF((128-N(P_L2_Mes)+1)&lt;1,0,IF((128-N(P_L2_Mes)+1)=1,N(P_L2_Monto),EB$104)-EC$103)</f>
        <v>0</v>
      </c>
      <c r="ED104" s="34" t="n">
        <f aca="false">IF((129-N(P_L2_Mes)+1)&lt;1,0,IF((129-N(P_L2_Mes)+1)=1,N(P_L2_Monto),EC$104)-ED$103)</f>
        <v>0</v>
      </c>
      <c r="EE104" s="34" t="n">
        <f aca="false">IF((130-N(P_L2_Mes)+1)&lt;1,0,IF((130-N(P_L2_Mes)+1)=1,N(P_L2_Monto),ED$104)-EE$103)</f>
        <v>0</v>
      </c>
      <c r="EF104" s="34" t="n">
        <f aca="false">IF((131-N(P_L2_Mes)+1)&lt;1,0,IF((131-N(P_L2_Mes)+1)=1,N(P_L2_Monto),EE$104)-EF$103)</f>
        <v>0</v>
      </c>
      <c r="EG104" s="34" t="n">
        <f aca="false">IF((132-N(P_L2_Mes)+1)&lt;1,0,IF((132-N(P_L2_Mes)+1)=1,N(P_L2_Monto),EF$104)-EG$103)</f>
        <v>0</v>
      </c>
      <c r="EH104" s="34" t="n">
        <f aca="false">IF((133-N(P_L2_Mes)+1)&lt;1,0,IF((133-N(P_L2_Mes)+1)=1,N(P_L2_Monto),EG$104)-EH$103)</f>
        <v>0</v>
      </c>
      <c r="EI104" s="34" t="n">
        <f aca="false">IF((134-N(P_L2_Mes)+1)&lt;1,0,IF((134-N(P_L2_Mes)+1)=1,N(P_L2_Monto),EH$104)-EI$103)</f>
        <v>0</v>
      </c>
      <c r="EJ104" s="34" t="n">
        <f aca="false">IF((135-N(P_L2_Mes)+1)&lt;1,0,IF((135-N(P_L2_Mes)+1)=1,N(P_L2_Monto),EI$104)-EJ$103)</f>
        <v>0</v>
      </c>
      <c r="EK104" s="34" t="n">
        <f aca="false">IF((136-N(P_L2_Mes)+1)&lt;1,0,IF((136-N(P_L2_Mes)+1)=1,N(P_L2_Monto),EJ$104)-EK$103)</f>
        <v>0</v>
      </c>
      <c r="EL104" s="34" t="n">
        <f aca="false">IF((137-N(P_L2_Mes)+1)&lt;1,0,IF((137-N(P_L2_Mes)+1)=1,N(P_L2_Monto),EK$104)-EL$103)</f>
        <v>0</v>
      </c>
      <c r="EM104" s="34" t="n">
        <f aca="false">IF((138-N(P_L2_Mes)+1)&lt;1,0,IF((138-N(P_L2_Mes)+1)=1,N(P_L2_Monto),EL$104)-EM$103)</f>
        <v>0</v>
      </c>
      <c r="EN104" s="34" t="n">
        <f aca="false">IF((139-N(P_L2_Mes)+1)&lt;1,0,IF((139-N(P_L2_Mes)+1)=1,N(P_L2_Monto),EM$104)-EN$103)</f>
        <v>0</v>
      </c>
      <c r="EO104" s="34" t="n">
        <f aca="false">IF((140-N(P_L2_Mes)+1)&lt;1,0,IF((140-N(P_L2_Mes)+1)=1,N(P_L2_Monto),EN$104)-EO$103)</f>
        <v>0</v>
      </c>
      <c r="EP104" s="34" t="n">
        <f aca="false">IF((141-N(P_L2_Mes)+1)&lt;1,0,IF((141-N(P_L2_Mes)+1)=1,N(P_L2_Monto),EO$104)-EP$103)</f>
        <v>0</v>
      </c>
      <c r="EQ104" s="34" t="n">
        <f aca="false">IF((142-N(P_L2_Mes)+1)&lt;1,0,IF((142-N(P_L2_Mes)+1)=1,N(P_L2_Monto),EP$104)-EQ$103)</f>
        <v>0</v>
      </c>
      <c r="ER104" s="34" t="n">
        <f aca="false">IF((143-N(P_L2_Mes)+1)&lt;1,0,IF((143-N(P_L2_Mes)+1)=1,N(P_L2_Monto),EQ$104)-ER$103)</f>
        <v>0</v>
      </c>
      <c r="ES104" s="34" t="n">
        <f aca="false">IF((144-N(P_L2_Mes)+1)&lt;1,0,IF((144-N(P_L2_Mes)+1)=1,N(P_L2_Monto),ER$104)-ES$103)</f>
        <v>0</v>
      </c>
    </row>
    <row r="105" customFormat="false" ht="15" hidden="false" customHeight="false" outlineLevel="0" collapsed="false">
      <c r="A105" s="2" t="s">
        <v>693</v>
      </c>
      <c r="B105" s="6" t="s">
        <v>694</v>
      </c>
      <c r="C105" s="6" t="s">
        <v>250</v>
      </c>
      <c r="E105" s="40" t="n">
        <f aca="false">SUM(F105:ES105)</f>
        <v>0</v>
      </c>
      <c r="F105" s="34" t="n">
        <f aca="false">IF((1-N(P_L3_Mes)+1)=1,N(P_L3_Monto),0)*F$9</f>
        <v>0</v>
      </c>
      <c r="G105" s="34" t="n">
        <f aca="false">IF((2-N(P_L3_Mes)+1)=1,N(P_L3_Monto),0)*G$9</f>
        <v>0</v>
      </c>
      <c r="H105" s="34" t="n">
        <f aca="false">IF((3-N(P_L3_Mes)+1)=1,N(P_L3_Monto),0)*H$9</f>
        <v>0</v>
      </c>
      <c r="I105" s="34" t="n">
        <f aca="false">IF((4-N(P_L3_Mes)+1)=1,N(P_L3_Monto),0)*I$9</f>
        <v>0</v>
      </c>
      <c r="J105" s="34" t="n">
        <f aca="false">IF((5-N(P_L3_Mes)+1)=1,N(P_L3_Monto),0)*J$9</f>
        <v>0</v>
      </c>
      <c r="K105" s="34" t="n">
        <f aca="false">IF((6-N(P_L3_Mes)+1)=1,N(P_L3_Monto),0)*K$9</f>
        <v>0</v>
      </c>
      <c r="L105" s="34" t="n">
        <f aca="false">IF((7-N(P_L3_Mes)+1)=1,N(P_L3_Monto),0)*L$9</f>
        <v>0</v>
      </c>
      <c r="M105" s="34" t="n">
        <f aca="false">IF((8-N(P_L3_Mes)+1)=1,N(P_L3_Monto),0)*M$9</f>
        <v>0</v>
      </c>
      <c r="N105" s="34" t="n">
        <f aca="false">IF((9-N(P_L3_Mes)+1)=1,N(P_L3_Monto),0)*N$9</f>
        <v>0</v>
      </c>
      <c r="O105" s="34" t="n">
        <f aca="false">IF((10-N(P_L3_Mes)+1)=1,N(P_L3_Monto),0)*O$9</f>
        <v>0</v>
      </c>
      <c r="P105" s="34" t="n">
        <f aca="false">IF((11-N(P_L3_Mes)+1)=1,N(P_L3_Monto),0)*P$9</f>
        <v>0</v>
      </c>
      <c r="Q105" s="34" t="n">
        <f aca="false">IF((12-N(P_L3_Mes)+1)=1,N(P_L3_Monto),0)*Q$9</f>
        <v>0</v>
      </c>
      <c r="R105" s="34" t="n">
        <f aca="false">IF((13-N(P_L3_Mes)+1)=1,N(P_L3_Monto),0)*R$9</f>
        <v>0</v>
      </c>
      <c r="S105" s="34" t="n">
        <f aca="false">IF((14-N(P_L3_Mes)+1)=1,N(P_L3_Monto),0)*S$9</f>
        <v>0</v>
      </c>
      <c r="T105" s="34" t="n">
        <f aca="false">IF((15-N(P_L3_Mes)+1)=1,N(P_L3_Monto),0)*T$9</f>
        <v>0</v>
      </c>
      <c r="U105" s="34" t="n">
        <f aca="false">IF((16-N(P_L3_Mes)+1)=1,N(P_L3_Monto),0)*U$9</f>
        <v>0</v>
      </c>
      <c r="V105" s="34" t="n">
        <f aca="false">IF((17-N(P_L3_Mes)+1)=1,N(P_L3_Monto),0)*V$9</f>
        <v>0</v>
      </c>
      <c r="W105" s="34" t="n">
        <f aca="false">IF((18-N(P_L3_Mes)+1)=1,N(P_L3_Monto),0)*W$9</f>
        <v>0</v>
      </c>
      <c r="X105" s="34" t="n">
        <f aca="false">IF((19-N(P_L3_Mes)+1)=1,N(P_L3_Monto),0)*X$9</f>
        <v>0</v>
      </c>
      <c r="Y105" s="34" t="n">
        <f aca="false">IF((20-N(P_L3_Mes)+1)=1,N(P_L3_Monto),0)*Y$9</f>
        <v>0</v>
      </c>
      <c r="Z105" s="34" t="n">
        <f aca="false">IF((21-N(P_L3_Mes)+1)=1,N(P_L3_Monto),0)*Z$9</f>
        <v>0</v>
      </c>
      <c r="AA105" s="34" t="n">
        <f aca="false">IF((22-N(P_L3_Mes)+1)=1,N(P_L3_Monto),0)*AA$9</f>
        <v>0</v>
      </c>
      <c r="AB105" s="34" t="n">
        <f aca="false">IF((23-N(P_L3_Mes)+1)=1,N(P_L3_Monto),0)*AB$9</f>
        <v>0</v>
      </c>
      <c r="AC105" s="34" t="n">
        <f aca="false">IF((24-N(P_L3_Mes)+1)=1,N(P_L3_Monto),0)*AC$9</f>
        <v>0</v>
      </c>
      <c r="AD105" s="34" t="n">
        <f aca="false">IF((25-N(P_L3_Mes)+1)=1,N(P_L3_Monto),0)*AD$9</f>
        <v>0</v>
      </c>
      <c r="AE105" s="34" t="n">
        <f aca="false">IF((26-N(P_L3_Mes)+1)=1,N(P_L3_Monto),0)*AE$9</f>
        <v>0</v>
      </c>
      <c r="AF105" s="34" t="n">
        <f aca="false">IF((27-N(P_L3_Mes)+1)=1,N(P_L3_Monto),0)*AF$9</f>
        <v>0</v>
      </c>
      <c r="AG105" s="34" t="n">
        <f aca="false">IF((28-N(P_L3_Mes)+1)=1,N(P_L3_Monto),0)*AG$9</f>
        <v>0</v>
      </c>
      <c r="AH105" s="34" t="n">
        <f aca="false">IF((29-N(P_L3_Mes)+1)=1,N(P_L3_Monto),0)*AH$9</f>
        <v>0</v>
      </c>
      <c r="AI105" s="34" t="n">
        <f aca="false">IF((30-N(P_L3_Mes)+1)=1,N(P_L3_Monto),0)*AI$9</f>
        <v>0</v>
      </c>
      <c r="AJ105" s="34" t="n">
        <f aca="false">IF((31-N(P_L3_Mes)+1)=1,N(P_L3_Monto),0)*AJ$9</f>
        <v>0</v>
      </c>
      <c r="AK105" s="34" t="n">
        <f aca="false">IF((32-N(P_L3_Mes)+1)=1,N(P_L3_Monto),0)*AK$9</f>
        <v>0</v>
      </c>
      <c r="AL105" s="34" t="n">
        <f aca="false">IF((33-N(P_L3_Mes)+1)=1,N(P_L3_Monto),0)*AL$9</f>
        <v>0</v>
      </c>
      <c r="AM105" s="34" t="n">
        <f aca="false">IF((34-N(P_L3_Mes)+1)=1,N(P_L3_Monto),0)*AM$9</f>
        <v>0</v>
      </c>
      <c r="AN105" s="34" t="n">
        <f aca="false">IF((35-N(P_L3_Mes)+1)=1,N(P_L3_Monto),0)*AN$9</f>
        <v>0</v>
      </c>
      <c r="AO105" s="34" t="n">
        <f aca="false">IF((36-N(P_L3_Mes)+1)=1,N(P_L3_Monto),0)*AO$9</f>
        <v>0</v>
      </c>
      <c r="AP105" s="34" t="n">
        <f aca="false">IF((37-N(P_L3_Mes)+1)=1,N(P_L3_Monto),0)*AP$9</f>
        <v>0</v>
      </c>
      <c r="AQ105" s="34" t="n">
        <f aca="false">IF((38-N(P_L3_Mes)+1)=1,N(P_L3_Monto),0)*AQ$9</f>
        <v>0</v>
      </c>
      <c r="AR105" s="34" t="n">
        <f aca="false">IF((39-N(P_L3_Mes)+1)=1,N(P_L3_Monto),0)*AR$9</f>
        <v>0</v>
      </c>
      <c r="AS105" s="34" t="n">
        <f aca="false">IF((40-N(P_L3_Mes)+1)=1,N(P_L3_Monto),0)*AS$9</f>
        <v>0</v>
      </c>
      <c r="AT105" s="34" t="n">
        <f aca="false">IF((41-N(P_L3_Mes)+1)=1,N(P_L3_Monto),0)*AT$9</f>
        <v>0</v>
      </c>
      <c r="AU105" s="34" t="n">
        <f aca="false">IF((42-N(P_L3_Mes)+1)=1,N(P_L3_Monto),0)*AU$9</f>
        <v>0</v>
      </c>
      <c r="AV105" s="34" t="n">
        <f aca="false">IF((43-N(P_L3_Mes)+1)=1,N(P_L3_Monto),0)*AV$9</f>
        <v>0</v>
      </c>
      <c r="AW105" s="34" t="n">
        <f aca="false">IF((44-N(P_L3_Mes)+1)=1,N(P_L3_Monto),0)*AW$9</f>
        <v>0</v>
      </c>
      <c r="AX105" s="34" t="n">
        <f aca="false">IF((45-N(P_L3_Mes)+1)=1,N(P_L3_Monto),0)*AX$9</f>
        <v>0</v>
      </c>
      <c r="AY105" s="34" t="n">
        <f aca="false">IF((46-N(P_L3_Mes)+1)=1,N(P_L3_Monto),0)*AY$9</f>
        <v>0</v>
      </c>
      <c r="AZ105" s="34" t="n">
        <f aca="false">IF((47-N(P_L3_Mes)+1)=1,N(P_L3_Monto),0)*AZ$9</f>
        <v>0</v>
      </c>
      <c r="BA105" s="34" t="n">
        <f aca="false">IF((48-N(P_L3_Mes)+1)=1,N(P_L3_Monto),0)*BA$9</f>
        <v>0</v>
      </c>
      <c r="BB105" s="34" t="n">
        <f aca="false">IF((49-N(P_L3_Mes)+1)=1,N(P_L3_Monto),0)*BB$9</f>
        <v>0</v>
      </c>
      <c r="BC105" s="34" t="n">
        <f aca="false">IF((50-N(P_L3_Mes)+1)=1,N(P_L3_Monto),0)*BC$9</f>
        <v>0</v>
      </c>
      <c r="BD105" s="34" t="n">
        <f aca="false">IF((51-N(P_L3_Mes)+1)=1,N(P_L3_Monto),0)*BD$9</f>
        <v>0</v>
      </c>
      <c r="BE105" s="34" t="n">
        <f aca="false">IF((52-N(P_L3_Mes)+1)=1,N(P_L3_Monto),0)*BE$9</f>
        <v>0</v>
      </c>
      <c r="BF105" s="34" t="n">
        <f aca="false">IF((53-N(P_L3_Mes)+1)=1,N(P_L3_Monto),0)*BF$9</f>
        <v>0</v>
      </c>
      <c r="BG105" s="34" t="n">
        <f aca="false">IF((54-N(P_L3_Mes)+1)=1,N(P_L3_Monto),0)*BG$9</f>
        <v>0</v>
      </c>
      <c r="BH105" s="34" t="n">
        <f aca="false">IF((55-N(P_L3_Mes)+1)=1,N(P_L3_Monto),0)*BH$9</f>
        <v>0</v>
      </c>
      <c r="BI105" s="34" t="n">
        <f aca="false">IF((56-N(P_L3_Mes)+1)=1,N(P_L3_Monto),0)*BI$9</f>
        <v>0</v>
      </c>
      <c r="BJ105" s="34" t="n">
        <f aca="false">IF((57-N(P_L3_Mes)+1)=1,N(P_L3_Monto),0)*BJ$9</f>
        <v>0</v>
      </c>
      <c r="BK105" s="34" t="n">
        <f aca="false">IF((58-N(P_L3_Mes)+1)=1,N(P_L3_Monto),0)*BK$9</f>
        <v>0</v>
      </c>
      <c r="BL105" s="34" t="n">
        <f aca="false">IF((59-N(P_L3_Mes)+1)=1,N(P_L3_Monto),0)*BL$9</f>
        <v>0</v>
      </c>
      <c r="BM105" s="34" t="n">
        <f aca="false">IF((60-N(P_L3_Mes)+1)=1,N(P_L3_Monto),0)*BM$9</f>
        <v>0</v>
      </c>
      <c r="BN105" s="34" t="n">
        <f aca="false">IF((61-N(P_L3_Mes)+1)=1,N(P_L3_Monto),0)*BN$9</f>
        <v>0</v>
      </c>
      <c r="BO105" s="34" t="n">
        <f aca="false">IF((62-N(P_L3_Mes)+1)=1,N(P_L3_Monto),0)*BO$9</f>
        <v>0</v>
      </c>
      <c r="BP105" s="34" t="n">
        <f aca="false">IF((63-N(P_L3_Mes)+1)=1,N(P_L3_Monto),0)*BP$9</f>
        <v>0</v>
      </c>
      <c r="BQ105" s="34" t="n">
        <f aca="false">IF((64-N(P_L3_Mes)+1)=1,N(P_L3_Monto),0)*BQ$9</f>
        <v>0</v>
      </c>
      <c r="BR105" s="34" t="n">
        <f aca="false">IF((65-N(P_L3_Mes)+1)=1,N(P_L3_Monto),0)*BR$9</f>
        <v>0</v>
      </c>
      <c r="BS105" s="34" t="n">
        <f aca="false">IF((66-N(P_L3_Mes)+1)=1,N(P_L3_Monto),0)*BS$9</f>
        <v>0</v>
      </c>
      <c r="BT105" s="34" t="n">
        <f aca="false">IF((67-N(P_L3_Mes)+1)=1,N(P_L3_Monto),0)*BT$9</f>
        <v>0</v>
      </c>
      <c r="BU105" s="34" t="n">
        <f aca="false">IF((68-N(P_L3_Mes)+1)=1,N(P_L3_Monto),0)*BU$9</f>
        <v>0</v>
      </c>
      <c r="BV105" s="34" t="n">
        <f aca="false">IF((69-N(P_L3_Mes)+1)=1,N(P_L3_Monto),0)*BV$9</f>
        <v>0</v>
      </c>
      <c r="BW105" s="34" t="n">
        <f aca="false">IF((70-N(P_L3_Mes)+1)=1,N(P_L3_Monto),0)*BW$9</f>
        <v>0</v>
      </c>
      <c r="BX105" s="34" t="n">
        <f aca="false">IF((71-N(P_L3_Mes)+1)=1,N(P_L3_Monto),0)*BX$9</f>
        <v>0</v>
      </c>
      <c r="BY105" s="34" t="n">
        <f aca="false">IF((72-N(P_L3_Mes)+1)=1,N(P_L3_Monto),0)*BY$9</f>
        <v>0</v>
      </c>
      <c r="BZ105" s="34" t="n">
        <f aca="false">IF((73-N(P_L3_Mes)+1)=1,N(P_L3_Monto),0)*BZ$9</f>
        <v>0</v>
      </c>
      <c r="CA105" s="34" t="n">
        <f aca="false">IF((74-N(P_L3_Mes)+1)=1,N(P_L3_Monto),0)*CA$9</f>
        <v>0</v>
      </c>
      <c r="CB105" s="34" t="n">
        <f aca="false">IF((75-N(P_L3_Mes)+1)=1,N(P_L3_Monto),0)*CB$9</f>
        <v>0</v>
      </c>
      <c r="CC105" s="34" t="n">
        <f aca="false">IF((76-N(P_L3_Mes)+1)=1,N(P_L3_Monto),0)*CC$9</f>
        <v>0</v>
      </c>
      <c r="CD105" s="34" t="n">
        <f aca="false">IF((77-N(P_L3_Mes)+1)=1,N(P_L3_Monto),0)*CD$9</f>
        <v>0</v>
      </c>
      <c r="CE105" s="34" t="n">
        <f aca="false">IF((78-N(P_L3_Mes)+1)=1,N(P_L3_Monto),0)*CE$9</f>
        <v>0</v>
      </c>
      <c r="CF105" s="34" t="n">
        <f aca="false">IF((79-N(P_L3_Mes)+1)=1,N(P_L3_Monto),0)*CF$9</f>
        <v>0</v>
      </c>
      <c r="CG105" s="34" t="n">
        <f aca="false">IF((80-N(P_L3_Mes)+1)=1,N(P_L3_Monto),0)*CG$9</f>
        <v>0</v>
      </c>
      <c r="CH105" s="34" t="n">
        <f aca="false">IF((81-N(P_L3_Mes)+1)=1,N(P_L3_Monto),0)*CH$9</f>
        <v>0</v>
      </c>
      <c r="CI105" s="34" t="n">
        <f aca="false">IF((82-N(P_L3_Mes)+1)=1,N(P_L3_Monto),0)*CI$9</f>
        <v>0</v>
      </c>
      <c r="CJ105" s="34" t="n">
        <f aca="false">IF((83-N(P_L3_Mes)+1)=1,N(P_L3_Monto),0)*CJ$9</f>
        <v>0</v>
      </c>
      <c r="CK105" s="34" t="n">
        <f aca="false">IF((84-N(P_L3_Mes)+1)=1,N(P_L3_Monto),0)*CK$9</f>
        <v>0</v>
      </c>
      <c r="CL105" s="34" t="n">
        <f aca="false">IF((85-N(P_L3_Mes)+1)=1,N(P_L3_Monto),0)*CL$9</f>
        <v>0</v>
      </c>
      <c r="CM105" s="34" t="n">
        <f aca="false">IF((86-N(P_L3_Mes)+1)=1,N(P_L3_Monto),0)*CM$9</f>
        <v>0</v>
      </c>
      <c r="CN105" s="34" t="n">
        <f aca="false">IF((87-N(P_L3_Mes)+1)=1,N(P_L3_Monto),0)*CN$9</f>
        <v>0</v>
      </c>
      <c r="CO105" s="34" t="n">
        <f aca="false">IF((88-N(P_L3_Mes)+1)=1,N(P_L3_Monto),0)*CO$9</f>
        <v>0</v>
      </c>
      <c r="CP105" s="34" t="n">
        <f aca="false">IF((89-N(P_L3_Mes)+1)=1,N(P_L3_Monto),0)*CP$9</f>
        <v>0</v>
      </c>
      <c r="CQ105" s="34" t="n">
        <f aca="false">IF((90-N(P_L3_Mes)+1)=1,N(P_L3_Monto),0)*CQ$9</f>
        <v>0</v>
      </c>
      <c r="CR105" s="34" t="n">
        <f aca="false">IF((91-N(P_L3_Mes)+1)=1,N(P_L3_Monto),0)*CR$9</f>
        <v>0</v>
      </c>
      <c r="CS105" s="34" t="n">
        <f aca="false">IF((92-N(P_L3_Mes)+1)=1,N(P_L3_Monto),0)*CS$9</f>
        <v>0</v>
      </c>
      <c r="CT105" s="34" t="n">
        <f aca="false">IF((93-N(P_L3_Mes)+1)=1,N(P_L3_Monto),0)*CT$9</f>
        <v>0</v>
      </c>
      <c r="CU105" s="34" t="n">
        <f aca="false">IF((94-N(P_L3_Mes)+1)=1,N(P_L3_Monto),0)*CU$9</f>
        <v>0</v>
      </c>
      <c r="CV105" s="34" t="n">
        <f aca="false">IF((95-N(P_L3_Mes)+1)=1,N(P_L3_Monto),0)*CV$9</f>
        <v>0</v>
      </c>
      <c r="CW105" s="34" t="n">
        <f aca="false">IF((96-N(P_L3_Mes)+1)=1,N(P_L3_Monto),0)*CW$9</f>
        <v>0</v>
      </c>
      <c r="CX105" s="34" t="n">
        <f aca="false">IF((97-N(P_L3_Mes)+1)=1,N(P_L3_Monto),0)*CX$9</f>
        <v>0</v>
      </c>
      <c r="CY105" s="34" t="n">
        <f aca="false">IF((98-N(P_L3_Mes)+1)=1,N(P_L3_Monto),0)*CY$9</f>
        <v>0</v>
      </c>
      <c r="CZ105" s="34" t="n">
        <f aca="false">IF((99-N(P_L3_Mes)+1)=1,N(P_L3_Monto),0)*CZ$9</f>
        <v>0</v>
      </c>
      <c r="DA105" s="34" t="n">
        <f aca="false">IF((100-N(P_L3_Mes)+1)=1,N(P_L3_Monto),0)*DA$9</f>
        <v>0</v>
      </c>
      <c r="DB105" s="34" t="n">
        <f aca="false">IF((101-N(P_L3_Mes)+1)=1,N(P_L3_Monto),0)*DB$9</f>
        <v>0</v>
      </c>
      <c r="DC105" s="34" t="n">
        <f aca="false">IF((102-N(P_L3_Mes)+1)=1,N(P_L3_Monto),0)*DC$9</f>
        <v>0</v>
      </c>
      <c r="DD105" s="34" t="n">
        <f aca="false">IF((103-N(P_L3_Mes)+1)=1,N(P_L3_Monto),0)*DD$9</f>
        <v>0</v>
      </c>
      <c r="DE105" s="34" t="n">
        <f aca="false">IF((104-N(P_L3_Mes)+1)=1,N(P_L3_Monto),0)*DE$9</f>
        <v>0</v>
      </c>
      <c r="DF105" s="34" t="n">
        <f aca="false">IF((105-N(P_L3_Mes)+1)=1,N(P_L3_Monto),0)*DF$9</f>
        <v>0</v>
      </c>
      <c r="DG105" s="34" t="n">
        <f aca="false">IF((106-N(P_L3_Mes)+1)=1,N(P_L3_Monto),0)*DG$9</f>
        <v>0</v>
      </c>
      <c r="DH105" s="34" t="n">
        <f aca="false">IF((107-N(P_L3_Mes)+1)=1,N(P_L3_Monto),0)*DH$9</f>
        <v>0</v>
      </c>
      <c r="DI105" s="34" t="n">
        <f aca="false">IF((108-N(P_L3_Mes)+1)=1,N(P_L3_Monto),0)*DI$9</f>
        <v>0</v>
      </c>
      <c r="DJ105" s="34" t="n">
        <f aca="false">IF((109-N(P_L3_Mes)+1)=1,N(P_L3_Monto),0)*DJ$9</f>
        <v>0</v>
      </c>
      <c r="DK105" s="34" t="n">
        <f aca="false">IF((110-N(P_L3_Mes)+1)=1,N(P_L3_Monto),0)*DK$9</f>
        <v>0</v>
      </c>
      <c r="DL105" s="34" t="n">
        <f aca="false">IF((111-N(P_L3_Mes)+1)=1,N(P_L3_Monto),0)*DL$9</f>
        <v>0</v>
      </c>
      <c r="DM105" s="34" t="n">
        <f aca="false">IF((112-N(P_L3_Mes)+1)=1,N(P_L3_Monto),0)*DM$9</f>
        <v>0</v>
      </c>
      <c r="DN105" s="34" t="n">
        <f aca="false">IF((113-N(P_L3_Mes)+1)=1,N(P_L3_Monto),0)*DN$9</f>
        <v>0</v>
      </c>
      <c r="DO105" s="34" t="n">
        <f aca="false">IF((114-N(P_L3_Mes)+1)=1,N(P_L3_Monto),0)*DO$9</f>
        <v>0</v>
      </c>
      <c r="DP105" s="34" t="n">
        <f aca="false">IF((115-N(P_L3_Mes)+1)=1,N(P_L3_Monto),0)*DP$9</f>
        <v>0</v>
      </c>
      <c r="DQ105" s="34" t="n">
        <f aca="false">IF((116-N(P_L3_Mes)+1)=1,N(P_L3_Monto),0)*DQ$9</f>
        <v>0</v>
      </c>
      <c r="DR105" s="34" t="n">
        <f aca="false">IF((117-N(P_L3_Mes)+1)=1,N(P_L3_Monto),0)*DR$9</f>
        <v>0</v>
      </c>
      <c r="DS105" s="34" t="n">
        <f aca="false">IF((118-N(P_L3_Mes)+1)=1,N(P_L3_Monto),0)*DS$9</f>
        <v>0</v>
      </c>
      <c r="DT105" s="34" t="n">
        <f aca="false">IF((119-N(P_L3_Mes)+1)=1,N(P_L3_Monto),0)*DT$9</f>
        <v>0</v>
      </c>
      <c r="DU105" s="34" t="n">
        <f aca="false">IF((120-N(P_L3_Mes)+1)=1,N(P_L3_Monto),0)*DU$9</f>
        <v>0</v>
      </c>
      <c r="DV105" s="34" t="n">
        <f aca="false">IF((121-N(P_L3_Mes)+1)=1,N(P_L3_Monto),0)*DV$9</f>
        <v>0</v>
      </c>
      <c r="DW105" s="34" t="n">
        <f aca="false">IF((122-N(P_L3_Mes)+1)=1,N(P_L3_Monto),0)*DW$9</f>
        <v>0</v>
      </c>
      <c r="DX105" s="34" t="n">
        <f aca="false">IF((123-N(P_L3_Mes)+1)=1,N(P_L3_Monto),0)*DX$9</f>
        <v>0</v>
      </c>
      <c r="DY105" s="34" t="n">
        <f aca="false">IF((124-N(P_L3_Mes)+1)=1,N(P_L3_Monto),0)*DY$9</f>
        <v>0</v>
      </c>
      <c r="DZ105" s="34" t="n">
        <f aca="false">IF((125-N(P_L3_Mes)+1)=1,N(P_L3_Monto),0)*DZ$9</f>
        <v>0</v>
      </c>
      <c r="EA105" s="34" t="n">
        <f aca="false">IF((126-N(P_L3_Mes)+1)=1,N(P_L3_Monto),0)*EA$9</f>
        <v>0</v>
      </c>
      <c r="EB105" s="34" t="n">
        <f aca="false">IF((127-N(P_L3_Mes)+1)=1,N(P_L3_Monto),0)*EB$9</f>
        <v>0</v>
      </c>
      <c r="EC105" s="34" t="n">
        <f aca="false">IF((128-N(P_L3_Mes)+1)=1,N(P_L3_Monto),0)*EC$9</f>
        <v>0</v>
      </c>
      <c r="ED105" s="34" t="n">
        <f aca="false">IF((129-N(P_L3_Mes)+1)=1,N(P_L3_Monto),0)*ED$9</f>
        <v>0</v>
      </c>
      <c r="EE105" s="34" t="n">
        <f aca="false">IF((130-N(P_L3_Mes)+1)=1,N(P_L3_Monto),0)*EE$9</f>
        <v>0</v>
      </c>
      <c r="EF105" s="34" t="n">
        <f aca="false">IF((131-N(P_L3_Mes)+1)=1,N(P_L3_Monto),0)*EF$9</f>
        <v>0</v>
      </c>
      <c r="EG105" s="34" t="n">
        <f aca="false">IF((132-N(P_L3_Mes)+1)=1,N(P_L3_Monto),0)*EG$9</f>
        <v>0</v>
      </c>
      <c r="EH105" s="34" t="n">
        <f aca="false">IF((133-N(P_L3_Mes)+1)=1,N(P_L3_Monto),0)*EH$9</f>
        <v>0</v>
      </c>
      <c r="EI105" s="34" t="n">
        <f aca="false">IF((134-N(P_L3_Mes)+1)=1,N(P_L3_Monto),0)*EI$9</f>
        <v>0</v>
      </c>
      <c r="EJ105" s="34" t="n">
        <f aca="false">IF((135-N(P_L3_Mes)+1)=1,N(P_L3_Monto),0)*EJ$9</f>
        <v>0</v>
      </c>
      <c r="EK105" s="34" t="n">
        <f aca="false">IF((136-N(P_L3_Mes)+1)=1,N(P_L3_Monto),0)*EK$9</f>
        <v>0</v>
      </c>
      <c r="EL105" s="34" t="n">
        <f aca="false">IF((137-N(P_L3_Mes)+1)=1,N(P_L3_Monto),0)*EL$9</f>
        <v>0</v>
      </c>
      <c r="EM105" s="34" t="n">
        <f aca="false">IF((138-N(P_L3_Mes)+1)=1,N(P_L3_Monto),0)*EM$9</f>
        <v>0</v>
      </c>
      <c r="EN105" s="34" t="n">
        <f aca="false">IF((139-N(P_L3_Mes)+1)=1,N(P_L3_Monto),0)*EN$9</f>
        <v>0</v>
      </c>
      <c r="EO105" s="34" t="n">
        <f aca="false">IF((140-N(P_L3_Mes)+1)=1,N(P_L3_Monto),0)*EO$9</f>
        <v>0</v>
      </c>
      <c r="EP105" s="34" t="n">
        <f aca="false">IF((141-N(P_L3_Mes)+1)=1,N(P_L3_Monto),0)*EP$9</f>
        <v>0</v>
      </c>
      <c r="EQ105" s="34" t="n">
        <f aca="false">IF((142-N(P_L3_Mes)+1)=1,N(P_L3_Monto),0)*EQ$9</f>
        <v>0</v>
      </c>
      <c r="ER105" s="34" t="n">
        <f aca="false">IF((143-N(P_L3_Mes)+1)=1,N(P_L3_Monto),0)*ER$9</f>
        <v>0</v>
      </c>
      <c r="ES105" s="34" t="n">
        <f aca="false">IF((144-N(P_L3_Mes)+1)=1,N(P_L3_Monto),0)*ES$9</f>
        <v>0</v>
      </c>
    </row>
    <row r="106" customFormat="false" ht="15" hidden="false" customHeight="false" outlineLevel="0" collapsed="false">
      <c r="A106" s="2" t="s">
        <v>695</v>
      </c>
      <c r="B106" s="6" t="s">
        <v>696</v>
      </c>
      <c r="C106" s="6" t="s">
        <v>250</v>
      </c>
      <c r="E106" s="40" t="n">
        <f aca="false">SUM(F106:ES106)</f>
        <v>0</v>
      </c>
      <c r="F106" s="34" t="n">
        <f aca="false">IF((1-N(P_L3_Mes)+1)&gt;=1,IF((1-N(P_L3_Mes)+1)=1,N(P_L3_Monto),0)*N(P_L3_Tasa)/12,0)*F$9</f>
        <v>0</v>
      </c>
      <c r="G106" s="34" t="n">
        <f aca="false">IF((2-N(P_L3_Mes)+1)&gt;=1,IF((2-N(P_L3_Mes)+1)=1,N(P_L3_Monto),F$108)*N(P_L3_Tasa)/12,0)*G$9</f>
        <v>0</v>
      </c>
      <c r="H106" s="34" t="n">
        <f aca="false">IF((3-N(P_L3_Mes)+1)&gt;=1,IF((3-N(P_L3_Mes)+1)=1,N(P_L3_Monto),G$108)*N(P_L3_Tasa)/12,0)*H$9</f>
        <v>0</v>
      </c>
      <c r="I106" s="34" t="n">
        <f aca="false">IF((4-N(P_L3_Mes)+1)&gt;=1,IF((4-N(P_L3_Mes)+1)=1,N(P_L3_Monto),H$108)*N(P_L3_Tasa)/12,0)*I$9</f>
        <v>0</v>
      </c>
      <c r="J106" s="34" t="n">
        <f aca="false">IF((5-N(P_L3_Mes)+1)&gt;=1,IF((5-N(P_L3_Mes)+1)=1,N(P_L3_Monto),I$108)*N(P_L3_Tasa)/12,0)*J$9</f>
        <v>0</v>
      </c>
      <c r="K106" s="34" t="n">
        <f aca="false">IF((6-N(P_L3_Mes)+1)&gt;=1,IF((6-N(P_L3_Mes)+1)=1,N(P_L3_Monto),J$108)*N(P_L3_Tasa)/12,0)*K$9</f>
        <v>0</v>
      </c>
      <c r="L106" s="34" t="n">
        <f aca="false">IF((7-N(P_L3_Mes)+1)&gt;=1,IF((7-N(P_L3_Mes)+1)=1,N(P_L3_Monto),K$108)*N(P_L3_Tasa)/12,0)*L$9</f>
        <v>0</v>
      </c>
      <c r="M106" s="34" t="n">
        <f aca="false">IF((8-N(P_L3_Mes)+1)&gt;=1,IF((8-N(P_L3_Mes)+1)=1,N(P_L3_Monto),L$108)*N(P_L3_Tasa)/12,0)*M$9</f>
        <v>0</v>
      </c>
      <c r="N106" s="34" t="n">
        <f aca="false">IF((9-N(P_L3_Mes)+1)&gt;=1,IF((9-N(P_L3_Mes)+1)=1,N(P_L3_Monto),M$108)*N(P_L3_Tasa)/12,0)*N$9</f>
        <v>0</v>
      </c>
      <c r="O106" s="34" t="n">
        <f aca="false">IF((10-N(P_L3_Mes)+1)&gt;=1,IF((10-N(P_L3_Mes)+1)=1,N(P_L3_Monto),N$108)*N(P_L3_Tasa)/12,0)*O$9</f>
        <v>0</v>
      </c>
      <c r="P106" s="34" t="n">
        <f aca="false">IF((11-N(P_L3_Mes)+1)&gt;=1,IF((11-N(P_L3_Mes)+1)=1,N(P_L3_Monto),O$108)*N(P_L3_Tasa)/12,0)*P$9</f>
        <v>0</v>
      </c>
      <c r="Q106" s="34" t="n">
        <f aca="false">IF((12-N(P_L3_Mes)+1)&gt;=1,IF((12-N(P_L3_Mes)+1)=1,N(P_L3_Monto),P$108)*N(P_L3_Tasa)/12,0)*Q$9</f>
        <v>0</v>
      </c>
      <c r="R106" s="34" t="n">
        <f aca="false">IF((13-N(P_L3_Mes)+1)&gt;=1,IF((13-N(P_L3_Mes)+1)=1,N(P_L3_Monto),Q$108)*N(P_L3_Tasa)/12,0)*R$9</f>
        <v>0</v>
      </c>
      <c r="S106" s="34" t="n">
        <f aca="false">IF((14-N(P_L3_Mes)+1)&gt;=1,IF((14-N(P_L3_Mes)+1)=1,N(P_L3_Monto),R$108)*N(P_L3_Tasa)/12,0)*S$9</f>
        <v>0</v>
      </c>
      <c r="T106" s="34" t="n">
        <f aca="false">IF((15-N(P_L3_Mes)+1)&gt;=1,IF((15-N(P_L3_Mes)+1)=1,N(P_L3_Monto),S$108)*N(P_L3_Tasa)/12,0)*T$9</f>
        <v>0</v>
      </c>
      <c r="U106" s="34" t="n">
        <f aca="false">IF((16-N(P_L3_Mes)+1)&gt;=1,IF((16-N(P_L3_Mes)+1)=1,N(P_L3_Monto),T$108)*N(P_L3_Tasa)/12,0)*U$9</f>
        <v>0</v>
      </c>
      <c r="V106" s="34" t="n">
        <f aca="false">IF((17-N(P_L3_Mes)+1)&gt;=1,IF((17-N(P_L3_Mes)+1)=1,N(P_L3_Monto),U$108)*N(P_L3_Tasa)/12,0)*V$9</f>
        <v>0</v>
      </c>
      <c r="W106" s="34" t="n">
        <f aca="false">IF((18-N(P_L3_Mes)+1)&gt;=1,IF((18-N(P_L3_Mes)+1)=1,N(P_L3_Monto),V$108)*N(P_L3_Tasa)/12,0)*W$9</f>
        <v>0</v>
      </c>
      <c r="X106" s="34" t="n">
        <f aca="false">IF((19-N(P_L3_Mes)+1)&gt;=1,IF((19-N(P_L3_Mes)+1)=1,N(P_L3_Monto),W$108)*N(P_L3_Tasa)/12,0)*X$9</f>
        <v>0</v>
      </c>
      <c r="Y106" s="34" t="n">
        <f aca="false">IF((20-N(P_L3_Mes)+1)&gt;=1,IF((20-N(P_L3_Mes)+1)=1,N(P_L3_Monto),X$108)*N(P_L3_Tasa)/12,0)*Y$9</f>
        <v>0</v>
      </c>
      <c r="Z106" s="34" t="n">
        <f aca="false">IF((21-N(P_L3_Mes)+1)&gt;=1,IF((21-N(P_L3_Mes)+1)=1,N(P_L3_Monto),Y$108)*N(P_L3_Tasa)/12,0)*Z$9</f>
        <v>0</v>
      </c>
      <c r="AA106" s="34" t="n">
        <f aca="false">IF((22-N(P_L3_Mes)+1)&gt;=1,IF((22-N(P_L3_Mes)+1)=1,N(P_L3_Monto),Z$108)*N(P_L3_Tasa)/12,0)*AA$9</f>
        <v>0</v>
      </c>
      <c r="AB106" s="34" t="n">
        <f aca="false">IF((23-N(P_L3_Mes)+1)&gt;=1,IF((23-N(P_L3_Mes)+1)=1,N(P_L3_Monto),AA$108)*N(P_L3_Tasa)/12,0)*AB$9</f>
        <v>0</v>
      </c>
      <c r="AC106" s="34" t="n">
        <f aca="false">IF((24-N(P_L3_Mes)+1)&gt;=1,IF((24-N(P_L3_Mes)+1)=1,N(P_L3_Monto),AB$108)*N(P_L3_Tasa)/12,0)*AC$9</f>
        <v>0</v>
      </c>
      <c r="AD106" s="34" t="n">
        <f aca="false">IF((25-N(P_L3_Mes)+1)&gt;=1,IF((25-N(P_L3_Mes)+1)=1,N(P_L3_Monto),AC$108)*N(P_L3_Tasa)/12,0)*AD$9</f>
        <v>0</v>
      </c>
      <c r="AE106" s="34" t="n">
        <f aca="false">IF((26-N(P_L3_Mes)+1)&gt;=1,IF((26-N(P_L3_Mes)+1)=1,N(P_L3_Monto),AD$108)*N(P_L3_Tasa)/12,0)*AE$9</f>
        <v>0</v>
      </c>
      <c r="AF106" s="34" t="n">
        <f aca="false">IF((27-N(P_L3_Mes)+1)&gt;=1,IF((27-N(P_L3_Mes)+1)=1,N(P_L3_Monto),AE$108)*N(P_L3_Tasa)/12,0)*AF$9</f>
        <v>0</v>
      </c>
      <c r="AG106" s="34" t="n">
        <f aca="false">IF((28-N(P_L3_Mes)+1)&gt;=1,IF((28-N(P_L3_Mes)+1)=1,N(P_L3_Monto),AF$108)*N(P_L3_Tasa)/12,0)*AG$9</f>
        <v>0</v>
      </c>
      <c r="AH106" s="34" t="n">
        <f aca="false">IF((29-N(P_L3_Mes)+1)&gt;=1,IF((29-N(P_L3_Mes)+1)=1,N(P_L3_Monto),AG$108)*N(P_L3_Tasa)/12,0)*AH$9</f>
        <v>0</v>
      </c>
      <c r="AI106" s="34" t="n">
        <f aca="false">IF((30-N(P_L3_Mes)+1)&gt;=1,IF((30-N(P_L3_Mes)+1)=1,N(P_L3_Monto),AH$108)*N(P_L3_Tasa)/12,0)*AI$9</f>
        <v>0</v>
      </c>
      <c r="AJ106" s="34" t="n">
        <f aca="false">IF((31-N(P_L3_Mes)+1)&gt;=1,IF((31-N(P_L3_Mes)+1)=1,N(P_L3_Monto),AI$108)*N(P_L3_Tasa)/12,0)*AJ$9</f>
        <v>0</v>
      </c>
      <c r="AK106" s="34" t="n">
        <f aca="false">IF((32-N(P_L3_Mes)+1)&gt;=1,IF((32-N(P_L3_Mes)+1)=1,N(P_L3_Monto),AJ$108)*N(P_L3_Tasa)/12,0)*AK$9</f>
        <v>0</v>
      </c>
      <c r="AL106" s="34" t="n">
        <f aca="false">IF((33-N(P_L3_Mes)+1)&gt;=1,IF((33-N(P_L3_Mes)+1)=1,N(P_L3_Monto),AK$108)*N(P_L3_Tasa)/12,0)*AL$9</f>
        <v>0</v>
      </c>
      <c r="AM106" s="34" t="n">
        <f aca="false">IF((34-N(P_L3_Mes)+1)&gt;=1,IF((34-N(P_L3_Mes)+1)=1,N(P_L3_Monto),AL$108)*N(P_L3_Tasa)/12,0)*AM$9</f>
        <v>0</v>
      </c>
      <c r="AN106" s="34" t="n">
        <f aca="false">IF((35-N(P_L3_Mes)+1)&gt;=1,IF((35-N(P_L3_Mes)+1)=1,N(P_L3_Monto),AM$108)*N(P_L3_Tasa)/12,0)*AN$9</f>
        <v>0</v>
      </c>
      <c r="AO106" s="34" t="n">
        <f aca="false">IF((36-N(P_L3_Mes)+1)&gt;=1,IF((36-N(P_L3_Mes)+1)=1,N(P_L3_Monto),AN$108)*N(P_L3_Tasa)/12,0)*AO$9</f>
        <v>0</v>
      </c>
      <c r="AP106" s="34" t="n">
        <f aca="false">IF((37-N(P_L3_Mes)+1)&gt;=1,IF((37-N(P_L3_Mes)+1)=1,N(P_L3_Monto),AO$108)*N(P_L3_Tasa)/12,0)*AP$9</f>
        <v>0</v>
      </c>
      <c r="AQ106" s="34" t="n">
        <f aca="false">IF((38-N(P_L3_Mes)+1)&gt;=1,IF((38-N(P_L3_Mes)+1)=1,N(P_L3_Monto),AP$108)*N(P_L3_Tasa)/12,0)*AQ$9</f>
        <v>0</v>
      </c>
      <c r="AR106" s="34" t="n">
        <f aca="false">IF((39-N(P_L3_Mes)+1)&gt;=1,IF((39-N(P_L3_Mes)+1)=1,N(P_L3_Monto),AQ$108)*N(P_L3_Tasa)/12,0)*AR$9</f>
        <v>0</v>
      </c>
      <c r="AS106" s="34" t="n">
        <f aca="false">IF((40-N(P_L3_Mes)+1)&gt;=1,IF((40-N(P_L3_Mes)+1)=1,N(P_L3_Monto),AR$108)*N(P_L3_Tasa)/12,0)*AS$9</f>
        <v>0</v>
      </c>
      <c r="AT106" s="34" t="n">
        <f aca="false">IF((41-N(P_L3_Mes)+1)&gt;=1,IF((41-N(P_L3_Mes)+1)=1,N(P_L3_Monto),AS$108)*N(P_L3_Tasa)/12,0)*AT$9</f>
        <v>0</v>
      </c>
      <c r="AU106" s="34" t="n">
        <f aca="false">IF((42-N(P_L3_Mes)+1)&gt;=1,IF((42-N(P_L3_Mes)+1)=1,N(P_L3_Monto),AT$108)*N(P_L3_Tasa)/12,0)*AU$9</f>
        <v>0</v>
      </c>
      <c r="AV106" s="34" t="n">
        <f aca="false">IF((43-N(P_L3_Mes)+1)&gt;=1,IF((43-N(P_L3_Mes)+1)=1,N(P_L3_Monto),AU$108)*N(P_L3_Tasa)/12,0)*AV$9</f>
        <v>0</v>
      </c>
      <c r="AW106" s="34" t="n">
        <f aca="false">IF((44-N(P_L3_Mes)+1)&gt;=1,IF((44-N(P_L3_Mes)+1)=1,N(P_L3_Monto),AV$108)*N(P_L3_Tasa)/12,0)*AW$9</f>
        <v>0</v>
      </c>
      <c r="AX106" s="34" t="n">
        <f aca="false">IF((45-N(P_L3_Mes)+1)&gt;=1,IF((45-N(P_L3_Mes)+1)=1,N(P_L3_Monto),AW$108)*N(P_L3_Tasa)/12,0)*AX$9</f>
        <v>0</v>
      </c>
      <c r="AY106" s="34" t="n">
        <f aca="false">IF((46-N(P_L3_Mes)+1)&gt;=1,IF((46-N(P_L3_Mes)+1)=1,N(P_L3_Monto),AX$108)*N(P_L3_Tasa)/12,0)*AY$9</f>
        <v>0</v>
      </c>
      <c r="AZ106" s="34" t="n">
        <f aca="false">IF((47-N(P_L3_Mes)+1)&gt;=1,IF((47-N(P_L3_Mes)+1)=1,N(P_L3_Monto),AY$108)*N(P_L3_Tasa)/12,0)*AZ$9</f>
        <v>0</v>
      </c>
      <c r="BA106" s="34" t="n">
        <f aca="false">IF((48-N(P_L3_Mes)+1)&gt;=1,IF((48-N(P_L3_Mes)+1)=1,N(P_L3_Monto),AZ$108)*N(P_L3_Tasa)/12,0)*BA$9</f>
        <v>0</v>
      </c>
      <c r="BB106" s="34" t="n">
        <f aca="false">IF((49-N(P_L3_Mes)+1)&gt;=1,IF((49-N(P_L3_Mes)+1)=1,N(P_L3_Monto),BA$108)*N(P_L3_Tasa)/12,0)*BB$9</f>
        <v>0</v>
      </c>
      <c r="BC106" s="34" t="n">
        <f aca="false">IF((50-N(P_L3_Mes)+1)&gt;=1,IF((50-N(P_L3_Mes)+1)=1,N(P_L3_Monto),BB$108)*N(P_L3_Tasa)/12,0)*BC$9</f>
        <v>0</v>
      </c>
      <c r="BD106" s="34" t="n">
        <f aca="false">IF((51-N(P_L3_Mes)+1)&gt;=1,IF((51-N(P_L3_Mes)+1)=1,N(P_L3_Monto),BC$108)*N(P_L3_Tasa)/12,0)*BD$9</f>
        <v>0</v>
      </c>
      <c r="BE106" s="34" t="n">
        <f aca="false">IF((52-N(P_L3_Mes)+1)&gt;=1,IF((52-N(P_L3_Mes)+1)=1,N(P_L3_Monto),BD$108)*N(P_L3_Tasa)/12,0)*BE$9</f>
        <v>0</v>
      </c>
      <c r="BF106" s="34" t="n">
        <f aca="false">IF((53-N(P_L3_Mes)+1)&gt;=1,IF((53-N(P_L3_Mes)+1)=1,N(P_L3_Monto),BE$108)*N(P_L3_Tasa)/12,0)*BF$9</f>
        <v>0</v>
      </c>
      <c r="BG106" s="34" t="n">
        <f aca="false">IF((54-N(P_L3_Mes)+1)&gt;=1,IF((54-N(P_L3_Mes)+1)=1,N(P_L3_Monto),BF$108)*N(P_L3_Tasa)/12,0)*BG$9</f>
        <v>0</v>
      </c>
      <c r="BH106" s="34" t="n">
        <f aca="false">IF((55-N(P_L3_Mes)+1)&gt;=1,IF((55-N(P_L3_Mes)+1)=1,N(P_L3_Monto),BG$108)*N(P_L3_Tasa)/12,0)*BH$9</f>
        <v>0</v>
      </c>
      <c r="BI106" s="34" t="n">
        <f aca="false">IF((56-N(P_L3_Mes)+1)&gt;=1,IF((56-N(P_L3_Mes)+1)=1,N(P_L3_Monto),BH$108)*N(P_L3_Tasa)/12,0)*BI$9</f>
        <v>0</v>
      </c>
      <c r="BJ106" s="34" t="n">
        <f aca="false">IF((57-N(P_L3_Mes)+1)&gt;=1,IF((57-N(P_L3_Mes)+1)=1,N(P_L3_Monto),BI$108)*N(P_L3_Tasa)/12,0)*BJ$9</f>
        <v>0</v>
      </c>
      <c r="BK106" s="34" t="n">
        <f aca="false">IF((58-N(P_L3_Mes)+1)&gt;=1,IF((58-N(P_L3_Mes)+1)=1,N(P_L3_Monto),BJ$108)*N(P_L3_Tasa)/12,0)*BK$9</f>
        <v>0</v>
      </c>
      <c r="BL106" s="34" t="n">
        <f aca="false">IF((59-N(P_L3_Mes)+1)&gt;=1,IF((59-N(P_L3_Mes)+1)=1,N(P_L3_Monto),BK$108)*N(P_L3_Tasa)/12,0)*BL$9</f>
        <v>0</v>
      </c>
      <c r="BM106" s="34" t="n">
        <f aca="false">IF((60-N(P_L3_Mes)+1)&gt;=1,IF((60-N(P_L3_Mes)+1)=1,N(P_L3_Monto),BL$108)*N(P_L3_Tasa)/12,0)*BM$9</f>
        <v>0</v>
      </c>
      <c r="BN106" s="34" t="n">
        <f aca="false">IF((61-N(P_L3_Mes)+1)&gt;=1,IF((61-N(P_L3_Mes)+1)=1,N(P_L3_Monto),BM$108)*N(P_L3_Tasa)/12,0)*BN$9</f>
        <v>0</v>
      </c>
      <c r="BO106" s="34" t="n">
        <f aca="false">IF((62-N(P_L3_Mes)+1)&gt;=1,IF((62-N(P_L3_Mes)+1)=1,N(P_L3_Monto),BN$108)*N(P_L3_Tasa)/12,0)*BO$9</f>
        <v>0</v>
      </c>
      <c r="BP106" s="34" t="n">
        <f aca="false">IF((63-N(P_L3_Mes)+1)&gt;=1,IF((63-N(P_L3_Mes)+1)=1,N(P_L3_Monto),BO$108)*N(P_L3_Tasa)/12,0)*BP$9</f>
        <v>0</v>
      </c>
      <c r="BQ106" s="34" t="n">
        <f aca="false">IF((64-N(P_L3_Mes)+1)&gt;=1,IF((64-N(P_L3_Mes)+1)=1,N(P_L3_Monto),BP$108)*N(P_L3_Tasa)/12,0)*BQ$9</f>
        <v>0</v>
      </c>
      <c r="BR106" s="34" t="n">
        <f aca="false">IF((65-N(P_L3_Mes)+1)&gt;=1,IF((65-N(P_L3_Mes)+1)=1,N(P_L3_Monto),BQ$108)*N(P_L3_Tasa)/12,0)*BR$9</f>
        <v>0</v>
      </c>
      <c r="BS106" s="34" t="n">
        <f aca="false">IF((66-N(P_L3_Mes)+1)&gt;=1,IF((66-N(P_L3_Mes)+1)=1,N(P_L3_Monto),BR$108)*N(P_L3_Tasa)/12,0)*BS$9</f>
        <v>0</v>
      </c>
      <c r="BT106" s="34" t="n">
        <f aca="false">IF((67-N(P_L3_Mes)+1)&gt;=1,IF((67-N(P_L3_Mes)+1)=1,N(P_L3_Monto),BS$108)*N(P_L3_Tasa)/12,0)*BT$9</f>
        <v>0</v>
      </c>
      <c r="BU106" s="34" t="n">
        <f aca="false">IF((68-N(P_L3_Mes)+1)&gt;=1,IF((68-N(P_L3_Mes)+1)=1,N(P_L3_Monto),BT$108)*N(P_L3_Tasa)/12,0)*BU$9</f>
        <v>0</v>
      </c>
      <c r="BV106" s="34" t="n">
        <f aca="false">IF((69-N(P_L3_Mes)+1)&gt;=1,IF((69-N(P_L3_Mes)+1)=1,N(P_L3_Monto),BU$108)*N(P_L3_Tasa)/12,0)*BV$9</f>
        <v>0</v>
      </c>
      <c r="BW106" s="34" t="n">
        <f aca="false">IF((70-N(P_L3_Mes)+1)&gt;=1,IF((70-N(P_L3_Mes)+1)=1,N(P_L3_Monto),BV$108)*N(P_L3_Tasa)/12,0)*BW$9</f>
        <v>0</v>
      </c>
      <c r="BX106" s="34" t="n">
        <f aca="false">IF((71-N(P_L3_Mes)+1)&gt;=1,IF((71-N(P_L3_Mes)+1)=1,N(P_L3_Monto),BW$108)*N(P_L3_Tasa)/12,0)*BX$9</f>
        <v>0</v>
      </c>
      <c r="BY106" s="34" t="n">
        <f aca="false">IF((72-N(P_L3_Mes)+1)&gt;=1,IF((72-N(P_L3_Mes)+1)=1,N(P_L3_Monto),BX$108)*N(P_L3_Tasa)/12,0)*BY$9</f>
        <v>0</v>
      </c>
      <c r="BZ106" s="34" t="n">
        <f aca="false">IF((73-N(P_L3_Mes)+1)&gt;=1,IF((73-N(P_L3_Mes)+1)=1,N(P_L3_Monto),BY$108)*N(P_L3_Tasa)/12,0)*BZ$9</f>
        <v>0</v>
      </c>
      <c r="CA106" s="34" t="n">
        <f aca="false">IF((74-N(P_L3_Mes)+1)&gt;=1,IF((74-N(P_L3_Mes)+1)=1,N(P_L3_Monto),BZ$108)*N(P_L3_Tasa)/12,0)*CA$9</f>
        <v>0</v>
      </c>
      <c r="CB106" s="34" t="n">
        <f aca="false">IF((75-N(P_L3_Mes)+1)&gt;=1,IF((75-N(P_L3_Mes)+1)=1,N(P_L3_Monto),CA$108)*N(P_L3_Tasa)/12,0)*CB$9</f>
        <v>0</v>
      </c>
      <c r="CC106" s="34" t="n">
        <f aca="false">IF((76-N(P_L3_Mes)+1)&gt;=1,IF((76-N(P_L3_Mes)+1)=1,N(P_L3_Monto),CB$108)*N(P_L3_Tasa)/12,0)*CC$9</f>
        <v>0</v>
      </c>
      <c r="CD106" s="34" t="n">
        <f aca="false">IF((77-N(P_L3_Mes)+1)&gt;=1,IF((77-N(P_L3_Mes)+1)=1,N(P_L3_Monto),CC$108)*N(P_L3_Tasa)/12,0)*CD$9</f>
        <v>0</v>
      </c>
      <c r="CE106" s="34" t="n">
        <f aca="false">IF((78-N(P_L3_Mes)+1)&gt;=1,IF((78-N(P_L3_Mes)+1)=1,N(P_L3_Monto),CD$108)*N(P_L3_Tasa)/12,0)*CE$9</f>
        <v>0</v>
      </c>
      <c r="CF106" s="34" t="n">
        <f aca="false">IF((79-N(P_L3_Mes)+1)&gt;=1,IF((79-N(P_L3_Mes)+1)=1,N(P_L3_Monto),CE$108)*N(P_L3_Tasa)/12,0)*CF$9</f>
        <v>0</v>
      </c>
      <c r="CG106" s="34" t="n">
        <f aca="false">IF((80-N(P_L3_Mes)+1)&gt;=1,IF((80-N(P_L3_Mes)+1)=1,N(P_L3_Monto),CF$108)*N(P_L3_Tasa)/12,0)*CG$9</f>
        <v>0</v>
      </c>
      <c r="CH106" s="34" t="n">
        <f aca="false">IF((81-N(P_L3_Mes)+1)&gt;=1,IF((81-N(P_L3_Mes)+1)=1,N(P_L3_Monto),CG$108)*N(P_L3_Tasa)/12,0)*CH$9</f>
        <v>0</v>
      </c>
      <c r="CI106" s="34" t="n">
        <f aca="false">IF((82-N(P_L3_Mes)+1)&gt;=1,IF((82-N(P_L3_Mes)+1)=1,N(P_L3_Monto),CH$108)*N(P_L3_Tasa)/12,0)*CI$9</f>
        <v>0</v>
      </c>
      <c r="CJ106" s="34" t="n">
        <f aca="false">IF((83-N(P_L3_Mes)+1)&gt;=1,IF((83-N(P_L3_Mes)+1)=1,N(P_L3_Monto),CI$108)*N(P_L3_Tasa)/12,0)*CJ$9</f>
        <v>0</v>
      </c>
      <c r="CK106" s="34" t="n">
        <f aca="false">IF((84-N(P_L3_Mes)+1)&gt;=1,IF((84-N(P_L3_Mes)+1)=1,N(P_L3_Monto),CJ$108)*N(P_L3_Tasa)/12,0)*CK$9</f>
        <v>0</v>
      </c>
      <c r="CL106" s="34" t="n">
        <f aca="false">IF((85-N(P_L3_Mes)+1)&gt;=1,IF((85-N(P_L3_Mes)+1)=1,N(P_L3_Monto),CK$108)*N(P_L3_Tasa)/12,0)*CL$9</f>
        <v>0</v>
      </c>
      <c r="CM106" s="34" t="n">
        <f aca="false">IF((86-N(P_L3_Mes)+1)&gt;=1,IF((86-N(P_L3_Mes)+1)=1,N(P_L3_Monto),CL$108)*N(P_L3_Tasa)/12,0)*CM$9</f>
        <v>0</v>
      </c>
      <c r="CN106" s="34" t="n">
        <f aca="false">IF((87-N(P_L3_Mes)+1)&gt;=1,IF((87-N(P_L3_Mes)+1)=1,N(P_L3_Monto),CM$108)*N(P_L3_Tasa)/12,0)*CN$9</f>
        <v>0</v>
      </c>
      <c r="CO106" s="34" t="n">
        <f aca="false">IF((88-N(P_L3_Mes)+1)&gt;=1,IF((88-N(P_L3_Mes)+1)=1,N(P_L3_Monto),CN$108)*N(P_L3_Tasa)/12,0)*CO$9</f>
        <v>0</v>
      </c>
      <c r="CP106" s="34" t="n">
        <f aca="false">IF((89-N(P_L3_Mes)+1)&gt;=1,IF((89-N(P_L3_Mes)+1)=1,N(P_L3_Monto),CO$108)*N(P_L3_Tasa)/12,0)*CP$9</f>
        <v>0</v>
      </c>
      <c r="CQ106" s="34" t="n">
        <f aca="false">IF((90-N(P_L3_Mes)+1)&gt;=1,IF((90-N(P_L3_Mes)+1)=1,N(P_L3_Monto),CP$108)*N(P_L3_Tasa)/12,0)*CQ$9</f>
        <v>0</v>
      </c>
      <c r="CR106" s="34" t="n">
        <f aca="false">IF((91-N(P_L3_Mes)+1)&gt;=1,IF((91-N(P_L3_Mes)+1)=1,N(P_L3_Monto),CQ$108)*N(P_L3_Tasa)/12,0)*CR$9</f>
        <v>0</v>
      </c>
      <c r="CS106" s="34" t="n">
        <f aca="false">IF((92-N(P_L3_Mes)+1)&gt;=1,IF((92-N(P_L3_Mes)+1)=1,N(P_L3_Monto),CR$108)*N(P_L3_Tasa)/12,0)*CS$9</f>
        <v>0</v>
      </c>
      <c r="CT106" s="34" t="n">
        <f aca="false">IF((93-N(P_L3_Mes)+1)&gt;=1,IF((93-N(P_L3_Mes)+1)=1,N(P_L3_Monto),CS$108)*N(P_L3_Tasa)/12,0)*CT$9</f>
        <v>0</v>
      </c>
      <c r="CU106" s="34" t="n">
        <f aca="false">IF((94-N(P_L3_Mes)+1)&gt;=1,IF((94-N(P_L3_Mes)+1)=1,N(P_L3_Monto),CT$108)*N(P_L3_Tasa)/12,0)*CU$9</f>
        <v>0</v>
      </c>
      <c r="CV106" s="34" t="n">
        <f aca="false">IF((95-N(P_L3_Mes)+1)&gt;=1,IF((95-N(P_L3_Mes)+1)=1,N(P_L3_Monto),CU$108)*N(P_L3_Tasa)/12,0)*CV$9</f>
        <v>0</v>
      </c>
      <c r="CW106" s="34" t="n">
        <f aca="false">IF((96-N(P_L3_Mes)+1)&gt;=1,IF((96-N(P_L3_Mes)+1)=1,N(P_L3_Monto),CV$108)*N(P_L3_Tasa)/12,0)*CW$9</f>
        <v>0</v>
      </c>
      <c r="CX106" s="34" t="n">
        <f aca="false">IF((97-N(P_L3_Mes)+1)&gt;=1,IF((97-N(P_L3_Mes)+1)=1,N(P_L3_Monto),CW$108)*N(P_L3_Tasa)/12,0)*CX$9</f>
        <v>0</v>
      </c>
      <c r="CY106" s="34" t="n">
        <f aca="false">IF((98-N(P_L3_Mes)+1)&gt;=1,IF((98-N(P_L3_Mes)+1)=1,N(P_L3_Monto),CX$108)*N(P_L3_Tasa)/12,0)*CY$9</f>
        <v>0</v>
      </c>
      <c r="CZ106" s="34" t="n">
        <f aca="false">IF((99-N(P_L3_Mes)+1)&gt;=1,IF((99-N(P_L3_Mes)+1)=1,N(P_L3_Monto),CY$108)*N(P_L3_Tasa)/12,0)*CZ$9</f>
        <v>0</v>
      </c>
      <c r="DA106" s="34" t="n">
        <f aca="false">IF((100-N(P_L3_Mes)+1)&gt;=1,IF((100-N(P_L3_Mes)+1)=1,N(P_L3_Monto),CZ$108)*N(P_L3_Tasa)/12,0)*DA$9</f>
        <v>0</v>
      </c>
      <c r="DB106" s="34" t="n">
        <f aca="false">IF((101-N(P_L3_Mes)+1)&gt;=1,IF((101-N(P_L3_Mes)+1)=1,N(P_L3_Monto),DA$108)*N(P_L3_Tasa)/12,0)*DB$9</f>
        <v>0</v>
      </c>
      <c r="DC106" s="34" t="n">
        <f aca="false">IF((102-N(P_L3_Mes)+1)&gt;=1,IF((102-N(P_L3_Mes)+1)=1,N(P_L3_Monto),DB$108)*N(P_L3_Tasa)/12,0)*DC$9</f>
        <v>0</v>
      </c>
      <c r="DD106" s="34" t="n">
        <f aca="false">IF((103-N(P_L3_Mes)+1)&gt;=1,IF((103-N(P_L3_Mes)+1)=1,N(P_L3_Monto),DC$108)*N(P_L3_Tasa)/12,0)*DD$9</f>
        <v>0</v>
      </c>
      <c r="DE106" s="34" t="n">
        <f aca="false">IF((104-N(P_L3_Mes)+1)&gt;=1,IF((104-N(P_L3_Mes)+1)=1,N(P_L3_Monto),DD$108)*N(P_L3_Tasa)/12,0)*DE$9</f>
        <v>0</v>
      </c>
      <c r="DF106" s="34" t="n">
        <f aca="false">IF((105-N(P_L3_Mes)+1)&gt;=1,IF((105-N(P_L3_Mes)+1)=1,N(P_L3_Monto),DE$108)*N(P_L3_Tasa)/12,0)*DF$9</f>
        <v>0</v>
      </c>
      <c r="DG106" s="34" t="n">
        <f aca="false">IF((106-N(P_L3_Mes)+1)&gt;=1,IF((106-N(P_L3_Mes)+1)=1,N(P_L3_Monto),DF$108)*N(P_L3_Tasa)/12,0)*DG$9</f>
        <v>0</v>
      </c>
      <c r="DH106" s="34" t="n">
        <f aca="false">IF((107-N(P_L3_Mes)+1)&gt;=1,IF((107-N(P_L3_Mes)+1)=1,N(P_L3_Monto),DG$108)*N(P_L3_Tasa)/12,0)*DH$9</f>
        <v>0</v>
      </c>
      <c r="DI106" s="34" t="n">
        <f aca="false">IF((108-N(P_L3_Mes)+1)&gt;=1,IF((108-N(P_L3_Mes)+1)=1,N(P_L3_Monto),DH$108)*N(P_L3_Tasa)/12,0)*DI$9</f>
        <v>0</v>
      </c>
      <c r="DJ106" s="34" t="n">
        <f aca="false">IF((109-N(P_L3_Mes)+1)&gt;=1,IF((109-N(P_L3_Mes)+1)=1,N(P_L3_Monto),DI$108)*N(P_L3_Tasa)/12,0)*DJ$9</f>
        <v>0</v>
      </c>
      <c r="DK106" s="34" t="n">
        <f aca="false">IF((110-N(P_L3_Mes)+1)&gt;=1,IF((110-N(P_L3_Mes)+1)=1,N(P_L3_Monto),DJ$108)*N(P_L3_Tasa)/12,0)*DK$9</f>
        <v>0</v>
      </c>
      <c r="DL106" s="34" t="n">
        <f aca="false">IF((111-N(P_L3_Mes)+1)&gt;=1,IF((111-N(P_L3_Mes)+1)=1,N(P_L3_Monto),DK$108)*N(P_L3_Tasa)/12,0)*DL$9</f>
        <v>0</v>
      </c>
      <c r="DM106" s="34" t="n">
        <f aca="false">IF((112-N(P_L3_Mes)+1)&gt;=1,IF((112-N(P_L3_Mes)+1)=1,N(P_L3_Monto),DL$108)*N(P_L3_Tasa)/12,0)*DM$9</f>
        <v>0</v>
      </c>
      <c r="DN106" s="34" t="n">
        <f aca="false">IF((113-N(P_L3_Mes)+1)&gt;=1,IF((113-N(P_L3_Mes)+1)=1,N(P_L3_Monto),DM$108)*N(P_L3_Tasa)/12,0)*DN$9</f>
        <v>0</v>
      </c>
      <c r="DO106" s="34" t="n">
        <f aca="false">IF((114-N(P_L3_Mes)+1)&gt;=1,IF((114-N(P_L3_Mes)+1)=1,N(P_L3_Monto),DN$108)*N(P_L3_Tasa)/12,0)*DO$9</f>
        <v>0</v>
      </c>
      <c r="DP106" s="34" t="n">
        <f aca="false">IF((115-N(P_L3_Mes)+1)&gt;=1,IF((115-N(P_L3_Mes)+1)=1,N(P_L3_Monto),DO$108)*N(P_L3_Tasa)/12,0)*DP$9</f>
        <v>0</v>
      </c>
      <c r="DQ106" s="34" t="n">
        <f aca="false">IF((116-N(P_L3_Mes)+1)&gt;=1,IF((116-N(P_L3_Mes)+1)=1,N(P_L3_Monto),DP$108)*N(P_L3_Tasa)/12,0)*DQ$9</f>
        <v>0</v>
      </c>
      <c r="DR106" s="34" t="n">
        <f aca="false">IF((117-N(P_L3_Mes)+1)&gt;=1,IF((117-N(P_L3_Mes)+1)=1,N(P_L3_Monto),DQ$108)*N(P_L3_Tasa)/12,0)*DR$9</f>
        <v>0</v>
      </c>
      <c r="DS106" s="34" t="n">
        <f aca="false">IF((118-N(P_L3_Mes)+1)&gt;=1,IF((118-N(P_L3_Mes)+1)=1,N(P_L3_Monto),DR$108)*N(P_L3_Tasa)/12,0)*DS$9</f>
        <v>0</v>
      </c>
      <c r="DT106" s="34" t="n">
        <f aca="false">IF((119-N(P_L3_Mes)+1)&gt;=1,IF((119-N(P_L3_Mes)+1)=1,N(P_L3_Monto),DS$108)*N(P_L3_Tasa)/12,0)*DT$9</f>
        <v>0</v>
      </c>
      <c r="DU106" s="34" t="n">
        <f aca="false">IF((120-N(P_L3_Mes)+1)&gt;=1,IF((120-N(P_L3_Mes)+1)=1,N(P_L3_Monto),DT$108)*N(P_L3_Tasa)/12,0)*DU$9</f>
        <v>0</v>
      </c>
      <c r="DV106" s="34" t="n">
        <f aca="false">IF((121-N(P_L3_Mes)+1)&gt;=1,IF((121-N(P_L3_Mes)+1)=1,N(P_L3_Monto),DU$108)*N(P_L3_Tasa)/12,0)*DV$9</f>
        <v>0</v>
      </c>
      <c r="DW106" s="34" t="n">
        <f aca="false">IF((122-N(P_L3_Mes)+1)&gt;=1,IF((122-N(P_L3_Mes)+1)=1,N(P_L3_Monto),DV$108)*N(P_L3_Tasa)/12,0)*DW$9</f>
        <v>0</v>
      </c>
      <c r="DX106" s="34" t="n">
        <f aca="false">IF((123-N(P_L3_Mes)+1)&gt;=1,IF((123-N(P_L3_Mes)+1)=1,N(P_L3_Monto),DW$108)*N(P_L3_Tasa)/12,0)*DX$9</f>
        <v>0</v>
      </c>
      <c r="DY106" s="34" t="n">
        <f aca="false">IF((124-N(P_L3_Mes)+1)&gt;=1,IF((124-N(P_L3_Mes)+1)=1,N(P_L3_Monto),DX$108)*N(P_L3_Tasa)/12,0)*DY$9</f>
        <v>0</v>
      </c>
      <c r="DZ106" s="34" t="n">
        <f aca="false">IF((125-N(P_L3_Mes)+1)&gt;=1,IF((125-N(P_L3_Mes)+1)=1,N(P_L3_Monto),DY$108)*N(P_L3_Tasa)/12,0)*DZ$9</f>
        <v>0</v>
      </c>
      <c r="EA106" s="34" t="n">
        <f aca="false">IF((126-N(P_L3_Mes)+1)&gt;=1,IF((126-N(P_L3_Mes)+1)=1,N(P_L3_Monto),DZ$108)*N(P_L3_Tasa)/12,0)*EA$9</f>
        <v>0</v>
      </c>
      <c r="EB106" s="34" t="n">
        <f aca="false">IF((127-N(P_L3_Mes)+1)&gt;=1,IF((127-N(P_L3_Mes)+1)=1,N(P_L3_Monto),EA$108)*N(P_L3_Tasa)/12,0)*EB$9</f>
        <v>0</v>
      </c>
      <c r="EC106" s="34" t="n">
        <f aca="false">IF((128-N(P_L3_Mes)+1)&gt;=1,IF((128-N(P_L3_Mes)+1)=1,N(P_L3_Monto),EB$108)*N(P_L3_Tasa)/12,0)*EC$9</f>
        <v>0</v>
      </c>
      <c r="ED106" s="34" t="n">
        <f aca="false">IF((129-N(P_L3_Mes)+1)&gt;=1,IF((129-N(P_L3_Mes)+1)=1,N(P_L3_Monto),EC$108)*N(P_L3_Tasa)/12,0)*ED$9</f>
        <v>0</v>
      </c>
      <c r="EE106" s="34" t="n">
        <f aca="false">IF((130-N(P_L3_Mes)+1)&gt;=1,IF((130-N(P_L3_Mes)+1)=1,N(P_L3_Monto),ED$108)*N(P_L3_Tasa)/12,0)*EE$9</f>
        <v>0</v>
      </c>
      <c r="EF106" s="34" t="n">
        <f aca="false">IF((131-N(P_L3_Mes)+1)&gt;=1,IF((131-N(P_L3_Mes)+1)=1,N(P_L3_Monto),EE$108)*N(P_L3_Tasa)/12,0)*EF$9</f>
        <v>0</v>
      </c>
      <c r="EG106" s="34" t="n">
        <f aca="false">IF((132-N(P_L3_Mes)+1)&gt;=1,IF((132-N(P_L3_Mes)+1)=1,N(P_L3_Monto),EF$108)*N(P_L3_Tasa)/12,0)*EG$9</f>
        <v>0</v>
      </c>
      <c r="EH106" s="34" t="n">
        <f aca="false">IF((133-N(P_L3_Mes)+1)&gt;=1,IF((133-N(P_L3_Mes)+1)=1,N(P_L3_Monto),EG$108)*N(P_L3_Tasa)/12,0)*EH$9</f>
        <v>0</v>
      </c>
      <c r="EI106" s="34" t="n">
        <f aca="false">IF((134-N(P_L3_Mes)+1)&gt;=1,IF((134-N(P_L3_Mes)+1)=1,N(P_L3_Monto),EH$108)*N(P_L3_Tasa)/12,0)*EI$9</f>
        <v>0</v>
      </c>
      <c r="EJ106" s="34" t="n">
        <f aca="false">IF((135-N(P_L3_Mes)+1)&gt;=1,IF((135-N(P_L3_Mes)+1)=1,N(P_L3_Monto),EI$108)*N(P_L3_Tasa)/12,0)*EJ$9</f>
        <v>0</v>
      </c>
      <c r="EK106" s="34" t="n">
        <f aca="false">IF((136-N(P_L3_Mes)+1)&gt;=1,IF((136-N(P_L3_Mes)+1)=1,N(P_L3_Monto),EJ$108)*N(P_L3_Tasa)/12,0)*EK$9</f>
        <v>0</v>
      </c>
      <c r="EL106" s="34" t="n">
        <f aca="false">IF((137-N(P_L3_Mes)+1)&gt;=1,IF((137-N(P_L3_Mes)+1)=1,N(P_L3_Monto),EK$108)*N(P_L3_Tasa)/12,0)*EL$9</f>
        <v>0</v>
      </c>
      <c r="EM106" s="34" t="n">
        <f aca="false">IF((138-N(P_L3_Mes)+1)&gt;=1,IF((138-N(P_L3_Mes)+1)=1,N(P_L3_Monto),EL$108)*N(P_L3_Tasa)/12,0)*EM$9</f>
        <v>0</v>
      </c>
      <c r="EN106" s="34" t="n">
        <f aca="false">IF((139-N(P_L3_Mes)+1)&gt;=1,IF((139-N(P_L3_Mes)+1)=1,N(P_L3_Monto),EM$108)*N(P_L3_Tasa)/12,0)*EN$9</f>
        <v>0</v>
      </c>
      <c r="EO106" s="34" t="n">
        <f aca="false">IF((140-N(P_L3_Mes)+1)&gt;=1,IF((140-N(P_L3_Mes)+1)=1,N(P_L3_Monto),EN$108)*N(P_L3_Tasa)/12,0)*EO$9</f>
        <v>0</v>
      </c>
      <c r="EP106" s="34" t="n">
        <f aca="false">IF((141-N(P_L3_Mes)+1)&gt;=1,IF((141-N(P_L3_Mes)+1)=1,N(P_L3_Monto),EO$108)*N(P_L3_Tasa)/12,0)*EP$9</f>
        <v>0</v>
      </c>
      <c r="EQ106" s="34" t="n">
        <f aca="false">IF((142-N(P_L3_Mes)+1)&gt;=1,IF((142-N(P_L3_Mes)+1)=1,N(P_L3_Monto),EP$108)*N(P_L3_Tasa)/12,0)*EQ$9</f>
        <v>0</v>
      </c>
      <c r="ER106" s="34" t="n">
        <f aca="false">IF((143-N(P_L3_Mes)+1)&gt;=1,IF((143-N(P_L3_Mes)+1)=1,N(P_L3_Monto),EQ$108)*N(P_L3_Tasa)/12,0)*ER$9</f>
        <v>0</v>
      </c>
      <c r="ES106" s="34" t="n">
        <f aca="false">IF((144-N(P_L3_Mes)+1)&gt;=1,IF((144-N(P_L3_Mes)+1)=1,N(P_L3_Monto),ER$108)*N(P_L3_Tasa)/12,0)*ES$9</f>
        <v>0</v>
      </c>
    </row>
    <row r="107" customFormat="false" ht="15" hidden="false" customHeight="false" outlineLevel="0" collapsed="false">
      <c r="A107" s="2" t="s">
        <v>697</v>
      </c>
      <c r="B107" s="6" t="s">
        <v>698</v>
      </c>
      <c r="C107" s="6" t="s">
        <v>250</v>
      </c>
      <c r="E107" s="40" t="n">
        <f aca="false">SUM(F107:ES107)</f>
        <v>0</v>
      </c>
      <c r="F107" s="34" t="n">
        <f aca="false">IF(AND((1-N(P_L3_Mes)+1)&gt;N(P_L3_Gracia),(1-N(P_L3_Mes)+1)&lt;=N(P_L3_Gracia)+N(P_L3_Cuotas),N(P_L3_Cuotas)&gt;0),IF((1-N(P_L3_Mes)+1)=N(P_L3_Gracia)+N(P_L3_Cuotas),IF((1-N(P_L3_Mes)+1)=1,N(P_L3_Monto),0),PMT(N(P_L3_Tasa)/12,N(P_L3_Cuotas),-N(P_L3_Monto))-F$106),0)*F$9</f>
        <v>0</v>
      </c>
      <c r="G107" s="34" t="n">
        <f aca="false">IF(AND((2-N(P_L3_Mes)+1)&gt;N(P_L3_Gracia),(2-N(P_L3_Mes)+1)&lt;=N(P_L3_Gracia)+N(P_L3_Cuotas),N(P_L3_Cuotas)&gt;0),IF((2-N(P_L3_Mes)+1)=N(P_L3_Gracia)+N(P_L3_Cuotas),IF((2-N(P_L3_Mes)+1)=1,N(P_L3_Monto),F$108),PMT(N(P_L3_Tasa)/12,N(P_L3_Cuotas),-N(P_L3_Monto))-G$106),0)*G$9</f>
        <v>0</v>
      </c>
      <c r="H107" s="34" t="n">
        <f aca="false">IF(AND((3-N(P_L3_Mes)+1)&gt;N(P_L3_Gracia),(3-N(P_L3_Mes)+1)&lt;=N(P_L3_Gracia)+N(P_L3_Cuotas),N(P_L3_Cuotas)&gt;0),IF((3-N(P_L3_Mes)+1)=N(P_L3_Gracia)+N(P_L3_Cuotas),IF((3-N(P_L3_Mes)+1)=1,N(P_L3_Monto),G$108),PMT(N(P_L3_Tasa)/12,N(P_L3_Cuotas),-N(P_L3_Monto))-H$106),0)*H$9</f>
        <v>0</v>
      </c>
      <c r="I107" s="34" t="n">
        <f aca="false">IF(AND((4-N(P_L3_Mes)+1)&gt;N(P_L3_Gracia),(4-N(P_L3_Mes)+1)&lt;=N(P_L3_Gracia)+N(P_L3_Cuotas),N(P_L3_Cuotas)&gt;0),IF((4-N(P_L3_Mes)+1)=N(P_L3_Gracia)+N(P_L3_Cuotas),IF((4-N(P_L3_Mes)+1)=1,N(P_L3_Monto),H$108),PMT(N(P_L3_Tasa)/12,N(P_L3_Cuotas),-N(P_L3_Monto))-I$106),0)*I$9</f>
        <v>0</v>
      </c>
      <c r="J107" s="34" t="n">
        <f aca="false">IF(AND((5-N(P_L3_Mes)+1)&gt;N(P_L3_Gracia),(5-N(P_L3_Mes)+1)&lt;=N(P_L3_Gracia)+N(P_L3_Cuotas),N(P_L3_Cuotas)&gt;0),IF((5-N(P_L3_Mes)+1)=N(P_L3_Gracia)+N(P_L3_Cuotas),IF((5-N(P_L3_Mes)+1)=1,N(P_L3_Monto),I$108),PMT(N(P_L3_Tasa)/12,N(P_L3_Cuotas),-N(P_L3_Monto))-J$106),0)*J$9</f>
        <v>0</v>
      </c>
      <c r="K107" s="34" t="n">
        <f aca="false">IF(AND((6-N(P_L3_Mes)+1)&gt;N(P_L3_Gracia),(6-N(P_L3_Mes)+1)&lt;=N(P_L3_Gracia)+N(P_L3_Cuotas),N(P_L3_Cuotas)&gt;0),IF((6-N(P_L3_Mes)+1)=N(P_L3_Gracia)+N(P_L3_Cuotas),IF((6-N(P_L3_Mes)+1)=1,N(P_L3_Monto),J$108),PMT(N(P_L3_Tasa)/12,N(P_L3_Cuotas),-N(P_L3_Monto))-K$106),0)*K$9</f>
        <v>0</v>
      </c>
      <c r="L107" s="34" t="n">
        <f aca="false">IF(AND((7-N(P_L3_Mes)+1)&gt;N(P_L3_Gracia),(7-N(P_L3_Mes)+1)&lt;=N(P_L3_Gracia)+N(P_L3_Cuotas),N(P_L3_Cuotas)&gt;0),IF((7-N(P_L3_Mes)+1)=N(P_L3_Gracia)+N(P_L3_Cuotas),IF((7-N(P_L3_Mes)+1)=1,N(P_L3_Monto),K$108),PMT(N(P_L3_Tasa)/12,N(P_L3_Cuotas),-N(P_L3_Monto))-L$106),0)*L$9</f>
        <v>0</v>
      </c>
      <c r="M107" s="34" t="n">
        <f aca="false">IF(AND((8-N(P_L3_Mes)+1)&gt;N(P_L3_Gracia),(8-N(P_L3_Mes)+1)&lt;=N(P_L3_Gracia)+N(P_L3_Cuotas),N(P_L3_Cuotas)&gt;0),IF((8-N(P_L3_Mes)+1)=N(P_L3_Gracia)+N(P_L3_Cuotas),IF((8-N(P_L3_Mes)+1)=1,N(P_L3_Monto),L$108),PMT(N(P_L3_Tasa)/12,N(P_L3_Cuotas),-N(P_L3_Monto))-M$106),0)*M$9</f>
        <v>0</v>
      </c>
      <c r="N107" s="34" t="n">
        <f aca="false">IF(AND((9-N(P_L3_Mes)+1)&gt;N(P_L3_Gracia),(9-N(P_L3_Mes)+1)&lt;=N(P_L3_Gracia)+N(P_L3_Cuotas),N(P_L3_Cuotas)&gt;0),IF((9-N(P_L3_Mes)+1)=N(P_L3_Gracia)+N(P_L3_Cuotas),IF((9-N(P_L3_Mes)+1)=1,N(P_L3_Monto),M$108),PMT(N(P_L3_Tasa)/12,N(P_L3_Cuotas),-N(P_L3_Monto))-N$106),0)*N$9</f>
        <v>0</v>
      </c>
      <c r="O107" s="34" t="n">
        <f aca="false">IF(AND((10-N(P_L3_Mes)+1)&gt;N(P_L3_Gracia),(10-N(P_L3_Mes)+1)&lt;=N(P_L3_Gracia)+N(P_L3_Cuotas),N(P_L3_Cuotas)&gt;0),IF((10-N(P_L3_Mes)+1)=N(P_L3_Gracia)+N(P_L3_Cuotas),IF((10-N(P_L3_Mes)+1)=1,N(P_L3_Monto),N$108),PMT(N(P_L3_Tasa)/12,N(P_L3_Cuotas),-N(P_L3_Monto))-O$106),0)*O$9</f>
        <v>0</v>
      </c>
      <c r="P107" s="34" t="n">
        <f aca="false">IF(AND((11-N(P_L3_Mes)+1)&gt;N(P_L3_Gracia),(11-N(P_L3_Mes)+1)&lt;=N(P_L3_Gracia)+N(P_L3_Cuotas),N(P_L3_Cuotas)&gt;0),IF((11-N(P_L3_Mes)+1)=N(P_L3_Gracia)+N(P_L3_Cuotas),IF((11-N(P_L3_Mes)+1)=1,N(P_L3_Monto),O$108),PMT(N(P_L3_Tasa)/12,N(P_L3_Cuotas),-N(P_L3_Monto))-P$106),0)*P$9</f>
        <v>0</v>
      </c>
      <c r="Q107" s="34" t="n">
        <f aca="false">IF(AND((12-N(P_L3_Mes)+1)&gt;N(P_L3_Gracia),(12-N(P_L3_Mes)+1)&lt;=N(P_L3_Gracia)+N(P_L3_Cuotas),N(P_L3_Cuotas)&gt;0),IF((12-N(P_L3_Mes)+1)=N(P_L3_Gracia)+N(P_L3_Cuotas),IF((12-N(P_L3_Mes)+1)=1,N(P_L3_Monto),P$108),PMT(N(P_L3_Tasa)/12,N(P_L3_Cuotas),-N(P_L3_Monto))-Q$106),0)*Q$9</f>
        <v>0</v>
      </c>
      <c r="R107" s="34" t="n">
        <f aca="false">IF(AND((13-N(P_L3_Mes)+1)&gt;N(P_L3_Gracia),(13-N(P_L3_Mes)+1)&lt;=N(P_L3_Gracia)+N(P_L3_Cuotas),N(P_L3_Cuotas)&gt;0),IF((13-N(P_L3_Mes)+1)=N(P_L3_Gracia)+N(P_L3_Cuotas),IF((13-N(P_L3_Mes)+1)=1,N(P_L3_Monto),Q$108),PMT(N(P_L3_Tasa)/12,N(P_L3_Cuotas),-N(P_L3_Monto))-R$106),0)*R$9</f>
        <v>0</v>
      </c>
      <c r="S107" s="34" t="n">
        <f aca="false">IF(AND((14-N(P_L3_Mes)+1)&gt;N(P_L3_Gracia),(14-N(P_L3_Mes)+1)&lt;=N(P_L3_Gracia)+N(P_L3_Cuotas),N(P_L3_Cuotas)&gt;0),IF((14-N(P_L3_Mes)+1)=N(P_L3_Gracia)+N(P_L3_Cuotas),IF((14-N(P_L3_Mes)+1)=1,N(P_L3_Monto),R$108),PMT(N(P_L3_Tasa)/12,N(P_L3_Cuotas),-N(P_L3_Monto))-S$106),0)*S$9</f>
        <v>0</v>
      </c>
      <c r="T107" s="34" t="n">
        <f aca="false">IF(AND((15-N(P_L3_Mes)+1)&gt;N(P_L3_Gracia),(15-N(P_L3_Mes)+1)&lt;=N(P_L3_Gracia)+N(P_L3_Cuotas),N(P_L3_Cuotas)&gt;0),IF((15-N(P_L3_Mes)+1)=N(P_L3_Gracia)+N(P_L3_Cuotas),IF((15-N(P_L3_Mes)+1)=1,N(P_L3_Monto),S$108),PMT(N(P_L3_Tasa)/12,N(P_L3_Cuotas),-N(P_L3_Monto))-T$106),0)*T$9</f>
        <v>0</v>
      </c>
      <c r="U107" s="34" t="n">
        <f aca="false">IF(AND((16-N(P_L3_Mes)+1)&gt;N(P_L3_Gracia),(16-N(P_L3_Mes)+1)&lt;=N(P_L3_Gracia)+N(P_L3_Cuotas),N(P_L3_Cuotas)&gt;0),IF((16-N(P_L3_Mes)+1)=N(P_L3_Gracia)+N(P_L3_Cuotas),IF((16-N(P_L3_Mes)+1)=1,N(P_L3_Monto),T$108),PMT(N(P_L3_Tasa)/12,N(P_L3_Cuotas),-N(P_L3_Monto))-U$106),0)*U$9</f>
        <v>0</v>
      </c>
      <c r="V107" s="34" t="n">
        <f aca="false">IF(AND((17-N(P_L3_Mes)+1)&gt;N(P_L3_Gracia),(17-N(P_L3_Mes)+1)&lt;=N(P_L3_Gracia)+N(P_L3_Cuotas),N(P_L3_Cuotas)&gt;0),IF((17-N(P_L3_Mes)+1)=N(P_L3_Gracia)+N(P_L3_Cuotas),IF((17-N(P_L3_Mes)+1)=1,N(P_L3_Monto),U$108),PMT(N(P_L3_Tasa)/12,N(P_L3_Cuotas),-N(P_L3_Monto))-V$106),0)*V$9</f>
        <v>0</v>
      </c>
      <c r="W107" s="34" t="n">
        <f aca="false">IF(AND((18-N(P_L3_Mes)+1)&gt;N(P_L3_Gracia),(18-N(P_L3_Mes)+1)&lt;=N(P_L3_Gracia)+N(P_L3_Cuotas),N(P_L3_Cuotas)&gt;0),IF((18-N(P_L3_Mes)+1)=N(P_L3_Gracia)+N(P_L3_Cuotas),IF((18-N(P_L3_Mes)+1)=1,N(P_L3_Monto),V$108),PMT(N(P_L3_Tasa)/12,N(P_L3_Cuotas),-N(P_L3_Monto))-W$106),0)*W$9</f>
        <v>0</v>
      </c>
      <c r="X107" s="34" t="n">
        <f aca="false">IF(AND((19-N(P_L3_Mes)+1)&gt;N(P_L3_Gracia),(19-N(P_L3_Mes)+1)&lt;=N(P_L3_Gracia)+N(P_L3_Cuotas),N(P_L3_Cuotas)&gt;0),IF((19-N(P_L3_Mes)+1)=N(P_L3_Gracia)+N(P_L3_Cuotas),IF((19-N(P_L3_Mes)+1)=1,N(P_L3_Monto),W$108),PMT(N(P_L3_Tasa)/12,N(P_L3_Cuotas),-N(P_L3_Monto))-X$106),0)*X$9</f>
        <v>0</v>
      </c>
      <c r="Y107" s="34" t="n">
        <f aca="false">IF(AND((20-N(P_L3_Mes)+1)&gt;N(P_L3_Gracia),(20-N(P_L3_Mes)+1)&lt;=N(P_L3_Gracia)+N(P_L3_Cuotas),N(P_L3_Cuotas)&gt;0),IF((20-N(P_L3_Mes)+1)=N(P_L3_Gracia)+N(P_L3_Cuotas),IF((20-N(P_L3_Mes)+1)=1,N(P_L3_Monto),X$108),PMT(N(P_L3_Tasa)/12,N(P_L3_Cuotas),-N(P_L3_Monto))-Y$106),0)*Y$9</f>
        <v>0</v>
      </c>
      <c r="Z107" s="34" t="n">
        <f aca="false">IF(AND((21-N(P_L3_Mes)+1)&gt;N(P_L3_Gracia),(21-N(P_L3_Mes)+1)&lt;=N(P_L3_Gracia)+N(P_L3_Cuotas),N(P_L3_Cuotas)&gt;0),IF((21-N(P_L3_Mes)+1)=N(P_L3_Gracia)+N(P_L3_Cuotas),IF((21-N(P_L3_Mes)+1)=1,N(P_L3_Monto),Y$108),PMT(N(P_L3_Tasa)/12,N(P_L3_Cuotas),-N(P_L3_Monto))-Z$106),0)*Z$9</f>
        <v>0</v>
      </c>
      <c r="AA107" s="34" t="n">
        <f aca="false">IF(AND((22-N(P_L3_Mes)+1)&gt;N(P_L3_Gracia),(22-N(P_L3_Mes)+1)&lt;=N(P_L3_Gracia)+N(P_L3_Cuotas),N(P_L3_Cuotas)&gt;0),IF((22-N(P_L3_Mes)+1)=N(P_L3_Gracia)+N(P_L3_Cuotas),IF((22-N(P_L3_Mes)+1)=1,N(P_L3_Monto),Z$108),PMT(N(P_L3_Tasa)/12,N(P_L3_Cuotas),-N(P_L3_Monto))-AA$106),0)*AA$9</f>
        <v>0</v>
      </c>
      <c r="AB107" s="34" t="n">
        <f aca="false">IF(AND((23-N(P_L3_Mes)+1)&gt;N(P_L3_Gracia),(23-N(P_L3_Mes)+1)&lt;=N(P_L3_Gracia)+N(P_L3_Cuotas),N(P_L3_Cuotas)&gt;0),IF((23-N(P_L3_Mes)+1)=N(P_L3_Gracia)+N(P_L3_Cuotas),IF((23-N(P_L3_Mes)+1)=1,N(P_L3_Monto),AA$108),PMT(N(P_L3_Tasa)/12,N(P_L3_Cuotas),-N(P_L3_Monto))-AB$106),0)*AB$9</f>
        <v>0</v>
      </c>
      <c r="AC107" s="34" t="n">
        <f aca="false">IF(AND((24-N(P_L3_Mes)+1)&gt;N(P_L3_Gracia),(24-N(P_L3_Mes)+1)&lt;=N(P_L3_Gracia)+N(P_L3_Cuotas),N(P_L3_Cuotas)&gt;0),IF((24-N(P_L3_Mes)+1)=N(P_L3_Gracia)+N(P_L3_Cuotas),IF((24-N(P_L3_Mes)+1)=1,N(P_L3_Monto),AB$108),PMT(N(P_L3_Tasa)/12,N(P_L3_Cuotas),-N(P_L3_Monto))-AC$106),0)*AC$9</f>
        <v>0</v>
      </c>
      <c r="AD107" s="34" t="n">
        <f aca="false">IF(AND((25-N(P_L3_Mes)+1)&gt;N(P_L3_Gracia),(25-N(P_L3_Mes)+1)&lt;=N(P_L3_Gracia)+N(P_L3_Cuotas),N(P_L3_Cuotas)&gt;0),IF((25-N(P_L3_Mes)+1)=N(P_L3_Gracia)+N(P_L3_Cuotas),IF((25-N(P_L3_Mes)+1)=1,N(P_L3_Monto),AC$108),PMT(N(P_L3_Tasa)/12,N(P_L3_Cuotas),-N(P_L3_Monto))-AD$106),0)*AD$9</f>
        <v>0</v>
      </c>
      <c r="AE107" s="34" t="n">
        <f aca="false">IF(AND((26-N(P_L3_Mes)+1)&gt;N(P_L3_Gracia),(26-N(P_L3_Mes)+1)&lt;=N(P_L3_Gracia)+N(P_L3_Cuotas),N(P_L3_Cuotas)&gt;0),IF((26-N(P_L3_Mes)+1)=N(P_L3_Gracia)+N(P_L3_Cuotas),IF((26-N(P_L3_Mes)+1)=1,N(P_L3_Monto),AD$108),PMT(N(P_L3_Tasa)/12,N(P_L3_Cuotas),-N(P_L3_Monto))-AE$106),0)*AE$9</f>
        <v>0</v>
      </c>
      <c r="AF107" s="34" t="n">
        <f aca="false">IF(AND((27-N(P_L3_Mes)+1)&gt;N(P_L3_Gracia),(27-N(P_L3_Mes)+1)&lt;=N(P_L3_Gracia)+N(P_L3_Cuotas),N(P_L3_Cuotas)&gt;0),IF((27-N(P_L3_Mes)+1)=N(P_L3_Gracia)+N(P_L3_Cuotas),IF((27-N(P_L3_Mes)+1)=1,N(P_L3_Monto),AE$108),PMT(N(P_L3_Tasa)/12,N(P_L3_Cuotas),-N(P_L3_Monto))-AF$106),0)*AF$9</f>
        <v>0</v>
      </c>
      <c r="AG107" s="34" t="n">
        <f aca="false">IF(AND((28-N(P_L3_Mes)+1)&gt;N(P_L3_Gracia),(28-N(P_L3_Mes)+1)&lt;=N(P_L3_Gracia)+N(P_L3_Cuotas),N(P_L3_Cuotas)&gt;0),IF((28-N(P_L3_Mes)+1)=N(P_L3_Gracia)+N(P_L3_Cuotas),IF((28-N(P_L3_Mes)+1)=1,N(P_L3_Monto),AF$108),PMT(N(P_L3_Tasa)/12,N(P_L3_Cuotas),-N(P_L3_Monto))-AG$106),0)*AG$9</f>
        <v>0</v>
      </c>
      <c r="AH107" s="34" t="n">
        <f aca="false">IF(AND((29-N(P_L3_Mes)+1)&gt;N(P_L3_Gracia),(29-N(P_L3_Mes)+1)&lt;=N(P_L3_Gracia)+N(P_L3_Cuotas),N(P_L3_Cuotas)&gt;0),IF((29-N(P_L3_Mes)+1)=N(P_L3_Gracia)+N(P_L3_Cuotas),IF((29-N(P_L3_Mes)+1)=1,N(P_L3_Monto),AG$108),PMT(N(P_L3_Tasa)/12,N(P_L3_Cuotas),-N(P_L3_Monto))-AH$106),0)*AH$9</f>
        <v>0</v>
      </c>
      <c r="AI107" s="34" t="n">
        <f aca="false">IF(AND((30-N(P_L3_Mes)+1)&gt;N(P_L3_Gracia),(30-N(P_L3_Mes)+1)&lt;=N(P_L3_Gracia)+N(P_L3_Cuotas),N(P_L3_Cuotas)&gt;0),IF((30-N(P_L3_Mes)+1)=N(P_L3_Gracia)+N(P_L3_Cuotas),IF((30-N(P_L3_Mes)+1)=1,N(P_L3_Monto),AH$108),PMT(N(P_L3_Tasa)/12,N(P_L3_Cuotas),-N(P_L3_Monto))-AI$106),0)*AI$9</f>
        <v>0</v>
      </c>
      <c r="AJ107" s="34" t="n">
        <f aca="false">IF(AND((31-N(P_L3_Mes)+1)&gt;N(P_L3_Gracia),(31-N(P_L3_Mes)+1)&lt;=N(P_L3_Gracia)+N(P_L3_Cuotas),N(P_L3_Cuotas)&gt;0),IF((31-N(P_L3_Mes)+1)=N(P_L3_Gracia)+N(P_L3_Cuotas),IF((31-N(P_L3_Mes)+1)=1,N(P_L3_Monto),AI$108),PMT(N(P_L3_Tasa)/12,N(P_L3_Cuotas),-N(P_L3_Monto))-AJ$106),0)*AJ$9</f>
        <v>0</v>
      </c>
      <c r="AK107" s="34" t="n">
        <f aca="false">IF(AND((32-N(P_L3_Mes)+1)&gt;N(P_L3_Gracia),(32-N(P_L3_Mes)+1)&lt;=N(P_L3_Gracia)+N(P_L3_Cuotas),N(P_L3_Cuotas)&gt;0),IF((32-N(P_L3_Mes)+1)=N(P_L3_Gracia)+N(P_L3_Cuotas),IF((32-N(P_L3_Mes)+1)=1,N(P_L3_Monto),AJ$108),PMT(N(P_L3_Tasa)/12,N(P_L3_Cuotas),-N(P_L3_Monto))-AK$106),0)*AK$9</f>
        <v>0</v>
      </c>
      <c r="AL107" s="34" t="n">
        <f aca="false">IF(AND((33-N(P_L3_Mes)+1)&gt;N(P_L3_Gracia),(33-N(P_L3_Mes)+1)&lt;=N(P_L3_Gracia)+N(P_L3_Cuotas),N(P_L3_Cuotas)&gt;0),IF((33-N(P_L3_Mes)+1)=N(P_L3_Gracia)+N(P_L3_Cuotas),IF((33-N(P_L3_Mes)+1)=1,N(P_L3_Monto),AK$108),PMT(N(P_L3_Tasa)/12,N(P_L3_Cuotas),-N(P_L3_Monto))-AL$106),0)*AL$9</f>
        <v>0</v>
      </c>
      <c r="AM107" s="34" t="n">
        <f aca="false">IF(AND((34-N(P_L3_Mes)+1)&gt;N(P_L3_Gracia),(34-N(P_L3_Mes)+1)&lt;=N(P_L3_Gracia)+N(P_L3_Cuotas),N(P_L3_Cuotas)&gt;0),IF((34-N(P_L3_Mes)+1)=N(P_L3_Gracia)+N(P_L3_Cuotas),IF((34-N(P_L3_Mes)+1)=1,N(P_L3_Monto),AL$108),PMT(N(P_L3_Tasa)/12,N(P_L3_Cuotas),-N(P_L3_Monto))-AM$106),0)*AM$9</f>
        <v>0</v>
      </c>
      <c r="AN107" s="34" t="n">
        <f aca="false">IF(AND((35-N(P_L3_Mes)+1)&gt;N(P_L3_Gracia),(35-N(P_L3_Mes)+1)&lt;=N(P_L3_Gracia)+N(P_L3_Cuotas),N(P_L3_Cuotas)&gt;0),IF((35-N(P_L3_Mes)+1)=N(P_L3_Gracia)+N(P_L3_Cuotas),IF((35-N(P_L3_Mes)+1)=1,N(P_L3_Monto),AM$108),PMT(N(P_L3_Tasa)/12,N(P_L3_Cuotas),-N(P_L3_Monto))-AN$106),0)*AN$9</f>
        <v>0</v>
      </c>
      <c r="AO107" s="34" t="n">
        <f aca="false">IF(AND((36-N(P_L3_Mes)+1)&gt;N(P_L3_Gracia),(36-N(P_L3_Mes)+1)&lt;=N(P_L3_Gracia)+N(P_L3_Cuotas),N(P_L3_Cuotas)&gt;0),IF((36-N(P_L3_Mes)+1)=N(P_L3_Gracia)+N(P_L3_Cuotas),IF((36-N(P_L3_Mes)+1)=1,N(P_L3_Monto),AN$108),PMT(N(P_L3_Tasa)/12,N(P_L3_Cuotas),-N(P_L3_Monto))-AO$106),0)*AO$9</f>
        <v>0</v>
      </c>
      <c r="AP107" s="34" t="n">
        <f aca="false">IF(AND((37-N(P_L3_Mes)+1)&gt;N(P_L3_Gracia),(37-N(P_L3_Mes)+1)&lt;=N(P_L3_Gracia)+N(P_L3_Cuotas),N(P_L3_Cuotas)&gt;0),IF((37-N(P_L3_Mes)+1)=N(P_L3_Gracia)+N(P_L3_Cuotas),IF((37-N(P_L3_Mes)+1)=1,N(P_L3_Monto),AO$108),PMT(N(P_L3_Tasa)/12,N(P_L3_Cuotas),-N(P_L3_Monto))-AP$106),0)*AP$9</f>
        <v>0</v>
      </c>
      <c r="AQ107" s="34" t="n">
        <f aca="false">IF(AND((38-N(P_L3_Mes)+1)&gt;N(P_L3_Gracia),(38-N(P_L3_Mes)+1)&lt;=N(P_L3_Gracia)+N(P_L3_Cuotas),N(P_L3_Cuotas)&gt;0),IF((38-N(P_L3_Mes)+1)=N(P_L3_Gracia)+N(P_L3_Cuotas),IF((38-N(P_L3_Mes)+1)=1,N(P_L3_Monto),AP$108),PMT(N(P_L3_Tasa)/12,N(P_L3_Cuotas),-N(P_L3_Monto))-AQ$106),0)*AQ$9</f>
        <v>0</v>
      </c>
      <c r="AR107" s="34" t="n">
        <f aca="false">IF(AND((39-N(P_L3_Mes)+1)&gt;N(P_L3_Gracia),(39-N(P_L3_Mes)+1)&lt;=N(P_L3_Gracia)+N(P_L3_Cuotas),N(P_L3_Cuotas)&gt;0),IF((39-N(P_L3_Mes)+1)=N(P_L3_Gracia)+N(P_L3_Cuotas),IF((39-N(P_L3_Mes)+1)=1,N(P_L3_Monto),AQ$108),PMT(N(P_L3_Tasa)/12,N(P_L3_Cuotas),-N(P_L3_Monto))-AR$106),0)*AR$9</f>
        <v>0</v>
      </c>
      <c r="AS107" s="34" t="n">
        <f aca="false">IF(AND((40-N(P_L3_Mes)+1)&gt;N(P_L3_Gracia),(40-N(P_L3_Mes)+1)&lt;=N(P_L3_Gracia)+N(P_L3_Cuotas),N(P_L3_Cuotas)&gt;0),IF((40-N(P_L3_Mes)+1)=N(P_L3_Gracia)+N(P_L3_Cuotas),IF((40-N(P_L3_Mes)+1)=1,N(P_L3_Monto),AR$108),PMT(N(P_L3_Tasa)/12,N(P_L3_Cuotas),-N(P_L3_Monto))-AS$106),0)*AS$9</f>
        <v>0</v>
      </c>
      <c r="AT107" s="34" t="n">
        <f aca="false">IF(AND((41-N(P_L3_Mes)+1)&gt;N(P_L3_Gracia),(41-N(P_L3_Mes)+1)&lt;=N(P_L3_Gracia)+N(P_L3_Cuotas),N(P_L3_Cuotas)&gt;0),IF((41-N(P_L3_Mes)+1)=N(P_L3_Gracia)+N(P_L3_Cuotas),IF((41-N(P_L3_Mes)+1)=1,N(P_L3_Monto),AS$108),PMT(N(P_L3_Tasa)/12,N(P_L3_Cuotas),-N(P_L3_Monto))-AT$106),0)*AT$9</f>
        <v>0</v>
      </c>
      <c r="AU107" s="34" t="n">
        <f aca="false">IF(AND((42-N(P_L3_Mes)+1)&gt;N(P_L3_Gracia),(42-N(P_L3_Mes)+1)&lt;=N(P_L3_Gracia)+N(P_L3_Cuotas),N(P_L3_Cuotas)&gt;0),IF((42-N(P_L3_Mes)+1)=N(P_L3_Gracia)+N(P_L3_Cuotas),IF((42-N(P_L3_Mes)+1)=1,N(P_L3_Monto),AT$108),PMT(N(P_L3_Tasa)/12,N(P_L3_Cuotas),-N(P_L3_Monto))-AU$106),0)*AU$9</f>
        <v>0</v>
      </c>
      <c r="AV107" s="34" t="n">
        <f aca="false">IF(AND((43-N(P_L3_Mes)+1)&gt;N(P_L3_Gracia),(43-N(P_L3_Mes)+1)&lt;=N(P_L3_Gracia)+N(P_L3_Cuotas),N(P_L3_Cuotas)&gt;0),IF((43-N(P_L3_Mes)+1)=N(P_L3_Gracia)+N(P_L3_Cuotas),IF((43-N(P_L3_Mes)+1)=1,N(P_L3_Monto),AU$108),PMT(N(P_L3_Tasa)/12,N(P_L3_Cuotas),-N(P_L3_Monto))-AV$106),0)*AV$9</f>
        <v>0</v>
      </c>
      <c r="AW107" s="34" t="n">
        <f aca="false">IF(AND((44-N(P_L3_Mes)+1)&gt;N(P_L3_Gracia),(44-N(P_L3_Mes)+1)&lt;=N(P_L3_Gracia)+N(P_L3_Cuotas),N(P_L3_Cuotas)&gt;0),IF((44-N(P_L3_Mes)+1)=N(P_L3_Gracia)+N(P_L3_Cuotas),IF((44-N(P_L3_Mes)+1)=1,N(P_L3_Monto),AV$108),PMT(N(P_L3_Tasa)/12,N(P_L3_Cuotas),-N(P_L3_Monto))-AW$106),0)*AW$9</f>
        <v>0</v>
      </c>
      <c r="AX107" s="34" t="n">
        <f aca="false">IF(AND((45-N(P_L3_Mes)+1)&gt;N(P_L3_Gracia),(45-N(P_L3_Mes)+1)&lt;=N(P_L3_Gracia)+N(P_L3_Cuotas),N(P_L3_Cuotas)&gt;0),IF((45-N(P_L3_Mes)+1)=N(P_L3_Gracia)+N(P_L3_Cuotas),IF((45-N(P_L3_Mes)+1)=1,N(P_L3_Monto),AW$108),PMT(N(P_L3_Tasa)/12,N(P_L3_Cuotas),-N(P_L3_Monto))-AX$106),0)*AX$9</f>
        <v>0</v>
      </c>
      <c r="AY107" s="34" t="n">
        <f aca="false">IF(AND((46-N(P_L3_Mes)+1)&gt;N(P_L3_Gracia),(46-N(P_L3_Mes)+1)&lt;=N(P_L3_Gracia)+N(P_L3_Cuotas),N(P_L3_Cuotas)&gt;0),IF((46-N(P_L3_Mes)+1)=N(P_L3_Gracia)+N(P_L3_Cuotas),IF((46-N(P_L3_Mes)+1)=1,N(P_L3_Monto),AX$108),PMT(N(P_L3_Tasa)/12,N(P_L3_Cuotas),-N(P_L3_Monto))-AY$106),0)*AY$9</f>
        <v>0</v>
      </c>
      <c r="AZ107" s="34" t="n">
        <f aca="false">IF(AND((47-N(P_L3_Mes)+1)&gt;N(P_L3_Gracia),(47-N(P_L3_Mes)+1)&lt;=N(P_L3_Gracia)+N(P_L3_Cuotas),N(P_L3_Cuotas)&gt;0),IF((47-N(P_L3_Mes)+1)=N(P_L3_Gracia)+N(P_L3_Cuotas),IF((47-N(P_L3_Mes)+1)=1,N(P_L3_Monto),AY$108),PMT(N(P_L3_Tasa)/12,N(P_L3_Cuotas),-N(P_L3_Monto))-AZ$106),0)*AZ$9</f>
        <v>0</v>
      </c>
      <c r="BA107" s="34" t="n">
        <f aca="false">IF(AND((48-N(P_L3_Mes)+1)&gt;N(P_L3_Gracia),(48-N(P_L3_Mes)+1)&lt;=N(P_L3_Gracia)+N(P_L3_Cuotas),N(P_L3_Cuotas)&gt;0),IF((48-N(P_L3_Mes)+1)=N(P_L3_Gracia)+N(P_L3_Cuotas),IF((48-N(P_L3_Mes)+1)=1,N(P_L3_Monto),AZ$108),PMT(N(P_L3_Tasa)/12,N(P_L3_Cuotas),-N(P_L3_Monto))-BA$106),0)*BA$9</f>
        <v>0</v>
      </c>
      <c r="BB107" s="34" t="n">
        <f aca="false">IF(AND((49-N(P_L3_Mes)+1)&gt;N(P_L3_Gracia),(49-N(P_L3_Mes)+1)&lt;=N(P_L3_Gracia)+N(P_L3_Cuotas),N(P_L3_Cuotas)&gt;0),IF((49-N(P_L3_Mes)+1)=N(P_L3_Gracia)+N(P_L3_Cuotas),IF((49-N(P_L3_Mes)+1)=1,N(P_L3_Monto),BA$108),PMT(N(P_L3_Tasa)/12,N(P_L3_Cuotas),-N(P_L3_Monto))-BB$106),0)*BB$9</f>
        <v>0</v>
      </c>
      <c r="BC107" s="34" t="n">
        <f aca="false">IF(AND((50-N(P_L3_Mes)+1)&gt;N(P_L3_Gracia),(50-N(P_L3_Mes)+1)&lt;=N(P_L3_Gracia)+N(P_L3_Cuotas),N(P_L3_Cuotas)&gt;0),IF((50-N(P_L3_Mes)+1)=N(P_L3_Gracia)+N(P_L3_Cuotas),IF((50-N(P_L3_Mes)+1)=1,N(P_L3_Monto),BB$108),PMT(N(P_L3_Tasa)/12,N(P_L3_Cuotas),-N(P_L3_Monto))-BC$106),0)*BC$9</f>
        <v>0</v>
      </c>
      <c r="BD107" s="34" t="n">
        <f aca="false">IF(AND((51-N(P_L3_Mes)+1)&gt;N(P_L3_Gracia),(51-N(P_L3_Mes)+1)&lt;=N(P_L3_Gracia)+N(P_L3_Cuotas),N(P_L3_Cuotas)&gt;0),IF((51-N(P_L3_Mes)+1)=N(P_L3_Gracia)+N(P_L3_Cuotas),IF((51-N(P_L3_Mes)+1)=1,N(P_L3_Monto),BC$108),PMT(N(P_L3_Tasa)/12,N(P_L3_Cuotas),-N(P_L3_Monto))-BD$106),0)*BD$9</f>
        <v>0</v>
      </c>
      <c r="BE107" s="34" t="n">
        <f aca="false">IF(AND((52-N(P_L3_Mes)+1)&gt;N(P_L3_Gracia),(52-N(P_L3_Mes)+1)&lt;=N(P_L3_Gracia)+N(P_L3_Cuotas),N(P_L3_Cuotas)&gt;0),IF((52-N(P_L3_Mes)+1)=N(P_L3_Gracia)+N(P_L3_Cuotas),IF((52-N(P_L3_Mes)+1)=1,N(P_L3_Monto),BD$108),PMT(N(P_L3_Tasa)/12,N(P_L3_Cuotas),-N(P_L3_Monto))-BE$106),0)*BE$9</f>
        <v>0</v>
      </c>
      <c r="BF107" s="34" t="n">
        <f aca="false">IF(AND((53-N(P_L3_Mes)+1)&gt;N(P_L3_Gracia),(53-N(P_L3_Mes)+1)&lt;=N(P_L3_Gracia)+N(P_L3_Cuotas),N(P_L3_Cuotas)&gt;0),IF((53-N(P_L3_Mes)+1)=N(P_L3_Gracia)+N(P_L3_Cuotas),IF((53-N(P_L3_Mes)+1)=1,N(P_L3_Monto),BE$108),PMT(N(P_L3_Tasa)/12,N(P_L3_Cuotas),-N(P_L3_Monto))-BF$106),0)*BF$9</f>
        <v>0</v>
      </c>
      <c r="BG107" s="34" t="n">
        <f aca="false">IF(AND((54-N(P_L3_Mes)+1)&gt;N(P_L3_Gracia),(54-N(P_L3_Mes)+1)&lt;=N(P_L3_Gracia)+N(P_L3_Cuotas),N(P_L3_Cuotas)&gt;0),IF((54-N(P_L3_Mes)+1)=N(P_L3_Gracia)+N(P_L3_Cuotas),IF((54-N(P_L3_Mes)+1)=1,N(P_L3_Monto),BF$108),PMT(N(P_L3_Tasa)/12,N(P_L3_Cuotas),-N(P_L3_Monto))-BG$106),0)*BG$9</f>
        <v>0</v>
      </c>
      <c r="BH107" s="34" t="n">
        <f aca="false">IF(AND((55-N(P_L3_Mes)+1)&gt;N(P_L3_Gracia),(55-N(P_L3_Mes)+1)&lt;=N(P_L3_Gracia)+N(P_L3_Cuotas),N(P_L3_Cuotas)&gt;0),IF((55-N(P_L3_Mes)+1)=N(P_L3_Gracia)+N(P_L3_Cuotas),IF((55-N(P_L3_Mes)+1)=1,N(P_L3_Monto),BG$108),PMT(N(P_L3_Tasa)/12,N(P_L3_Cuotas),-N(P_L3_Monto))-BH$106),0)*BH$9</f>
        <v>0</v>
      </c>
      <c r="BI107" s="34" t="n">
        <f aca="false">IF(AND((56-N(P_L3_Mes)+1)&gt;N(P_L3_Gracia),(56-N(P_L3_Mes)+1)&lt;=N(P_L3_Gracia)+N(P_L3_Cuotas),N(P_L3_Cuotas)&gt;0),IF((56-N(P_L3_Mes)+1)=N(P_L3_Gracia)+N(P_L3_Cuotas),IF((56-N(P_L3_Mes)+1)=1,N(P_L3_Monto),BH$108),PMT(N(P_L3_Tasa)/12,N(P_L3_Cuotas),-N(P_L3_Monto))-BI$106),0)*BI$9</f>
        <v>0</v>
      </c>
      <c r="BJ107" s="34" t="n">
        <f aca="false">IF(AND((57-N(P_L3_Mes)+1)&gt;N(P_L3_Gracia),(57-N(P_L3_Mes)+1)&lt;=N(P_L3_Gracia)+N(P_L3_Cuotas),N(P_L3_Cuotas)&gt;0),IF((57-N(P_L3_Mes)+1)=N(P_L3_Gracia)+N(P_L3_Cuotas),IF((57-N(P_L3_Mes)+1)=1,N(P_L3_Monto),BI$108),PMT(N(P_L3_Tasa)/12,N(P_L3_Cuotas),-N(P_L3_Monto))-BJ$106),0)*BJ$9</f>
        <v>0</v>
      </c>
      <c r="BK107" s="34" t="n">
        <f aca="false">IF(AND((58-N(P_L3_Mes)+1)&gt;N(P_L3_Gracia),(58-N(P_L3_Mes)+1)&lt;=N(P_L3_Gracia)+N(P_L3_Cuotas),N(P_L3_Cuotas)&gt;0),IF((58-N(P_L3_Mes)+1)=N(P_L3_Gracia)+N(P_L3_Cuotas),IF((58-N(P_L3_Mes)+1)=1,N(P_L3_Monto),BJ$108),PMT(N(P_L3_Tasa)/12,N(P_L3_Cuotas),-N(P_L3_Monto))-BK$106),0)*BK$9</f>
        <v>0</v>
      </c>
      <c r="BL107" s="34" t="n">
        <f aca="false">IF(AND((59-N(P_L3_Mes)+1)&gt;N(P_L3_Gracia),(59-N(P_L3_Mes)+1)&lt;=N(P_L3_Gracia)+N(P_L3_Cuotas),N(P_L3_Cuotas)&gt;0),IF((59-N(P_L3_Mes)+1)=N(P_L3_Gracia)+N(P_L3_Cuotas),IF((59-N(P_L3_Mes)+1)=1,N(P_L3_Monto),BK$108),PMT(N(P_L3_Tasa)/12,N(P_L3_Cuotas),-N(P_L3_Monto))-BL$106),0)*BL$9</f>
        <v>0</v>
      </c>
      <c r="BM107" s="34" t="n">
        <f aca="false">IF(AND((60-N(P_L3_Mes)+1)&gt;N(P_L3_Gracia),(60-N(P_L3_Mes)+1)&lt;=N(P_L3_Gracia)+N(P_L3_Cuotas),N(P_L3_Cuotas)&gt;0),IF((60-N(P_L3_Mes)+1)=N(P_L3_Gracia)+N(P_L3_Cuotas),IF((60-N(P_L3_Mes)+1)=1,N(P_L3_Monto),BL$108),PMT(N(P_L3_Tasa)/12,N(P_L3_Cuotas),-N(P_L3_Monto))-BM$106),0)*BM$9</f>
        <v>0</v>
      </c>
      <c r="BN107" s="34" t="n">
        <f aca="false">IF(AND((61-N(P_L3_Mes)+1)&gt;N(P_L3_Gracia),(61-N(P_L3_Mes)+1)&lt;=N(P_L3_Gracia)+N(P_L3_Cuotas),N(P_L3_Cuotas)&gt;0),IF((61-N(P_L3_Mes)+1)=N(P_L3_Gracia)+N(P_L3_Cuotas),IF((61-N(P_L3_Mes)+1)=1,N(P_L3_Monto),BM$108),PMT(N(P_L3_Tasa)/12,N(P_L3_Cuotas),-N(P_L3_Monto))-BN$106),0)*BN$9</f>
        <v>0</v>
      </c>
      <c r="BO107" s="34" t="n">
        <f aca="false">IF(AND((62-N(P_L3_Mes)+1)&gt;N(P_L3_Gracia),(62-N(P_L3_Mes)+1)&lt;=N(P_L3_Gracia)+N(P_L3_Cuotas),N(P_L3_Cuotas)&gt;0),IF((62-N(P_L3_Mes)+1)=N(P_L3_Gracia)+N(P_L3_Cuotas),IF((62-N(P_L3_Mes)+1)=1,N(P_L3_Monto),BN$108),PMT(N(P_L3_Tasa)/12,N(P_L3_Cuotas),-N(P_L3_Monto))-BO$106),0)*BO$9</f>
        <v>0</v>
      </c>
      <c r="BP107" s="34" t="n">
        <f aca="false">IF(AND((63-N(P_L3_Mes)+1)&gt;N(P_L3_Gracia),(63-N(P_L3_Mes)+1)&lt;=N(P_L3_Gracia)+N(P_L3_Cuotas),N(P_L3_Cuotas)&gt;0),IF((63-N(P_L3_Mes)+1)=N(P_L3_Gracia)+N(P_L3_Cuotas),IF((63-N(P_L3_Mes)+1)=1,N(P_L3_Monto),BO$108),PMT(N(P_L3_Tasa)/12,N(P_L3_Cuotas),-N(P_L3_Monto))-BP$106),0)*BP$9</f>
        <v>0</v>
      </c>
      <c r="BQ107" s="34" t="n">
        <f aca="false">IF(AND((64-N(P_L3_Mes)+1)&gt;N(P_L3_Gracia),(64-N(P_L3_Mes)+1)&lt;=N(P_L3_Gracia)+N(P_L3_Cuotas),N(P_L3_Cuotas)&gt;0),IF((64-N(P_L3_Mes)+1)=N(P_L3_Gracia)+N(P_L3_Cuotas),IF((64-N(P_L3_Mes)+1)=1,N(P_L3_Monto),BP$108),PMT(N(P_L3_Tasa)/12,N(P_L3_Cuotas),-N(P_L3_Monto))-BQ$106),0)*BQ$9</f>
        <v>0</v>
      </c>
      <c r="BR107" s="34" t="n">
        <f aca="false">IF(AND((65-N(P_L3_Mes)+1)&gt;N(P_L3_Gracia),(65-N(P_L3_Mes)+1)&lt;=N(P_L3_Gracia)+N(P_L3_Cuotas),N(P_L3_Cuotas)&gt;0),IF((65-N(P_L3_Mes)+1)=N(P_L3_Gracia)+N(P_L3_Cuotas),IF((65-N(P_L3_Mes)+1)=1,N(P_L3_Monto),BQ$108),PMT(N(P_L3_Tasa)/12,N(P_L3_Cuotas),-N(P_L3_Monto))-BR$106),0)*BR$9</f>
        <v>0</v>
      </c>
      <c r="BS107" s="34" t="n">
        <f aca="false">IF(AND((66-N(P_L3_Mes)+1)&gt;N(P_L3_Gracia),(66-N(P_L3_Mes)+1)&lt;=N(P_L3_Gracia)+N(P_L3_Cuotas),N(P_L3_Cuotas)&gt;0),IF((66-N(P_L3_Mes)+1)=N(P_L3_Gracia)+N(P_L3_Cuotas),IF((66-N(P_L3_Mes)+1)=1,N(P_L3_Monto),BR$108),PMT(N(P_L3_Tasa)/12,N(P_L3_Cuotas),-N(P_L3_Monto))-BS$106),0)*BS$9</f>
        <v>0</v>
      </c>
      <c r="BT107" s="34" t="n">
        <f aca="false">IF(AND((67-N(P_L3_Mes)+1)&gt;N(P_L3_Gracia),(67-N(P_L3_Mes)+1)&lt;=N(P_L3_Gracia)+N(P_L3_Cuotas),N(P_L3_Cuotas)&gt;0),IF((67-N(P_L3_Mes)+1)=N(P_L3_Gracia)+N(P_L3_Cuotas),IF((67-N(P_L3_Mes)+1)=1,N(P_L3_Monto),BS$108),PMT(N(P_L3_Tasa)/12,N(P_L3_Cuotas),-N(P_L3_Monto))-BT$106),0)*BT$9</f>
        <v>0</v>
      </c>
      <c r="BU107" s="34" t="n">
        <f aca="false">IF(AND((68-N(P_L3_Mes)+1)&gt;N(P_L3_Gracia),(68-N(P_L3_Mes)+1)&lt;=N(P_L3_Gracia)+N(P_L3_Cuotas),N(P_L3_Cuotas)&gt;0),IF((68-N(P_L3_Mes)+1)=N(P_L3_Gracia)+N(P_L3_Cuotas),IF((68-N(P_L3_Mes)+1)=1,N(P_L3_Monto),BT$108),PMT(N(P_L3_Tasa)/12,N(P_L3_Cuotas),-N(P_L3_Monto))-BU$106),0)*BU$9</f>
        <v>0</v>
      </c>
      <c r="BV107" s="34" t="n">
        <f aca="false">IF(AND((69-N(P_L3_Mes)+1)&gt;N(P_L3_Gracia),(69-N(P_L3_Mes)+1)&lt;=N(P_L3_Gracia)+N(P_L3_Cuotas),N(P_L3_Cuotas)&gt;0),IF((69-N(P_L3_Mes)+1)=N(P_L3_Gracia)+N(P_L3_Cuotas),IF((69-N(P_L3_Mes)+1)=1,N(P_L3_Monto),BU$108),PMT(N(P_L3_Tasa)/12,N(P_L3_Cuotas),-N(P_L3_Monto))-BV$106),0)*BV$9</f>
        <v>0</v>
      </c>
      <c r="BW107" s="34" t="n">
        <f aca="false">IF(AND((70-N(P_L3_Mes)+1)&gt;N(P_L3_Gracia),(70-N(P_L3_Mes)+1)&lt;=N(P_L3_Gracia)+N(P_L3_Cuotas),N(P_L3_Cuotas)&gt;0),IF((70-N(P_L3_Mes)+1)=N(P_L3_Gracia)+N(P_L3_Cuotas),IF((70-N(P_L3_Mes)+1)=1,N(P_L3_Monto),BV$108),PMT(N(P_L3_Tasa)/12,N(P_L3_Cuotas),-N(P_L3_Monto))-BW$106),0)*BW$9</f>
        <v>0</v>
      </c>
      <c r="BX107" s="34" t="n">
        <f aca="false">IF(AND((71-N(P_L3_Mes)+1)&gt;N(P_L3_Gracia),(71-N(P_L3_Mes)+1)&lt;=N(P_L3_Gracia)+N(P_L3_Cuotas),N(P_L3_Cuotas)&gt;0),IF((71-N(P_L3_Mes)+1)=N(P_L3_Gracia)+N(P_L3_Cuotas),IF((71-N(P_L3_Mes)+1)=1,N(P_L3_Monto),BW$108),PMT(N(P_L3_Tasa)/12,N(P_L3_Cuotas),-N(P_L3_Monto))-BX$106),0)*BX$9</f>
        <v>0</v>
      </c>
      <c r="BY107" s="34" t="n">
        <f aca="false">IF(AND((72-N(P_L3_Mes)+1)&gt;N(P_L3_Gracia),(72-N(P_L3_Mes)+1)&lt;=N(P_L3_Gracia)+N(P_L3_Cuotas),N(P_L3_Cuotas)&gt;0),IF((72-N(P_L3_Mes)+1)=N(P_L3_Gracia)+N(P_L3_Cuotas),IF((72-N(P_L3_Mes)+1)=1,N(P_L3_Monto),BX$108),PMT(N(P_L3_Tasa)/12,N(P_L3_Cuotas),-N(P_L3_Monto))-BY$106),0)*BY$9</f>
        <v>0</v>
      </c>
      <c r="BZ107" s="34" t="n">
        <f aca="false">IF(AND((73-N(P_L3_Mes)+1)&gt;N(P_L3_Gracia),(73-N(P_L3_Mes)+1)&lt;=N(P_L3_Gracia)+N(P_L3_Cuotas),N(P_L3_Cuotas)&gt;0),IF((73-N(P_L3_Mes)+1)=N(P_L3_Gracia)+N(P_L3_Cuotas),IF((73-N(P_L3_Mes)+1)=1,N(P_L3_Monto),BY$108),PMT(N(P_L3_Tasa)/12,N(P_L3_Cuotas),-N(P_L3_Monto))-BZ$106),0)*BZ$9</f>
        <v>0</v>
      </c>
      <c r="CA107" s="34" t="n">
        <f aca="false">IF(AND((74-N(P_L3_Mes)+1)&gt;N(P_L3_Gracia),(74-N(P_L3_Mes)+1)&lt;=N(P_L3_Gracia)+N(P_L3_Cuotas),N(P_L3_Cuotas)&gt;0),IF((74-N(P_L3_Mes)+1)=N(P_L3_Gracia)+N(P_L3_Cuotas),IF((74-N(P_L3_Mes)+1)=1,N(P_L3_Monto),BZ$108),PMT(N(P_L3_Tasa)/12,N(P_L3_Cuotas),-N(P_L3_Monto))-CA$106),0)*CA$9</f>
        <v>0</v>
      </c>
      <c r="CB107" s="34" t="n">
        <f aca="false">IF(AND((75-N(P_L3_Mes)+1)&gt;N(P_L3_Gracia),(75-N(P_L3_Mes)+1)&lt;=N(P_L3_Gracia)+N(P_L3_Cuotas),N(P_L3_Cuotas)&gt;0),IF((75-N(P_L3_Mes)+1)=N(P_L3_Gracia)+N(P_L3_Cuotas),IF((75-N(P_L3_Mes)+1)=1,N(P_L3_Monto),CA$108),PMT(N(P_L3_Tasa)/12,N(P_L3_Cuotas),-N(P_L3_Monto))-CB$106),0)*CB$9</f>
        <v>0</v>
      </c>
      <c r="CC107" s="34" t="n">
        <f aca="false">IF(AND((76-N(P_L3_Mes)+1)&gt;N(P_L3_Gracia),(76-N(P_L3_Mes)+1)&lt;=N(P_L3_Gracia)+N(P_L3_Cuotas),N(P_L3_Cuotas)&gt;0),IF((76-N(P_L3_Mes)+1)=N(P_L3_Gracia)+N(P_L3_Cuotas),IF((76-N(P_L3_Mes)+1)=1,N(P_L3_Monto),CB$108),PMT(N(P_L3_Tasa)/12,N(P_L3_Cuotas),-N(P_L3_Monto))-CC$106),0)*CC$9</f>
        <v>0</v>
      </c>
      <c r="CD107" s="34" t="n">
        <f aca="false">IF(AND((77-N(P_L3_Mes)+1)&gt;N(P_L3_Gracia),(77-N(P_L3_Mes)+1)&lt;=N(P_L3_Gracia)+N(P_L3_Cuotas),N(P_L3_Cuotas)&gt;0),IF((77-N(P_L3_Mes)+1)=N(P_L3_Gracia)+N(P_L3_Cuotas),IF((77-N(P_L3_Mes)+1)=1,N(P_L3_Monto),CC$108),PMT(N(P_L3_Tasa)/12,N(P_L3_Cuotas),-N(P_L3_Monto))-CD$106),0)*CD$9</f>
        <v>0</v>
      </c>
      <c r="CE107" s="34" t="n">
        <f aca="false">IF(AND((78-N(P_L3_Mes)+1)&gt;N(P_L3_Gracia),(78-N(P_L3_Mes)+1)&lt;=N(P_L3_Gracia)+N(P_L3_Cuotas),N(P_L3_Cuotas)&gt;0),IF((78-N(P_L3_Mes)+1)=N(P_L3_Gracia)+N(P_L3_Cuotas),IF((78-N(P_L3_Mes)+1)=1,N(P_L3_Monto),CD$108),PMT(N(P_L3_Tasa)/12,N(P_L3_Cuotas),-N(P_L3_Monto))-CE$106),0)*CE$9</f>
        <v>0</v>
      </c>
      <c r="CF107" s="34" t="n">
        <f aca="false">IF(AND((79-N(P_L3_Mes)+1)&gt;N(P_L3_Gracia),(79-N(P_L3_Mes)+1)&lt;=N(P_L3_Gracia)+N(P_L3_Cuotas),N(P_L3_Cuotas)&gt;0),IF((79-N(P_L3_Mes)+1)=N(P_L3_Gracia)+N(P_L3_Cuotas),IF((79-N(P_L3_Mes)+1)=1,N(P_L3_Monto),CE$108),PMT(N(P_L3_Tasa)/12,N(P_L3_Cuotas),-N(P_L3_Monto))-CF$106),0)*CF$9</f>
        <v>0</v>
      </c>
      <c r="CG107" s="34" t="n">
        <f aca="false">IF(AND((80-N(P_L3_Mes)+1)&gt;N(P_L3_Gracia),(80-N(P_L3_Mes)+1)&lt;=N(P_L3_Gracia)+N(P_L3_Cuotas),N(P_L3_Cuotas)&gt;0),IF((80-N(P_L3_Mes)+1)=N(P_L3_Gracia)+N(P_L3_Cuotas),IF((80-N(P_L3_Mes)+1)=1,N(P_L3_Monto),CF$108),PMT(N(P_L3_Tasa)/12,N(P_L3_Cuotas),-N(P_L3_Monto))-CG$106),0)*CG$9</f>
        <v>0</v>
      </c>
      <c r="CH107" s="34" t="n">
        <f aca="false">IF(AND((81-N(P_L3_Mes)+1)&gt;N(P_L3_Gracia),(81-N(P_L3_Mes)+1)&lt;=N(P_L3_Gracia)+N(P_L3_Cuotas),N(P_L3_Cuotas)&gt;0),IF((81-N(P_L3_Mes)+1)=N(P_L3_Gracia)+N(P_L3_Cuotas),IF((81-N(P_L3_Mes)+1)=1,N(P_L3_Monto),CG$108),PMT(N(P_L3_Tasa)/12,N(P_L3_Cuotas),-N(P_L3_Monto))-CH$106),0)*CH$9</f>
        <v>0</v>
      </c>
      <c r="CI107" s="34" t="n">
        <f aca="false">IF(AND((82-N(P_L3_Mes)+1)&gt;N(P_L3_Gracia),(82-N(P_L3_Mes)+1)&lt;=N(P_L3_Gracia)+N(P_L3_Cuotas),N(P_L3_Cuotas)&gt;0),IF((82-N(P_L3_Mes)+1)=N(P_L3_Gracia)+N(P_L3_Cuotas),IF((82-N(P_L3_Mes)+1)=1,N(P_L3_Monto),CH$108),PMT(N(P_L3_Tasa)/12,N(P_L3_Cuotas),-N(P_L3_Monto))-CI$106),0)*CI$9</f>
        <v>0</v>
      </c>
      <c r="CJ107" s="34" t="n">
        <f aca="false">IF(AND((83-N(P_L3_Mes)+1)&gt;N(P_L3_Gracia),(83-N(P_L3_Mes)+1)&lt;=N(P_L3_Gracia)+N(P_L3_Cuotas),N(P_L3_Cuotas)&gt;0),IF((83-N(P_L3_Mes)+1)=N(P_L3_Gracia)+N(P_L3_Cuotas),IF((83-N(P_L3_Mes)+1)=1,N(P_L3_Monto),CI$108),PMT(N(P_L3_Tasa)/12,N(P_L3_Cuotas),-N(P_L3_Monto))-CJ$106),0)*CJ$9</f>
        <v>0</v>
      </c>
      <c r="CK107" s="34" t="n">
        <f aca="false">IF(AND((84-N(P_L3_Mes)+1)&gt;N(P_L3_Gracia),(84-N(P_L3_Mes)+1)&lt;=N(P_L3_Gracia)+N(P_L3_Cuotas),N(P_L3_Cuotas)&gt;0),IF((84-N(P_L3_Mes)+1)=N(P_L3_Gracia)+N(P_L3_Cuotas),IF((84-N(P_L3_Mes)+1)=1,N(P_L3_Monto),CJ$108),PMT(N(P_L3_Tasa)/12,N(P_L3_Cuotas),-N(P_L3_Monto))-CK$106),0)*CK$9</f>
        <v>0</v>
      </c>
      <c r="CL107" s="34" t="n">
        <f aca="false">IF(AND((85-N(P_L3_Mes)+1)&gt;N(P_L3_Gracia),(85-N(P_L3_Mes)+1)&lt;=N(P_L3_Gracia)+N(P_L3_Cuotas),N(P_L3_Cuotas)&gt;0),IF((85-N(P_L3_Mes)+1)=N(P_L3_Gracia)+N(P_L3_Cuotas),IF((85-N(P_L3_Mes)+1)=1,N(P_L3_Monto),CK$108),PMT(N(P_L3_Tasa)/12,N(P_L3_Cuotas),-N(P_L3_Monto))-CL$106),0)*CL$9</f>
        <v>0</v>
      </c>
      <c r="CM107" s="34" t="n">
        <f aca="false">IF(AND((86-N(P_L3_Mes)+1)&gt;N(P_L3_Gracia),(86-N(P_L3_Mes)+1)&lt;=N(P_L3_Gracia)+N(P_L3_Cuotas),N(P_L3_Cuotas)&gt;0),IF((86-N(P_L3_Mes)+1)=N(P_L3_Gracia)+N(P_L3_Cuotas),IF((86-N(P_L3_Mes)+1)=1,N(P_L3_Monto),CL$108),PMT(N(P_L3_Tasa)/12,N(P_L3_Cuotas),-N(P_L3_Monto))-CM$106),0)*CM$9</f>
        <v>0</v>
      </c>
      <c r="CN107" s="34" t="n">
        <f aca="false">IF(AND((87-N(P_L3_Mes)+1)&gt;N(P_L3_Gracia),(87-N(P_L3_Mes)+1)&lt;=N(P_L3_Gracia)+N(P_L3_Cuotas),N(P_L3_Cuotas)&gt;0),IF((87-N(P_L3_Mes)+1)=N(P_L3_Gracia)+N(P_L3_Cuotas),IF((87-N(P_L3_Mes)+1)=1,N(P_L3_Monto),CM$108),PMT(N(P_L3_Tasa)/12,N(P_L3_Cuotas),-N(P_L3_Monto))-CN$106),0)*CN$9</f>
        <v>0</v>
      </c>
      <c r="CO107" s="34" t="n">
        <f aca="false">IF(AND((88-N(P_L3_Mes)+1)&gt;N(P_L3_Gracia),(88-N(P_L3_Mes)+1)&lt;=N(P_L3_Gracia)+N(P_L3_Cuotas),N(P_L3_Cuotas)&gt;0),IF((88-N(P_L3_Mes)+1)=N(P_L3_Gracia)+N(P_L3_Cuotas),IF((88-N(P_L3_Mes)+1)=1,N(P_L3_Monto),CN$108),PMT(N(P_L3_Tasa)/12,N(P_L3_Cuotas),-N(P_L3_Monto))-CO$106),0)*CO$9</f>
        <v>0</v>
      </c>
      <c r="CP107" s="34" t="n">
        <f aca="false">IF(AND((89-N(P_L3_Mes)+1)&gt;N(P_L3_Gracia),(89-N(P_L3_Mes)+1)&lt;=N(P_L3_Gracia)+N(P_L3_Cuotas),N(P_L3_Cuotas)&gt;0),IF((89-N(P_L3_Mes)+1)=N(P_L3_Gracia)+N(P_L3_Cuotas),IF((89-N(P_L3_Mes)+1)=1,N(P_L3_Monto),CO$108),PMT(N(P_L3_Tasa)/12,N(P_L3_Cuotas),-N(P_L3_Monto))-CP$106),0)*CP$9</f>
        <v>0</v>
      </c>
      <c r="CQ107" s="34" t="n">
        <f aca="false">IF(AND((90-N(P_L3_Mes)+1)&gt;N(P_L3_Gracia),(90-N(P_L3_Mes)+1)&lt;=N(P_L3_Gracia)+N(P_L3_Cuotas),N(P_L3_Cuotas)&gt;0),IF((90-N(P_L3_Mes)+1)=N(P_L3_Gracia)+N(P_L3_Cuotas),IF((90-N(P_L3_Mes)+1)=1,N(P_L3_Monto),CP$108),PMT(N(P_L3_Tasa)/12,N(P_L3_Cuotas),-N(P_L3_Monto))-CQ$106),0)*CQ$9</f>
        <v>0</v>
      </c>
      <c r="CR107" s="34" t="n">
        <f aca="false">IF(AND((91-N(P_L3_Mes)+1)&gt;N(P_L3_Gracia),(91-N(P_L3_Mes)+1)&lt;=N(P_L3_Gracia)+N(P_L3_Cuotas),N(P_L3_Cuotas)&gt;0),IF((91-N(P_L3_Mes)+1)=N(P_L3_Gracia)+N(P_L3_Cuotas),IF((91-N(P_L3_Mes)+1)=1,N(P_L3_Monto),CQ$108),PMT(N(P_L3_Tasa)/12,N(P_L3_Cuotas),-N(P_L3_Monto))-CR$106),0)*CR$9</f>
        <v>0</v>
      </c>
      <c r="CS107" s="34" t="n">
        <f aca="false">IF(AND((92-N(P_L3_Mes)+1)&gt;N(P_L3_Gracia),(92-N(P_L3_Mes)+1)&lt;=N(P_L3_Gracia)+N(P_L3_Cuotas),N(P_L3_Cuotas)&gt;0),IF((92-N(P_L3_Mes)+1)=N(P_L3_Gracia)+N(P_L3_Cuotas),IF((92-N(P_L3_Mes)+1)=1,N(P_L3_Monto),CR$108),PMT(N(P_L3_Tasa)/12,N(P_L3_Cuotas),-N(P_L3_Monto))-CS$106),0)*CS$9</f>
        <v>0</v>
      </c>
      <c r="CT107" s="34" t="n">
        <f aca="false">IF(AND((93-N(P_L3_Mes)+1)&gt;N(P_L3_Gracia),(93-N(P_L3_Mes)+1)&lt;=N(P_L3_Gracia)+N(P_L3_Cuotas),N(P_L3_Cuotas)&gt;0),IF((93-N(P_L3_Mes)+1)=N(P_L3_Gracia)+N(P_L3_Cuotas),IF((93-N(P_L3_Mes)+1)=1,N(P_L3_Monto),CS$108),PMT(N(P_L3_Tasa)/12,N(P_L3_Cuotas),-N(P_L3_Monto))-CT$106),0)*CT$9</f>
        <v>0</v>
      </c>
      <c r="CU107" s="34" t="n">
        <f aca="false">IF(AND((94-N(P_L3_Mes)+1)&gt;N(P_L3_Gracia),(94-N(P_L3_Mes)+1)&lt;=N(P_L3_Gracia)+N(P_L3_Cuotas),N(P_L3_Cuotas)&gt;0),IF((94-N(P_L3_Mes)+1)=N(P_L3_Gracia)+N(P_L3_Cuotas),IF((94-N(P_L3_Mes)+1)=1,N(P_L3_Monto),CT$108),PMT(N(P_L3_Tasa)/12,N(P_L3_Cuotas),-N(P_L3_Monto))-CU$106),0)*CU$9</f>
        <v>0</v>
      </c>
      <c r="CV107" s="34" t="n">
        <f aca="false">IF(AND((95-N(P_L3_Mes)+1)&gt;N(P_L3_Gracia),(95-N(P_L3_Mes)+1)&lt;=N(P_L3_Gracia)+N(P_L3_Cuotas),N(P_L3_Cuotas)&gt;0),IF((95-N(P_L3_Mes)+1)=N(P_L3_Gracia)+N(P_L3_Cuotas),IF((95-N(P_L3_Mes)+1)=1,N(P_L3_Monto),CU$108),PMT(N(P_L3_Tasa)/12,N(P_L3_Cuotas),-N(P_L3_Monto))-CV$106),0)*CV$9</f>
        <v>0</v>
      </c>
      <c r="CW107" s="34" t="n">
        <f aca="false">IF(AND((96-N(P_L3_Mes)+1)&gt;N(P_L3_Gracia),(96-N(P_L3_Mes)+1)&lt;=N(P_L3_Gracia)+N(P_L3_Cuotas),N(P_L3_Cuotas)&gt;0),IF((96-N(P_L3_Mes)+1)=N(P_L3_Gracia)+N(P_L3_Cuotas),IF((96-N(P_L3_Mes)+1)=1,N(P_L3_Monto),CV$108),PMT(N(P_L3_Tasa)/12,N(P_L3_Cuotas),-N(P_L3_Monto))-CW$106),0)*CW$9</f>
        <v>0</v>
      </c>
      <c r="CX107" s="34" t="n">
        <f aca="false">IF(AND((97-N(P_L3_Mes)+1)&gt;N(P_L3_Gracia),(97-N(P_L3_Mes)+1)&lt;=N(P_L3_Gracia)+N(P_L3_Cuotas),N(P_L3_Cuotas)&gt;0),IF((97-N(P_L3_Mes)+1)=N(P_L3_Gracia)+N(P_L3_Cuotas),IF((97-N(P_L3_Mes)+1)=1,N(P_L3_Monto),CW$108),PMT(N(P_L3_Tasa)/12,N(P_L3_Cuotas),-N(P_L3_Monto))-CX$106),0)*CX$9</f>
        <v>0</v>
      </c>
      <c r="CY107" s="34" t="n">
        <f aca="false">IF(AND((98-N(P_L3_Mes)+1)&gt;N(P_L3_Gracia),(98-N(P_L3_Mes)+1)&lt;=N(P_L3_Gracia)+N(P_L3_Cuotas),N(P_L3_Cuotas)&gt;0),IF((98-N(P_L3_Mes)+1)=N(P_L3_Gracia)+N(P_L3_Cuotas),IF((98-N(P_L3_Mes)+1)=1,N(P_L3_Monto),CX$108),PMT(N(P_L3_Tasa)/12,N(P_L3_Cuotas),-N(P_L3_Monto))-CY$106),0)*CY$9</f>
        <v>0</v>
      </c>
      <c r="CZ107" s="34" t="n">
        <f aca="false">IF(AND((99-N(P_L3_Mes)+1)&gt;N(P_L3_Gracia),(99-N(P_L3_Mes)+1)&lt;=N(P_L3_Gracia)+N(P_L3_Cuotas),N(P_L3_Cuotas)&gt;0),IF((99-N(P_L3_Mes)+1)=N(P_L3_Gracia)+N(P_L3_Cuotas),IF((99-N(P_L3_Mes)+1)=1,N(P_L3_Monto),CY$108),PMT(N(P_L3_Tasa)/12,N(P_L3_Cuotas),-N(P_L3_Monto))-CZ$106),0)*CZ$9</f>
        <v>0</v>
      </c>
      <c r="DA107" s="34" t="n">
        <f aca="false">IF(AND((100-N(P_L3_Mes)+1)&gt;N(P_L3_Gracia),(100-N(P_L3_Mes)+1)&lt;=N(P_L3_Gracia)+N(P_L3_Cuotas),N(P_L3_Cuotas)&gt;0),IF((100-N(P_L3_Mes)+1)=N(P_L3_Gracia)+N(P_L3_Cuotas),IF((100-N(P_L3_Mes)+1)=1,N(P_L3_Monto),CZ$108),PMT(N(P_L3_Tasa)/12,N(P_L3_Cuotas),-N(P_L3_Monto))-DA$106),0)*DA$9</f>
        <v>0</v>
      </c>
      <c r="DB107" s="34" t="n">
        <f aca="false">IF(AND((101-N(P_L3_Mes)+1)&gt;N(P_L3_Gracia),(101-N(P_L3_Mes)+1)&lt;=N(P_L3_Gracia)+N(P_L3_Cuotas),N(P_L3_Cuotas)&gt;0),IF((101-N(P_L3_Mes)+1)=N(P_L3_Gracia)+N(P_L3_Cuotas),IF((101-N(P_L3_Mes)+1)=1,N(P_L3_Monto),DA$108),PMT(N(P_L3_Tasa)/12,N(P_L3_Cuotas),-N(P_L3_Monto))-DB$106),0)*DB$9</f>
        <v>0</v>
      </c>
      <c r="DC107" s="34" t="n">
        <f aca="false">IF(AND((102-N(P_L3_Mes)+1)&gt;N(P_L3_Gracia),(102-N(P_L3_Mes)+1)&lt;=N(P_L3_Gracia)+N(P_L3_Cuotas),N(P_L3_Cuotas)&gt;0),IF((102-N(P_L3_Mes)+1)=N(P_L3_Gracia)+N(P_L3_Cuotas),IF((102-N(P_L3_Mes)+1)=1,N(P_L3_Monto),DB$108),PMT(N(P_L3_Tasa)/12,N(P_L3_Cuotas),-N(P_L3_Monto))-DC$106),0)*DC$9</f>
        <v>0</v>
      </c>
      <c r="DD107" s="34" t="n">
        <f aca="false">IF(AND((103-N(P_L3_Mes)+1)&gt;N(P_L3_Gracia),(103-N(P_L3_Mes)+1)&lt;=N(P_L3_Gracia)+N(P_L3_Cuotas),N(P_L3_Cuotas)&gt;0),IF((103-N(P_L3_Mes)+1)=N(P_L3_Gracia)+N(P_L3_Cuotas),IF((103-N(P_L3_Mes)+1)=1,N(P_L3_Monto),DC$108),PMT(N(P_L3_Tasa)/12,N(P_L3_Cuotas),-N(P_L3_Monto))-DD$106),0)*DD$9</f>
        <v>0</v>
      </c>
      <c r="DE107" s="34" t="n">
        <f aca="false">IF(AND((104-N(P_L3_Mes)+1)&gt;N(P_L3_Gracia),(104-N(P_L3_Mes)+1)&lt;=N(P_L3_Gracia)+N(P_L3_Cuotas),N(P_L3_Cuotas)&gt;0),IF((104-N(P_L3_Mes)+1)=N(P_L3_Gracia)+N(P_L3_Cuotas),IF((104-N(P_L3_Mes)+1)=1,N(P_L3_Monto),DD$108),PMT(N(P_L3_Tasa)/12,N(P_L3_Cuotas),-N(P_L3_Monto))-DE$106),0)*DE$9</f>
        <v>0</v>
      </c>
      <c r="DF107" s="34" t="n">
        <f aca="false">IF(AND((105-N(P_L3_Mes)+1)&gt;N(P_L3_Gracia),(105-N(P_L3_Mes)+1)&lt;=N(P_L3_Gracia)+N(P_L3_Cuotas),N(P_L3_Cuotas)&gt;0),IF((105-N(P_L3_Mes)+1)=N(P_L3_Gracia)+N(P_L3_Cuotas),IF((105-N(P_L3_Mes)+1)=1,N(P_L3_Monto),DE$108),PMT(N(P_L3_Tasa)/12,N(P_L3_Cuotas),-N(P_L3_Monto))-DF$106),0)*DF$9</f>
        <v>0</v>
      </c>
      <c r="DG107" s="34" t="n">
        <f aca="false">IF(AND((106-N(P_L3_Mes)+1)&gt;N(P_L3_Gracia),(106-N(P_L3_Mes)+1)&lt;=N(P_L3_Gracia)+N(P_L3_Cuotas),N(P_L3_Cuotas)&gt;0),IF((106-N(P_L3_Mes)+1)=N(P_L3_Gracia)+N(P_L3_Cuotas),IF((106-N(P_L3_Mes)+1)=1,N(P_L3_Monto),DF$108),PMT(N(P_L3_Tasa)/12,N(P_L3_Cuotas),-N(P_L3_Monto))-DG$106),0)*DG$9</f>
        <v>0</v>
      </c>
      <c r="DH107" s="34" t="n">
        <f aca="false">IF(AND((107-N(P_L3_Mes)+1)&gt;N(P_L3_Gracia),(107-N(P_L3_Mes)+1)&lt;=N(P_L3_Gracia)+N(P_L3_Cuotas),N(P_L3_Cuotas)&gt;0),IF((107-N(P_L3_Mes)+1)=N(P_L3_Gracia)+N(P_L3_Cuotas),IF((107-N(P_L3_Mes)+1)=1,N(P_L3_Monto),DG$108),PMT(N(P_L3_Tasa)/12,N(P_L3_Cuotas),-N(P_L3_Monto))-DH$106),0)*DH$9</f>
        <v>0</v>
      </c>
      <c r="DI107" s="34" t="n">
        <f aca="false">IF(AND((108-N(P_L3_Mes)+1)&gt;N(P_L3_Gracia),(108-N(P_L3_Mes)+1)&lt;=N(P_L3_Gracia)+N(P_L3_Cuotas),N(P_L3_Cuotas)&gt;0),IF((108-N(P_L3_Mes)+1)=N(P_L3_Gracia)+N(P_L3_Cuotas),IF((108-N(P_L3_Mes)+1)=1,N(P_L3_Monto),DH$108),PMT(N(P_L3_Tasa)/12,N(P_L3_Cuotas),-N(P_L3_Monto))-DI$106),0)*DI$9</f>
        <v>0</v>
      </c>
      <c r="DJ107" s="34" t="n">
        <f aca="false">IF(AND((109-N(P_L3_Mes)+1)&gt;N(P_L3_Gracia),(109-N(P_L3_Mes)+1)&lt;=N(P_L3_Gracia)+N(P_L3_Cuotas),N(P_L3_Cuotas)&gt;0),IF((109-N(P_L3_Mes)+1)=N(P_L3_Gracia)+N(P_L3_Cuotas),IF((109-N(P_L3_Mes)+1)=1,N(P_L3_Monto),DI$108),PMT(N(P_L3_Tasa)/12,N(P_L3_Cuotas),-N(P_L3_Monto))-DJ$106),0)*DJ$9</f>
        <v>0</v>
      </c>
      <c r="DK107" s="34" t="n">
        <f aca="false">IF(AND((110-N(P_L3_Mes)+1)&gt;N(P_L3_Gracia),(110-N(P_L3_Mes)+1)&lt;=N(P_L3_Gracia)+N(P_L3_Cuotas),N(P_L3_Cuotas)&gt;0),IF((110-N(P_L3_Mes)+1)=N(P_L3_Gracia)+N(P_L3_Cuotas),IF((110-N(P_L3_Mes)+1)=1,N(P_L3_Monto),DJ$108),PMT(N(P_L3_Tasa)/12,N(P_L3_Cuotas),-N(P_L3_Monto))-DK$106),0)*DK$9</f>
        <v>0</v>
      </c>
      <c r="DL107" s="34" t="n">
        <f aca="false">IF(AND((111-N(P_L3_Mes)+1)&gt;N(P_L3_Gracia),(111-N(P_L3_Mes)+1)&lt;=N(P_L3_Gracia)+N(P_L3_Cuotas),N(P_L3_Cuotas)&gt;0),IF((111-N(P_L3_Mes)+1)=N(P_L3_Gracia)+N(P_L3_Cuotas),IF((111-N(P_L3_Mes)+1)=1,N(P_L3_Monto),DK$108),PMT(N(P_L3_Tasa)/12,N(P_L3_Cuotas),-N(P_L3_Monto))-DL$106),0)*DL$9</f>
        <v>0</v>
      </c>
      <c r="DM107" s="34" t="n">
        <f aca="false">IF(AND((112-N(P_L3_Mes)+1)&gt;N(P_L3_Gracia),(112-N(P_L3_Mes)+1)&lt;=N(P_L3_Gracia)+N(P_L3_Cuotas),N(P_L3_Cuotas)&gt;0),IF((112-N(P_L3_Mes)+1)=N(P_L3_Gracia)+N(P_L3_Cuotas),IF((112-N(P_L3_Mes)+1)=1,N(P_L3_Monto),DL$108),PMT(N(P_L3_Tasa)/12,N(P_L3_Cuotas),-N(P_L3_Monto))-DM$106),0)*DM$9</f>
        <v>0</v>
      </c>
      <c r="DN107" s="34" t="n">
        <f aca="false">IF(AND((113-N(P_L3_Mes)+1)&gt;N(P_L3_Gracia),(113-N(P_L3_Mes)+1)&lt;=N(P_L3_Gracia)+N(P_L3_Cuotas),N(P_L3_Cuotas)&gt;0),IF((113-N(P_L3_Mes)+1)=N(P_L3_Gracia)+N(P_L3_Cuotas),IF((113-N(P_L3_Mes)+1)=1,N(P_L3_Monto),DM$108),PMT(N(P_L3_Tasa)/12,N(P_L3_Cuotas),-N(P_L3_Monto))-DN$106),0)*DN$9</f>
        <v>0</v>
      </c>
      <c r="DO107" s="34" t="n">
        <f aca="false">IF(AND((114-N(P_L3_Mes)+1)&gt;N(P_L3_Gracia),(114-N(P_L3_Mes)+1)&lt;=N(P_L3_Gracia)+N(P_L3_Cuotas),N(P_L3_Cuotas)&gt;0),IF((114-N(P_L3_Mes)+1)=N(P_L3_Gracia)+N(P_L3_Cuotas),IF((114-N(P_L3_Mes)+1)=1,N(P_L3_Monto),DN$108),PMT(N(P_L3_Tasa)/12,N(P_L3_Cuotas),-N(P_L3_Monto))-DO$106),0)*DO$9</f>
        <v>0</v>
      </c>
      <c r="DP107" s="34" t="n">
        <f aca="false">IF(AND((115-N(P_L3_Mes)+1)&gt;N(P_L3_Gracia),(115-N(P_L3_Mes)+1)&lt;=N(P_L3_Gracia)+N(P_L3_Cuotas),N(P_L3_Cuotas)&gt;0),IF((115-N(P_L3_Mes)+1)=N(P_L3_Gracia)+N(P_L3_Cuotas),IF((115-N(P_L3_Mes)+1)=1,N(P_L3_Monto),DO$108),PMT(N(P_L3_Tasa)/12,N(P_L3_Cuotas),-N(P_L3_Monto))-DP$106),0)*DP$9</f>
        <v>0</v>
      </c>
      <c r="DQ107" s="34" t="n">
        <f aca="false">IF(AND((116-N(P_L3_Mes)+1)&gt;N(P_L3_Gracia),(116-N(P_L3_Mes)+1)&lt;=N(P_L3_Gracia)+N(P_L3_Cuotas),N(P_L3_Cuotas)&gt;0),IF((116-N(P_L3_Mes)+1)=N(P_L3_Gracia)+N(P_L3_Cuotas),IF((116-N(P_L3_Mes)+1)=1,N(P_L3_Monto),DP$108),PMT(N(P_L3_Tasa)/12,N(P_L3_Cuotas),-N(P_L3_Monto))-DQ$106),0)*DQ$9</f>
        <v>0</v>
      </c>
      <c r="DR107" s="34" t="n">
        <f aca="false">IF(AND((117-N(P_L3_Mes)+1)&gt;N(P_L3_Gracia),(117-N(P_L3_Mes)+1)&lt;=N(P_L3_Gracia)+N(P_L3_Cuotas),N(P_L3_Cuotas)&gt;0),IF((117-N(P_L3_Mes)+1)=N(P_L3_Gracia)+N(P_L3_Cuotas),IF((117-N(P_L3_Mes)+1)=1,N(P_L3_Monto),DQ$108),PMT(N(P_L3_Tasa)/12,N(P_L3_Cuotas),-N(P_L3_Monto))-DR$106),0)*DR$9</f>
        <v>0</v>
      </c>
      <c r="DS107" s="34" t="n">
        <f aca="false">IF(AND((118-N(P_L3_Mes)+1)&gt;N(P_L3_Gracia),(118-N(P_L3_Mes)+1)&lt;=N(P_L3_Gracia)+N(P_L3_Cuotas),N(P_L3_Cuotas)&gt;0),IF((118-N(P_L3_Mes)+1)=N(P_L3_Gracia)+N(P_L3_Cuotas),IF((118-N(P_L3_Mes)+1)=1,N(P_L3_Monto),DR$108),PMT(N(P_L3_Tasa)/12,N(P_L3_Cuotas),-N(P_L3_Monto))-DS$106),0)*DS$9</f>
        <v>0</v>
      </c>
      <c r="DT107" s="34" t="n">
        <f aca="false">IF(AND((119-N(P_L3_Mes)+1)&gt;N(P_L3_Gracia),(119-N(P_L3_Mes)+1)&lt;=N(P_L3_Gracia)+N(P_L3_Cuotas),N(P_L3_Cuotas)&gt;0),IF((119-N(P_L3_Mes)+1)=N(P_L3_Gracia)+N(P_L3_Cuotas),IF((119-N(P_L3_Mes)+1)=1,N(P_L3_Monto),DS$108),PMT(N(P_L3_Tasa)/12,N(P_L3_Cuotas),-N(P_L3_Monto))-DT$106),0)*DT$9</f>
        <v>0</v>
      </c>
      <c r="DU107" s="34" t="n">
        <f aca="false">IF(AND((120-N(P_L3_Mes)+1)&gt;N(P_L3_Gracia),(120-N(P_L3_Mes)+1)&lt;=N(P_L3_Gracia)+N(P_L3_Cuotas),N(P_L3_Cuotas)&gt;0),IF((120-N(P_L3_Mes)+1)=N(P_L3_Gracia)+N(P_L3_Cuotas),IF((120-N(P_L3_Mes)+1)=1,N(P_L3_Monto),DT$108),PMT(N(P_L3_Tasa)/12,N(P_L3_Cuotas),-N(P_L3_Monto))-DU$106),0)*DU$9</f>
        <v>0</v>
      </c>
      <c r="DV107" s="34" t="n">
        <f aca="false">IF(AND((121-N(P_L3_Mes)+1)&gt;N(P_L3_Gracia),(121-N(P_L3_Mes)+1)&lt;=N(P_L3_Gracia)+N(P_L3_Cuotas),N(P_L3_Cuotas)&gt;0),IF((121-N(P_L3_Mes)+1)=N(P_L3_Gracia)+N(P_L3_Cuotas),IF((121-N(P_L3_Mes)+1)=1,N(P_L3_Monto),DU$108),PMT(N(P_L3_Tasa)/12,N(P_L3_Cuotas),-N(P_L3_Monto))-DV$106),0)*DV$9</f>
        <v>0</v>
      </c>
      <c r="DW107" s="34" t="n">
        <f aca="false">IF(AND((122-N(P_L3_Mes)+1)&gt;N(P_L3_Gracia),(122-N(P_L3_Mes)+1)&lt;=N(P_L3_Gracia)+N(P_L3_Cuotas),N(P_L3_Cuotas)&gt;0),IF((122-N(P_L3_Mes)+1)=N(P_L3_Gracia)+N(P_L3_Cuotas),IF((122-N(P_L3_Mes)+1)=1,N(P_L3_Monto),DV$108),PMT(N(P_L3_Tasa)/12,N(P_L3_Cuotas),-N(P_L3_Monto))-DW$106),0)*DW$9</f>
        <v>0</v>
      </c>
      <c r="DX107" s="34" t="n">
        <f aca="false">IF(AND((123-N(P_L3_Mes)+1)&gt;N(P_L3_Gracia),(123-N(P_L3_Mes)+1)&lt;=N(P_L3_Gracia)+N(P_L3_Cuotas),N(P_L3_Cuotas)&gt;0),IF((123-N(P_L3_Mes)+1)=N(P_L3_Gracia)+N(P_L3_Cuotas),IF((123-N(P_L3_Mes)+1)=1,N(P_L3_Monto),DW$108),PMT(N(P_L3_Tasa)/12,N(P_L3_Cuotas),-N(P_L3_Monto))-DX$106),0)*DX$9</f>
        <v>0</v>
      </c>
      <c r="DY107" s="34" t="n">
        <f aca="false">IF(AND((124-N(P_L3_Mes)+1)&gt;N(P_L3_Gracia),(124-N(P_L3_Mes)+1)&lt;=N(P_L3_Gracia)+N(P_L3_Cuotas),N(P_L3_Cuotas)&gt;0),IF((124-N(P_L3_Mes)+1)=N(P_L3_Gracia)+N(P_L3_Cuotas),IF((124-N(P_L3_Mes)+1)=1,N(P_L3_Monto),DX$108),PMT(N(P_L3_Tasa)/12,N(P_L3_Cuotas),-N(P_L3_Monto))-DY$106),0)*DY$9</f>
        <v>0</v>
      </c>
      <c r="DZ107" s="34" t="n">
        <f aca="false">IF(AND((125-N(P_L3_Mes)+1)&gt;N(P_L3_Gracia),(125-N(P_L3_Mes)+1)&lt;=N(P_L3_Gracia)+N(P_L3_Cuotas),N(P_L3_Cuotas)&gt;0),IF((125-N(P_L3_Mes)+1)=N(P_L3_Gracia)+N(P_L3_Cuotas),IF((125-N(P_L3_Mes)+1)=1,N(P_L3_Monto),DY$108),PMT(N(P_L3_Tasa)/12,N(P_L3_Cuotas),-N(P_L3_Monto))-DZ$106),0)*DZ$9</f>
        <v>0</v>
      </c>
      <c r="EA107" s="34" t="n">
        <f aca="false">IF(AND((126-N(P_L3_Mes)+1)&gt;N(P_L3_Gracia),(126-N(P_L3_Mes)+1)&lt;=N(P_L3_Gracia)+N(P_L3_Cuotas),N(P_L3_Cuotas)&gt;0),IF((126-N(P_L3_Mes)+1)=N(P_L3_Gracia)+N(P_L3_Cuotas),IF((126-N(P_L3_Mes)+1)=1,N(P_L3_Monto),DZ$108),PMT(N(P_L3_Tasa)/12,N(P_L3_Cuotas),-N(P_L3_Monto))-EA$106),0)*EA$9</f>
        <v>0</v>
      </c>
      <c r="EB107" s="34" t="n">
        <f aca="false">IF(AND((127-N(P_L3_Mes)+1)&gt;N(P_L3_Gracia),(127-N(P_L3_Mes)+1)&lt;=N(P_L3_Gracia)+N(P_L3_Cuotas),N(P_L3_Cuotas)&gt;0),IF((127-N(P_L3_Mes)+1)=N(P_L3_Gracia)+N(P_L3_Cuotas),IF((127-N(P_L3_Mes)+1)=1,N(P_L3_Monto),EA$108),PMT(N(P_L3_Tasa)/12,N(P_L3_Cuotas),-N(P_L3_Monto))-EB$106),0)*EB$9</f>
        <v>0</v>
      </c>
      <c r="EC107" s="34" t="n">
        <f aca="false">IF(AND((128-N(P_L3_Mes)+1)&gt;N(P_L3_Gracia),(128-N(P_L3_Mes)+1)&lt;=N(P_L3_Gracia)+N(P_L3_Cuotas),N(P_L3_Cuotas)&gt;0),IF((128-N(P_L3_Mes)+1)=N(P_L3_Gracia)+N(P_L3_Cuotas),IF((128-N(P_L3_Mes)+1)=1,N(P_L3_Monto),EB$108),PMT(N(P_L3_Tasa)/12,N(P_L3_Cuotas),-N(P_L3_Monto))-EC$106),0)*EC$9</f>
        <v>0</v>
      </c>
      <c r="ED107" s="34" t="n">
        <f aca="false">IF(AND((129-N(P_L3_Mes)+1)&gt;N(P_L3_Gracia),(129-N(P_L3_Mes)+1)&lt;=N(P_L3_Gracia)+N(P_L3_Cuotas),N(P_L3_Cuotas)&gt;0),IF((129-N(P_L3_Mes)+1)=N(P_L3_Gracia)+N(P_L3_Cuotas),IF((129-N(P_L3_Mes)+1)=1,N(P_L3_Monto),EC$108),PMT(N(P_L3_Tasa)/12,N(P_L3_Cuotas),-N(P_L3_Monto))-ED$106),0)*ED$9</f>
        <v>0</v>
      </c>
      <c r="EE107" s="34" t="n">
        <f aca="false">IF(AND((130-N(P_L3_Mes)+1)&gt;N(P_L3_Gracia),(130-N(P_L3_Mes)+1)&lt;=N(P_L3_Gracia)+N(P_L3_Cuotas),N(P_L3_Cuotas)&gt;0),IF((130-N(P_L3_Mes)+1)=N(P_L3_Gracia)+N(P_L3_Cuotas),IF((130-N(P_L3_Mes)+1)=1,N(P_L3_Monto),ED$108),PMT(N(P_L3_Tasa)/12,N(P_L3_Cuotas),-N(P_L3_Monto))-EE$106),0)*EE$9</f>
        <v>0</v>
      </c>
      <c r="EF107" s="34" t="n">
        <f aca="false">IF(AND((131-N(P_L3_Mes)+1)&gt;N(P_L3_Gracia),(131-N(P_L3_Mes)+1)&lt;=N(P_L3_Gracia)+N(P_L3_Cuotas),N(P_L3_Cuotas)&gt;0),IF((131-N(P_L3_Mes)+1)=N(P_L3_Gracia)+N(P_L3_Cuotas),IF((131-N(P_L3_Mes)+1)=1,N(P_L3_Monto),EE$108),PMT(N(P_L3_Tasa)/12,N(P_L3_Cuotas),-N(P_L3_Monto))-EF$106),0)*EF$9</f>
        <v>0</v>
      </c>
      <c r="EG107" s="34" t="n">
        <f aca="false">IF(AND((132-N(P_L3_Mes)+1)&gt;N(P_L3_Gracia),(132-N(P_L3_Mes)+1)&lt;=N(P_L3_Gracia)+N(P_L3_Cuotas),N(P_L3_Cuotas)&gt;0),IF((132-N(P_L3_Mes)+1)=N(P_L3_Gracia)+N(P_L3_Cuotas),IF((132-N(P_L3_Mes)+1)=1,N(P_L3_Monto),EF$108),PMT(N(P_L3_Tasa)/12,N(P_L3_Cuotas),-N(P_L3_Monto))-EG$106),0)*EG$9</f>
        <v>0</v>
      </c>
      <c r="EH107" s="34" t="n">
        <f aca="false">IF(AND((133-N(P_L3_Mes)+1)&gt;N(P_L3_Gracia),(133-N(P_L3_Mes)+1)&lt;=N(P_L3_Gracia)+N(P_L3_Cuotas),N(P_L3_Cuotas)&gt;0),IF((133-N(P_L3_Mes)+1)=N(P_L3_Gracia)+N(P_L3_Cuotas),IF((133-N(P_L3_Mes)+1)=1,N(P_L3_Monto),EG$108),PMT(N(P_L3_Tasa)/12,N(P_L3_Cuotas),-N(P_L3_Monto))-EH$106),0)*EH$9</f>
        <v>0</v>
      </c>
      <c r="EI107" s="34" t="n">
        <f aca="false">IF(AND((134-N(P_L3_Mes)+1)&gt;N(P_L3_Gracia),(134-N(P_L3_Mes)+1)&lt;=N(P_L3_Gracia)+N(P_L3_Cuotas),N(P_L3_Cuotas)&gt;0),IF((134-N(P_L3_Mes)+1)=N(P_L3_Gracia)+N(P_L3_Cuotas),IF((134-N(P_L3_Mes)+1)=1,N(P_L3_Monto),EH$108),PMT(N(P_L3_Tasa)/12,N(P_L3_Cuotas),-N(P_L3_Monto))-EI$106),0)*EI$9</f>
        <v>0</v>
      </c>
      <c r="EJ107" s="34" t="n">
        <f aca="false">IF(AND((135-N(P_L3_Mes)+1)&gt;N(P_L3_Gracia),(135-N(P_L3_Mes)+1)&lt;=N(P_L3_Gracia)+N(P_L3_Cuotas),N(P_L3_Cuotas)&gt;0),IF((135-N(P_L3_Mes)+1)=N(P_L3_Gracia)+N(P_L3_Cuotas),IF((135-N(P_L3_Mes)+1)=1,N(P_L3_Monto),EI$108),PMT(N(P_L3_Tasa)/12,N(P_L3_Cuotas),-N(P_L3_Monto))-EJ$106),0)*EJ$9</f>
        <v>0</v>
      </c>
      <c r="EK107" s="34" t="n">
        <f aca="false">IF(AND((136-N(P_L3_Mes)+1)&gt;N(P_L3_Gracia),(136-N(P_L3_Mes)+1)&lt;=N(P_L3_Gracia)+N(P_L3_Cuotas),N(P_L3_Cuotas)&gt;0),IF((136-N(P_L3_Mes)+1)=N(P_L3_Gracia)+N(P_L3_Cuotas),IF((136-N(P_L3_Mes)+1)=1,N(P_L3_Monto),EJ$108),PMT(N(P_L3_Tasa)/12,N(P_L3_Cuotas),-N(P_L3_Monto))-EK$106),0)*EK$9</f>
        <v>0</v>
      </c>
      <c r="EL107" s="34" t="n">
        <f aca="false">IF(AND((137-N(P_L3_Mes)+1)&gt;N(P_L3_Gracia),(137-N(P_L3_Mes)+1)&lt;=N(P_L3_Gracia)+N(P_L3_Cuotas),N(P_L3_Cuotas)&gt;0),IF((137-N(P_L3_Mes)+1)=N(P_L3_Gracia)+N(P_L3_Cuotas),IF((137-N(P_L3_Mes)+1)=1,N(P_L3_Monto),EK$108),PMT(N(P_L3_Tasa)/12,N(P_L3_Cuotas),-N(P_L3_Monto))-EL$106),0)*EL$9</f>
        <v>0</v>
      </c>
      <c r="EM107" s="34" t="n">
        <f aca="false">IF(AND((138-N(P_L3_Mes)+1)&gt;N(P_L3_Gracia),(138-N(P_L3_Mes)+1)&lt;=N(P_L3_Gracia)+N(P_L3_Cuotas),N(P_L3_Cuotas)&gt;0),IF((138-N(P_L3_Mes)+1)=N(P_L3_Gracia)+N(P_L3_Cuotas),IF((138-N(P_L3_Mes)+1)=1,N(P_L3_Monto),EL$108),PMT(N(P_L3_Tasa)/12,N(P_L3_Cuotas),-N(P_L3_Monto))-EM$106),0)*EM$9</f>
        <v>0</v>
      </c>
      <c r="EN107" s="34" t="n">
        <f aca="false">IF(AND((139-N(P_L3_Mes)+1)&gt;N(P_L3_Gracia),(139-N(P_L3_Mes)+1)&lt;=N(P_L3_Gracia)+N(P_L3_Cuotas),N(P_L3_Cuotas)&gt;0),IF((139-N(P_L3_Mes)+1)=N(P_L3_Gracia)+N(P_L3_Cuotas),IF((139-N(P_L3_Mes)+1)=1,N(P_L3_Monto),EM$108),PMT(N(P_L3_Tasa)/12,N(P_L3_Cuotas),-N(P_L3_Monto))-EN$106),0)*EN$9</f>
        <v>0</v>
      </c>
      <c r="EO107" s="34" t="n">
        <f aca="false">IF(AND((140-N(P_L3_Mes)+1)&gt;N(P_L3_Gracia),(140-N(P_L3_Mes)+1)&lt;=N(P_L3_Gracia)+N(P_L3_Cuotas),N(P_L3_Cuotas)&gt;0),IF((140-N(P_L3_Mes)+1)=N(P_L3_Gracia)+N(P_L3_Cuotas),IF((140-N(P_L3_Mes)+1)=1,N(P_L3_Monto),EN$108),PMT(N(P_L3_Tasa)/12,N(P_L3_Cuotas),-N(P_L3_Monto))-EO$106),0)*EO$9</f>
        <v>0</v>
      </c>
      <c r="EP107" s="34" t="n">
        <f aca="false">IF(AND((141-N(P_L3_Mes)+1)&gt;N(P_L3_Gracia),(141-N(P_L3_Mes)+1)&lt;=N(P_L3_Gracia)+N(P_L3_Cuotas),N(P_L3_Cuotas)&gt;0),IF((141-N(P_L3_Mes)+1)=N(P_L3_Gracia)+N(P_L3_Cuotas),IF((141-N(P_L3_Mes)+1)=1,N(P_L3_Monto),EO$108),PMT(N(P_L3_Tasa)/12,N(P_L3_Cuotas),-N(P_L3_Monto))-EP$106),0)*EP$9</f>
        <v>0</v>
      </c>
      <c r="EQ107" s="34" t="n">
        <f aca="false">IF(AND((142-N(P_L3_Mes)+1)&gt;N(P_L3_Gracia),(142-N(P_L3_Mes)+1)&lt;=N(P_L3_Gracia)+N(P_L3_Cuotas),N(P_L3_Cuotas)&gt;0),IF((142-N(P_L3_Mes)+1)=N(P_L3_Gracia)+N(P_L3_Cuotas),IF((142-N(P_L3_Mes)+1)=1,N(P_L3_Monto),EP$108),PMT(N(P_L3_Tasa)/12,N(P_L3_Cuotas),-N(P_L3_Monto))-EQ$106),0)*EQ$9</f>
        <v>0</v>
      </c>
      <c r="ER107" s="34" t="n">
        <f aca="false">IF(AND((143-N(P_L3_Mes)+1)&gt;N(P_L3_Gracia),(143-N(P_L3_Mes)+1)&lt;=N(P_L3_Gracia)+N(P_L3_Cuotas),N(P_L3_Cuotas)&gt;0),IF((143-N(P_L3_Mes)+1)=N(P_L3_Gracia)+N(P_L3_Cuotas),IF((143-N(P_L3_Mes)+1)=1,N(P_L3_Monto),EQ$108),PMT(N(P_L3_Tasa)/12,N(P_L3_Cuotas),-N(P_L3_Monto))-ER$106),0)*ER$9</f>
        <v>0</v>
      </c>
      <c r="ES107" s="34" t="n">
        <f aca="false">IF(AND((144-N(P_L3_Mes)+1)&gt;N(P_L3_Gracia),(144-N(P_L3_Mes)+1)&lt;=N(P_L3_Gracia)+N(P_L3_Cuotas),N(P_L3_Cuotas)&gt;0),IF((144-N(P_L3_Mes)+1)=N(P_L3_Gracia)+N(P_L3_Cuotas),IF((144-N(P_L3_Mes)+1)=1,N(P_L3_Monto),ER$108),PMT(N(P_L3_Tasa)/12,N(P_L3_Cuotas),-N(P_L3_Monto))-ES$106),0)*ES$9</f>
        <v>0</v>
      </c>
    </row>
    <row r="108" customFormat="false" ht="15" hidden="false" customHeight="false" outlineLevel="0" collapsed="false">
      <c r="A108" s="2" t="s">
        <v>699</v>
      </c>
      <c r="B108" s="6" t="s">
        <v>700</v>
      </c>
      <c r="C108" s="6" t="s">
        <v>250</v>
      </c>
      <c r="E108" s="40" t="n">
        <f aca="false">INDEX(F108:ES108,1,MIN(144,Fin))</f>
        <v>0</v>
      </c>
      <c r="F108" s="34" t="n">
        <f aca="false">IF((1-N(P_L3_Mes)+1)&lt;1,0,IF((1-N(P_L3_Mes)+1)=1,N(P_L3_Monto),0)-F$107)</f>
        <v>0</v>
      </c>
      <c r="G108" s="34" t="n">
        <f aca="false">IF((2-N(P_L3_Mes)+1)&lt;1,0,IF((2-N(P_L3_Mes)+1)=1,N(P_L3_Monto),F$108)-G$107)</f>
        <v>0</v>
      </c>
      <c r="H108" s="34" t="n">
        <f aca="false">IF((3-N(P_L3_Mes)+1)&lt;1,0,IF((3-N(P_L3_Mes)+1)=1,N(P_L3_Monto),G$108)-H$107)</f>
        <v>0</v>
      </c>
      <c r="I108" s="34" t="n">
        <f aca="false">IF((4-N(P_L3_Mes)+1)&lt;1,0,IF((4-N(P_L3_Mes)+1)=1,N(P_L3_Monto),H$108)-I$107)</f>
        <v>0</v>
      </c>
      <c r="J108" s="34" t="n">
        <f aca="false">IF((5-N(P_L3_Mes)+1)&lt;1,0,IF((5-N(P_L3_Mes)+1)=1,N(P_L3_Monto),I$108)-J$107)</f>
        <v>0</v>
      </c>
      <c r="K108" s="34" t="n">
        <f aca="false">IF((6-N(P_L3_Mes)+1)&lt;1,0,IF((6-N(P_L3_Mes)+1)=1,N(P_L3_Monto),J$108)-K$107)</f>
        <v>0</v>
      </c>
      <c r="L108" s="34" t="n">
        <f aca="false">IF((7-N(P_L3_Mes)+1)&lt;1,0,IF((7-N(P_L3_Mes)+1)=1,N(P_L3_Monto),K$108)-L$107)</f>
        <v>0</v>
      </c>
      <c r="M108" s="34" t="n">
        <f aca="false">IF((8-N(P_L3_Mes)+1)&lt;1,0,IF((8-N(P_L3_Mes)+1)=1,N(P_L3_Monto),L$108)-M$107)</f>
        <v>0</v>
      </c>
      <c r="N108" s="34" t="n">
        <f aca="false">IF((9-N(P_L3_Mes)+1)&lt;1,0,IF((9-N(P_L3_Mes)+1)=1,N(P_L3_Monto),M$108)-N$107)</f>
        <v>0</v>
      </c>
      <c r="O108" s="34" t="n">
        <f aca="false">IF((10-N(P_L3_Mes)+1)&lt;1,0,IF((10-N(P_L3_Mes)+1)=1,N(P_L3_Monto),N$108)-O$107)</f>
        <v>0</v>
      </c>
      <c r="P108" s="34" t="n">
        <f aca="false">IF((11-N(P_L3_Mes)+1)&lt;1,0,IF((11-N(P_L3_Mes)+1)=1,N(P_L3_Monto),O$108)-P$107)</f>
        <v>0</v>
      </c>
      <c r="Q108" s="34" t="n">
        <f aca="false">IF((12-N(P_L3_Mes)+1)&lt;1,0,IF((12-N(P_L3_Mes)+1)=1,N(P_L3_Monto),P$108)-Q$107)</f>
        <v>0</v>
      </c>
      <c r="R108" s="34" t="n">
        <f aca="false">IF((13-N(P_L3_Mes)+1)&lt;1,0,IF((13-N(P_L3_Mes)+1)=1,N(P_L3_Monto),Q$108)-R$107)</f>
        <v>0</v>
      </c>
      <c r="S108" s="34" t="n">
        <f aca="false">IF((14-N(P_L3_Mes)+1)&lt;1,0,IF((14-N(P_L3_Mes)+1)=1,N(P_L3_Monto),R$108)-S$107)</f>
        <v>0</v>
      </c>
      <c r="T108" s="34" t="n">
        <f aca="false">IF((15-N(P_L3_Mes)+1)&lt;1,0,IF((15-N(P_L3_Mes)+1)=1,N(P_L3_Monto),S$108)-T$107)</f>
        <v>0</v>
      </c>
      <c r="U108" s="34" t="n">
        <f aca="false">IF((16-N(P_L3_Mes)+1)&lt;1,0,IF((16-N(P_L3_Mes)+1)=1,N(P_L3_Monto),T$108)-U$107)</f>
        <v>0</v>
      </c>
      <c r="V108" s="34" t="n">
        <f aca="false">IF((17-N(P_L3_Mes)+1)&lt;1,0,IF((17-N(P_L3_Mes)+1)=1,N(P_L3_Monto),U$108)-V$107)</f>
        <v>0</v>
      </c>
      <c r="W108" s="34" t="n">
        <f aca="false">IF((18-N(P_L3_Mes)+1)&lt;1,0,IF((18-N(P_L3_Mes)+1)=1,N(P_L3_Monto),V$108)-W$107)</f>
        <v>0</v>
      </c>
      <c r="X108" s="34" t="n">
        <f aca="false">IF((19-N(P_L3_Mes)+1)&lt;1,0,IF((19-N(P_L3_Mes)+1)=1,N(P_L3_Monto),W$108)-X$107)</f>
        <v>0</v>
      </c>
      <c r="Y108" s="34" t="n">
        <f aca="false">IF((20-N(P_L3_Mes)+1)&lt;1,0,IF((20-N(P_L3_Mes)+1)=1,N(P_L3_Monto),X$108)-Y$107)</f>
        <v>0</v>
      </c>
      <c r="Z108" s="34" t="n">
        <f aca="false">IF((21-N(P_L3_Mes)+1)&lt;1,0,IF((21-N(P_L3_Mes)+1)=1,N(P_L3_Monto),Y$108)-Z$107)</f>
        <v>0</v>
      </c>
      <c r="AA108" s="34" t="n">
        <f aca="false">IF((22-N(P_L3_Mes)+1)&lt;1,0,IF((22-N(P_L3_Mes)+1)=1,N(P_L3_Monto),Z$108)-AA$107)</f>
        <v>0</v>
      </c>
      <c r="AB108" s="34" t="n">
        <f aca="false">IF((23-N(P_L3_Mes)+1)&lt;1,0,IF((23-N(P_L3_Mes)+1)=1,N(P_L3_Monto),AA$108)-AB$107)</f>
        <v>0</v>
      </c>
      <c r="AC108" s="34" t="n">
        <f aca="false">IF((24-N(P_L3_Mes)+1)&lt;1,0,IF((24-N(P_L3_Mes)+1)=1,N(P_L3_Monto),AB$108)-AC$107)</f>
        <v>0</v>
      </c>
      <c r="AD108" s="34" t="n">
        <f aca="false">IF((25-N(P_L3_Mes)+1)&lt;1,0,IF((25-N(P_L3_Mes)+1)=1,N(P_L3_Monto),AC$108)-AD$107)</f>
        <v>0</v>
      </c>
      <c r="AE108" s="34" t="n">
        <f aca="false">IF((26-N(P_L3_Mes)+1)&lt;1,0,IF((26-N(P_L3_Mes)+1)=1,N(P_L3_Monto),AD$108)-AE$107)</f>
        <v>0</v>
      </c>
      <c r="AF108" s="34" t="n">
        <f aca="false">IF((27-N(P_L3_Mes)+1)&lt;1,0,IF((27-N(P_L3_Mes)+1)=1,N(P_L3_Monto),AE$108)-AF$107)</f>
        <v>0</v>
      </c>
      <c r="AG108" s="34" t="n">
        <f aca="false">IF((28-N(P_L3_Mes)+1)&lt;1,0,IF((28-N(P_L3_Mes)+1)=1,N(P_L3_Monto),AF$108)-AG$107)</f>
        <v>0</v>
      </c>
      <c r="AH108" s="34" t="n">
        <f aca="false">IF((29-N(P_L3_Mes)+1)&lt;1,0,IF((29-N(P_L3_Mes)+1)=1,N(P_L3_Monto),AG$108)-AH$107)</f>
        <v>0</v>
      </c>
      <c r="AI108" s="34" t="n">
        <f aca="false">IF((30-N(P_L3_Mes)+1)&lt;1,0,IF((30-N(P_L3_Mes)+1)=1,N(P_L3_Monto),AH$108)-AI$107)</f>
        <v>0</v>
      </c>
      <c r="AJ108" s="34" t="n">
        <f aca="false">IF((31-N(P_L3_Mes)+1)&lt;1,0,IF((31-N(P_L3_Mes)+1)=1,N(P_L3_Monto),AI$108)-AJ$107)</f>
        <v>0</v>
      </c>
      <c r="AK108" s="34" t="n">
        <f aca="false">IF((32-N(P_L3_Mes)+1)&lt;1,0,IF((32-N(P_L3_Mes)+1)=1,N(P_L3_Monto),AJ$108)-AK$107)</f>
        <v>0</v>
      </c>
      <c r="AL108" s="34" t="n">
        <f aca="false">IF((33-N(P_L3_Mes)+1)&lt;1,0,IF((33-N(P_L3_Mes)+1)=1,N(P_L3_Monto),AK$108)-AL$107)</f>
        <v>0</v>
      </c>
      <c r="AM108" s="34" t="n">
        <f aca="false">IF((34-N(P_L3_Mes)+1)&lt;1,0,IF((34-N(P_L3_Mes)+1)=1,N(P_L3_Monto),AL$108)-AM$107)</f>
        <v>0</v>
      </c>
      <c r="AN108" s="34" t="n">
        <f aca="false">IF((35-N(P_L3_Mes)+1)&lt;1,0,IF((35-N(P_L3_Mes)+1)=1,N(P_L3_Monto),AM$108)-AN$107)</f>
        <v>0</v>
      </c>
      <c r="AO108" s="34" t="n">
        <f aca="false">IF((36-N(P_L3_Mes)+1)&lt;1,0,IF((36-N(P_L3_Mes)+1)=1,N(P_L3_Monto),AN$108)-AO$107)</f>
        <v>0</v>
      </c>
      <c r="AP108" s="34" t="n">
        <f aca="false">IF((37-N(P_L3_Mes)+1)&lt;1,0,IF((37-N(P_L3_Mes)+1)=1,N(P_L3_Monto),AO$108)-AP$107)</f>
        <v>0</v>
      </c>
      <c r="AQ108" s="34" t="n">
        <f aca="false">IF((38-N(P_L3_Mes)+1)&lt;1,0,IF((38-N(P_L3_Mes)+1)=1,N(P_L3_Monto),AP$108)-AQ$107)</f>
        <v>0</v>
      </c>
      <c r="AR108" s="34" t="n">
        <f aca="false">IF((39-N(P_L3_Mes)+1)&lt;1,0,IF((39-N(P_L3_Mes)+1)=1,N(P_L3_Monto),AQ$108)-AR$107)</f>
        <v>0</v>
      </c>
      <c r="AS108" s="34" t="n">
        <f aca="false">IF((40-N(P_L3_Mes)+1)&lt;1,0,IF((40-N(P_L3_Mes)+1)=1,N(P_L3_Monto),AR$108)-AS$107)</f>
        <v>0</v>
      </c>
      <c r="AT108" s="34" t="n">
        <f aca="false">IF((41-N(P_L3_Mes)+1)&lt;1,0,IF((41-N(P_L3_Mes)+1)=1,N(P_L3_Monto),AS$108)-AT$107)</f>
        <v>0</v>
      </c>
      <c r="AU108" s="34" t="n">
        <f aca="false">IF((42-N(P_L3_Mes)+1)&lt;1,0,IF((42-N(P_L3_Mes)+1)=1,N(P_L3_Monto),AT$108)-AU$107)</f>
        <v>0</v>
      </c>
      <c r="AV108" s="34" t="n">
        <f aca="false">IF((43-N(P_L3_Mes)+1)&lt;1,0,IF((43-N(P_L3_Mes)+1)=1,N(P_L3_Monto),AU$108)-AV$107)</f>
        <v>0</v>
      </c>
      <c r="AW108" s="34" t="n">
        <f aca="false">IF((44-N(P_L3_Mes)+1)&lt;1,0,IF((44-N(P_L3_Mes)+1)=1,N(P_L3_Monto),AV$108)-AW$107)</f>
        <v>0</v>
      </c>
      <c r="AX108" s="34" t="n">
        <f aca="false">IF((45-N(P_L3_Mes)+1)&lt;1,0,IF((45-N(P_L3_Mes)+1)=1,N(P_L3_Monto),AW$108)-AX$107)</f>
        <v>0</v>
      </c>
      <c r="AY108" s="34" t="n">
        <f aca="false">IF((46-N(P_L3_Mes)+1)&lt;1,0,IF((46-N(P_L3_Mes)+1)=1,N(P_L3_Monto),AX$108)-AY$107)</f>
        <v>0</v>
      </c>
      <c r="AZ108" s="34" t="n">
        <f aca="false">IF((47-N(P_L3_Mes)+1)&lt;1,0,IF((47-N(P_L3_Mes)+1)=1,N(P_L3_Monto),AY$108)-AZ$107)</f>
        <v>0</v>
      </c>
      <c r="BA108" s="34" t="n">
        <f aca="false">IF((48-N(P_L3_Mes)+1)&lt;1,0,IF((48-N(P_L3_Mes)+1)=1,N(P_L3_Monto),AZ$108)-BA$107)</f>
        <v>0</v>
      </c>
      <c r="BB108" s="34" t="n">
        <f aca="false">IF((49-N(P_L3_Mes)+1)&lt;1,0,IF((49-N(P_L3_Mes)+1)=1,N(P_L3_Monto),BA$108)-BB$107)</f>
        <v>0</v>
      </c>
      <c r="BC108" s="34" t="n">
        <f aca="false">IF((50-N(P_L3_Mes)+1)&lt;1,0,IF((50-N(P_L3_Mes)+1)=1,N(P_L3_Monto),BB$108)-BC$107)</f>
        <v>0</v>
      </c>
      <c r="BD108" s="34" t="n">
        <f aca="false">IF((51-N(P_L3_Mes)+1)&lt;1,0,IF((51-N(P_L3_Mes)+1)=1,N(P_L3_Monto),BC$108)-BD$107)</f>
        <v>0</v>
      </c>
      <c r="BE108" s="34" t="n">
        <f aca="false">IF((52-N(P_L3_Mes)+1)&lt;1,0,IF((52-N(P_L3_Mes)+1)=1,N(P_L3_Monto),BD$108)-BE$107)</f>
        <v>0</v>
      </c>
      <c r="BF108" s="34" t="n">
        <f aca="false">IF((53-N(P_L3_Mes)+1)&lt;1,0,IF((53-N(P_L3_Mes)+1)=1,N(P_L3_Monto),BE$108)-BF$107)</f>
        <v>0</v>
      </c>
      <c r="BG108" s="34" t="n">
        <f aca="false">IF((54-N(P_L3_Mes)+1)&lt;1,0,IF((54-N(P_L3_Mes)+1)=1,N(P_L3_Monto),BF$108)-BG$107)</f>
        <v>0</v>
      </c>
      <c r="BH108" s="34" t="n">
        <f aca="false">IF((55-N(P_L3_Mes)+1)&lt;1,0,IF((55-N(P_L3_Mes)+1)=1,N(P_L3_Monto),BG$108)-BH$107)</f>
        <v>0</v>
      </c>
      <c r="BI108" s="34" t="n">
        <f aca="false">IF((56-N(P_L3_Mes)+1)&lt;1,0,IF((56-N(P_L3_Mes)+1)=1,N(P_L3_Monto),BH$108)-BI$107)</f>
        <v>0</v>
      </c>
      <c r="BJ108" s="34" t="n">
        <f aca="false">IF((57-N(P_L3_Mes)+1)&lt;1,0,IF((57-N(P_L3_Mes)+1)=1,N(P_L3_Monto),BI$108)-BJ$107)</f>
        <v>0</v>
      </c>
      <c r="BK108" s="34" t="n">
        <f aca="false">IF((58-N(P_L3_Mes)+1)&lt;1,0,IF((58-N(P_L3_Mes)+1)=1,N(P_L3_Monto),BJ$108)-BK$107)</f>
        <v>0</v>
      </c>
      <c r="BL108" s="34" t="n">
        <f aca="false">IF((59-N(P_L3_Mes)+1)&lt;1,0,IF((59-N(P_L3_Mes)+1)=1,N(P_L3_Monto),BK$108)-BL$107)</f>
        <v>0</v>
      </c>
      <c r="BM108" s="34" t="n">
        <f aca="false">IF((60-N(P_L3_Mes)+1)&lt;1,0,IF((60-N(P_L3_Mes)+1)=1,N(P_L3_Monto),BL$108)-BM$107)</f>
        <v>0</v>
      </c>
      <c r="BN108" s="34" t="n">
        <f aca="false">IF((61-N(P_L3_Mes)+1)&lt;1,0,IF((61-N(P_L3_Mes)+1)=1,N(P_L3_Monto),BM$108)-BN$107)</f>
        <v>0</v>
      </c>
      <c r="BO108" s="34" t="n">
        <f aca="false">IF((62-N(P_L3_Mes)+1)&lt;1,0,IF((62-N(P_L3_Mes)+1)=1,N(P_L3_Monto),BN$108)-BO$107)</f>
        <v>0</v>
      </c>
      <c r="BP108" s="34" t="n">
        <f aca="false">IF((63-N(P_L3_Mes)+1)&lt;1,0,IF((63-N(P_L3_Mes)+1)=1,N(P_L3_Monto),BO$108)-BP$107)</f>
        <v>0</v>
      </c>
      <c r="BQ108" s="34" t="n">
        <f aca="false">IF((64-N(P_L3_Mes)+1)&lt;1,0,IF((64-N(P_L3_Mes)+1)=1,N(P_L3_Monto),BP$108)-BQ$107)</f>
        <v>0</v>
      </c>
      <c r="BR108" s="34" t="n">
        <f aca="false">IF((65-N(P_L3_Mes)+1)&lt;1,0,IF((65-N(P_L3_Mes)+1)=1,N(P_L3_Monto),BQ$108)-BR$107)</f>
        <v>0</v>
      </c>
      <c r="BS108" s="34" t="n">
        <f aca="false">IF((66-N(P_L3_Mes)+1)&lt;1,0,IF((66-N(P_L3_Mes)+1)=1,N(P_L3_Monto),BR$108)-BS$107)</f>
        <v>0</v>
      </c>
      <c r="BT108" s="34" t="n">
        <f aca="false">IF((67-N(P_L3_Mes)+1)&lt;1,0,IF((67-N(P_L3_Mes)+1)=1,N(P_L3_Monto),BS$108)-BT$107)</f>
        <v>0</v>
      </c>
      <c r="BU108" s="34" t="n">
        <f aca="false">IF((68-N(P_L3_Mes)+1)&lt;1,0,IF((68-N(P_L3_Mes)+1)=1,N(P_L3_Monto),BT$108)-BU$107)</f>
        <v>0</v>
      </c>
      <c r="BV108" s="34" t="n">
        <f aca="false">IF((69-N(P_L3_Mes)+1)&lt;1,0,IF((69-N(P_L3_Mes)+1)=1,N(P_L3_Monto),BU$108)-BV$107)</f>
        <v>0</v>
      </c>
      <c r="BW108" s="34" t="n">
        <f aca="false">IF((70-N(P_L3_Mes)+1)&lt;1,0,IF((70-N(P_L3_Mes)+1)=1,N(P_L3_Monto),BV$108)-BW$107)</f>
        <v>0</v>
      </c>
      <c r="BX108" s="34" t="n">
        <f aca="false">IF((71-N(P_L3_Mes)+1)&lt;1,0,IF((71-N(P_L3_Mes)+1)=1,N(P_L3_Monto),BW$108)-BX$107)</f>
        <v>0</v>
      </c>
      <c r="BY108" s="34" t="n">
        <f aca="false">IF((72-N(P_L3_Mes)+1)&lt;1,0,IF((72-N(P_L3_Mes)+1)=1,N(P_L3_Monto),BX$108)-BY$107)</f>
        <v>0</v>
      </c>
      <c r="BZ108" s="34" t="n">
        <f aca="false">IF((73-N(P_L3_Mes)+1)&lt;1,0,IF((73-N(P_L3_Mes)+1)=1,N(P_L3_Monto),BY$108)-BZ$107)</f>
        <v>0</v>
      </c>
      <c r="CA108" s="34" t="n">
        <f aca="false">IF((74-N(P_L3_Mes)+1)&lt;1,0,IF((74-N(P_L3_Mes)+1)=1,N(P_L3_Monto),BZ$108)-CA$107)</f>
        <v>0</v>
      </c>
      <c r="CB108" s="34" t="n">
        <f aca="false">IF((75-N(P_L3_Mes)+1)&lt;1,0,IF((75-N(P_L3_Mes)+1)=1,N(P_L3_Monto),CA$108)-CB$107)</f>
        <v>0</v>
      </c>
      <c r="CC108" s="34" t="n">
        <f aca="false">IF((76-N(P_L3_Mes)+1)&lt;1,0,IF((76-N(P_L3_Mes)+1)=1,N(P_L3_Monto),CB$108)-CC$107)</f>
        <v>0</v>
      </c>
      <c r="CD108" s="34" t="n">
        <f aca="false">IF((77-N(P_L3_Mes)+1)&lt;1,0,IF((77-N(P_L3_Mes)+1)=1,N(P_L3_Monto),CC$108)-CD$107)</f>
        <v>0</v>
      </c>
      <c r="CE108" s="34" t="n">
        <f aca="false">IF((78-N(P_L3_Mes)+1)&lt;1,0,IF((78-N(P_L3_Mes)+1)=1,N(P_L3_Monto),CD$108)-CE$107)</f>
        <v>0</v>
      </c>
      <c r="CF108" s="34" t="n">
        <f aca="false">IF((79-N(P_L3_Mes)+1)&lt;1,0,IF((79-N(P_L3_Mes)+1)=1,N(P_L3_Monto),CE$108)-CF$107)</f>
        <v>0</v>
      </c>
      <c r="CG108" s="34" t="n">
        <f aca="false">IF((80-N(P_L3_Mes)+1)&lt;1,0,IF((80-N(P_L3_Mes)+1)=1,N(P_L3_Monto),CF$108)-CG$107)</f>
        <v>0</v>
      </c>
      <c r="CH108" s="34" t="n">
        <f aca="false">IF((81-N(P_L3_Mes)+1)&lt;1,0,IF((81-N(P_L3_Mes)+1)=1,N(P_L3_Monto),CG$108)-CH$107)</f>
        <v>0</v>
      </c>
      <c r="CI108" s="34" t="n">
        <f aca="false">IF((82-N(P_L3_Mes)+1)&lt;1,0,IF((82-N(P_L3_Mes)+1)=1,N(P_L3_Monto),CH$108)-CI$107)</f>
        <v>0</v>
      </c>
      <c r="CJ108" s="34" t="n">
        <f aca="false">IF((83-N(P_L3_Mes)+1)&lt;1,0,IF((83-N(P_L3_Mes)+1)=1,N(P_L3_Monto),CI$108)-CJ$107)</f>
        <v>0</v>
      </c>
      <c r="CK108" s="34" t="n">
        <f aca="false">IF((84-N(P_L3_Mes)+1)&lt;1,0,IF((84-N(P_L3_Mes)+1)=1,N(P_L3_Monto),CJ$108)-CK$107)</f>
        <v>0</v>
      </c>
      <c r="CL108" s="34" t="n">
        <f aca="false">IF((85-N(P_L3_Mes)+1)&lt;1,0,IF((85-N(P_L3_Mes)+1)=1,N(P_L3_Monto),CK$108)-CL$107)</f>
        <v>0</v>
      </c>
      <c r="CM108" s="34" t="n">
        <f aca="false">IF((86-N(P_L3_Mes)+1)&lt;1,0,IF((86-N(P_L3_Mes)+1)=1,N(P_L3_Monto),CL$108)-CM$107)</f>
        <v>0</v>
      </c>
      <c r="CN108" s="34" t="n">
        <f aca="false">IF((87-N(P_L3_Mes)+1)&lt;1,0,IF((87-N(P_L3_Mes)+1)=1,N(P_L3_Monto),CM$108)-CN$107)</f>
        <v>0</v>
      </c>
      <c r="CO108" s="34" t="n">
        <f aca="false">IF((88-N(P_L3_Mes)+1)&lt;1,0,IF((88-N(P_L3_Mes)+1)=1,N(P_L3_Monto),CN$108)-CO$107)</f>
        <v>0</v>
      </c>
      <c r="CP108" s="34" t="n">
        <f aca="false">IF((89-N(P_L3_Mes)+1)&lt;1,0,IF((89-N(P_L3_Mes)+1)=1,N(P_L3_Monto),CO$108)-CP$107)</f>
        <v>0</v>
      </c>
      <c r="CQ108" s="34" t="n">
        <f aca="false">IF((90-N(P_L3_Mes)+1)&lt;1,0,IF((90-N(P_L3_Mes)+1)=1,N(P_L3_Monto),CP$108)-CQ$107)</f>
        <v>0</v>
      </c>
      <c r="CR108" s="34" t="n">
        <f aca="false">IF((91-N(P_L3_Mes)+1)&lt;1,0,IF((91-N(P_L3_Mes)+1)=1,N(P_L3_Monto),CQ$108)-CR$107)</f>
        <v>0</v>
      </c>
      <c r="CS108" s="34" t="n">
        <f aca="false">IF((92-N(P_L3_Mes)+1)&lt;1,0,IF((92-N(P_L3_Mes)+1)=1,N(P_L3_Monto),CR$108)-CS$107)</f>
        <v>0</v>
      </c>
      <c r="CT108" s="34" t="n">
        <f aca="false">IF((93-N(P_L3_Mes)+1)&lt;1,0,IF((93-N(P_L3_Mes)+1)=1,N(P_L3_Monto),CS$108)-CT$107)</f>
        <v>0</v>
      </c>
      <c r="CU108" s="34" t="n">
        <f aca="false">IF((94-N(P_L3_Mes)+1)&lt;1,0,IF((94-N(P_L3_Mes)+1)=1,N(P_L3_Monto),CT$108)-CU$107)</f>
        <v>0</v>
      </c>
      <c r="CV108" s="34" t="n">
        <f aca="false">IF((95-N(P_L3_Mes)+1)&lt;1,0,IF((95-N(P_L3_Mes)+1)=1,N(P_L3_Monto),CU$108)-CV$107)</f>
        <v>0</v>
      </c>
      <c r="CW108" s="34" t="n">
        <f aca="false">IF((96-N(P_L3_Mes)+1)&lt;1,0,IF((96-N(P_L3_Mes)+1)=1,N(P_L3_Monto),CV$108)-CW$107)</f>
        <v>0</v>
      </c>
      <c r="CX108" s="34" t="n">
        <f aca="false">IF((97-N(P_L3_Mes)+1)&lt;1,0,IF((97-N(P_L3_Mes)+1)=1,N(P_L3_Monto),CW$108)-CX$107)</f>
        <v>0</v>
      </c>
      <c r="CY108" s="34" t="n">
        <f aca="false">IF((98-N(P_L3_Mes)+1)&lt;1,0,IF((98-N(P_L3_Mes)+1)=1,N(P_L3_Monto),CX$108)-CY$107)</f>
        <v>0</v>
      </c>
      <c r="CZ108" s="34" t="n">
        <f aca="false">IF((99-N(P_L3_Mes)+1)&lt;1,0,IF((99-N(P_L3_Mes)+1)=1,N(P_L3_Monto),CY$108)-CZ$107)</f>
        <v>0</v>
      </c>
      <c r="DA108" s="34" t="n">
        <f aca="false">IF((100-N(P_L3_Mes)+1)&lt;1,0,IF((100-N(P_L3_Mes)+1)=1,N(P_L3_Monto),CZ$108)-DA$107)</f>
        <v>0</v>
      </c>
      <c r="DB108" s="34" t="n">
        <f aca="false">IF((101-N(P_L3_Mes)+1)&lt;1,0,IF((101-N(P_L3_Mes)+1)=1,N(P_L3_Monto),DA$108)-DB$107)</f>
        <v>0</v>
      </c>
      <c r="DC108" s="34" t="n">
        <f aca="false">IF((102-N(P_L3_Mes)+1)&lt;1,0,IF((102-N(P_L3_Mes)+1)=1,N(P_L3_Monto),DB$108)-DC$107)</f>
        <v>0</v>
      </c>
      <c r="DD108" s="34" t="n">
        <f aca="false">IF((103-N(P_L3_Mes)+1)&lt;1,0,IF((103-N(P_L3_Mes)+1)=1,N(P_L3_Monto),DC$108)-DD$107)</f>
        <v>0</v>
      </c>
      <c r="DE108" s="34" t="n">
        <f aca="false">IF((104-N(P_L3_Mes)+1)&lt;1,0,IF((104-N(P_L3_Mes)+1)=1,N(P_L3_Monto),DD$108)-DE$107)</f>
        <v>0</v>
      </c>
      <c r="DF108" s="34" t="n">
        <f aca="false">IF((105-N(P_L3_Mes)+1)&lt;1,0,IF((105-N(P_L3_Mes)+1)=1,N(P_L3_Monto),DE$108)-DF$107)</f>
        <v>0</v>
      </c>
      <c r="DG108" s="34" t="n">
        <f aca="false">IF((106-N(P_L3_Mes)+1)&lt;1,0,IF((106-N(P_L3_Mes)+1)=1,N(P_L3_Monto),DF$108)-DG$107)</f>
        <v>0</v>
      </c>
      <c r="DH108" s="34" t="n">
        <f aca="false">IF((107-N(P_L3_Mes)+1)&lt;1,0,IF((107-N(P_L3_Mes)+1)=1,N(P_L3_Monto),DG$108)-DH$107)</f>
        <v>0</v>
      </c>
      <c r="DI108" s="34" t="n">
        <f aca="false">IF((108-N(P_L3_Mes)+1)&lt;1,0,IF((108-N(P_L3_Mes)+1)=1,N(P_L3_Monto),DH$108)-DI$107)</f>
        <v>0</v>
      </c>
      <c r="DJ108" s="34" t="n">
        <f aca="false">IF((109-N(P_L3_Mes)+1)&lt;1,0,IF((109-N(P_L3_Mes)+1)=1,N(P_L3_Monto),DI$108)-DJ$107)</f>
        <v>0</v>
      </c>
      <c r="DK108" s="34" t="n">
        <f aca="false">IF((110-N(P_L3_Mes)+1)&lt;1,0,IF((110-N(P_L3_Mes)+1)=1,N(P_L3_Monto),DJ$108)-DK$107)</f>
        <v>0</v>
      </c>
      <c r="DL108" s="34" t="n">
        <f aca="false">IF((111-N(P_L3_Mes)+1)&lt;1,0,IF((111-N(P_L3_Mes)+1)=1,N(P_L3_Monto),DK$108)-DL$107)</f>
        <v>0</v>
      </c>
      <c r="DM108" s="34" t="n">
        <f aca="false">IF((112-N(P_L3_Mes)+1)&lt;1,0,IF((112-N(P_L3_Mes)+1)=1,N(P_L3_Monto),DL$108)-DM$107)</f>
        <v>0</v>
      </c>
      <c r="DN108" s="34" t="n">
        <f aca="false">IF((113-N(P_L3_Mes)+1)&lt;1,0,IF((113-N(P_L3_Mes)+1)=1,N(P_L3_Monto),DM$108)-DN$107)</f>
        <v>0</v>
      </c>
      <c r="DO108" s="34" t="n">
        <f aca="false">IF((114-N(P_L3_Mes)+1)&lt;1,0,IF((114-N(P_L3_Mes)+1)=1,N(P_L3_Monto),DN$108)-DO$107)</f>
        <v>0</v>
      </c>
      <c r="DP108" s="34" t="n">
        <f aca="false">IF((115-N(P_L3_Mes)+1)&lt;1,0,IF((115-N(P_L3_Mes)+1)=1,N(P_L3_Monto),DO$108)-DP$107)</f>
        <v>0</v>
      </c>
      <c r="DQ108" s="34" t="n">
        <f aca="false">IF((116-N(P_L3_Mes)+1)&lt;1,0,IF((116-N(P_L3_Mes)+1)=1,N(P_L3_Monto),DP$108)-DQ$107)</f>
        <v>0</v>
      </c>
      <c r="DR108" s="34" t="n">
        <f aca="false">IF((117-N(P_L3_Mes)+1)&lt;1,0,IF((117-N(P_L3_Mes)+1)=1,N(P_L3_Monto),DQ$108)-DR$107)</f>
        <v>0</v>
      </c>
      <c r="DS108" s="34" t="n">
        <f aca="false">IF((118-N(P_L3_Mes)+1)&lt;1,0,IF((118-N(P_L3_Mes)+1)=1,N(P_L3_Monto),DR$108)-DS$107)</f>
        <v>0</v>
      </c>
      <c r="DT108" s="34" t="n">
        <f aca="false">IF((119-N(P_L3_Mes)+1)&lt;1,0,IF((119-N(P_L3_Mes)+1)=1,N(P_L3_Monto),DS$108)-DT$107)</f>
        <v>0</v>
      </c>
      <c r="DU108" s="34" t="n">
        <f aca="false">IF((120-N(P_L3_Mes)+1)&lt;1,0,IF((120-N(P_L3_Mes)+1)=1,N(P_L3_Monto),DT$108)-DU$107)</f>
        <v>0</v>
      </c>
      <c r="DV108" s="34" t="n">
        <f aca="false">IF((121-N(P_L3_Mes)+1)&lt;1,0,IF((121-N(P_L3_Mes)+1)=1,N(P_L3_Monto),DU$108)-DV$107)</f>
        <v>0</v>
      </c>
      <c r="DW108" s="34" t="n">
        <f aca="false">IF((122-N(P_L3_Mes)+1)&lt;1,0,IF((122-N(P_L3_Mes)+1)=1,N(P_L3_Monto),DV$108)-DW$107)</f>
        <v>0</v>
      </c>
      <c r="DX108" s="34" t="n">
        <f aca="false">IF((123-N(P_L3_Mes)+1)&lt;1,0,IF((123-N(P_L3_Mes)+1)=1,N(P_L3_Monto),DW$108)-DX$107)</f>
        <v>0</v>
      </c>
      <c r="DY108" s="34" t="n">
        <f aca="false">IF((124-N(P_L3_Mes)+1)&lt;1,0,IF((124-N(P_L3_Mes)+1)=1,N(P_L3_Monto),DX$108)-DY$107)</f>
        <v>0</v>
      </c>
      <c r="DZ108" s="34" t="n">
        <f aca="false">IF((125-N(P_L3_Mes)+1)&lt;1,0,IF((125-N(P_L3_Mes)+1)=1,N(P_L3_Monto),DY$108)-DZ$107)</f>
        <v>0</v>
      </c>
      <c r="EA108" s="34" t="n">
        <f aca="false">IF((126-N(P_L3_Mes)+1)&lt;1,0,IF((126-N(P_L3_Mes)+1)=1,N(P_L3_Monto),DZ$108)-EA$107)</f>
        <v>0</v>
      </c>
      <c r="EB108" s="34" t="n">
        <f aca="false">IF((127-N(P_L3_Mes)+1)&lt;1,0,IF((127-N(P_L3_Mes)+1)=1,N(P_L3_Monto),EA$108)-EB$107)</f>
        <v>0</v>
      </c>
      <c r="EC108" s="34" t="n">
        <f aca="false">IF((128-N(P_L3_Mes)+1)&lt;1,0,IF((128-N(P_L3_Mes)+1)=1,N(P_L3_Monto),EB$108)-EC$107)</f>
        <v>0</v>
      </c>
      <c r="ED108" s="34" t="n">
        <f aca="false">IF((129-N(P_L3_Mes)+1)&lt;1,0,IF((129-N(P_L3_Mes)+1)=1,N(P_L3_Monto),EC$108)-ED$107)</f>
        <v>0</v>
      </c>
      <c r="EE108" s="34" t="n">
        <f aca="false">IF((130-N(P_L3_Mes)+1)&lt;1,0,IF((130-N(P_L3_Mes)+1)=1,N(P_L3_Monto),ED$108)-EE$107)</f>
        <v>0</v>
      </c>
      <c r="EF108" s="34" t="n">
        <f aca="false">IF((131-N(P_L3_Mes)+1)&lt;1,0,IF((131-N(P_L3_Mes)+1)=1,N(P_L3_Monto),EE$108)-EF$107)</f>
        <v>0</v>
      </c>
      <c r="EG108" s="34" t="n">
        <f aca="false">IF((132-N(P_L3_Mes)+1)&lt;1,0,IF((132-N(P_L3_Mes)+1)=1,N(P_L3_Monto),EF$108)-EG$107)</f>
        <v>0</v>
      </c>
      <c r="EH108" s="34" t="n">
        <f aca="false">IF((133-N(P_L3_Mes)+1)&lt;1,0,IF((133-N(P_L3_Mes)+1)=1,N(P_L3_Monto),EG$108)-EH$107)</f>
        <v>0</v>
      </c>
      <c r="EI108" s="34" t="n">
        <f aca="false">IF((134-N(P_L3_Mes)+1)&lt;1,0,IF((134-N(P_L3_Mes)+1)=1,N(P_L3_Monto),EH$108)-EI$107)</f>
        <v>0</v>
      </c>
      <c r="EJ108" s="34" t="n">
        <f aca="false">IF((135-N(P_L3_Mes)+1)&lt;1,0,IF((135-N(P_L3_Mes)+1)=1,N(P_L3_Monto),EI$108)-EJ$107)</f>
        <v>0</v>
      </c>
      <c r="EK108" s="34" t="n">
        <f aca="false">IF((136-N(P_L3_Mes)+1)&lt;1,0,IF((136-N(P_L3_Mes)+1)=1,N(P_L3_Monto),EJ$108)-EK$107)</f>
        <v>0</v>
      </c>
      <c r="EL108" s="34" t="n">
        <f aca="false">IF((137-N(P_L3_Mes)+1)&lt;1,0,IF((137-N(P_L3_Mes)+1)=1,N(P_L3_Monto),EK$108)-EL$107)</f>
        <v>0</v>
      </c>
      <c r="EM108" s="34" t="n">
        <f aca="false">IF((138-N(P_L3_Mes)+1)&lt;1,0,IF((138-N(P_L3_Mes)+1)=1,N(P_L3_Monto),EL$108)-EM$107)</f>
        <v>0</v>
      </c>
      <c r="EN108" s="34" t="n">
        <f aca="false">IF((139-N(P_L3_Mes)+1)&lt;1,0,IF((139-N(P_L3_Mes)+1)=1,N(P_L3_Monto),EM$108)-EN$107)</f>
        <v>0</v>
      </c>
      <c r="EO108" s="34" t="n">
        <f aca="false">IF((140-N(P_L3_Mes)+1)&lt;1,0,IF((140-N(P_L3_Mes)+1)=1,N(P_L3_Monto),EN$108)-EO$107)</f>
        <v>0</v>
      </c>
      <c r="EP108" s="34" t="n">
        <f aca="false">IF((141-N(P_L3_Mes)+1)&lt;1,0,IF((141-N(P_L3_Mes)+1)=1,N(P_L3_Monto),EO$108)-EP$107)</f>
        <v>0</v>
      </c>
      <c r="EQ108" s="34" t="n">
        <f aca="false">IF((142-N(P_L3_Mes)+1)&lt;1,0,IF((142-N(P_L3_Mes)+1)=1,N(P_L3_Monto),EP$108)-EQ$107)</f>
        <v>0</v>
      </c>
      <c r="ER108" s="34" t="n">
        <f aca="false">IF((143-N(P_L3_Mes)+1)&lt;1,0,IF((143-N(P_L3_Mes)+1)=1,N(P_L3_Monto),EQ$108)-ER$107)</f>
        <v>0</v>
      </c>
      <c r="ES108" s="34" t="n">
        <f aca="false">IF((144-N(P_L3_Mes)+1)&lt;1,0,IF((144-N(P_L3_Mes)+1)=1,N(P_L3_Monto),ER$108)-ES$107)</f>
        <v>0</v>
      </c>
    </row>
    <row r="109" customFormat="false" ht="15" hidden="false" customHeight="false" outlineLevel="0" collapsed="false">
      <c r="A109" s="4"/>
      <c r="B109" s="3" t="s">
        <v>701</v>
      </c>
      <c r="C109" s="4"/>
      <c r="D109" s="4"/>
      <c r="E109" s="4"/>
    </row>
    <row r="110" customFormat="false" ht="15" hidden="false" customHeight="false" outlineLevel="0" collapsed="false">
      <c r="A110" s="2" t="s">
        <v>702</v>
      </c>
      <c r="B110" s="6" t="s">
        <v>703</v>
      </c>
      <c r="C110" s="6" t="s">
        <v>250</v>
      </c>
      <c r="E110" s="40" t="n">
        <f aca="false">SUM(F110:ES110)</f>
        <v>2791587</v>
      </c>
      <c r="F110" s="34" t="n">
        <f aca="false">F$97+F$101+F$105</f>
        <v>2791587</v>
      </c>
      <c r="G110" s="34" t="n">
        <f aca="false">G$97+G$101+G$105</f>
        <v>0</v>
      </c>
      <c r="H110" s="34" t="n">
        <f aca="false">H$97+H$101+H$105</f>
        <v>0</v>
      </c>
      <c r="I110" s="34" t="n">
        <f aca="false">I$97+I$101+I$105</f>
        <v>0</v>
      </c>
      <c r="J110" s="34" t="n">
        <f aca="false">J$97+J$101+J$105</f>
        <v>0</v>
      </c>
      <c r="K110" s="34" t="n">
        <f aca="false">K$97+K$101+K$105</f>
        <v>0</v>
      </c>
      <c r="L110" s="34" t="n">
        <f aca="false">L$97+L$101+L$105</f>
        <v>0</v>
      </c>
      <c r="M110" s="34" t="n">
        <f aca="false">M$97+M$101+M$105</f>
        <v>0</v>
      </c>
      <c r="N110" s="34" t="n">
        <f aca="false">N$97+N$101+N$105</f>
        <v>0</v>
      </c>
      <c r="O110" s="34" t="n">
        <f aca="false">O$97+O$101+O$105</f>
        <v>0</v>
      </c>
      <c r="P110" s="34" t="n">
        <f aca="false">P$97+P$101+P$105</f>
        <v>0</v>
      </c>
      <c r="Q110" s="34" t="n">
        <f aca="false">Q$97+Q$101+Q$105</f>
        <v>0</v>
      </c>
      <c r="R110" s="34" t="n">
        <f aca="false">R$97+R$101+R$105</f>
        <v>0</v>
      </c>
      <c r="S110" s="34" t="n">
        <f aca="false">S$97+S$101+S$105</f>
        <v>0</v>
      </c>
      <c r="T110" s="34" t="n">
        <f aca="false">T$97+T$101+T$105</f>
        <v>0</v>
      </c>
      <c r="U110" s="34" t="n">
        <f aca="false">U$97+U$101+U$105</f>
        <v>0</v>
      </c>
      <c r="V110" s="34" t="n">
        <f aca="false">V$97+V$101+V$105</f>
        <v>0</v>
      </c>
      <c r="W110" s="34" t="n">
        <f aca="false">W$97+W$101+W$105</f>
        <v>0</v>
      </c>
      <c r="X110" s="34" t="n">
        <f aca="false">X$97+X$101+X$105</f>
        <v>0</v>
      </c>
      <c r="Y110" s="34" t="n">
        <f aca="false">Y$97+Y$101+Y$105</f>
        <v>0</v>
      </c>
      <c r="Z110" s="34" t="n">
        <f aca="false">Z$97+Z$101+Z$105</f>
        <v>0</v>
      </c>
      <c r="AA110" s="34" t="n">
        <f aca="false">AA$97+AA$101+AA$105</f>
        <v>0</v>
      </c>
      <c r="AB110" s="34" t="n">
        <f aca="false">AB$97+AB$101+AB$105</f>
        <v>0</v>
      </c>
      <c r="AC110" s="34" t="n">
        <f aca="false">AC$97+AC$101+AC$105</f>
        <v>0</v>
      </c>
      <c r="AD110" s="34" t="n">
        <f aca="false">AD$97+AD$101+AD$105</f>
        <v>0</v>
      </c>
      <c r="AE110" s="34" t="n">
        <f aca="false">AE$97+AE$101+AE$105</f>
        <v>0</v>
      </c>
      <c r="AF110" s="34" t="n">
        <f aca="false">AF$97+AF$101+AF$105</f>
        <v>0</v>
      </c>
      <c r="AG110" s="34" t="n">
        <f aca="false">AG$97+AG$101+AG$105</f>
        <v>0</v>
      </c>
      <c r="AH110" s="34" t="n">
        <f aca="false">AH$97+AH$101+AH$105</f>
        <v>0</v>
      </c>
      <c r="AI110" s="34" t="n">
        <f aca="false">AI$97+AI$101+AI$105</f>
        <v>0</v>
      </c>
      <c r="AJ110" s="34" t="n">
        <f aca="false">AJ$97+AJ$101+AJ$105</f>
        <v>0</v>
      </c>
      <c r="AK110" s="34" t="n">
        <f aca="false">AK$97+AK$101+AK$105</f>
        <v>0</v>
      </c>
      <c r="AL110" s="34" t="n">
        <f aca="false">AL$97+AL$101+AL$105</f>
        <v>0</v>
      </c>
      <c r="AM110" s="34" t="n">
        <f aca="false">AM$97+AM$101+AM$105</f>
        <v>0</v>
      </c>
      <c r="AN110" s="34" t="n">
        <f aca="false">AN$97+AN$101+AN$105</f>
        <v>0</v>
      </c>
      <c r="AO110" s="34" t="n">
        <f aca="false">AO$97+AO$101+AO$105</f>
        <v>0</v>
      </c>
      <c r="AP110" s="34" t="n">
        <f aca="false">AP$97+AP$101+AP$105</f>
        <v>0</v>
      </c>
      <c r="AQ110" s="34" t="n">
        <f aca="false">AQ$97+AQ$101+AQ$105</f>
        <v>0</v>
      </c>
      <c r="AR110" s="34" t="n">
        <f aca="false">AR$97+AR$101+AR$105</f>
        <v>0</v>
      </c>
      <c r="AS110" s="34" t="n">
        <f aca="false">AS$97+AS$101+AS$105</f>
        <v>0</v>
      </c>
      <c r="AT110" s="34" t="n">
        <f aca="false">AT$97+AT$101+AT$105</f>
        <v>0</v>
      </c>
      <c r="AU110" s="34" t="n">
        <f aca="false">AU$97+AU$101+AU$105</f>
        <v>0</v>
      </c>
      <c r="AV110" s="34" t="n">
        <f aca="false">AV$97+AV$101+AV$105</f>
        <v>0</v>
      </c>
      <c r="AW110" s="34" t="n">
        <f aca="false">AW$97+AW$101+AW$105</f>
        <v>0</v>
      </c>
      <c r="AX110" s="34" t="n">
        <f aca="false">AX$97+AX$101+AX$105</f>
        <v>0</v>
      </c>
      <c r="AY110" s="34" t="n">
        <f aca="false">AY$97+AY$101+AY$105</f>
        <v>0</v>
      </c>
      <c r="AZ110" s="34" t="n">
        <f aca="false">AZ$97+AZ$101+AZ$105</f>
        <v>0</v>
      </c>
      <c r="BA110" s="34" t="n">
        <f aca="false">BA$97+BA$101+BA$105</f>
        <v>0</v>
      </c>
      <c r="BB110" s="34" t="n">
        <f aca="false">BB$97+BB$101+BB$105</f>
        <v>0</v>
      </c>
      <c r="BC110" s="34" t="n">
        <f aca="false">BC$97+BC$101+BC$105</f>
        <v>0</v>
      </c>
      <c r="BD110" s="34" t="n">
        <f aca="false">BD$97+BD$101+BD$105</f>
        <v>0</v>
      </c>
      <c r="BE110" s="34" t="n">
        <f aca="false">BE$97+BE$101+BE$105</f>
        <v>0</v>
      </c>
      <c r="BF110" s="34" t="n">
        <f aca="false">BF$97+BF$101+BF$105</f>
        <v>0</v>
      </c>
      <c r="BG110" s="34" t="n">
        <f aca="false">BG$97+BG$101+BG$105</f>
        <v>0</v>
      </c>
      <c r="BH110" s="34" t="n">
        <f aca="false">BH$97+BH$101+BH$105</f>
        <v>0</v>
      </c>
      <c r="BI110" s="34" t="n">
        <f aca="false">BI$97+BI$101+BI$105</f>
        <v>0</v>
      </c>
      <c r="BJ110" s="34" t="n">
        <f aca="false">BJ$97+BJ$101+BJ$105</f>
        <v>0</v>
      </c>
      <c r="BK110" s="34" t="n">
        <f aca="false">BK$97+BK$101+BK$105</f>
        <v>0</v>
      </c>
      <c r="BL110" s="34" t="n">
        <f aca="false">BL$97+BL$101+BL$105</f>
        <v>0</v>
      </c>
      <c r="BM110" s="34" t="n">
        <f aca="false">BM$97+BM$101+BM$105</f>
        <v>0</v>
      </c>
      <c r="BN110" s="34" t="n">
        <f aca="false">BN$97+BN$101+BN$105</f>
        <v>0</v>
      </c>
      <c r="BO110" s="34" t="n">
        <f aca="false">BO$97+BO$101+BO$105</f>
        <v>0</v>
      </c>
      <c r="BP110" s="34" t="n">
        <f aca="false">BP$97+BP$101+BP$105</f>
        <v>0</v>
      </c>
      <c r="BQ110" s="34" t="n">
        <f aca="false">BQ$97+BQ$101+BQ$105</f>
        <v>0</v>
      </c>
      <c r="BR110" s="34" t="n">
        <f aca="false">BR$97+BR$101+BR$105</f>
        <v>0</v>
      </c>
      <c r="BS110" s="34" t="n">
        <f aca="false">BS$97+BS$101+BS$105</f>
        <v>0</v>
      </c>
      <c r="BT110" s="34" t="n">
        <f aca="false">BT$97+BT$101+BT$105</f>
        <v>0</v>
      </c>
      <c r="BU110" s="34" t="n">
        <f aca="false">BU$97+BU$101+BU$105</f>
        <v>0</v>
      </c>
      <c r="BV110" s="34" t="n">
        <f aca="false">BV$97+BV$101+BV$105</f>
        <v>0</v>
      </c>
      <c r="BW110" s="34" t="n">
        <f aca="false">BW$97+BW$101+BW$105</f>
        <v>0</v>
      </c>
      <c r="BX110" s="34" t="n">
        <f aca="false">BX$97+BX$101+BX$105</f>
        <v>0</v>
      </c>
      <c r="BY110" s="34" t="n">
        <f aca="false">BY$97+BY$101+BY$105</f>
        <v>0</v>
      </c>
      <c r="BZ110" s="34" t="n">
        <f aca="false">BZ$97+BZ$101+BZ$105</f>
        <v>0</v>
      </c>
      <c r="CA110" s="34" t="n">
        <f aca="false">CA$97+CA$101+CA$105</f>
        <v>0</v>
      </c>
      <c r="CB110" s="34" t="n">
        <f aca="false">CB$97+CB$101+CB$105</f>
        <v>0</v>
      </c>
      <c r="CC110" s="34" t="n">
        <f aca="false">CC$97+CC$101+CC$105</f>
        <v>0</v>
      </c>
      <c r="CD110" s="34" t="n">
        <f aca="false">CD$97+CD$101+CD$105</f>
        <v>0</v>
      </c>
      <c r="CE110" s="34" t="n">
        <f aca="false">CE$97+CE$101+CE$105</f>
        <v>0</v>
      </c>
      <c r="CF110" s="34" t="n">
        <f aca="false">CF$97+CF$101+CF$105</f>
        <v>0</v>
      </c>
      <c r="CG110" s="34" t="n">
        <f aca="false">CG$97+CG$101+CG$105</f>
        <v>0</v>
      </c>
      <c r="CH110" s="34" t="n">
        <f aca="false">CH$97+CH$101+CH$105</f>
        <v>0</v>
      </c>
      <c r="CI110" s="34" t="n">
        <f aca="false">CI$97+CI$101+CI$105</f>
        <v>0</v>
      </c>
      <c r="CJ110" s="34" t="n">
        <f aca="false">CJ$97+CJ$101+CJ$105</f>
        <v>0</v>
      </c>
      <c r="CK110" s="34" t="n">
        <f aca="false">CK$97+CK$101+CK$105</f>
        <v>0</v>
      </c>
      <c r="CL110" s="34" t="n">
        <f aca="false">CL$97+CL$101+CL$105</f>
        <v>0</v>
      </c>
      <c r="CM110" s="34" t="n">
        <f aca="false">CM$97+CM$101+CM$105</f>
        <v>0</v>
      </c>
      <c r="CN110" s="34" t="n">
        <f aca="false">CN$97+CN$101+CN$105</f>
        <v>0</v>
      </c>
      <c r="CO110" s="34" t="n">
        <f aca="false">CO$97+CO$101+CO$105</f>
        <v>0</v>
      </c>
      <c r="CP110" s="34" t="n">
        <f aca="false">CP$97+CP$101+CP$105</f>
        <v>0</v>
      </c>
      <c r="CQ110" s="34" t="n">
        <f aca="false">CQ$97+CQ$101+CQ$105</f>
        <v>0</v>
      </c>
      <c r="CR110" s="34" t="n">
        <f aca="false">CR$97+CR$101+CR$105</f>
        <v>0</v>
      </c>
      <c r="CS110" s="34" t="n">
        <f aca="false">CS$97+CS$101+CS$105</f>
        <v>0</v>
      </c>
      <c r="CT110" s="34" t="n">
        <f aca="false">CT$97+CT$101+CT$105</f>
        <v>0</v>
      </c>
      <c r="CU110" s="34" t="n">
        <f aca="false">CU$97+CU$101+CU$105</f>
        <v>0</v>
      </c>
      <c r="CV110" s="34" t="n">
        <f aca="false">CV$97+CV$101+CV$105</f>
        <v>0</v>
      </c>
      <c r="CW110" s="34" t="n">
        <f aca="false">CW$97+CW$101+CW$105</f>
        <v>0</v>
      </c>
      <c r="CX110" s="34" t="n">
        <f aca="false">CX$97+CX$101+CX$105</f>
        <v>0</v>
      </c>
      <c r="CY110" s="34" t="n">
        <f aca="false">CY$97+CY$101+CY$105</f>
        <v>0</v>
      </c>
      <c r="CZ110" s="34" t="n">
        <f aca="false">CZ$97+CZ$101+CZ$105</f>
        <v>0</v>
      </c>
      <c r="DA110" s="34" t="n">
        <f aca="false">DA$97+DA$101+DA$105</f>
        <v>0</v>
      </c>
      <c r="DB110" s="34" t="n">
        <f aca="false">DB$97+DB$101+DB$105</f>
        <v>0</v>
      </c>
      <c r="DC110" s="34" t="n">
        <f aca="false">DC$97+DC$101+DC$105</f>
        <v>0</v>
      </c>
      <c r="DD110" s="34" t="n">
        <f aca="false">DD$97+DD$101+DD$105</f>
        <v>0</v>
      </c>
      <c r="DE110" s="34" t="n">
        <f aca="false">DE$97+DE$101+DE$105</f>
        <v>0</v>
      </c>
      <c r="DF110" s="34" t="n">
        <f aca="false">DF$97+DF$101+DF$105</f>
        <v>0</v>
      </c>
      <c r="DG110" s="34" t="n">
        <f aca="false">DG$97+DG$101+DG$105</f>
        <v>0</v>
      </c>
      <c r="DH110" s="34" t="n">
        <f aca="false">DH$97+DH$101+DH$105</f>
        <v>0</v>
      </c>
      <c r="DI110" s="34" t="n">
        <f aca="false">DI$97+DI$101+DI$105</f>
        <v>0</v>
      </c>
      <c r="DJ110" s="34" t="n">
        <f aca="false">DJ$97+DJ$101+DJ$105</f>
        <v>0</v>
      </c>
      <c r="DK110" s="34" t="n">
        <f aca="false">DK$97+DK$101+DK$105</f>
        <v>0</v>
      </c>
      <c r="DL110" s="34" t="n">
        <f aca="false">DL$97+DL$101+DL$105</f>
        <v>0</v>
      </c>
      <c r="DM110" s="34" t="n">
        <f aca="false">DM$97+DM$101+DM$105</f>
        <v>0</v>
      </c>
      <c r="DN110" s="34" t="n">
        <f aca="false">DN$97+DN$101+DN$105</f>
        <v>0</v>
      </c>
      <c r="DO110" s="34" t="n">
        <f aca="false">DO$97+DO$101+DO$105</f>
        <v>0</v>
      </c>
      <c r="DP110" s="34" t="n">
        <f aca="false">DP$97+DP$101+DP$105</f>
        <v>0</v>
      </c>
      <c r="DQ110" s="34" t="n">
        <f aca="false">DQ$97+DQ$101+DQ$105</f>
        <v>0</v>
      </c>
      <c r="DR110" s="34" t="n">
        <f aca="false">DR$97+DR$101+DR$105</f>
        <v>0</v>
      </c>
      <c r="DS110" s="34" t="n">
        <f aca="false">DS$97+DS$101+DS$105</f>
        <v>0</v>
      </c>
      <c r="DT110" s="34" t="n">
        <f aca="false">DT$97+DT$101+DT$105</f>
        <v>0</v>
      </c>
      <c r="DU110" s="34" t="n">
        <f aca="false">DU$97+DU$101+DU$105</f>
        <v>0</v>
      </c>
      <c r="DV110" s="34" t="n">
        <f aca="false">DV$97+DV$101+DV$105</f>
        <v>0</v>
      </c>
      <c r="DW110" s="34" t="n">
        <f aca="false">DW$97+DW$101+DW$105</f>
        <v>0</v>
      </c>
      <c r="DX110" s="34" t="n">
        <f aca="false">DX$97+DX$101+DX$105</f>
        <v>0</v>
      </c>
      <c r="DY110" s="34" t="n">
        <f aca="false">DY$97+DY$101+DY$105</f>
        <v>0</v>
      </c>
      <c r="DZ110" s="34" t="n">
        <f aca="false">DZ$97+DZ$101+DZ$105</f>
        <v>0</v>
      </c>
      <c r="EA110" s="34" t="n">
        <f aca="false">EA$97+EA$101+EA$105</f>
        <v>0</v>
      </c>
      <c r="EB110" s="34" t="n">
        <f aca="false">EB$97+EB$101+EB$105</f>
        <v>0</v>
      </c>
      <c r="EC110" s="34" t="n">
        <f aca="false">EC$97+EC$101+EC$105</f>
        <v>0</v>
      </c>
      <c r="ED110" s="34" t="n">
        <f aca="false">ED$97+ED$101+ED$105</f>
        <v>0</v>
      </c>
      <c r="EE110" s="34" t="n">
        <f aca="false">EE$97+EE$101+EE$105</f>
        <v>0</v>
      </c>
      <c r="EF110" s="34" t="n">
        <f aca="false">EF$97+EF$101+EF$105</f>
        <v>0</v>
      </c>
      <c r="EG110" s="34" t="n">
        <f aca="false">EG$97+EG$101+EG$105</f>
        <v>0</v>
      </c>
      <c r="EH110" s="34" t="n">
        <f aca="false">EH$97+EH$101+EH$105</f>
        <v>0</v>
      </c>
      <c r="EI110" s="34" t="n">
        <f aca="false">EI$97+EI$101+EI$105</f>
        <v>0</v>
      </c>
      <c r="EJ110" s="34" t="n">
        <f aca="false">EJ$97+EJ$101+EJ$105</f>
        <v>0</v>
      </c>
      <c r="EK110" s="34" t="n">
        <f aca="false">EK$97+EK$101+EK$105</f>
        <v>0</v>
      </c>
      <c r="EL110" s="34" t="n">
        <f aca="false">EL$97+EL$101+EL$105</f>
        <v>0</v>
      </c>
      <c r="EM110" s="34" t="n">
        <f aca="false">EM$97+EM$101+EM$105</f>
        <v>0</v>
      </c>
      <c r="EN110" s="34" t="n">
        <f aca="false">EN$97+EN$101+EN$105</f>
        <v>0</v>
      </c>
      <c r="EO110" s="34" t="n">
        <f aca="false">EO$97+EO$101+EO$105</f>
        <v>0</v>
      </c>
      <c r="EP110" s="34" t="n">
        <f aca="false">EP$97+EP$101+EP$105</f>
        <v>0</v>
      </c>
      <c r="EQ110" s="34" t="n">
        <f aca="false">EQ$97+EQ$101+EQ$105</f>
        <v>0</v>
      </c>
      <c r="ER110" s="34" t="n">
        <f aca="false">ER$97+ER$101+ER$105</f>
        <v>0</v>
      </c>
      <c r="ES110" s="34" t="n">
        <f aca="false">ES$97+ES$101+ES$105</f>
        <v>0</v>
      </c>
    </row>
    <row r="111" customFormat="false" ht="15" hidden="false" customHeight="false" outlineLevel="0" collapsed="false">
      <c r="A111" s="2" t="s">
        <v>704</v>
      </c>
      <c r="B111" s="6" t="s">
        <v>705</v>
      </c>
      <c r="C111" s="6" t="s">
        <v>250</v>
      </c>
      <c r="E111" s="40" t="n">
        <f aca="false">SUM(F111:ES111)</f>
        <v>2791587</v>
      </c>
      <c r="F111" s="34" t="n">
        <f aca="false">MAX(0,MIN(0-0+F$110,F$99+F$103+F$107))</f>
        <v>0</v>
      </c>
      <c r="G111" s="34" t="n">
        <f aca="false">MAX(0,MIN(F$122-F$119+G$110,G$99+G$103+G$107))</f>
        <v>0</v>
      </c>
      <c r="H111" s="34" t="n">
        <f aca="false">MAX(0,MIN(G$122-G$119+H$110,H$99+H$103+H$107))</f>
        <v>0</v>
      </c>
      <c r="I111" s="34" t="n">
        <f aca="false">MAX(0,MIN(H$122-H$119+I$110,I$99+I$103+I$107))</f>
        <v>0</v>
      </c>
      <c r="J111" s="34" t="n">
        <f aca="false">MAX(0,MIN(I$122-I$119+J$110,J$99+J$103+J$107))</f>
        <v>0</v>
      </c>
      <c r="K111" s="34" t="n">
        <f aca="false">MAX(0,MIN(J$122-J$119+K$110,K$99+K$103+K$107))</f>
        <v>0</v>
      </c>
      <c r="L111" s="34" t="n">
        <f aca="false">MAX(0,MIN(K$122-K$119+L$110,L$99+L$103+L$107))</f>
        <v>42123.3040946878</v>
      </c>
      <c r="M111" s="34" t="n">
        <f aca="false">MAX(0,MIN(L$122-L$119+M$110,M$99+M$103+M$107))</f>
        <v>42439.2288753979</v>
      </c>
      <c r="N111" s="34" t="n">
        <f aca="false">MAX(0,MIN(M$122-M$119+N$110,N$99+N$103+N$107))</f>
        <v>42757.5230919634</v>
      </c>
      <c r="O111" s="34" t="n">
        <f aca="false">MAX(0,MIN(N$122-N$119+O$110,O$99+O$103+O$107))</f>
        <v>43078.2045151531</v>
      </c>
      <c r="P111" s="34" t="n">
        <f aca="false">MAX(0,MIN(O$122-O$119+P$110,P$99+P$103+P$107))</f>
        <v>43401.2910490168</v>
      </c>
      <c r="Q111" s="34" t="n">
        <f aca="false">MAX(0,MIN(P$122-P$119+Q$110,Q$99+Q$103+Q$107))</f>
        <v>43726.8007318844</v>
      </c>
      <c r="R111" s="34" t="n">
        <f aca="false">MAX(0,MIN(Q$122-Q$119+R$110,R$99+R$103+R$107))</f>
        <v>44054.7517373735</v>
      </c>
      <c r="S111" s="34" t="n">
        <f aca="false">MAX(0,MIN(R$122-R$119+S$110,S$99+S$103+S$107))</f>
        <v>44385.1623754038</v>
      </c>
      <c r="T111" s="34" t="n">
        <f aca="false">MAX(0,MIN(S$122-S$119+T$110,T$99+T$103+T$107))</f>
        <v>44718.0510932194</v>
      </c>
      <c r="U111" s="34" t="n">
        <f aca="false">MAX(0,MIN(T$122-T$119+U$110,U$99+U$103+U$107))</f>
        <v>45053.4364764185</v>
      </c>
      <c r="V111" s="34" t="n">
        <f aca="false">MAX(0,MIN(U$122-U$119+V$110,V$99+V$103+V$107))</f>
        <v>45391.3372499916</v>
      </c>
      <c r="W111" s="34" t="n">
        <f aca="false">MAX(0,MIN(V$122-V$119+W$110,W$99+W$103+W$107))</f>
        <v>45731.7722793666</v>
      </c>
      <c r="X111" s="34" t="n">
        <f aca="false">MAX(0,MIN(W$122-W$119+X$110,X$99+X$103+X$107))</f>
        <v>46074.7605714618</v>
      </c>
      <c r="Y111" s="34" t="n">
        <f aca="false">MAX(0,MIN(X$122-X$119+Y$110,Y$99+Y$103+Y$107))</f>
        <v>46420.3212757478</v>
      </c>
      <c r="Z111" s="34" t="n">
        <f aca="false">MAX(0,MIN(Y$122-Y$119+Z$110,Z$99+Z$103+Z$107))</f>
        <v>46768.4736853159</v>
      </c>
      <c r="AA111" s="34" t="n">
        <f aca="false">MAX(0,MIN(Z$122-Z$119+AA$110,AA$99+AA$103+AA$107))</f>
        <v>47119.2372379558</v>
      </c>
      <c r="AB111" s="34" t="n">
        <f aca="false">MAX(0,MIN(AA$122-AA$119+AB$110,AB$99+AB$103+AB$107))</f>
        <v>47472.6315172404</v>
      </c>
      <c r="AC111" s="34" t="n">
        <f aca="false">MAX(0,MIN(AB$122-AB$119+AC$110,AC$99+AC$103+AC$107))</f>
        <v>47828.6762536197</v>
      </c>
      <c r="AD111" s="34" t="n">
        <f aca="false">MAX(0,MIN(AC$122-AC$119+AD$110,AD$99+AD$103+AD$107))</f>
        <v>48187.3913255219</v>
      </c>
      <c r="AE111" s="34" t="n">
        <f aca="false">MAX(0,MIN(AD$122-AD$119+AE$110,AE$99+AE$103+AE$107))</f>
        <v>48548.7967604633</v>
      </c>
      <c r="AF111" s="34" t="n">
        <f aca="false">MAX(0,MIN(AE$122-AE$119+AF$110,AF$99+AF$103+AF$107))</f>
        <v>48912.9127361668</v>
      </c>
      <c r="AG111" s="34" t="n">
        <f aca="false">MAX(0,MIN(AF$122-AF$119+AG$110,AG$99+AG$103+AG$107))</f>
        <v>49279.759581688</v>
      </c>
      <c r="AH111" s="34" t="n">
        <f aca="false">MAX(0,MIN(AG$122-AG$119+AH$110,AH$99+AH$103+AH$107))</f>
        <v>49649.3577785507</v>
      </c>
      <c r="AI111" s="34" t="n">
        <f aca="false">MAX(0,MIN(AH$122-AH$119+AI$110,AI$99+AI$103+AI$107))</f>
        <v>50021.7279618898</v>
      </c>
      <c r="AJ111" s="34" t="n">
        <f aca="false">MAX(0,MIN(AI$122-AI$119+AJ$110,AJ$99+AJ$103+AJ$107))</f>
        <v>50396.890921604</v>
      </c>
      <c r="AK111" s="34" t="n">
        <f aca="false">MAX(0,MIN(AJ$122-AJ$119+AK$110,AK$99+AK$103+AK$107))</f>
        <v>50774.867603516</v>
      </c>
      <c r="AL111" s="34" t="n">
        <f aca="false">MAX(0,MIN(AK$122-AK$119+AL$110,AL$99+AL$103+AL$107))</f>
        <v>51155.6791105424</v>
      </c>
      <c r="AM111" s="34" t="n">
        <f aca="false">MAX(0,MIN(AL$122-AL$119+AM$110,AM$99+AM$103+AM$107))</f>
        <v>51539.3467038715</v>
      </c>
      <c r="AN111" s="34" t="n">
        <f aca="false">MAX(0,MIN(AM$122-AM$119+AN$110,AN$99+AN$103+AN$107))</f>
        <v>51925.8918041505</v>
      </c>
      <c r="AO111" s="34" t="n">
        <f aca="false">MAX(0,MIN(AN$122-AN$119+AO$110,AO$99+AO$103+AO$107))</f>
        <v>52315.3359926816</v>
      </c>
      <c r="AP111" s="34" t="n">
        <f aca="false">MAX(0,MIN(AO$122-AO$119+AP$110,AP$99+AP$103+AP$107))</f>
        <v>52707.7010126267</v>
      </c>
      <c r="AQ111" s="34" t="n">
        <f aca="false">MAX(0,MIN(AP$122-AP$119+AQ$110,AQ$99+AQ$103+AQ$107))</f>
        <v>53103.0087702214</v>
      </c>
      <c r="AR111" s="34" t="n">
        <f aca="false">MAX(0,MIN(AQ$122-AQ$119+AR$110,AR$99+AR$103+AR$107))</f>
        <v>53501.2813359981</v>
      </c>
      <c r="AS111" s="34" t="n">
        <f aca="false">MAX(0,MIN(AR$122-AR$119+AS$110,AS$99+AS$103+AS$107))</f>
        <v>53902.5409460181</v>
      </c>
      <c r="AT111" s="34" t="n">
        <f aca="false">MAX(0,MIN(AS$122-AS$119+AT$110,AT$99+AT$103+AT$107))</f>
        <v>54306.8100031132</v>
      </c>
      <c r="AU111" s="34" t="n">
        <f aca="false">MAX(0,MIN(AT$122-AT$119+AU$110,AU$99+AU$103+AU$107))</f>
        <v>54714.1110781366</v>
      </c>
      <c r="AV111" s="34" t="n">
        <f aca="false">MAX(0,MIN(AU$122-AU$119+AV$110,AV$99+AV$103+AV$107))</f>
        <v>55124.4669112226</v>
      </c>
      <c r="AW111" s="34" t="n">
        <f aca="false">MAX(0,MIN(AV$122-AV$119+AW$110,AW$99+AW$103+AW$107))</f>
        <v>55537.9004130568</v>
      </c>
      <c r="AX111" s="34" t="n">
        <f aca="false">MAX(0,MIN(AW$122-AW$119+AX$110,AX$99+AX$103+AX$107))</f>
        <v>55954.4346661547</v>
      </c>
      <c r="AY111" s="34" t="n">
        <f aca="false">MAX(0,MIN(AX$122-AX$119+AY$110,AY$99+AY$103+AY$107))</f>
        <v>56374.0929261509</v>
      </c>
      <c r="AZ111" s="34" t="n">
        <f aca="false">MAX(0,MIN(AY$122-AY$119+AZ$110,AZ$99+AZ$103+AZ$107))</f>
        <v>56796.898623097</v>
      </c>
      <c r="BA111" s="34" t="n">
        <f aca="false">MAX(0,MIN(AZ$122-AZ$119+BA$110,BA$99+BA$103+BA$107))</f>
        <v>57222.8753627702</v>
      </c>
      <c r="BB111" s="34" t="n">
        <f aca="false">MAX(0,MIN(BA$122-BA$119+BB$110,BB$99+BB$103+BB$107))</f>
        <v>57652.046927991</v>
      </c>
      <c r="BC111" s="34" t="n">
        <f aca="false">MAX(0,MIN(BB$122-BB$119+BC$110,BC$99+BC$103+BC$107))</f>
        <v>58084.4372799509</v>
      </c>
      <c r="BD111" s="34" t="n">
        <f aca="false">MAX(0,MIN(BC$122-BC$119+BD$110,BD$99+BD$103+BD$107))</f>
        <v>58520.0705595506</v>
      </c>
      <c r="BE111" s="34" t="n">
        <f aca="false">MAX(0,MIN(BD$122-BD$119+BE$110,BE$99+BE$103+BE$107))</f>
        <v>58958.9710887472</v>
      </c>
      <c r="BF111" s="34" t="n">
        <f aca="false">MAX(0,MIN(BE$122-BE$119+BF$110,BF$99+BF$103+BF$107))</f>
        <v>59401.1633719128</v>
      </c>
      <c r="BG111" s="34" t="n">
        <f aca="false">MAX(0,MIN(BF$122-BF$119+BG$110,BG$99+BG$103+BG$107))</f>
        <v>59846.6720972021</v>
      </c>
      <c r="BH111" s="34" t="n">
        <f aca="false">MAX(0,MIN(BG$122-BG$119+BH$110,BH$99+BH$103+BH$107))</f>
        <v>60295.5221379312</v>
      </c>
      <c r="BI111" s="34" t="n">
        <f aca="false">MAX(0,MIN(BH$122-BH$119+BI$110,BI$99+BI$103+BI$107))</f>
        <v>60747.7385539656</v>
      </c>
      <c r="BJ111" s="34" t="n">
        <f aca="false">MAX(0,MIN(BI$122-BI$119+BJ$110,BJ$99+BJ$103+BJ$107))</f>
        <v>61203.3465931204</v>
      </c>
      <c r="BK111" s="34" t="n">
        <f aca="false">MAX(0,MIN(BJ$122-BJ$119+BK$110,BK$99+BK$103+BK$107))</f>
        <v>61662.3716925688</v>
      </c>
      <c r="BL111" s="34" t="n">
        <f aca="false">MAX(0,MIN(BK$122-BK$119+BL$110,BL$99+BL$103+BL$107))</f>
        <v>62124.839480263</v>
      </c>
      <c r="BM111" s="34" t="n">
        <f aca="false">MAX(0,MIN(BL$122-BL$119+BM$110,BM$99+BM$103+BM$107))</f>
        <v>62590.7757763667</v>
      </c>
      <c r="BN111" s="34" t="n">
        <f aca="false">MAX(0,MIN(BM$122-BM$119+BN$110,BN$99+BN$103+BN$107))</f>
        <v>0</v>
      </c>
      <c r="BO111" s="34" t="n">
        <f aca="false">MAX(0,MIN(BN$122-BN$119+BO$110,BO$99+BO$103+BO$107))</f>
        <v>0</v>
      </c>
      <c r="BP111" s="34" t="n">
        <f aca="false">MAX(0,MIN(BO$122-BO$119+BP$110,BP$99+BP$103+BP$107))</f>
        <v>0</v>
      </c>
      <c r="BQ111" s="34" t="n">
        <f aca="false">MAX(0,MIN(BP$122-BP$119+BQ$110,BQ$99+BQ$103+BQ$107))</f>
        <v>0</v>
      </c>
      <c r="BR111" s="34" t="n">
        <f aca="false">MAX(0,MIN(BQ$122-BQ$119+BR$110,BR$99+BR$103+BR$107))</f>
        <v>0</v>
      </c>
      <c r="BS111" s="34" t="n">
        <f aca="false">MAX(0,MIN(BR$122-BR$119+BS$110,BS$99+BS$103+BS$107))</f>
        <v>0</v>
      </c>
      <c r="BT111" s="34" t="n">
        <f aca="false">MAX(0,MIN(BS$122-BS$119+BT$110,BT$99+BT$103+BT$107))</f>
        <v>0</v>
      </c>
      <c r="BU111" s="34" t="n">
        <f aca="false">MAX(0,MIN(BT$122-BT$119+BU$110,BU$99+BU$103+BU$107))</f>
        <v>0</v>
      </c>
      <c r="BV111" s="34" t="n">
        <f aca="false">MAX(0,MIN(BU$122-BU$119+BV$110,BV$99+BV$103+BV$107))</f>
        <v>0</v>
      </c>
      <c r="BW111" s="34" t="n">
        <f aca="false">MAX(0,MIN(BV$122-BV$119+BW$110,BW$99+BW$103+BW$107))</f>
        <v>0</v>
      </c>
      <c r="BX111" s="34" t="n">
        <f aca="false">MAX(0,MIN(BW$122-BW$119+BX$110,BX$99+BX$103+BX$107))</f>
        <v>0</v>
      </c>
      <c r="BY111" s="34" t="n">
        <f aca="false">MAX(0,MIN(BX$122-BX$119+BY$110,BY$99+BY$103+BY$107))</f>
        <v>0</v>
      </c>
      <c r="BZ111" s="34" t="n">
        <f aca="false">MAX(0,MIN(BY$122-BY$119+BZ$110,BZ$99+BZ$103+BZ$107))</f>
        <v>0</v>
      </c>
      <c r="CA111" s="34" t="n">
        <f aca="false">MAX(0,MIN(BZ$122-BZ$119+CA$110,CA$99+CA$103+CA$107))</f>
        <v>0</v>
      </c>
      <c r="CB111" s="34" t="n">
        <f aca="false">MAX(0,MIN(CA$122-CA$119+CB$110,CB$99+CB$103+CB$107))</f>
        <v>0</v>
      </c>
      <c r="CC111" s="34" t="n">
        <f aca="false">MAX(0,MIN(CB$122-CB$119+CC$110,CC$99+CC$103+CC$107))</f>
        <v>0</v>
      </c>
      <c r="CD111" s="34" t="n">
        <f aca="false">MAX(0,MIN(CC$122-CC$119+CD$110,CD$99+CD$103+CD$107))</f>
        <v>0</v>
      </c>
      <c r="CE111" s="34" t="n">
        <f aca="false">MAX(0,MIN(CD$122-CD$119+CE$110,CE$99+CE$103+CE$107))</f>
        <v>0</v>
      </c>
      <c r="CF111" s="34" t="n">
        <f aca="false">MAX(0,MIN(CE$122-CE$119+CF$110,CF$99+CF$103+CF$107))</f>
        <v>0</v>
      </c>
      <c r="CG111" s="34" t="n">
        <f aca="false">MAX(0,MIN(CF$122-CF$119+CG$110,CG$99+CG$103+CG$107))</f>
        <v>0</v>
      </c>
      <c r="CH111" s="34" t="n">
        <f aca="false">MAX(0,MIN(CG$122-CG$119+CH$110,CH$99+CH$103+CH$107))</f>
        <v>0</v>
      </c>
      <c r="CI111" s="34" t="n">
        <f aca="false">MAX(0,MIN(CH$122-CH$119+CI$110,CI$99+CI$103+CI$107))</f>
        <v>0</v>
      </c>
      <c r="CJ111" s="34" t="n">
        <f aca="false">MAX(0,MIN(CI$122-CI$119+CJ$110,CJ$99+CJ$103+CJ$107))</f>
        <v>0</v>
      </c>
      <c r="CK111" s="34" t="n">
        <f aca="false">MAX(0,MIN(CJ$122-CJ$119+CK$110,CK$99+CK$103+CK$107))</f>
        <v>0</v>
      </c>
      <c r="CL111" s="34" t="n">
        <f aca="false">MAX(0,MIN(CK$122-CK$119+CL$110,CL$99+CL$103+CL$107))</f>
        <v>0</v>
      </c>
      <c r="CM111" s="34" t="n">
        <f aca="false">MAX(0,MIN(CL$122-CL$119+CM$110,CM$99+CM$103+CM$107))</f>
        <v>0</v>
      </c>
      <c r="CN111" s="34" t="n">
        <f aca="false">MAX(0,MIN(CM$122-CM$119+CN$110,CN$99+CN$103+CN$107))</f>
        <v>0</v>
      </c>
      <c r="CO111" s="34" t="n">
        <f aca="false">MAX(0,MIN(CN$122-CN$119+CO$110,CO$99+CO$103+CO$107))</f>
        <v>0</v>
      </c>
      <c r="CP111" s="34" t="n">
        <f aca="false">MAX(0,MIN(CO$122-CO$119+CP$110,CP$99+CP$103+CP$107))</f>
        <v>0</v>
      </c>
      <c r="CQ111" s="34" t="n">
        <f aca="false">MAX(0,MIN(CP$122-CP$119+CQ$110,CQ$99+CQ$103+CQ$107))</f>
        <v>0</v>
      </c>
      <c r="CR111" s="34" t="n">
        <f aca="false">MAX(0,MIN(CQ$122-CQ$119+CR$110,CR$99+CR$103+CR$107))</f>
        <v>0</v>
      </c>
      <c r="CS111" s="34" t="n">
        <f aca="false">MAX(0,MIN(CR$122-CR$119+CS$110,CS$99+CS$103+CS$107))</f>
        <v>0</v>
      </c>
      <c r="CT111" s="34" t="n">
        <f aca="false">MAX(0,MIN(CS$122-CS$119+CT$110,CT$99+CT$103+CT$107))</f>
        <v>0</v>
      </c>
      <c r="CU111" s="34" t="n">
        <f aca="false">MAX(0,MIN(CT$122-CT$119+CU$110,CU$99+CU$103+CU$107))</f>
        <v>0</v>
      </c>
      <c r="CV111" s="34" t="n">
        <f aca="false">MAX(0,MIN(CU$122-CU$119+CV$110,CV$99+CV$103+CV$107))</f>
        <v>0</v>
      </c>
      <c r="CW111" s="34" t="n">
        <f aca="false">MAX(0,MIN(CV$122-CV$119+CW$110,CW$99+CW$103+CW$107))</f>
        <v>0</v>
      </c>
      <c r="CX111" s="34" t="n">
        <f aca="false">MAX(0,MIN(CW$122-CW$119+CX$110,CX$99+CX$103+CX$107))</f>
        <v>0</v>
      </c>
      <c r="CY111" s="34" t="n">
        <f aca="false">MAX(0,MIN(CX$122-CX$119+CY$110,CY$99+CY$103+CY$107))</f>
        <v>0</v>
      </c>
      <c r="CZ111" s="34" t="n">
        <f aca="false">MAX(0,MIN(CY$122-CY$119+CZ$110,CZ$99+CZ$103+CZ$107))</f>
        <v>0</v>
      </c>
      <c r="DA111" s="34" t="n">
        <f aca="false">MAX(0,MIN(CZ$122-CZ$119+DA$110,DA$99+DA$103+DA$107))</f>
        <v>0</v>
      </c>
      <c r="DB111" s="34" t="n">
        <f aca="false">MAX(0,MIN(DA$122-DA$119+DB$110,DB$99+DB$103+DB$107))</f>
        <v>0</v>
      </c>
      <c r="DC111" s="34" t="n">
        <f aca="false">MAX(0,MIN(DB$122-DB$119+DC$110,DC$99+DC$103+DC$107))</f>
        <v>0</v>
      </c>
      <c r="DD111" s="34" t="n">
        <f aca="false">MAX(0,MIN(DC$122-DC$119+DD$110,DD$99+DD$103+DD$107))</f>
        <v>0</v>
      </c>
      <c r="DE111" s="34" t="n">
        <f aca="false">MAX(0,MIN(DD$122-DD$119+DE$110,DE$99+DE$103+DE$107))</f>
        <v>0</v>
      </c>
      <c r="DF111" s="34" t="n">
        <f aca="false">MAX(0,MIN(DE$122-DE$119+DF$110,DF$99+DF$103+DF$107))</f>
        <v>0</v>
      </c>
      <c r="DG111" s="34" t="n">
        <f aca="false">MAX(0,MIN(DF$122-DF$119+DG$110,DG$99+DG$103+DG$107))</f>
        <v>0</v>
      </c>
      <c r="DH111" s="34" t="n">
        <f aca="false">MAX(0,MIN(DG$122-DG$119+DH$110,DH$99+DH$103+DH$107))</f>
        <v>0</v>
      </c>
      <c r="DI111" s="34" t="n">
        <f aca="false">MAX(0,MIN(DH$122-DH$119+DI$110,DI$99+DI$103+DI$107))</f>
        <v>0</v>
      </c>
      <c r="DJ111" s="34" t="n">
        <f aca="false">MAX(0,MIN(DI$122-DI$119+DJ$110,DJ$99+DJ$103+DJ$107))</f>
        <v>0</v>
      </c>
      <c r="DK111" s="34" t="n">
        <f aca="false">MAX(0,MIN(DJ$122-DJ$119+DK$110,DK$99+DK$103+DK$107))</f>
        <v>0</v>
      </c>
      <c r="DL111" s="34" t="n">
        <f aca="false">MAX(0,MIN(DK$122-DK$119+DL$110,DL$99+DL$103+DL$107))</f>
        <v>0</v>
      </c>
      <c r="DM111" s="34" t="n">
        <f aca="false">MAX(0,MIN(DL$122-DL$119+DM$110,DM$99+DM$103+DM$107))</f>
        <v>0</v>
      </c>
      <c r="DN111" s="34" t="n">
        <f aca="false">MAX(0,MIN(DM$122-DM$119+DN$110,DN$99+DN$103+DN$107))</f>
        <v>0</v>
      </c>
      <c r="DO111" s="34" t="n">
        <f aca="false">MAX(0,MIN(DN$122-DN$119+DO$110,DO$99+DO$103+DO$107))</f>
        <v>0</v>
      </c>
      <c r="DP111" s="34" t="n">
        <f aca="false">MAX(0,MIN(DO$122-DO$119+DP$110,DP$99+DP$103+DP$107))</f>
        <v>0</v>
      </c>
      <c r="DQ111" s="34" t="n">
        <f aca="false">MAX(0,MIN(DP$122-DP$119+DQ$110,DQ$99+DQ$103+DQ$107))</f>
        <v>0</v>
      </c>
      <c r="DR111" s="34" t="n">
        <f aca="false">MAX(0,MIN(DQ$122-DQ$119+DR$110,DR$99+DR$103+DR$107))</f>
        <v>0</v>
      </c>
      <c r="DS111" s="34" t="n">
        <f aca="false">MAX(0,MIN(DR$122-DR$119+DS$110,DS$99+DS$103+DS$107))</f>
        <v>0</v>
      </c>
      <c r="DT111" s="34" t="n">
        <f aca="false">MAX(0,MIN(DS$122-DS$119+DT$110,DT$99+DT$103+DT$107))</f>
        <v>0</v>
      </c>
      <c r="DU111" s="34" t="n">
        <f aca="false">MAX(0,MIN(DT$122-DT$119+DU$110,DU$99+DU$103+DU$107))</f>
        <v>0</v>
      </c>
      <c r="DV111" s="34" t="n">
        <f aca="false">MAX(0,MIN(DU$122-DU$119+DV$110,DV$99+DV$103+DV$107))</f>
        <v>0</v>
      </c>
      <c r="DW111" s="34" t="n">
        <f aca="false">MAX(0,MIN(DV$122-DV$119+DW$110,DW$99+DW$103+DW$107))</f>
        <v>0</v>
      </c>
      <c r="DX111" s="34" t="n">
        <f aca="false">MAX(0,MIN(DW$122-DW$119+DX$110,DX$99+DX$103+DX$107))</f>
        <v>0</v>
      </c>
      <c r="DY111" s="34" t="n">
        <f aca="false">MAX(0,MIN(DX$122-DX$119+DY$110,DY$99+DY$103+DY$107))</f>
        <v>0</v>
      </c>
      <c r="DZ111" s="34" t="n">
        <f aca="false">MAX(0,MIN(DY$122-DY$119+DZ$110,DZ$99+DZ$103+DZ$107))</f>
        <v>0</v>
      </c>
      <c r="EA111" s="34" t="n">
        <f aca="false">MAX(0,MIN(DZ$122-DZ$119+EA$110,EA$99+EA$103+EA$107))</f>
        <v>0</v>
      </c>
      <c r="EB111" s="34" t="n">
        <f aca="false">MAX(0,MIN(EA$122-EA$119+EB$110,EB$99+EB$103+EB$107))</f>
        <v>0</v>
      </c>
      <c r="EC111" s="34" t="n">
        <f aca="false">MAX(0,MIN(EB$122-EB$119+EC$110,EC$99+EC$103+EC$107))</f>
        <v>0</v>
      </c>
      <c r="ED111" s="34" t="n">
        <f aca="false">MAX(0,MIN(EC$122-EC$119+ED$110,ED$99+ED$103+ED$107))</f>
        <v>0</v>
      </c>
      <c r="EE111" s="34" t="n">
        <f aca="false">MAX(0,MIN(ED$122-ED$119+EE$110,EE$99+EE$103+EE$107))</f>
        <v>0</v>
      </c>
      <c r="EF111" s="34" t="n">
        <f aca="false">MAX(0,MIN(EE$122-EE$119+EF$110,EF$99+EF$103+EF$107))</f>
        <v>0</v>
      </c>
      <c r="EG111" s="34" t="n">
        <f aca="false">MAX(0,MIN(EF$122-EF$119+EG$110,EG$99+EG$103+EG$107))</f>
        <v>0</v>
      </c>
      <c r="EH111" s="34" t="n">
        <f aca="false">MAX(0,MIN(EG$122-EG$119+EH$110,EH$99+EH$103+EH$107))</f>
        <v>0</v>
      </c>
      <c r="EI111" s="34" t="n">
        <f aca="false">MAX(0,MIN(EH$122-EH$119+EI$110,EI$99+EI$103+EI$107))</f>
        <v>0</v>
      </c>
      <c r="EJ111" s="34" t="n">
        <f aca="false">MAX(0,MIN(EI$122-EI$119+EJ$110,EJ$99+EJ$103+EJ$107))</f>
        <v>0</v>
      </c>
      <c r="EK111" s="34" t="n">
        <f aca="false">MAX(0,MIN(EJ$122-EJ$119+EK$110,EK$99+EK$103+EK$107))</f>
        <v>0</v>
      </c>
      <c r="EL111" s="34" t="n">
        <f aca="false">MAX(0,MIN(EK$122-EK$119+EL$110,EL$99+EL$103+EL$107))</f>
        <v>0</v>
      </c>
      <c r="EM111" s="34" t="n">
        <f aca="false">MAX(0,MIN(EL$122-EL$119+EM$110,EM$99+EM$103+EM$107))</f>
        <v>0</v>
      </c>
      <c r="EN111" s="34" t="n">
        <f aca="false">MAX(0,MIN(EM$122-EM$119+EN$110,EN$99+EN$103+EN$107))</f>
        <v>0</v>
      </c>
      <c r="EO111" s="34" t="n">
        <f aca="false">MAX(0,MIN(EN$122-EN$119+EO$110,EO$99+EO$103+EO$107))</f>
        <v>0</v>
      </c>
      <c r="EP111" s="34" t="n">
        <f aca="false">MAX(0,MIN(EO$122-EO$119+EP$110,EP$99+EP$103+EP$107))</f>
        <v>0</v>
      </c>
      <c r="EQ111" s="34" t="n">
        <f aca="false">MAX(0,MIN(EP$122-EP$119+EQ$110,EQ$99+EQ$103+EQ$107))</f>
        <v>0</v>
      </c>
      <c r="ER111" s="34" t="n">
        <f aca="false">MAX(0,MIN(EQ$122-EQ$119+ER$110,ER$99+ER$103+ER$107))</f>
        <v>0</v>
      </c>
      <c r="ES111" s="34" t="n">
        <f aca="false">MAX(0,MIN(ER$122-ER$119+ES$110,ES$99+ES$103+ES$107))</f>
        <v>0</v>
      </c>
    </row>
    <row r="112" customFormat="false" ht="15" hidden="false" customHeight="false" outlineLevel="0" collapsed="false">
      <c r="A112" s="2" t="s">
        <v>706</v>
      </c>
      <c r="B112" s="6" t="s">
        <v>707</v>
      </c>
      <c r="C112" s="6" t="s">
        <v>250</v>
      </c>
      <c r="E112" s="40" t="n">
        <f aca="false">SUM(F112:ES112)</f>
        <v>1139710</v>
      </c>
      <c r="F112" s="34" t="n">
        <f aca="false">SUMIF(Ap_MesO,1,Ap_MontoO)*F$9</f>
        <v>767782</v>
      </c>
      <c r="G112" s="34" t="n">
        <f aca="false">SUMIF(Ap_MesO,2,Ap_MontoO)*G$9</f>
        <v>0</v>
      </c>
      <c r="H112" s="34" t="n">
        <f aca="false">SUMIF(Ap_MesO,3,Ap_MontoO)*H$9</f>
        <v>0</v>
      </c>
      <c r="I112" s="34" t="n">
        <f aca="false">SUMIF(Ap_MesO,4,Ap_MontoO)*I$9</f>
        <v>0</v>
      </c>
      <c r="J112" s="34" t="n">
        <f aca="false">SUMIF(Ap_MesO,5,Ap_MontoO)*J$9</f>
        <v>0</v>
      </c>
      <c r="K112" s="34" t="n">
        <f aca="false">SUMIF(Ap_MesO,6,Ap_MontoO)*K$9</f>
        <v>0</v>
      </c>
      <c r="L112" s="34" t="n">
        <f aca="false">SUMIF(Ap_MesO,7,Ap_MontoO)*L$9</f>
        <v>0</v>
      </c>
      <c r="M112" s="34" t="n">
        <f aca="false">SUMIF(Ap_MesO,8,Ap_MontoO)*M$9</f>
        <v>0</v>
      </c>
      <c r="N112" s="34" t="n">
        <f aca="false">SUMIF(Ap_MesO,9,Ap_MontoO)*N$9</f>
        <v>0</v>
      </c>
      <c r="O112" s="34" t="n">
        <f aca="false">SUMIF(Ap_MesO,10,Ap_MontoO)*O$9</f>
        <v>0</v>
      </c>
      <c r="P112" s="34" t="n">
        <f aca="false">SUMIF(Ap_MesO,11,Ap_MontoO)*P$9</f>
        <v>0</v>
      </c>
      <c r="Q112" s="34" t="n">
        <f aca="false">SUMIF(Ap_MesO,12,Ap_MontoO)*Q$9</f>
        <v>0</v>
      </c>
      <c r="R112" s="34" t="n">
        <f aca="false">SUMIF(Ap_MesO,13,Ap_MontoO)*R$9</f>
        <v>371928</v>
      </c>
      <c r="S112" s="34" t="n">
        <f aca="false">SUMIF(Ap_MesO,14,Ap_MontoO)*S$9</f>
        <v>0</v>
      </c>
      <c r="T112" s="34" t="n">
        <f aca="false">SUMIF(Ap_MesO,15,Ap_MontoO)*T$9</f>
        <v>0</v>
      </c>
      <c r="U112" s="34" t="n">
        <f aca="false">SUMIF(Ap_MesO,16,Ap_MontoO)*U$9</f>
        <v>0</v>
      </c>
      <c r="V112" s="34" t="n">
        <f aca="false">SUMIF(Ap_MesO,17,Ap_MontoO)*V$9</f>
        <v>0</v>
      </c>
      <c r="W112" s="34" t="n">
        <f aca="false">SUMIF(Ap_MesO,18,Ap_MontoO)*W$9</f>
        <v>0</v>
      </c>
      <c r="X112" s="34" t="n">
        <f aca="false">SUMIF(Ap_MesO,19,Ap_MontoO)*X$9</f>
        <v>0</v>
      </c>
      <c r="Y112" s="34" t="n">
        <f aca="false">SUMIF(Ap_MesO,20,Ap_MontoO)*Y$9</f>
        <v>0</v>
      </c>
      <c r="Z112" s="34" t="n">
        <f aca="false">SUMIF(Ap_MesO,21,Ap_MontoO)*Z$9</f>
        <v>0</v>
      </c>
      <c r="AA112" s="34" t="n">
        <f aca="false">SUMIF(Ap_MesO,22,Ap_MontoO)*AA$9</f>
        <v>0</v>
      </c>
      <c r="AB112" s="34" t="n">
        <f aca="false">SUMIF(Ap_MesO,23,Ap_MontoO)*AB$9</f>
        <v>0</v>
      </c>
      <c r="AC112" s="34" t="n">
        <f aca="false">SUMIF(Ap_MesO,24,Ap_MontoO)*AC$9</f>
        <v>0</v>
      </c>
      <c r="AD112" s="34" t="n">
        <f aca="false">SUMIF(Ap_MesO,25,Ap_MontoO)*AD$9</f>
        <v>0</v>
      </c>
      <c r="AE112" s="34" t="n">
        <f aca="false">SUMIF(Ap_MesO,26,Ap_MontoO)*AE$9</f>
        <v>0</v>
      </c>
      <c r="AF112" s="34" t="n">
        <f aca="false">SUMIF(Ap_MesO,27,Ap_MontoO)*AF$9</f>
        <v>0</v>
      </c>
      <c r="AG112" s="34" t="n">
        <f aca="false">SUMIF(Ap_MesO,28,Ap_MontoO)*AG$9</f>
        <v>0</v>
      </c>
      <c r="AH112" s="34" t="n">
        <f aca="false">SUMIF(Ap_MesO,29,Ap_MontoO)*AH$9</f>
        <v>0</v>
      </c>
      <c r="AI112" s="34" t="n">
        <f aca="false">SUMIF(Ap_MesO,30,Ap_MontoO)*AI$9</f>
        <v>0</v>
      </c>
      <c r="AJ112" s="34" t="n">
        <f aca="false">SUMIF(Ap_MesO,31,Ap_MontoO)*AJ$9</f>
        <v>0</v>
      </c>
      <c r="AK112" s="34" t="n">
        <f aca="false">SUMIF(Ap_MesO,32,Ap_MontoO)*AK$9</f>
        <v>0</v>
      </c>
      <c r="AL112" s="34" t="n">
        <f aca="false">SUMIF(Ap_MesO,33,Ap_MontoO)*AL$9</f>
        <v>0</v>
      </c>
      <c r="AM112" s="34" t="n">
        <f aca="false">SUMIF(Ap_MesO,34,Ap_MontoO)*AM$9</f>
        <v>0</v>
      </c>
      <c r="AN112" s="34" t="n">
        <f aca="false">SUMIF(Ap_MesO,35,Ap_MontoO)*AN$9</f>
        <v>0</v>
      </c>
      <c r="AO112" s="34" t="n">
        <f aca="false">SUMIF(Ap_MesO,36,Ap_MontoO)*AO$9</f>
        <v>0</v>
      </c>
      <c r="AP112" s="34" t="n">
        <f aca="false">SUMIF(Ap_MesO,37,Ap_MontoO)*AP$9</f>
        <v>0</v>
      </c>
      <c r="AQ112" s="34" t="n">
        <f aca="false">SUMIF(Ap_MesO,38,Ap_MontoO)*AQ$9</f>
        <v>0</v>
      </c>
      <c r="AR112" s="34" t="n">
        <f aca="false">SUMIF(Ap_MesO,39,Ap_MontoO)*AR$9</f>
        <v>0</v>
      </c>
      <c r="AS112" s="34" t="n">
        <f aca="false">SUMIF(Ap_MesO,40,Ap_MontoO)*AS$9</f>
        <v>0</v>
      </c>
      <c r="AT112" s="34" t="n">
        <f aca="false">SUMIF(Ap_MesO,41,Ap_MontoO)*AT$9</f>
        <v>0</v>
      </c>
      <c r="AU112" s="34" t="n">
        <f aca="false">SUMIF(Ap_MesO,42,Ap_MontoO)*AU$9</f>
        <v>0</v>
      </c>
      <c r="AV112" s="34" t="n">
        <f aca="false">SUMIF(Ap_MesO,43,Ap_MontoO)*AV$9</f>
        <v>0</v>
      </c>
      <c r="AW112" s="34" t="n">
        <f aca="false">SUMIF(Ap_MesO,44,Ap_MontoO)*AW$9</f>
        <v>0</v>
      </c>
      <c r="AX112" s="34" t="n">
        <f aca="false">SUMIF(Ap_MesO,45,Ap_MontoO)*AX$9</f>
        <v>0</v>
      </c>
      <c r="AY112" s="34" t="n">
        <f aca="false">SUMIF(Ap_MesO,46,Ap_MontoO)*AY$9</f>
        <v>0</v>
      </c>
      <c r="AZ112" s="34" t="n">
        <f aca="false">SUMIF(Ap_MesO,47,Ap_MontoO)*AZ$9</f>
        <v>0</v>
      </c>
      <c r="BA112" s="34" t="n">
        <f aca="false">SUMIF(Ap_MesO,48,Ap_MontoO)*BA$9</f>
        <v>0</v>
      </c>
      <c r="BB112" s="34" t="n">
        <f aca="false">SUMIF(Ap_MesO,49,Ap_MontoO)*BB$9</f>
        <v>0</v>
      </c>
      <c r="BC112" s="34" t="n">
        <f aca="false">SUMIF(Ap_MesO,50,Ap_MontoO)*BC$9</f>
        <v>0</v>
      </c>
      <c r="BD112" s="34" t="n">
        <f aca="false">SUMIF(Ap_MesO,51,Ap_MontoO)*BD$9</f>
        <v>0</v>
      </c>
      <c r="BE112" s="34" t="n">
        <f aca="false">SUMIF(Ap_MesO,52,Ap_MontoO)*BE$9</f>
        <v>0</v>
      </c>
      <c r="BF112" s="34" t="n">
        <f aca="false">SUMIF(Ap_MesO,53,Ap_MontoO)*BF$9</f>
        <v>0</v>
      </c>
      <c r="BG112" s="34" t="n">
        <f aca="false">SUMIF(Ap_MesO,54,Ap_MontoO)*BG$9</f>
        <v>0</v>
      </c>
      <c r="BH112" s="34" t="n">
        <f aca="false">SUMIF(Ap_MesO,55,Ap_MontoO)*BH$9</f>
        <v>0</v>
      </c>
      <c r="BI112" s="34" t="n">
        <f aca="false">SUMIF(Ap_MesO,56,Ap_MontoO)*BI$9</f>
        <v>0</v>
      </c>
      <c r="BJ112" s="34" t="n">
        <f aca="false">SUMIF(Ap_MesO,57,Ap_MontoO)*BJ$9</f>
        <v>0</v>
      </c>
      <c r="BK112" s="34" t="n">
        <f aca="false">SUMIF(Ap_MesO,58,Ap_MontoO)*BK$9</f>
        <v>0</v>
      </c>
      <c r="BL112" s="34" t="n">
        <f aca="false">SUMIF(Ap_MesO,59,Ap_MontoO)*BL$9</f>
        <v>0</v>
      </c>
      <c r="BM112" s="34" t="n">
        <f aca="false">SUMIF(Ap_MesO,60,Ap_MontoO)*BM$9</f>
        <v>0</v>
      </c>
      <c r="BN112" s="34" t="n">
        <f aca="false">SUMIF(Ap_MesO,61,Ap_MontoO)*BN$9</f>
        <v>0</v>
      </c>
      <c r="BO112" s="34" t="n">
        <f aca="false">SUMIF(Ap_MesO,62,Ap_MontoO)*BO$9</f>
        <v>0</v>
      </c>
      <c r="BP112" s="34" t="n">
        <f aca="false">SUMIF(Ap_MesO,63,Ap_MontoO)*BP$9</f>
        <v>0</v>
      </c>
      <c r="BQ112" s="34" t="n">
        <f aca="false">SUMIF(Ap_MesO,64,Ap_MontoO)*BQ$9</f>
        <v>0</v>
      </c>
      <c r="BR112" s="34" t="n">
        <f aca="false">SUMIF(Ap_MesO,65,Ap_MontoO)*BR$9</f>
        <v>0</v>
      </c>
      <c r="BS112" s="34" t="n">
        <f aca="false">SUMIF(Ap_MesO,66,Ap_MontoO)*BS$9</f>
        <v>0</v>
      </c>
      <c r="BT112" s="34" t="n">
        <f aca="false">SUMIF(Ap_MesO,67,Ap_MontoO)*BT$9</f>
        <v>0</v>
      </c>
      <c r="BU112" s="34" t="n">
        <f aca="false">SUMIF(Ap_MesO,68,Ap_MontoO)*BU$9</f>
        <v>0</v>
      </c>
      <c r="BV112" s="34" t="n">
        <f aca="false">SUMIF(Ap_MesO,69,Ap_MontoO)*BV$9</f>
        <v>0</v>
      </c>
      <c r="BW112" s="34" t="n">
        <f aca="false">SUMIF(Ap_MesO,70,Ap_MontoO)*BW$9</f>
        <v>0</v>
      </c>
      <c r="BX112" s="34" t="n">
        <f aca="false">SUMIF(Ap_MesO,71,Ap_MontoO)*BX$9</f>
        <v>0</v>
      </c>
      <c r="BY112" s="34" t="n">
        <f aca="false">SUMIF(Ap_MesO,72,Ap_MontoO)*BY$9</f>
        <v>0</v>
      </c>
      <c r="BZ112" s="34" t="n">
        <f aca="false">SUMIF(Ap_MesO,73,Ap_MontoO)*BZ$9</f>
        <v>0</v>
      </c>
      <c r="CA112" s="34" t="n">
        <f aca="false">SUMIF(Ap_MesO,74,Ap_MontoO)*CA$9</f>
        <v>0</v>
      </c>
      <c r="CB112" s="34" t="n">
        <f aca="false">SUMIF(Ap_MesO,75,Ap_MontoO)*CB$9</f>
        <v>0</v>
      </c>
      <c r="CC112" s="34" t="n">
        <f aca="false">SUMIF(Ap_MesO,76,Ap_MontoO)*CC$9</f>
        <v>0</v>
      </c>
      <c r="CD112" s="34" t="n">
        <f aca="false">SUMIF(Ap_MesO,77,Ap_MontoO)*CD$9</f>
        <v>0</v>
      </c>
      <c r="CE112" s="34" t="n">
        <f aca="false">SUMIF(Ap_MesO,78,Ap_MontoO)*CE$9</f>
        <v>0</v>
      </c>
      <c r="CF112" s="34" t="n">
        <f aca="false">SUMIF(Ap_MesO,79,Ap_MontoO)*CF$9</f>
        <v>0</v>
      </c>
      <c r="CG112" s="34" t="n">
        <f aca="false">SUMIF(Ap_MesO,80,Ap_MontoO)*CG$9</f>
        <v>0</v>
      </c>
      <c r="CH112" s="34" t="n">
        <f aca="false">SUMIF(Ap_MesO,81,Ap_MontoO)*CH$9</f>
        <v>0</v>
      </c>
      <c r="CI112" s="34" t="n">
        <f aca="false">SUMIF(Ap_MesO,82,Ap_MontoO)*CI$9</f>
        <v>0</v>
      </c>
      <c r="CJ112" s="34" t="n">
        <f aca="false">SUMIF(Ap_MesO,83,Ap_MontoO)*CJ$9</f>
        <v>0</v>
      </c>
      <c r="CK112" s="34" t="n">
        <f aca="false">SUMIF(Ap_MesO,84,Ap_MontoO)*CK$9</f>
        <v>0</v>
      </c>
      <c r="CL112" s="34" t="n">
        <f aca="false">SUMIF(Ap_MesO,85,Ap_MontoO)*CL$9</f>
        <v>0</v>
      </c>
      <c r="CM112" s="34" t="n">
        <f aca="false">SUMIF(Ap_MesO,86,Ap_MontoO)*CM$9</f>
        <v>0</v>
      </c>
      <c r="CN112" s="34" t="n">
        <f aca="false">SUMIF(Ap_MesO,87,Ap_MontoO)*CN$9</f>
        <v>0</v>
      </c>
      <c r="CO112" s="34" t="n">
        <f aca="false">SUMIF(Ap_MesO,88,Ap_MontoO)*CO$9</f>
        <v>0</v>
      </c>
      <c r="CP112" s="34" t="n">
        <f aca="false">SUMIF(Ap_MesO,89,Ap_MontoO)*CP$9</f>
        <v>0</v>
      </c>
      <c r="CQ112" s="34" t="n">
        <f aca="false">SUMIF(Ap_MesO,90,Ap_MontoO)*CQ$9</f>
        <v>0</v>
      </c>
      <c r="CR112" s="34" t="n">
        <f aca="false">SUMIF(Ap_MesO,91,Ap_MontoO)*CR$9</f>
        <v>0</v>
      </c>
      <c r="CS112" s="34" t="n">
        <f aca="false">SUMIF(Ap_MesO,92,Ap_MontoO)*CS$9</f>
        <v>0</v>
      </c>
      <c r="CT112" s="34" t="n">
        <f aca="false">SUMIF(Ap_MesO,93,Ap_MontoO)*CT$9</f>
        <v>0</v>
      </c>
      <c r="CU112" s="34" t="n">
        <f aca="false">SUMIF(Ap_MesO,94,Ap_MontoO)*CU$9</f>
        <v>0</v>
      </c>
      <c r="CV112" s="34" t="n">
        <f aca="false">SUMIF(Ap_MesO,95,Ap_MontoO)*CV$9</f>
        <v>0</v>
      </c>
      <c r="CW112" s="34" t="n">
        <f aca="false">SUMIF(Ap_MesO,96,Ap_MontoO)*CW$9</f>
        <v>0</v>
      </c>
      <c r="CX112" s="34" t="n">
        <f aca="false">SUMIF(Ap_MesO,97,Ap_MontoO)*CX$9</f>
        <v>0</v>
      </c>
      <c r="CY112" s="34" t="n">
        <f aca="false">SUMIF(Ap_MesO,98,Ap_MontoO)*CY$9</f>
        <v>0</v>
      </c>
      <c r="CZ112" s="34" t="n">
        <f aca="false">SUMIF(Ap_MesO,99,Ap_MontoO)*CZ$9</f>
        <v>0</v>
      </c>
      <c r="DA112" s="34" t="n">
        <f aca="false">SUMIF(Ap_MesO,100,Ap_MontoO)*DA$9</f>
        <v>0</v>
      </c>
      <c r="DB112" s="34" t="n">
        <f aca="false">SUMIF(Ap_MesO,101,Ap_MontoO)*DB$9</f>
        <v>0</v>
      </c>
      <c r="DC112" s="34" t="n">
        <f aca="false">SUMIF(Ap_MesO,102,Ap_MontoO)*DC$9</f>
        <v>0</v>
      </c>
      <c r="DD112" s="34" t="n">
        <f aca="false">SUMIF(Ap_MesO,103,Ap_MontoO)*DD$9</f>
        <v>0</v>
      </c>
      <c r="DE112" s="34" t="n">
        <f aca="false">SUMIF(Ap_MesO,104,Ap_MontoO)*DE$9</f>
        <v>0</v>
      </c>
      <c r="DF112" s="34" t="n">
        <f aca="false">SUMIF(Ap_MesO,105,Ap_MontoO)*DF$9</f>
        <v>0</v>
      </c>
      <c r="DG112" s="34" t="n">
        <f aca="false">SUMIF(Ap_MesO,106,Ap_MontoO)*DG$9</f>
        <v>0</v>
      </c>
      <c r="DH112" s="34" t="n">
        <f aca="false">SUMIF(Ap_MesO,107,Ap_MontoO)*DH$9</f>
        <v>0</v>
      </c>
      <c r="DI112" s="34" t="n">
        <f aca="false">SUMIF(Ap_MesO,108,Ap_MontoO)*DI$9</f>
        <v>0</v>
      </c>
      <c r="DJ112" s="34" t="n">
        <f aca="false">SUMIF(Ap_MesO,109,Ap_MontoO)*DJ$9</f>
        <v>0</v>
      </c>
      <c r="DK112" s="34" t="n">
        <f aca="false">SUMIF(Ap_MesO,110,Ap_MontoO)*DK$9</f>
        <v>0</v>
      </c>
      <c r="DL112" s="34" t="n">
        <f aca="false">SUMIF(Ap_MesO,111,Ap_MontoO)*DL$9</f>
        <v>0</v>
      </c>
      <c r="DM112" s="34" t="n">
        <f aca="false">SUMIF(Ap_MesO,112,Ap_MontoO)*DM$9</f>
        <v>0</v>
      </c>
      <c r="DN112" s="34" t="n">
        <f aca="false">SUMIF(Ap_MesO,113,Ap_MontoO)*DN$9</f>
        <v>0</v>
      </c>
      <c r="DO112" s="34" t="n">
        <f aca="false">SUMIF(Ap_MesO,114,Ap_MontoO)*DO$9</f>
        <v>0</v>
      </c>
      <c r="DP112" s="34" t="n">
        <f aca="false">SUMIF(Ap_MesO,115,Ap_MontoO)*DP$9</f>
        <v>0</v>
      </c>
      <c r="DQ112" s="34" t="n">
        <f aca="false">SUMIF(Ap_MesO,116,Ap_MontoO)*DQ$9</f>
        <v>0</v>
      </c>
      <c r="DR112" s="34" t="n">
        <f aca="false">SUMIF(Ap_MesO,117,Ap_MontoO)*DR$9</f>
        <v>0</v>
      </c>
      <c r="DS112" s="34" t="n">
        <f aca="false">SUMIF(Ap_MesO,118,Ap_MontoO)*DS$9</f>
        <v>0</v>
      </c>
      <c r="DT112" s="34" t="n">
        <f aca="false">SUMIF(Ap_MesO,119,Ap_MontoO)*DT$9</f>
        <v>0</v>
      </c>
      <c r="DU112" s="34" t="n">
        <f aca="false">SUMIF(Ap_MesO,120,Ap_MontoO)*DU$9</f>
        <v>0</v>
      </c>
      <c r="DV112" s="34" t="n">
        <f aca="false">SUMIF(Ap_MesO,121,Ap_MontoO)*DV$9</f>
        <v>0</v>
      </c>
      <c r="DW112" s="34" t="n">
        <f aca="false">SUMIF(Ap_MesO,122,Ap_MontoO)*DW$9</f>
        <v>0</v>
      </c>
      <c r="DX112" s="34" t="n">
        <f aca="false">SUMIF(Ap_MesO,123,Ap_MontoO)*DX$9</f>
        <v>0</v>
      </c>
      <c r="DY112" s="34" t="n">
        <f aca="false">SUMIF(Ap_MesO,124,Ap_MontoO)*DY$9</f>
        <v>0</v>
      </c>
      <c r="DZ112" s="34" t="n">
        <f aca="false">SUMIF(Ap_MesO,125,Ap_MontoO)*DZ$9</f>
        <v>0</v>
      </c>
      <c r="EA112" s="34" t="n">
        <f aca="false">SUMIF(Ap_MesO,126,Ap_MontoO)*EA$9</f>
        <v>0</v>
      </c>
      <c r="EB112" s="34" t="n">
        <f aca="false">SUMIF(Ap_MesO,127,Ap_MontoO)*EB$9</f>
        <v>0</v>
      </c>
      <c r="EC112" s="34" t="n">
        <f aca="false">SUMIF(Ap_MesO,128,Ap_MontoO)*EC$9</f>
        <v>0</v>
      </c>
      <c r="ED112" s="34" t="n">
        <f aca="false">SUMIF(Ap_MesO,129,Ap_MontoO)*ED$9</f>
        <v>0</v>
      </c>
      <c r="EE112" s="34" t="n">
        <f aca="false">SUMIF(Ap_MesO,130,Ap_MontoO)*EE$9</f>
        <v>0</v>
      </c>
      <c r="EF112" s="34" t="n">
        <f aca="false">SUMIF(Ap_MesO,131,Ap_MontoO)*EF$9</f>
        <v>0</v>
      </c>
      <c r="EG112" s="34" t="n">
        <f aca="false">SUMIF(Ap_MesO,132,Ap_MontoO)*EG$9</f>
        <v>0</v>
      </c>
      <c r="EH112" s="34" t="n">
        <f aca="false">SUMIF(Ap_MesO,133,Ap_MontoO)*EH$9</f>
        <v>0</v>
      </c>
      <c r="EI112" s="34" t="n">
        <f aca="false">SUMIF(Ap_MesO,134,Ap_MontoO)*EI$9</f>
        <v>0</v>
      </c>
      <c r="EJ112" s="34" t="n">
        <f aca="false">SUMIF(Ap_MesO,135,Ap_MontoO)*EJ$9</f>
        <v>0</v>
      </c>
      <c r="EK112" s="34" t="n">
        <f aca="false">SUMIF(Ap_MesO,136,Ap_MontoO)*EK$9</f>
        <v>0</v>
      </c>
      <c r="EL112" s="34" t="n">
        <f aca="false">SUMIF(Ap_MesO,137,Ap_MontoO)*EL$9</f>
        <v>0</v>
      </c>
      <c r="EM112" s="34" t="n">
        <f aca="false">SUMIF(Ap_MesO,138,Ap_MontoO)*EM$9</f>
        <v>0</v>
      </c>
      <c r="EN112" s="34" t="n">
        <f aca="false">SUMIF(Ap_MesO,139,Ap_MontoO)*EN$9</f>
        <v>0</v>
      </c>
      <c r="EO112" s="34" t="n">
        <f aca="false">SUMIF(Ap_MesO,140,Ap_MontoO)*EO$9</f>
        <v>0</v>
      </c>
      <c r="EP112" s="34" t="n">
        <f aca="false">SUMIF(Ap_MesO,141,Ap_MontoO)*EP$9</f>
        <v>0</v>
      </c>
      <c r="EQ112" s="34" t="n">
        <f aca="false">SUMIF(Ap_MesO,142,Ap_MontoO)*EQ$9</f>
        <v>0</v>
      </c>
      <c r="ER112" s="34" t="n">
        <f aca="false">SUMIF(Ap_MesO,143,Ap_MontoO)*ER$9</f>
        <v>0</v>
      </c>
      <c r="ES112" s="34" t="n">
        <f aca="false">SUMIF(Ap_MesO,144,Ap_MontoO)*ES$9</f>
        <v>0</v>
      </c>
    </row>
    <row r="113" customFormat="false" ht="15" hidden="false" customHeight="false" outlineLevel="0" collapsed="false">
      <c r="A113" s="2" t="s">
        <v>708</v>
      </c>
      <c r="B113" s="6" t="s">
        <v>709</v>
      </c>
      <c r="C113" s="6" t="s">
        <v>549</v>
      </c>
      <c r="F113" s="19" t="n">
        <f aca="false">IF(AND(N(P_LC_Lim)&gt;0,1&gt;=MAX(1,N(P_LC_Desde)),1&lt;=IF(N(P_LC_Hasta)=0,Fin,N(P_LC_Hasta))),1,0)</f>
        <v>0</v>
      </c>
      <c r="G113" s="19" t="n">
        <f aca="false">IF(AND(N(P_LC_Lim)&gt;0,2&gt;=MAX(1,N(P_LC_Desde)),2&lt;=IF(N(P_LC_Hasta)=0,Fin,N(P_LC_Hasta))),1,0)</f>
        <v>0</v>
      </c>
      <c r="H113" s="19" t="n">
        <f aca="false">IF(AND(N(P_LC_Lim)&gt;0,3&gt;=MAX(1,N(P_LC_Desde)),3&lt;=IF(N(P_LC_Hasta)=0,Fin,N(P_LC_Hasta))),1,0)</f>
        <v>0</v>
      </c>
      <c r="I113" s="19" t="n">
        <f aca="false">IF(AND(N(P_LC_Lim)&gt;0,4&gt;=MAX(1,N(P_LC_Desde)),4&lt;=IF(N(P_LC_Hasta)=0,Fin,N(P_LC_Hasta))),1,0)</f>
        <v>0</v>
      </c>
      <c r="J113" s="19" t="n">
        <f aca="false">IF(AND(N(P_LC_Lim)&gt;0,5&gt;=MAX(1,N(P_LC_Desde)),5&lt;=IF(N(P_LC_Hasta)=0,Fin,N(P_LC_Hasta))),1,0)</f>
        <v>0</v>
      </c>
      <c r="K113" s="19" t="n">
        <f aca="false">IF(AND(N(P_LC_Lim)&gt;0,6&gt;=MAX(1,N(P_LC_Desde)),6&lt;=IF(N(P_LC_Hasta)=0,Fin,N(P_LC_Hasta))),1,0)</f>
        <v>0</v>
      </c>
      <c r="L113" s="19" t="n">
        <f aca="false">IF(AND(N(P_LC_Lim)&gt;0,7&gt;=MAX(1,N(P_LC_Desde)),7&lt;=IF(N(P_LC_Hasta)=0,Fin,N(P_LC_Hasta))),1,0)</f>
        <v>0</v>
      </c>
      <c r="M113" s="19" t="n">
        <f aca="false">IF(AND(N(P_LC_Lim)&gt;0,8&gt;=MAX(1,N(P_LC_Desde)),8&lt;=IF(N(P_LC_Hasta)=0,Fin,N(P_LC_Hasta))),1,0)</f>
        <v>0</v>
      </c>
      <c r="N113" s="19" t="n">
        <f aca="false">IF(AND(N(P_LC_Lim)&gt;0,9&gt;=MAX(1,N(P_LC_Desde)),9&lt;=IF(N(P_LC_Hasta)=0,Fin,N(P_LC_Hasta))),1,0)</f>
        <v>0</v>
      </c>
      <c r="O113" s="19" t="n">
        <f aca="false">IF(AND(N(P_LC_Lim)&gt;0,10&gt;=MAX(1,N(P_LC_Desde)),10&lt;=IF(N(P_LC_Hasta)=0,Fin,N(P_LC_Hasta))),1,0)</f>
        <v>0</v>
      </c>
      <c r="P113" s="19" t="n">
        <f aca="false">IF(AND(N(P_LC_Lim)&gt;0,11&gt;=MAX(1,N(P_LC_Desde)),11&lt;=IF(N(P_LC_Hasta)=0,Fin,N(P_LC_Hasta))),1,0)</f>
        <v>0</v>
      </c>
      <c r="Q113" s="19" t="n">
        <f aca="false">IF(AND(N(P_LC_Lim)&gt;0,12&gt;=MAX(1,N(P_LC_Desde)),12&lt;=IF(N(P_LC_Hasta)=0,Fin,N(P_LC_Hasta))),1,0)</f>
        <v>0</v>
      </c>
      <c r="R113" s="19" t="n">
        <f aca="false">IF(AND(N(P_LC_Lim)&gt;0,13&gt;=MAX(1,N(P_LC_Desde)),13&lt;=IF(N(P_LC_Hasta)=0,Fin,N(P_LC_Hasta))),1,0)</f>
        <v>0</v>
      </c>
      <c r="S113" s="19" t="n">
        <f aca="false">IF(AND(N(P_LC_Lim)&gt;0,14&gt;=MAX(1,N(P_LC_Desde)),14&lt;=IF(N(P_LC_Hasta)=0,Fin,N(P_LC_Hasta))),1,0)</f>
        <v>0</v>
      </c>
      <c r="T113" s="19" t="n">
        <f aca="false">IF(AND(N(P_LC_Lim)&gt;0,15&gt;=MAX(1,N(P_LC_Desde)),15&lt;=IF(N(P_LC_Hasta)=0,Fin,N(P_LC_Hasta))),1,0)</f>
        <v>0</v>
      </c>
      <c r="U113" s="19" t="n">
        <f aca="false">IF(AND(N(P_LC_Lim)&gt;0,16&gt;=MAX(1,N(P_LC_Desde)),16&lt;=IF(N(P_LC_Hasta)=0,Fin,N(P_LC_Hasta))),1,0)</f>
        <v>0</v>
      </c>
      <c r="V113" s="19" t="n">
        <f aca="false">IF(AND(N(P_LC_Lim)&gt;0,17&gt;=MAX(1,N(P_LC_Desde)),17&lt;=IF(N(P_LC_Hasta)=0,Fin,N(P_LC_Hasta))),1,0)</f>
        <v>0</v>
      </c>
      <c r="W113" s="19" t="n">
        <f aca="false">IF(AND(N(P_LC_Lim)&gt;0,18&gt;=MAX(1,N(P_LC_Desde)),18&lt;=IF(N(P_LC_Hasta)=0,Fin,N(P_LC_Hasta))),1,0)</f>
        <v>0</v>
      </c>
      <c r="X113" s="19" t="n">
        <f aca="false">IF(AND(N(P_LC_Lim)&gt;0,19&gt;=MAX(1,N(P_LC_Desde)),19&lt;=IF(N(P_LC_Hasta)=0,Fin,N(P_LC_Hasta))),1,0)</f>
        <v>0</v>
      </c>
      <c r="Y113" s="19" t="n">
        <f aca="false">IF(AND(N(P_LC_Lim)&gt;0,20&gt;=MAX(1,N(P_LC_Desde)),20&lt;=IF(N(P_LC_Hasta)=0,Fin,N(P_LC_Hasta))),1,0)</f>
        <v>0</v>
      </c>
      <c r="Z113" s="19" t="n">
        <f aca="false">IF(AND(N(P_LC_Lim)&gt;0,21&gt;=MAX(1,N(P_LC_Desde)),21&lt;=IF(N(P_LC_Hasta)=0,Fin,N(P_LC_Hasta))),1,0)</f>
        <v>0</v>
      </c>
      <c r="AA113" s="19" t="n">
        <f aca="false">IF(AND(N(P_LC_Lim)&gt;0,22&gt;=MAX(1,N(P_LC_Desde)),22&lt;=IF(N(P_LC_Hasta)=0,Fin,N(P_LC_Hasta))),1,0)</f>
        <v>0</v>
      </c>
      <c r="AB113" s="19" t="n">
        <f aca="false">IF(AND(N(P_LC_Lim)&gt;0,23&gt;=MAX(1,N(P_LC_Desde)),23&lt;=IF(N(P_LC_Hasta)=0,Fin,N(P_LC_Hasta))),1,0)</f>
        <v>0</v>
      </c>
      <c r="AC113" s="19" t="n">
        <f aca="false">IF(AND(N(P_LC_Lim)&gt;0,24&gt;=MAX(1,N(P_LC_Desde)),24&lt;=IF(N(P_LC_Hasta)=0,Fin,N(P_LC_Hasta))),1,0)</f>
        <v>0</v>
      </c>
      <c r="AD113" s="19" t="n">
        <f aca="false">IF(AND(N(P_LC_Lim)&gt;0,25&gt;=MAX(1,N(P_LC_Desde)),25&lt;=IF(N(P_LC_Hasta)=0,Fin,N(P_LC_Hasta))),1,0)</f>
        <v>0</v>
      </c>
      <c r="AE113" s="19" t="n">
        <f aca="false">IF(AND(N(P_LC_Lim)&gt;0,26&gt;=MAX(1,N(P_LC_Desde)),26&lt;=IF(N(P_LC_Hasta)=0,Fin,N(P_LC_Hasta))),1,0)</f>
        <v>0</v>
      </c>
      <c r="AF113" s="19" t="n">
        <f aca="false">IF(AND(N(P_LC_Lim)&gt;0,27&gt;=MAX(1,N(P_LC_Desde)),27&lt;=IF(N(P_LC_Hasta)=0,Fin,N(P_LC_Hasta))),1,0)</f>
        <v>0</v>
      </c>
      <c r="AG113" s="19" t="n">
        <f aca="false">IF(AND(N(P_LC_Lim)&gt;0,28&gt;=MAX(1,N(P_LC_Desde)),28&lt;=IF(N(P_LC_Hasta)=0,Fin,N(P_LC_Hasta))),1,0)</f>
        <v>0</v>
      </c>
      <c r="AH113" s="19" t="n">
        <f aca="false">IF(AND(N(P_LC_Lim)&gt;0,29&gt;=MAX(1,N(P_LC_Desde)),29&lt;=IF(N(P_LC_Hasta)=0,Fin,N(P_LC_Hasta))),1,0)</f>
        <v>0</v>
      </c>
      <c r="AI113" s="19" t="n">
        <f aca="false">IF(AND(N(P_LC_Lim)&gt;0,30&gt;=MAX(1,N(P_LC_Desde)),30&lt;=IF(N(P_LC_Hasta)=0,Fin,N(P_LC_Hasta))),1,0)</f>
        <v>0</v>
      </c>
      <c r="AJ113" s="19" t="n">
        <f aca="false">IF(AND(N(P_LC_Lim)&gt;0,31&gt;=MAX(1,N(P_LC_Desde)),31&lt;=IF(N(P_LC_Hasta)=0,Fin,N(P_LC_Hasta))),1,0)</f>
        <v>0</v>
      </c>
      <c r="AK113" s="19" t="n">
        <f aca="false">IF(AND(N(P_LC_Lim)&gt;0,32&gt;=MAX(1,N(P_LC_Desde)),32&lt;=IF(N(P_LC_Hasta)=0,Fin,N(P_LC_Hasta))),1,0)</f>
        <v>0</v>
      </c>
      <c r="AL113" s="19" t="n">
        <f aca="false">IF(AND(N(P_LC_Lim)&gt;0,33&gt;=MAX(1,N(P_LC_Desde)),33&lt;=IF(N(P_LC_Hasta)=0,Fin,N(P_LC_Hasta))),1,0)</f>
        <v>0</v>
      </c>
      <c r="AM113" s="19" t="n">
        <f aca="false">IF(AND(N(P_LC_Lim)&gt;0,34&gt;=MAX(1,N(P_LC_Desde)),34&lt;=IF(N(P_LC_Hasta)=0,Fin,N(P_LC_Hasta))),1,0)</f>
        <v>0</v>
      </c>
      <c r="AN113" s="19" t="n">
        <f aca="false">IF(AND(N(P_LC_Lim)&gt;0,35&gt;=MAX(1,N(P_LC_Desde)),35&lt;=IF(N(P_LC_Hasta)=0,Fin,N(P_LC_Hasta))),1,0)</f>
        <v>0</v>
      </c>
      <c r="AO113" s="19" t="n">
        <f aca="false">IF(AND(N(P_LC_Lim)&gt;0,36&gt;=MAX(1,N(P_LC_Desde)),36&lt;=IF(N(P_LC_Hasta)=0,Fin,N(P_LC_Hasta))),1,0)</f>
        <v>0</v>
      </c>
      <c r="AP113" s="19" t="n">
        <f aca="false">IF(AND(N(P_LC_Lim)&gt;0,37&gt;=MAX(1,N(P_LC_Desde)),37&lt;=IF(N(P_LC_Hasta)=0,Fin,N(P_LC_Hasta))),1,0)</f>
        <v>0</v>
      </c>
      <c r="AQ113" s="19" t="n">
        <f aca="false">IF(AND(N(P_LC_Lim)&gt;0,38&gt;=MAX(1,N(P_LC_Desde)),38&lt;=IF(N(P_LC_Hasta)=0,Fin,N(P_LC_Hasta))),1,0)</f>
        <v>0</v>
      </c>
      <c r="AR113" s="19" t="n">
        <f aca="false">IF(AND(N(P_LC_Lim)&gt;0,39&gt;=MAX(1,N(P_LC_Desde)),39&lt;=IF(N(P_LC_Hasta)=0,Fin,N(P_LC_Hasta))),1,0)</f>
        <v>0</v>
      </c>
      <c r="AS113" s="19" t="n">
        <f aca="false">IF(AND(N(P_LC_Lim)&gt;0,40&gt;=MAX(1,N(P_LC_Desde)),40&lt;=IF(N(P_LC_Hasta)=0,Fin,N(P_LC_Hasta))),1,0)</f>
        <v>0</v>
      </c>
      <c r="AT113" s="19" t="n">
        <f aca="false">IF(AND(N(P_LC_Lim)&gt;0,41&gt;=MAX(1,N(P_LC_Desde)),41&lt;=IF(N(P_LC_Hasta)=0,Fin,N(P_LC_Hasta))),1,0)</f>
        <v>0</v>
      </c>
      <c r="AU113" s="19" t="n">
        <f aca="false">IF(AND(N(P_LC_Lim)&gt;0,42&gt;=MAX(1,N(P_LC_Desde)),42&lt;=IF(N(P_LC_Hasta)=0,Fin,N(P_LC_Hasta))),1,0)</f>
        <v>0</v>
      </c>
      <c r="AV113" s="19" t="n">
        <f aca="false">IF(AND(N(P_LC_Lim)&gt;0,43&gt;=MAX(1,N(P_LC_Desde)),43&lt;=IF(N(P_LC_Hasta)=0,Fin,N(P_LC_Hasta))),1,0)</f>
        <v>0</v>
      </c>
      <c r="AW113" s="19" t="n">
        <f aca="false">IF(AND(N(P_LC_Lim)&gt;0,44&gt;=MAX(1,N(P_LC_Desde)),44&lt;=IF(N(P_LC_Hasta)=0,Fin,N(P_LC_Hasta))),1,0)</f>
        <v>0</v>
      </c>
      <c r="AX113" s="19" t="n">
        <f aca="false">IF(AND(N(P_LC_Lim)&gt;0,45&gt;=MAX(1,N(P_LC_Desde)),45&lt;=IF(N(P_LC_Hasta)=0,Fin,N(P_LC_Hasta))),1,0)</f>
        <v>0</v>
      </c>
      <c r="AY113" s="19" t="n">
        <f aca="false">IF(AND(N(P_LC_Lim)&gt;0,46&gt;=MAX(1,N(P_LC_Desde)),46&lt;=IF(N(P_LC_Hasta)=0,Fin,N(P_LC_Hasta))),1,0)</f>
        <v>0</v>
      </c>
      <c r="AZ113" s="19" t="n">
        <f aca="false">IF(AND(N(P_LC_Lim)&gt;0,47&gt;=MAX(1,N(P_LC_Desde)),47&lt;=IF(N(P_LC_Hasta)=0,Fin,N(P_LC_Hasta))),1,0)</f>
        <v>0</v>
      </c>
      <c r="BA113" s="19" t="n">
        <f aca="false">IF(AND(N(P_LC_Lim)&gt;0,48&gt;=MAX(1,N(P_LC_Desde)),48&lt;=IF(N(P_LC_Hasta)=0,Fin,N(P_LC_Hasta))),1,0)</f>
        <v>0</v>
      </c>
      <c r="BB113" s="19" t="n">
        <f aca="false">IF(AND(N(P_LC_Lim)&gt;0,49&gt;=MAX(1,N(P_LC_Desde)),49&lt;=IF(N(P_LC_Hasta)=0,Fin,N(P_LC_Hasta))),1,0)</f>
        <v>0</v>
      </c>
      <c r="BC113" s="19" t="n">
        <f aca="false">IF(AND(N(P_LC_Lim)&gt;0,50&gt;=MAX(1,N(P_LC_Desde)),50&lt;=IF(N(P_LC_Hasta)=0,Fin,N(P_LC_Hasta))),1,0)</f>
        <v>0</v>
      </c>
      <c r="BD113" s="19" t="n">
        <f aca="false">IF(AND(N(P_LC_Lim)&gt;0,51&gt;=MAX(1,N(P_LC_Desde)),51&lt;=IF(N(P_LC_Hasta)=0,Fin,N(P_LC_Hasta))),1,0)</f>
        <v>0</v>
      </c>
      <c r="BE113" s="19" t="n">
        <f aca="false">IF(AND(N(P_LC_Lim)&gt;0,52&gt;=MAX(1,N(P_LC_Desde)),52&lt;=IF(N(P_LC_Hasta)=0,Fin,N(P_LC_Hasta))),1,0)</f>
        <v>0</v>
      </c>
      <c r="BF113" s="19" t="n">
        <f aca="false">IF(AND(N(P_LC_Lim)&gt;0,53&gt;=MAX(1,N(P_LC_Desde)),53&lt;=IF(N(P_LC_Hasta)=0,Fin,N(P_LC_Hasta))),1,0)</f>
        <v>0</v>
      </c>
      <c r="BG113" s="19" t="n">
        <f aca="false">IF(AND(N(P_LC_Lim)&gt;0,54&gt;=MAX(1,N(P_LC_Desde)),54&lt;=IF(N(P_LC_Hasta)=0,Fin,N(P_LC_Hasta))),1,0)</f>
        <v>0</v>
      </c>
      <c r="BH113" s="19" t="n">
        <f aca="false">IF(AND(N(P_LC_Lim)&gt;0,55&gt;=MAX(1,N(P_LC_Desde)),55&lt;=IF(N(P_LC_Hasta)=0,Fin,N(P_LC_Hasta))),1,0)</f>
        <v>0</v>
      </c>
      <c r="BI113" s="19" t="n">
        <f aca="false">IF(AND(N(P_LC_Lim)&gt;0,56&gt;=MAX(1,N(P_LC_Desde)),56&lt;=IF(N(P_LC_Hasta)=0,Fin,N(P_LC_Hasta))),1,0)</f>
        <v>0</v>
      </c>
      <c r="BJ113" s="19" t="n">
        <f aca="false">IF(AND(N(P_LC_Lim)&gt;0,57&gt;=MAX(1,N(P_LC_Desde)),57&lt;=IF(N(P_LC_Hasta)=0,Fin,N(P_LC_Hasta))),1,0)</f>
        <v>0</v>
      </c>
      <c r="BK113" s="19" t="n">
        <f aca="false">IF(AND(N(P_LC_Lim)&gt;0,58&gt;=MAX(1,N(P_LC_Desde)),58&lt;=IF(N(P_LC_Hasta)=0,Fin,N(P_LC_Hasta))),1,0)</f>
        <v>0</v>
      </c>
      <c r="BL113" s="19" t="n">
        <f aca="false">IF(AND(N(P_LC_Lim)&gt;0,59&gt;=MAX(1,N(P_LC_Desde)),59&lt;=IF(N(P_LC_Hasta)=0,Fin,N(P_LC_Hasta))),1,0)</f>
        <v>0</v>
      </c>
      <c r="BM113" s="19" t="n">
        <f aca="false">IF(AND(N(P_LC_Lim)&gt;0,60&gt;=MAX(1,N(P_LC_Desde)),60&lt;=IF(N(P_LC_Hasta)=0,Fin,N(P_LC_Hasta))),1,0)</f>
        <v>0</v>
      </c>
      <c r="BN113" s="19" t="n">
        <f aca="false">IF(AND(N(P_LC_Lim)&gt;0,61&gt;=MAX(1,N(P_LC_Desde)),61&lt;=IF(N(P_LC_Hasta)=0,Fin,N(P_LC_Hasta))),1,0)</f>
        <v>0</v>
      </c>
      <c r="BO113" s="19" t="n">
        <f aca="false">IF(AND(N(P_LC_Lim)&gt;0,62&gt;=MAX(1,N(P_LC_Desde)),62&lt;=IF(N(P_LC_Hasta)=0,Fin,N(P_LC_Hasta))),1,0)</f>
        <v>0</v>
      </c>
      <c r="BP113" s="19" t="n">
        <f aca="false">IF(AND(N(P_LC_Lim)&gt;0,63&gt;=MAX(1,N(P_LC_Desde)),63&lt;=IF(N(P_LC_Hasta)=0,Fin,N(P_LC_Hasta))),1,0)</f>
        <v>0</v>
      </c>
      <c r="BQ113" s="19" t="n">
        <f aca="false">IF(AND(N(P_LC_Lim)&gt;0,64&gt;=MAX(1,N(P_LC_Desde)),64&lt;=IF(N(P_LC_Hasta)=0,Fin,N(P_LC_Hasta))),1,0)</f>
        <v>0</v>
      </c>
      <c r="BR113" s="19" t="n">
        <f aca="false">IF(AND(N(P_LC_Lim)&gt;0,65&gt;=MAX(1,N(P_LC_Desde)),65&lt;=IF(N(P_LC_Hasta)=0,Fin,N(P_LC_Hasta))),1,0)</f>
        <v>0</v>
      </c>
      <c r="BS113" s="19" t="n">
        <f aca="false">IF(AND(N(P_LC_Lim)&gt;0,66&gt;=MAX(1,N(P_LC_Desde)),66&lt;=IF(N(P_LC_Hasta)=0,Fin,N(P_LC_Hasta))),1,0)</f>
        <v>0</v>
      </c>
      <c r="BT113" s="19" t="n">
        <f aca="false">IF(AND(N(P_LC_Lim)&gt;0,67&gt;=MAX(1,N(P_LC_Desde)),67&lt;=IF(N(P_LC_Hasta)=0,Fin,N(P_LC_Hasta))),1,0)</f>
        <v>0</v>
      </c>
      <c r="BU113" s="19" t="n">
        <f aca="false">IF(AND(N(P_LC_Lim)&gt;0,68&gt;=MAX(1,N(P_LC_Desde)),68&lt;=IF(N(P_LC_Hasta)=0,Fin,N(P_LC_Hasta))),1,0)</f>
        <v>0</v>
      </c>
      <c r="BV113" s="19" t="n">
        <f aca="false">IF(AND(N(P_LC_Lim)&gt;0,69&gt;=MAX(1,N(P_LC_Desde)),69&lt;=IF(N(P_LC_Hasta)=0,Fin,N(P_LC_Hasta))),1,0)</f>
        <v>0</v>
      </c>
      <c r="BW113" s="19" t="n">
        <f aca="false">IF(AND(N(P_LC_Lim)&gt;0,70&gt;=MAX(1,N(P_LC_Desde)),70&lt;=IF(N(P_LC_Hasta)=0,Fin,N(P_LC_Hasta))),1,0)</f>
        <v>0</v>
      </c>
      <c r="BX113" s="19" t="n">
        <f aca="false">IF(AND(N(P_LC_Lim)&gt;0,71&gt;=MAX(1,N(P_LC_Desde)),71&lt;=IF(N(P_LC_Hasta)=0,Fin,N(P_LC_Hasta))),1,0)</f>
        <v>0</v>
      </c>
      <c r="BY113" s="19" t="n">
        <f aca="false">IF(AND(N(P_LC_Lim)&gt;0,72&gt;=MAX(1,N(P_LC_Desde)),72&lt;=IF(N(P_LC_Hasta)=0,Fin,N(P_LC_Hasta))),1,0)</f>
        <v>0</v>
      </c>
      <c r="BZ113" s="19" t="n">
        <f aca="false">IF(AND(N(P_LC_Lim)&gt;0,73&gt;=MAX(1,N(P_LC_Desde)),73&lt;=IF(N(P_LC_Hasta)=0,Fin,N(P_LC_Hasta))),1,0)</f>
        <v>0</v>
      </c>
      <c r="CA113" s="19" t="n">
        <f aca="false">IF(AND(N(P_LC_Lim)&gt;0,74&gt;=MAX(1,N(P_LC_Desde)),74&lt;=IF(N(P_LC_Hasta)=0,Fin,N(P_LC_Hasta))),1,0)</f>
        <v>0</v>
      </c>
      <c r="CB113" s="19" t="n">
        <f aca="false">IF(AND(N(P_LC_Lim)&gt;0,75&gt;=MAX(1,N(P_LC_Desde)),75&lt;=IF(N(P_LC_Hasta)=0,Fin,N(P_LC_Hasta))),1,0)</f>
        <v>0</v>
      </c>
      <c r="CC113" s="19" t="n">
        <f aca="false">IF(AND(N(P_LC_Lim)&gt;0,76&gt;=MAX(1,N(P_LC_Desde)),76&lt;=IF(N(P_LC_Hasta)=0,Fin,N(P_LC_Hasta))),1,0)</f>
        <v>0</v>
      </c>
      <c r="CD113" s="19" t="n">
        <f aca="false">IF(AND(N(P_LC_Lim)&gt;0,77&gt;=MAX(1,N(P_LC_Desde)),77&lt;=IF(N(P_LC_Hasta)=0,Fin,N(P_LC_Hasta))),1,0)</f>
        <v>0</v>
      </c>
      <c r="CE113" s="19" t="n">
        <f aca="false">IF(AND(N(P_LC_Lim)&gt;0,78&gt;=MAX(1,N(P_LC_Desde)),78&lt;=IF(N(P_LC_Hasta)=0,Fin,N(P_LC_Hasta))),1,0)</f>
        <v>0</v>
      </c>
      <c r="CF113" s="19" t="n">
        <f aca="false">IF(AND(N(P_LC_Lim)&gt;0,79&gt;=MAX(1,N(P_LC_Desde)),79&lt;=IF(N(P_LC_Hasta)=0,Fin,N(P_LC_Hasta))),1,0)</f>
        <v>0</v>
      </c>
      <c r="CG113" s="19" t="n">
        <f aca="false">IF(AND(N(P_LC_Lim)&gt;0,80&gt;=MAX(1,N(P_LC_Desde)),80&lt;=IF(N(P_LC_Hasta)=0,Fin,N(P_LC_Hasta))),1,0)</f>
        <v>0</v>
      </c>
      <c r="CH113" s="19" t="n">
        <f aca="false">IF(AND(N(P_LC_Lim)&gt;0,81&gt;=MAX(1,N(P_LC_Desde)),81&lt;=IF(N(P_LC_Hasta)=0,Fin,N(P_LC_Hasta))),1,0)</f>
        <v>0</v>
      </c>
      <c r="CI113" s="19" t="n">
        <f aca="false">IF(AND(N(P_LC_Lim)&gt;0,82&gt;=MAX(1,N(P_LC_Desde)),82&lt;=IF(N(P_LC_Hasta)=0,Fin,N(P_LC_Hasta))),1,0)</f>
        <v>0</v>
      </c>
      <c r="CJ113" s="19" t="n">
        <f aca="false">IF(AND(N(P_LC_Lim)&gt;0,83&gt;=MAX(1,N(P_LC_Desde)),83&lt;=IF(N(P_LC_Hasta)=0,Fin,N(P_LC_Hasta))),1,0)</f>
        <v>0</v>
      </c>
      <c r="CK113" s="19" t="n">
        <f aca="false">IF(AND(N(P_LC_Lim)&gt;0,84&gt;=MAX(1,N(P_LC_Desde)),84&lt;=IF(N(P_LC_Hasta)=0,Fin,N(P_LC_Hasta))),1,0)</f>
        <v>0</v>
      </c>
      <c r="CL113" s="19" t="n">
        <f aca="false">IF(AND(N(P_LC_Lim)&gt;0,85&gt;=MAX(1,N(P_LC_Desde)),85&lt;=IF(N(P_LC_Hasta)=0,Fin,N(P_LC_Hasta))),1,0)</f>
        <v>0</v>
      </c>
      <c r="CM113" s="19" t="n">
        <f aca="false">IF(AND(N(P_LC_Lim)&gt;0,86&gt;=MAX(1,N(P_LC_Desde)),86&lt;=IF(N(P_LC_Hasta)=0,Fin,N(P_LC_Hasta))),1,0)</f>
        <v>0</v>
      </c>
      <c r="CN113" s="19" t="n">
        <f aca="false">IF(AND(N(P_LC_Lim)&gt;0,87&gt;=MAX(1,N(P_LC_Desde)),87&lt;=IF(N(P_LC_Hasta)=0,Fin,N(P_LC_Hasta))),1,0)</f>
        <v>0</v>
      </c>
      <c r="CO113" s="19" t="n">
        <f aca="false">IF(AND(N(P_LC_Lim)&gt;0,88&gt;=MAX(1,N(P_LC_Desde)),88&lt;=IF(N(P_LC_Hasta)=0,Fin,N(P_LC_Hasta))),1,0)</f>
        <v>0</v>
      </c>
      <c r="CP113" s="19" t="n">
        <f aca="false">IF(AND(N(P_LC_Lim)&gt;0,89&gt;=MAX(1,N(P_LC_Desde)),89&lt;=IF(N(P_LC_Hasta)=0,Fin,N(P_LC_Hasta))),1,0)</f>
        <v>0</v>
      </c>
      <c r="CQ113" s="19" t="n">
        <f aca="false">IF(AND(N(P_LC_Lim)&gt;0,90&gt;=MAX(1,N(P_LC_Desde)),90&lt;=IF(N(P_LC_Hasta)=0,Fin,N(P_LC_Hasta))),1,0)</f>
        <v>0</v>
      </c>
      <c r="CR113" s="19" t="n">
        <f aca="false">IF(AND(N(P_LC_Lim)&gt;0,91&gt;=MAX(1,N(P_LC_Desde)),91&lt;=IF(N(P_LC_Hasta)=0,Fin,N(P_LC_Hasta))),1,0)</f>
        <v>0</v>
      </c>
      <c r="CS113" s="19" t="n">
        <f aca="false">IF(AND(N(P_LC_Lim)&gt;0,92&gt;=MAX(1,N(P_LC_Desde)),92&lt;=IF(N(P_LC_Hasta)=0,Fin,N(P_LC_Hasta))),1,0)</f>
        <v>0</v>
      </c>
      <c r="CT113" s="19" t="n">
        <f aca="false">IF(AND(N(P_LC_Lim)&gt;0,93&gt;=MAX(1,N(P_LC_Desde)),93&lt;=IF(N(P_LC_Hasta)=0,Fin,N(P_LC_Hasta))),1,0)</f>
        <v>0</v>
      </c>
      <c r="CU113" s="19" t="n">
        <f aca="false">IF(AND(N(P_LC_Lim)&gt;0,94&gt;=MAX(1,N(P_LC_Desde)),94&lt;=IF(N(P_LC_Hasta)=0,Fin,N(P_LC_Hasta))),1,0)</f>
        <v>0</v>
      </c>
      <c r="CV113" s="19" t="n">
        <f aca="false">IF(AND(N(P_LC_Lim)&gt;0,95&gt;=MAX(1,N(P_LC_Desde)),95&lt;=IF(N(P_LC_Hasta)=0,Fin,N(P_LC_Hasta))),1,0)</f>
        <v>0</v>
      </c>
      <c r="CW113" s="19" t="n">
        <f aca="false">IF(AND(N(P_LC_Lim)&gt;0,96&gt;=MAX(1,N(P_LC_Desde)),96&lt;=IF(N(P_LC_Hasta)=0,Fin,N(P_LC_Hasta))),1,0)</f>
        <v>0</v>
      </c>
      <c r="CX113" s="19" t="n">
        <f aca="false">IF(AND(N(P_LC_Lim)&gt;0,97&gt;=MAX(1,N(P_LC_Desde)),97&lt;=IF(N(P_LC_Hasta)=0,Fin,N(P_LC_Hasta))),1,0)</f>
        <v>0</v>
      </c>
      <c r="CY113" s="19" t="n">
        <f aca="false">IF(AND(N(P_LC_Lim)&gt;0,98&gt;=MAX(1,N(P_LC_Desde)),98&lt;=IF(N(P_LC_Hasta)=0,Fin,N(P_LC_Hasta))),1,0)</f>
        <v>0</v>
      </c>
      <c r="CZ113" s="19" t="n">
        <f aca="false">IF(AND(N(P_LC_Lim)&gt;0,99&gt;=MAX(1,N(P_LC_Desde)),99&lt;=IF(N(P_LC_Hasta)=0,Fin,N(P_LC_Hasta))),1,0)</f>
        <v>0</v>
      </c>
      <c r="DA113" s="19" t="n">
        <f aca="false">IF(AND(N(P_LC_Lim)&gt;0,100&gt;=MAX(1,N(P_LC_Desde)),100&lt;=IF(N(P_LC_Hasta)=0,Fin,N(P_LC_Hasta))),1,0)</f>
        <v>0</v>
      </c>
      <c r="DB113" s="19" t="n">
        <f aca="false">IF(AND(N(P_LC_Lim)&gt;0,101&gt;=MAX(1,N(P_LC_Desde)),101&lt;=IF(N(P_LC_Hasta)=0,Fin,N(P_LC_Hasta))),1,0)</f>
        <v>0</v>
      </c>
      <c r="DC113" s="19" t="n">
        <f aca="false">IF(AND(N(P_LC_Lim)&gt;0,102&gt;=MAX(1,N(P_LC_Desde)),102&lt;=IF(N(P_LC_Hasta)=0,Fin,N(P_LC_Hasta))),1,0)</f>
        <v>0</v>
      </c>
      <c r="DD113" s="19" t="n">
        <f aca="false">IF(AND(N(P_LC_Lim)&gt;0,103&gt;=MAX(1,N(P_LC_Desde)),103&lt;=IF(N(P_LC_Hasta)=0,Fin,N(P_LC_Hasta))),1,0)</f>
        <v>0</v>
      </c>
      <c r="DE113" s="19" t="n">
        <f aca="false">IF(AND(N(P_LC_Lim)&gt;0,104&gt;=MAX(1,N(P_LC_Desde)),104&lt;=IF(N(P_LC_Hasta)=0,Fin,N(P_LC_Hasta))),1,0)</f>
        <v>0</v>
      </c>
      <c r="DF113" s="19" t="n">
        <f aca="false">IF(AND(N(P_LC_Lim)&gt;0,105&gt;=MAX(1,N(P_LC_Desde)),105&lt;=IF(N(P_LC_Hasta)=0,Fin,N(P_LC_Hasta))),1,0)</f>
        <v>0</v>
      </c>
      <c r="DG113" s="19" t="n">
        <f aca="false">IF(AND(N(P_LC_Lim)&gt;0,106&gt;=MAX(1,N(P_LC_Desde)),106&lt;=IF(N(P_LC_Hasta)=0,Fin,N(P_LC_Hasta))),1,0)</f>
        <v>0</v>
      </c>
      <c r="DH113" s="19" t="n">
        <f aca="false">IF(AND(N(P_LC_Lim)&gt;0,107&gt;=MAX(1,N(P_LC_Desde)),107&lt;=IF(N(P_LC_Hasta)=0,Fin,N(P_LC_Hasta))),1,0)</f>
        <v>0</v>
      </c>
      <c r="DI113" s="19" t="n">
        <f aca="false">IF(AND(N(P_LC_Lim)&gt;0,108&gt;=MAX(1,N(P_LC_Desde)),108&lt;=IF(N(P_LC_Hasta)=0,Fin,N(P_LC_Hasta))),1,0)</f>
        <v>0</v>
      </c>
      <c r="DJ113" s="19" t="n">
        <f aca="false">IF(AND(N(P_LC_Lim)&gt;0,109&gt;=MAX(1,N(P_LC_Desde)),109&lt;=IF(N(P_LC_Hasta)=0,Fin,N(P_LC_Hasta))),1,0)</f>
        <v>0</v>
      </c>
      <c r="DK113" s="19" t="n">
        <f aca="false">IF(AND(N(P_LC_Lim)&gt;0,110&gt;=MAX(1,N(P_LC_Desde)),110&lt;=IF(N(P_LC_Hasta)=0,Fin,N(P_LC_Hasta))),1,0)</f>
        <v>0</v>
      </c>
      <c r="DL113" s="19" t="n">
        <f aca="false">IF(AND(N(P_LC_Lim)&gt;0,111&gt;=MAX(1,N(P_LC_Desde)),111&lt;=IF(N(P_LC_Hasta)=0,Fin,N(P_LC_Hasta))),1,0)</f>
        <v>0</v>
      </c>
      <c r="DM113" s="19" t="n">
        <f aca="false">IF(AND(N(P_LC_Lim)&gt;0,112&gt;=MAX(1,N(P_LC_Desde)),112&lt;=IF(N(P_LC_Hasta)=0,Fin,N(P_LC_Hasta))),1,0)</f>
        <v>0</v>
      </c>
      <c r="DN113" s="19" t="n">
        <f aca="false">IF(AND(N(P_LC_Lim)&gt;0,113&gt;=MAX(1,N(P_LC_Desde)),113&lt;=IF(N(P_LC_Hasta)=0,Fin,N(P_LC_Hasta))),1,0)</f>
        <v>0</v>
      </c>
      <c r="DO113" s="19" t="n">
        <f aca="false">IF(AND(N(P_LC_Lim)&gt;0,114&gt;=MAX(1,N(P_LC_Desde)),114&lt;=IF(N(P_LC_Hasta)=0,Fin,N(P_LC_Hasta))),1,0)</f>
        <v>0</v>
      </c>
      <c r="DP113" s="19" t="n">
        <f aca="false">IF(AND(N(P_LC_Lim)&gt;0,115&gt;=MAX(1,N(P_LC_Desde)),115&lt;=IF(N(P_LC_Hasta)=0,Fin,N(P_LC_Hasta))),1,0)</f>
        <v>0</v>
      </c>
      <c r="DQ113" s="19" t="n">
        <f aca="false">IF(AND(N(P_LC_Lim)&gt;0,116&gt;=MAX(1,N(P_LC_Desde)),116&lt;=IF(N(P_LC_Hasta)=0,Fin,N(P_LC_Hasta))),1,0)</f>
        <v>0</v>
      </c>
      <c r="DR113" s="19" t="n">
        <f aca="false">IF(AND(N(P_LC_Lim)&gt;0,117&gt;=MAX(1,N(P_LC_Desde)),117&lt;=IF(N(P_LC_Hasta)=0,Fin,N(P_LC_Hasta))),1,0)</f>
        <v>0</v>
      </c>
      <c r="DS113" s="19" t="n">
        <f aca="false">IF(AND(N(P_LC_Lim)&gt;0,118&gt;=MAX(1,N(P_LC_Desde)),118&lt;=IF(N(P_LC_Hasta)=0,Fin,N(P_LC_Hasta))),1,0)</f>
        <v>0</v>
      </c>
      <c r="DT113" s="19" t="n">
        <f aca="false">IF(AND(N(P_LC_Lim)&gt;0,119&gt;=MAX(1,N(P_LC_Desde)),119&lt;=IF(N(P_LC_Hasta)=0,Fin,N(P_LC_Hasta))),1,0)</f>
        <v>0</v>
      </c>
      <c r="DU113" s="19" t="n">
        <f aca="false">IF(AND(N(P_LC_Lim)&gt;0,120&gt;=MAX(1,N(P_LC_Desde)),120&lt;=IF(N(P_LC_Hasta)=0,Fin,N(P_LC_Hasta))),1,0)</f>
        <v>0</v>
      </c>
      <c r="DV113" s="19" t="n">
        <f aca="false">IF(AND(N(P_LC_Lim)&gt;0,121&gt;=MAX(1,N(P_LC_Desde)),121&lt;=IF(N(P_LC_Hasta)=0,Fin,N(P_LC_Hasta))),1,0)</f>
        <v>0</v>
      </c>
      <c r="DW113" s="19" t="n">
        <f aca="false">IF(AND(N(P_LC_Lim)&gt;0,122&gt;=MAX(1,N(P_LC_Desde)),122&lt;=IF(N(P_LC_Hasta)=0,Fin,N(P_LC_Hasta))),1,0)</f>
        <v>0</v>
      </c>
      <c r="DX113" s="19" t="n">
        <f aca="false">IF(AND(N(P_LC_Lim)&gt;0,123&gt;=MAX(1,N(P_LC_Desde)),123&lt;=IF(N(P_LC_Hasta)=0,Fin,N(P_LC_Hasta))),1,0)</f>
        <v>0</v>
      </c>
      <c r="DY113" s="19" t="n">
        <f aca="false">IF(AND(N(P_LC_Lim)&gt;0,124&gt;=MAX(1,N(P_LC_Desde)),124&lt;=IF(N(P_LC_Hasta)=0,Fin,N(P_LC_Hasta))),1,0)</f>
        <v>0</v>
      </c>
      <c r="DZ113" s="19" t="n">
        <f aca="false">IF(AND(N(P_LC_Lim)&gt;0,125&gt;=MAX(1,N(P_LC_Desde)),125&lt;=IF(N(P_LC_Hasta)=0,Fin,N(P_LC_Hasta))),1,0)</f>
        <v>0</v>
      </c>
      <c r="EA113" s="19" t="n">
        <f aca="false">IF(AND(N(P_LC_Lim)&gt;0,126&gt;=MAX(1,N(P_LC_Desde)),126&lt;=IF(N(P_LC_Hasta)=0,Fin,N(P_LC_Hasta))),1,0)</f>
        <v>0</v>
      </c>
      <c r="EB113" s="19" t="n">
        <f aca="false">IF(AND(N(P_LC_Lim)&gt;0,127&gt;=MAX(1,N(P_LC_Desde)),127&lt;=IF(N(P_LC_Hasta)=0,Fin,N(P_LC_Hasta))),1,0)</f>
        <v>0</v>
      </c>
      <c r="EC113" s="19" t="n">
        <f aca="false">IF(AND(N(P_LC_Lim)&gt;0,128&gt;=MAX(1,N(P_LC_Desde)),128&lt;=IF(N(P_LC_Hasta)=0,Fin,N(P_LC_Hasta))),1,0)</f>
        <v>0</v>
      </c>
      <c r="ED113" s="19" t="n">
        <f aca="false">IF(AND(N(P_LC_Lim)&gt;0,129&gt;=MAX(1,N(P_LC_Desde)),129&lt;=IF(N(P_LC_Hasta)=0,Fin,N(P_LC_Hasta))),1,0)</f>
        <v>0</v>
      </c>
      <c r="EE113" s="19" t="n">
        <f aca="false">IF(AND(N(P_LC_Lim)&gt;0,130&gt;=MAX(1,N(P_LC_Desde)),130&lt;=IF(N(P_LC_Hasta)=0,Fin,N(P_LC_Hasta))),1,0)</f>
        <v>0</v>
      </c>
      <c r="EF113" s="19" t="n">
        <f aca="false">IF(AND(N(P_LC_Lim)&gt;0,131&gt;=MAX(1,N(P_LC_Desde)),131&lt;=IF(N(P_LC_Hasta)=0,Fin,N(P_LC_Hasta))),1,0)</f>
        <v>0</v>
      </c>
      <c r="EG113" s="19" t="n">
        <f aca="false">IF(AND(N(P_LC_Lim)&gt;0,132&gt;=MAX(1,N(P_LC_Desde)),132&lt;=IF(N(P_LC_Hasta)=0,Fin,N(P_LC_Hasta))),1,0)</f>
        <v>0</v>
      </c>
      <c r="EH113" s="19" t="n">
        <f aca="false">IF(AND(N(P_LC_Lim)&gt;0,133&gt;=MAX(1,N(P_LC_Desde)),133&lt;=IF(N(P_LC_Hasta)=0,Fin,N(P_LC_Hasta))),1,0)</f>
        <v>0</v>
      </c>
      <c r="EI113" s="19" t="n">
        <f aca="false">IF(AND(N(P_LC_Lim)&gt;0,134&gt;=MAX(1,N(P_LC_Desde)),134&lt;=IF(N(P_LC_Hasta)=0,Fin,N(P_LC_Hasta))),1,0)</f>
        <v>0</v>
      </c>
      <c r="EJ113" s="19" t="n">
        <f aca="false">IF(AND(N(P_LC_Lim)&gt;0,135&gt;=MAX(1,N(P_LC_Desde)),135&lt;=IF(N(P_LC_Hasta)=0,Fin,N(P_LC_Hasta))),1,0)</f>
        <v>0</v>
      </c>
      <c r="EK113" s="19" t="n">
        <f aca="false">IF(AND(N(P_LC_Lim)&gt;0,136&gt;=MAX(1,N(P_LC_Desde)),136&lt;=IF(N(P_LC_Hasta)=0,Fin,N(P_LC_Hasta))),1,0)</f>
        <v>0</v>
      </c>
      <c r="EL113" s="19" t="n">
        <f aca="false">IF(AND(N(P_LC_Lim)&gt;0,137&gt;=MAX(1,N(P_LC_Desde)),137&lt;=IF(N(P_LC_Hasta)=0,Fin,N(P_LC_Hasta))),1,0)</f>
        <v>0</v>
      </c>
      <c r="EM113" s="19" t="n">
        <f aca="false">IF(AND(N(P_LC_Lim)&gt;0,138&gt;=MAX(1,N(P_LC_Desde)),138&lt;=IF(N(P_LC_Hasta)=0,Fin,N(P_LC_Hasta))),1,0)</f>
        <v>0</v>
      </c>
      <c r="EN113" s="19" t="n">
        <f aca="false">IF(AND(N(P_LC_Lim)&gt;0,139&gt;=MAX(1,N(P_LC_Desde)),139&lt;=IF(N(P_LC_Hasta)=0,Fin,N(P_LC_Hasta))),1,0)</f>
        <v>0</v>
      </c>
      <c r="EO113" s="19" t="n">
        <f aca="false">IF(AND(N(P_LC_Lim)&gt;0,140&gt;=MAX(1,N(P_LC_Desde)),140&lt;=IF(N(P_LC_Hasta)=0,Fin,N(P_LC_Hasta))),1,0)</f>
        <v>0</v>
      </c>
      <c r="EP113" s="19" t="n">
        <f aca="false">IF(AND(N(P_LC_Lim)&gt;0,141&gt;=MAX(1,N(P_LC_Desde)),141&lt;=IF(N(P_LC_Hasta)=0,Fin,N(P_LC_Hasta))),1,0)</f>
        <v>0</v>
      </c>
      <c r="EQ113" s="19" t="n">
        <f aca="false">IF(AND(N(P_LC_Lim)&gt;0,142&gt;=MAX(1,N(P_LC_Desde)),142&lt;=IF(N(P_LC_Hasta)=0,Fin,N(P_LC_Hasta))),1,0)</f>
        <v>0</v>
      </c>
      <c r="ER113" s="19" t="n">
        <f aca="false">IF(AND(N(P_LC_Lim)&gt;0,143&gt;=MAX(1,N(P_LC_Desde)),143&lt;=IF(N(P_LC_Hasta)=0,Fin,N(P_LC_Hasta))),1,0)</f>
        <v>0</v>
      </c>
      <c r="ES113" s="19" t="n">
        <f aca="false">IF(AND(N(P_LC_Lim)&gt;0,144&gt;=MAX(1,N(P_LC_Desde)),144&lt;=IF(N(P_LC_Hasta)=0,Fin,N(P_LC_Hasta))),1,0)</f>
        <v>0</v>
      </c>
    </row>
    <row r="114" customFormat="false" ht="15" hidden="false" customHeight="false" outlineLevel="0" collapsed="false">
      <c r="A114" s="2" t="s">
        <v>710</v>
      </c>
      <c r="B114" s="6" t="s">
        <v>711</v>
      </c>
      <c r="C114" s="6" t="s">
        <v>250</v>
      </c>
      <c r="E114" s="40" t="n">
        <f aca="false">SUM(F114:ES114)</f>
        <v>0</v>
      </c>
      <c r="F114" s="34" t="n">
        <f aca="false">0*N(P_LC_Tasa)/12*F$9</f>
        <v>0</v>
      </c>
      <c r="G114" s="34" t="n">
        <f aca="false">F$119*N(P_LC_Tasa)/12*G$9</f>
        <v>0</v>
      </c>
      <c r="H114" s="34" t="n">
        <f aca="false">G$119*N(P_LC_Tasa)/12*H$9</f>
        <v>0</v>
      </c>
      <c r="I114" s="34" t="n">
        <f aca="false">H$119*N(P_LC_Tasa)/12*I$9</f>
        <v>0</v>
      </c>
      <c r="J114" s="34" t="n">
        <f aca="false">I$119*N(P_LC_Tasa)/12*J$9</f>
        <v>0</v>
      </c>
      <c r="K114" s="34" t="n">
        <f aca="false">J$119*N(P_LC_Tasa)/12*K$9</f>
        <v>0</v>
      </c>
      <c r="L114" s="34" t="n">
        <f aca="false">K$119*N(P_LC_Tasa)/12*L$9</f>
        <v>0</v>
      </c>
      <c r="M114" s="34" t="n">
        <f aca="false">L$119*N(P_LC_Tasa)/12*M$9</f>
        <v>0</v>
      </c>
      <c r="N114" s="34" t="n">
        <f aca="false">M$119*N(P_LC_Tasa)/12*N$9</f>
        <v>0</v>
      </c>
      <c r="O114" s="34" t="n">
        <f aca="false">N$119*N(P_LC_Tasa)/12*O$9</f>
        <v>0</v>
      </c>
      <c r="P114" s="34" t="n">
        <f aca="false">O$119*N(P_LC_Tasa)/12*P$9</f>
        <v>0</v>
      </c>
      <c r="Q114" s="34" t="n">
        <f aca="false">P$119*N(P_LC_Tasa)/12*Q$9</f>
        <v>0</v>
      </c>
      <c r="R114" s="34" t="n">
        <f aca="false">Q$119*N(P_LC_Tasa)/12*R$9</f>
        <v>0</v>
      </c>
      <c r="S114" s="34" t="n">
        <f aca="false">R$119*N(P_LC_Tasa)/12*S$9</f>
        <v>0</v>
      </c>
      <c r="T114" s="34" t="n">
        <f aca="false">S$119*N(P_LC_Tasa)/12*T$9</f>
        <v>0</v>
      </c>
      <c r="U114" s="34" t="n">
        <f aca="false">T$119*N(P_LC_Tasa)/12*U$9</f>
        <v>0</v>
      </c>
      <c r="V114" s="34" t="n">
        <f aca="false">U$119*N(P_LC_Tasa)/12*V$9</f>
        <v>0</v>
      </c>
      <c r="W114" s="34" t="n">
        <f aca="false">V$119*N(P_LC_Tasa)/12*W$9</f>
        <v>0</v>
      </c>
      <c r="X114" s="34" t="n">
        <f aca="false">W$119*N(P_LC_Tasa)/12*X$9</f>
        <v>0</v>
      </c>
      <c r="Y114" s="34" t="n">
        <f aca="false">X$119*N(P_LC_Tasa)/12*Y$9</f>
        <v>0</v>
      </c>
      <c r="Z114" s="34" t="n">
        <f aca="false">Y$119*N(P_LC_Tasa)/12*Z$9</f>
        <v>0</v>
      </c>
      <c r="AA114" s="34" t="n">
        <f aca="false">Z$119*N(P_LC_Tasa)/12*AA$9</f>
        <v>0</v>
      </c>
      <c r="AB114" s="34" t="n">
        <f aca="false">AA$119*N(P_LC_Tasa)/12*AB$9</f>
        <v>0</v>
      </c>
      <c r="AC114" s="34" t="n">
        <f aca="false">AB$119*N(P_LC_Tasa)/12*AC$9</f>
        <v>0</v>
      </c>
      <c r="AD114" s="34" t="n">
        <f aca="false">AC$119*N(P_LC_Tasa)/12*AD$9</f>
        <v>0</v>
      </c>
      <c r="AE114" s="34" t="n">
        <f aca="false">AD$119*N(P_LC_Tasa)/12*AE$9</f>
        <v>0</v>
      </c>
      <c r="AF114" s="34" t="n">
        <f aca="false">AE$119*N(P_LC_Tasa)/12*AF$9</f>
        <v>0</v>
      </c>
      <c r="AG114" s="34" t="n">
        <f aca="false">AF$119*N(P_LC_Tasa)/12*AG$9</f>
        <v>0</v>
      </c>
      <c r="AH114" s="34" t="n">
        <f aca="false">AG$119*N(P_LC_Tasa)/12*AH$9</f>
        <v>0</v>
      </c>
      <c r="AI114" s="34" t="n">
        <f aca="false">AH$119*N(P_LC_Tasa)/12*AI$9</f>
        <v>0</v>
      </c>
      <c r="AJ114" s="34" t="n">
        <f aca="false">AI$119*N(P_LC_Tasa)/12*AJ$9</f>
        <v>0</v>
      </c>
      <c r="AK114" s="34" t="n">
        <f aca="false">AJ$119*N(P_LC_Tasa)/12*AK$9</f>
        <v>0</v>
      </c>
      <c r="AL114" s="34" t="n">
        <f aca="false">AK$119*N(P_LC_Tasa)/12*AL$9</f>
        <v>0</v>
      </c>
      <c r="AM114" s="34" t="n">
        <f aca="false">AL$119*N(P_LC_Tasa)/12*AM$9</f>
        <v>0</v>
      </c>
      <c r="AN114" s="34" t="n">
        <f aca="false">AM$119*N(P_LC_Tasa)/12*AN$9</f>
        <v>0</v>
      </c>
      <c r="AO114" s="34" t="n">
        <f aca="false">AN$119*N(P_LC_Tasa)/12*AO$9</f>
        <v>0</v>
      </c>
      <c r="AP114" s="34" t="n">
        <f aca="false">AO$119*N(P_LC_Tasa)/12*AP$9</f>
        <v>0</v>
      </c>
      <c r="AQ114" s="34" t="n">
        <f aca="false">AP$119*N(P_LC_Tasa)/12*AQ$9</f>
        <v>0</v>
      </c>
      <c r="AR114" s="34" t="n">
        <f aca="false">AQ$119*N(P_LC_Tasa)/12*AR$9</f>
        <v>0</v>
      </c>
      <c r="AS114" s="34" t="n">
        <f aca="false">AR$119*N(P_LC_Tasa)/12*AS$9</f>
        <v>0</v>
      </c>
      <c r="AT114" s="34" t="n">
        <f aca="false">AS$119*N(P_LC_Tasa)/12*AT$9</f>
        <v>0</v>
      </c>
      <c r="AU114" s="34" t="n">
        <f aca="false">AT$119*N(P_LC_Tasa)/12*AU$9</f>
        <v>0</v>
      </c>
      <c r="AV114" s="34" t="n">
        <f aca="false">AU$119*N(P_LC_Tasa)/12*AV$9</f>
        <v>0</v>
      </c>
      <c r="AW114" s="34" t="n">
        <f aca="false">AV$119*N(P_LC_Tasa)/12*AW$9</f>
        <v>0</v>
      </c>
      <c r="AX114" s="34" t="n">
        <f aca="false">AW$119*N(P_LC_Tasa)/12*AX$9</f>
        <v>0</v>
      </c>
      <c r="AY114" s="34" t="n">
        <f aca="false">AX$119*N(P_LC_Tasa)/12*AY$9</f>
        <v>0</v>
      </c>
      <c r="AZ114" s="34" t="n">
        <f aca="false">AY$119*N(P_LC_Tasa)/12*AZ$9</f>
        <v>0</v>
      </c>
      <c r="BA114" s="34" t="n">
        <f aca="false">AZ$119*N(P_LC_Tasa)/12*BA$9</f>
        <v>0</v>
      </c>
      <c r="BB114" s="34" t="n">
        <f aca="false">BA$119*N(P_LC_Tasa)/12*BB$9</f>
        <v>0</v>
      </c>
      <c r="BC114" s="34" t="n">
        <f aca="false">BB$119*N(P_LC_Tasa)/12*BC$9</f>
        <v>0</v>
      </c>
      <c r="BD114" s="34" t="n">
        <f aca="false">BC$119*N(P_LC_Tasa)/12*BD$9</f>
        <v>0</v>
      </c>
      <c r="BE114" s="34" t="n">
        <f aca="false">BD$119*N(P_LC_Tasa)/12*BE$9</f>
        <v>0</v>
      </c>
      <c r="BF114" s="34" t="n">
        <f aca="false">BE$119*N(P_LC_Tasa)/12*BF$9</f>
        <v>0</v>
      </c>
      <c r="BG114" s="34" t="n">
        <f aca="false">BF$119*N(P_LC_Tasa)/12*BG$9</f>
        <v>0</v>
      </c>
      <c r="BH114" s="34" t="n">
        <f aca="false">BG$119*N(P_LC_Tasa)/12*BH$9</f>
        <v>0</v>
      </c>
      <c r="BI114" s="34" t="n">
        <f aca="false">BH$119*N(P_LC_Tasa)/12*BI$9</f>
        <v>0</v>
      </c>
      <c r="BJ114" s="34" t="n">
        <f aca="false">BI$119*N(P_LC_Tasa)/12*BJ$9</f>
        <v>0</v>
      </c>
      <c r="BK114" s="34" t="n">
        <f aca="false">BJ$119*N(P_LC_Tasa)/12*BK$9</f>
        <v>0</v>
      </c>
      <c r="BL114" s="34" t="n">
        <f aca="false">BK$119*N(P_LC_Tasa)/12*BL$9</f>
        <v>0</v>
      </c>
      <c r="BM114" s="34" t="n">
        <f aca="false">BL$119*N(P_LC_Tasa)/12*BM$9</f>
        <v>0</v>
      </c>
      <c r="BN114" s="34" t="n">
        <f aca="false">BM$119*N(P_LC_Tasa)/12*BN$9</f>
        <v>0</v>
      </c>
      <c r="BO114" s="34" t="n">
        <f aca="false">BN$119*N(P_LC_Tasa)/12*BO$9</f>
        <v>0</v>
      </c>
      <c r="BP114" s="34" t="n">
        <f aca="false">BO$119*N(P_LC_Tasa)/12*BP$9</f>
        <v>0</v>
      </c>
      <c r="BQ114" s="34" t="n">
        <f aca="false">BP$119*N(P_LC_Tasa)/12*BQ$9</f>
        <v>0</v>
      </c>
      <c r="BR114" s="34" t="n">
        <f aca="false">BQ$119*N(P_LC_Tasa)/12*BR$9</f>
        <v>0</v>
      </c>
      <c r="BS114" s="34" t="n">
        <f aca="false">BR$119*N(P_LC_Tasa)/12*BS$9</f>
        <v>0</v>
      </c>
      <c r="BT114" s="34" t="n">
        <f aca="false">BS$119*N(P_LC_Tasa)/12*BT$9</f>
        <v>0</v>
      </c>
      <c r="BU114" s="34" t="n">
        <f aca="false">BT$119*N(P_LC_Tasa)/12*BU$9</f>
        <v>0</v>
      </c>
      <c r="BV114" s="34" t="n">
        <f aca="false">BU$119*N(P_LC_Tasa)/12*BV$9</f>
        <v>0</v>
      </c>
      <c r="BW114" s="34" t="n">
        <f aca="false">BV$119*N(P_LC_Tasa)/12*BW$9</f>
        <v>0</v>
      </c>
      <c r="BX114" s="34" t="n">
        <f aca="false">BW$119*N(P_LC_Tasa)/12*BX$9</f>
        <v>0</v>
      </c>
      <c r="BY114" s="34" t="n">
        <f aca="false">BX$119*N(P_LC_Tasa)/12*BY$9</f>
        <v>0</v>
      </c>
      <c r="BZ114" s="34" t="n">
        <f aca="false">BY$119*N(P_LC_Tasa)/12*BZ$9</f>
        <v>0</v>
      </c>
      <c r="CA114" s="34" t="n">
        <f aca="false">BZ$119*N(P_LC_Tasa)/12*CA$9</f>
        <v>0</v>
      </c>
      <c r="CB114" s="34" t="n">
        <f aca="false">CA$119*N(P_LC_Tasa)/12*CB$9</f>
        <v>0</v>
      </c>
      <c r="CC114" s="34" t="n">
        <f aca="false">CB$119*N(P_LC_Tasa)/12*CC$9</f>
        <v>0</v>
      </c>
      <c r="CD114" s="34" t="n">
        <f aca="false">CC$119*N(P_LC_Tasa)/12*CD$9</f>
        <v>0</v>
      </c>
      <c r="CE114" s="34" t="n">
        <f aca="false">CD$119*N(P_LC_Tasa)/12*CE$9</f>
        <v>0</v>
      </c>
      <c r="CF114" s="34" t="n">
        <f aca="false">CE$119*N(P_LC_Tasa)/12*CF$9</f>
        <v>0</v>
      </c>
      <c r="CG114" s="34" t="n">
        <f aca="false">CF$119*N(P_LC_Tasa)/12*CG$9</f>
        <v>0</v>
      </c>
      <c r="CH114" s="34" t="n">
        <f aca="false">CG$119*N(P_LC_Tasa)/12*CH$9</f>
        <v>0</v>
      </c>
      <c r="CI114" s="34" t="n">
        <f aca="false">CH$119*N(P_LC_Tasa)/12*CI$9</f>
        <v>0</v>
      </c>
      <c r="CJ114" s="34" t="n">
        <f aca="false">CI$119*N(P_LC_Tasa)/12*CJ$9</f>
        <v>0</v>
      </c>
      <c r="CK114" s="34" t="n">
        <f aca="false">CJ$119*N(P_LC_Tasa)/12*CK$9</f>
        <v>0</v>
      </c>
      <c r="CL114" s="34" t="n">
        <f aca="false">CK$119*N(P_LC_Tasa)/12*CL$9</f>
        <v>0</v>
      </c>
      <c r="CM114" s="34" t="n">
        <f aca="false">CL$119*N(P_LC_Tasa)/12*CM$9</f>
        <v>0</v>
      </c>
      <c r="CN114" s="34" t="n">
        <f aca="false">CM$119*N(P_LC_Tasa)/12*CN$9</f>
        <v>0</v>
      </c>
      <c r="CO114" s="34" t="n">
        <f aca="false">CN$119*N(P_LC_Tasa)/12*CO$9</f>
        <v>0</v>
      </c>
      <c r="CP114" s="34" t="n">
        <f aca="false">CO$119*N(P_LC_Tasa)/12*CP$9</f>
        <v>0</v>
      </c>
      <c r="CQ114" s="34" t="n">
        <f aca="false">CP$119*N(P_LC_Tasa)/12*CQ$9</f>
        <v>0</v>
      </c>
      <c r="CR114" s="34" t="n">
        <f aca="false">CQ$119*N(P_LC_Tasa)/12*CR$9</f>
        <v>0</v>
      </c>
      <c r="CS114" s="34" t="n">
        <f aca="false">CR$119*N(P_LC_Tasa)/12*CS$9</f>
        <v>0</v>
      </c>
      <c r="CT114" s="34" t="n">
        <f aca="false">CS$119*N(P_LC_Tasa)/12*CT$9</f>
        <v>0</v>
      </c>
      <c r="CU114" s="34" t="n">
        <f aca="false">CT$119*N(P_LC_Tasa)/12*CU$9</f>
        <v>0</v>
      </c>
      <c r="CV114" s="34" t="n">
        <f aca="false">CU$119*N(P_LC_Tasa)/12*CV$9</f>
        <v>0</v>
      </c>
      <c r="CW114" s="34" t="n">
        <f aca="false">CV$119*N(P_LC_Tasa)/12*CW$9</f>
        <v>0</v>
      </c>
      <c r="CX114" s="34" t="n">
        <f aca="false">CW$119*N(P_LC_Tasa)/12*CX$9</f>
        <v>0</v>
      </c>
      <c r="CY114" s="34" t="n">
        <f aca="false">CX$119*N(P_LC_Tasa)/12*CY$9</f>
        <v>0</v>
      </c>
      <c r="CZ114" s="34" t="n">
        <f aca="false">CY$119*N(P_LC_Tasa)/12*CZ$9</f>
        <v>0</v>
      </c>
      <c r="DA114" s="34" t="n">
        <f aca="false">CZ$119*N(P_LC_Tasa)/12*DA$9</f>
        <v>0</v>
      </c>
      <c r="DB114" s="34" t="n">
        <f aca="false">DA$119*N(P_LC_Tasa)/12*DB$9</f>
        <v>0</v>
      </c>
      <c r="DC114" s="34" t="n">
        <f aca="false">DB$119*N(P_LC_Tasa)/12*DC$9</f>
        <v>0</v>
      </c>
      <c r="DD114" s="34" t="n">
        <f aca="false">DC$119*N(P_LC_Tasa)/12*DD$9</f>
        <v>0</v>
      </c>
      <c r="DE114" s="34" t="n">
        <f aca="false">DD$119*N(P_LC_Tasa)/12*DE$9</f>
        <v>0</v>
      </c>
      <c r="DF114" s="34" t="n">
        <f aca="false">DE$119*N(P_LC_Tasa)/12*DF$9</f>
        <v>0</v>
      </c>
      <c r="DG114" s="34" t="n">
        <f aca="false">DF$119*N(P_LC_Tasa)/12*DG$9</f>
        <v>0</v>
      </c>
      <c r="DH114" s="34" t="n">
        <f aca="false">DG$119*N(P_LC_Tasa)/12*DH$9</f>
        <v>0</v>
      </c>
      <c r="DI114" s="34" t="n">
        <f aca="false">DH$119*N(P_LC_Tasa)/12*DI$9</f>
        <v>0</v>
      </c>
      <c r="DJ114" s="34" t="n">
        <f aca="false">DI$119*N(P_LC_Tasa)/12*DJ$9</f>
        <v>0</v>
      </c>
      <c r="DK114" s="34" t="n">
        <f aca="false">DJ$119*N(P_LC_Tasa)/12*DK$9</f>
        <v>0</v>
      </c>
      <c r="DL114" s="34" t="n">
        <f aca="false">DK$119*N(P_LC_Tasa)/12*DL$9</f>
        <v>0</v>
      </c>
      <c r="DM114" s="34" t="n">
        <f aca="false">DL$119*N(P_LC_Tasa)/12*DM$9</f>
        <v>0</v>
      </c>
      <c r="DN114" s="34" t="n">
        <f aca="false">DM$119*N(P_LC_Tasa)/12*DN$9</f>
        <v>0</v>
      </c>
      <c r="DO114" s="34" t="n">
        <f aca="false">DN$119*N(P_LC_Tasa)/12*DO$9</f>
        <v>0</v>
      </c>
      <c r="DP114" s="34" t="n">
        <f aca="false">DO$119*N(P_LC_Tasa)/12*DP$9</f>
        <v>0</v>
      </c>
      <c r="DQ114" s="34" t="n">
        <f aca="false">DP$119*N(P_LC_Tasa)/12*DQ$9</f>
        <v>0</v>
      </c>
      <c r="DR114" s="34" t="n">
        <f aca="false">DQ$119*N(P_LC_Tasa)/12*DR$9</f>
        <v>0</v>
      </c>
      <c r="DS114" s="34" t="n">
        <f aca="false">DR$119*N(P_LC_Tasa)/12*DS$9</f>
        <v>0</v>
      </c>
      <c r="DT114" s="34" t="n">
        <f aca="false">DS$119*N(P_LC_Tasa)/12*DT$9</f>
        <v>0</v>
      </c>
      <c r="DU114" s="34" t="n">
        <f aca="false">DT$119*N(P_LC_Tasa)/12*DU$9</f>
        <v>0</v>
      </c>
      <c r="DV114" s="34" t="n">
        <f aca="false">DU$119*N(P_LC_Tasa)/12*DV$9</f>
        <v>0</v>
      </c>
      <c r="DW114" s="34" t="n">
        <f aca="false">DV$119*N(P_LC_Tasa)/12*DW$9</f>
        <v>0</v>
      </c>
      <c r="DX114" s="34" t="n">
        <f aca="false">DW$119*N(P_LC_Tasa)/12*DX$9</f>
        <v>0</v>
      </c>
      <c r="DY114" s="34" t="n">
        <f aca="false">DX$119*N(P_LC_Tasa)/12*DY$9</f>
        <v>0</v>
      </c>
      <c r="DZ114" s="34" t="n">
        <f aca="false">DY$119*N(P_LC_Tasa)/12*DZ$9</f>
        <v>0</v>
      </c>
      <c r="EA114" s="34" t="n">
        <f aca="false">DZ$119*N(P_LC_Tasa)/12*EA$9</f>
        <v>0</v>
      </c>
      <c r="EB114" s="34" t="n">
        <f aca="false">EA$119*N(P_LC_Tasa)/12*EB$9</f>
        <v>0</v>
      </c>
      <c r="EC114" s="34" t="n">
        <f aca="false">EB$119*N(P_LC_Tasa)/12*EC$9</f>
        <v>0</v>
      </c>
      <c r="ED114" s="34" t="n">
        <f aca="false">EC$119*N(P_LC_Tasa)/12*ED$9</f>
        <v>0</v>
      </c>
      <c r="EE114" s="34" t="n">
        <f aca="false">ED$119*N(P_LC_Tasa)/12*EE$9</f>
        <v>0</v>
      </c>
      <c r="EF114" s="34" t="n">
        <f aca="false">EE$119*N(P_LC_Tasa)/12*EF$9</f>
        <v>0</v>
      </c>
      <c r="EG114" s="34" t="n">
        <f aca="false">EF$119*N(P_LC_Tasa)/12*EG$9</f>
        <v>0</v>
      </c>
      <c r="EH114" s="34" t="n">
        <f aca="false">EG$119*N(P_LC_Tasa)/12*EH$9</f>
        <v>0</v>
      </c>
      <c r="EI114" s="34" t="n">
        <f aca="false">EH$119*N(P_LC_Tasa)/12*EI$9</f>
        <v>0</v>
      </c>
      <c r="EJ114" s="34" t="n">
        <f aca="false">EI$119*N(P_LC_Tasa)/12*EJ$9</f>
        <v>0</v>
      </c>
      <c r="EK114" s="34" t="n">
        <f aca="false">EJ$119*N(P_LC_Tasa)/12*EK$9</f>
        <v>0</v>
      </c>
      <c r="EL114" s="34" t="n">
        <f aca="false">EK$119*N(P_LC_Tasa)/12*EL$9</f>
        <v>0</v>
      </c>
      <c r="EM114" s="34" t="n">
        <f aca="false">EL$119*N(P_LC_Tasa)/12*EM$9</f>
        <v>0</v>
      </c>
      <c r="EN114" s="34" t="n">
        <f aca="false">EM$119*N(P_LC_Tasa)/12*EN$9</f>
        <v>0</v>
      </c>
      <c r="EO114" s="34" t="n">
        <f aca="false">EN$119*N(P_LC_Tasa)/12*EO$9</f>
        <v>0</v>
      </c>
      <c r="EP114" s="34" t="n">
        <f aca="false">EO$119*N(P_LC_Tasa)/12*EP$9</f>
        <v>0</v>
      </c>
      <c r="EQ114" s="34" t="n">
        <f aca="false">EP$119*N(P_LC_Tasa)/12*EQ$9</f>
        <v>0</v>
      </c>
      <c r="ER114" s="34" t="n">
        <f aca="false">EQ$119*N(P_LC_Tasa)/12*ER$9</f>
        <v>0</v>
      </c>
      <c r="ES114" s="34" t="n">
        <f aca="false">ER$119*N(P_LC_Tasa)/12*ES$9</f>
        <v>0</v>
      </c>
    </row>
    <row r="115" customFormat="false" ht="15" hidden="false" customHeight="false" outlineLevel="0" collapsed="false">
      <c r="A115" s="2" t="s">
        <v>712</v>
      </c>
      <c r="B115" s="6" t="s">
        <v>713</v>
      </c>
      <c r="C115" s="6" t="s">
        <v>250</v>
      </c>
      <c r="E115" s="40" t="n">
        <f aca="false">MIN(F115:ES115)</f>
        <v>-311740.118672618</v>
      </c>
      <c r="F115" s="34" t="n">
        <f aca="false">0+F$90-F$91+F$110-F$111-F$79*F$9+F$112</f>
        <v>535727.93036656</v>
      </c>
      <c r="G115" s="34" t="n">
        <f aca="false">F$128+G$90-G$91+G$110-G$111-G$79*G$9+G$112</f>
        <v>555194.83809215</v>
      </c>
      <c r="H115" s="34" t="n">
        <f aca="false">G$128+H$90-H$91+H$110-H$111-H$79*H$9+H$112</f>
        <v>574661.745817739</v>
      </c>
      <c r="I115" s="34" t="n">
        <f aca="false">H$128+I$90-I$91+I$110-I$111-I$79*I$9+I$112</f>
        <v>594128.653543329</v>
      </c>
      <c r="J115" s="34" t="n">
        <f aca="false">I$128+J$90-J$91+J$110-J$111-J$79*J$9+J$112</f>
        <v>613595.561268919</v>
      </c>
      <c r="K115" s="34" t="n">
        <f aca="false">J$128+K$90-K$91+K$110-K$111-K$79*K$9+K$112</f>
        <v>633062.468994509</v>
      </c>
      <c r="L115" s="34" t="n">
        <f aca="false">K$128+L$90-L$91+L$110-L$111-L$79*L$9+L$112</f>
        <v>610406.072625411</v>
      </c>
      <c r="M115" s="34" t="n">
        <f aca="false">L$128+M$90-M$91+M$110-M$111-M$79*M$9+M$112</f>
        <v>587781.268734384</v>
      </c>
      <c r="N115" s="34" t="n">
        <f aca="false">M$128+N$90-N$91+N$110-N$111-N$79*N$9+N$112</f>
        <v>565188.294265013</v>
      </c>
      <c r="O115" s="34" t="n">
        <f aca="false">N$128+O$90-O$91+O$110-O$111-O$79*O$9+O$112</f>
        <v>542627.387937962</v>
      </c>
      <c r="P115" s="34" t="n">
        <f aca="false">O$128+P$90-P$91+P$110-P$111-P$79*P$9+P$112</f>
        <v>520098.790264297</v>
      </c>
      <c r="Q115" s="34" t="n">
        <f aca="false">P$128+Q$90-Q$91+Q$110-Q$111-Q$79*Q$9+Q$112</f>
        <v>497602.743558918</v>
      </c>
      <c r="R115" s="34" t="n">
        <f aca="false">Q$128+R$90-R$91+R$110-R$111-R$79*R$9+R$112</f>
        <v>129920.95007682</v>
      </c>
      <c r="S115" s="34" t="n">
        <f aca="false">R$128+S$90-S$91+S$110-S$111-S$79*S$9+S$112</f>
        <v>145489.642054168</v>
      </c>
      <c r="T115" s="34" t="n">
        <f aca="false">S$128+T$90-T$91+T$110-T$111-T$79*T$9+T$112</f>
        <v>161091.622903299</v>
      </c>
      <c r="U115" s="34" t="n">
        <f aca="false">T$128+U$90-U$91+U$110-U$111-U$79*U$9+U$112</f>
        <v>176727.142290749</v>
      </c>
      <c r="V115" s="34" t="n">
        <f aca="false">U$128+V$90-V$91+V$110-V$111-V$79*V$9+V$112</f>
        <v>192396.451755556</v>
      </c>
      <c r="W115" s="34" t="n">
        <f aca="false">V$128+W$90-W$91+W$110-W$111-W$79*W$9+W$112</f>
        <v>208099.804723301</v>
      </c>
      <c r="X115" s="34" t="n">
        <f aca="false">W$128+X$90-X$91+X$110-X$111-X$79*X$9+X$112</f>
        <v>223837.456520255</v>
      </c>
      <c r="Y115" s="34" t="n">
        <f aca="false">X$128+Y$90-Y$91+Y$110-Y$111-Y$79*Y$9+Y$112</f>
        <v>239609.664387639</v>
      </c>
      <c r="Z115" s="34" t="n">
        <f aca="false">Y$128+Z$90-Z$91+Z$110-Z$111-Z$79*Z$9+Z$112</f>
        <v>255416.687495978</v>
      </c>
      <c r="AA115" s="34" t="n">
        <f aca="false">Z$128+AA$90-AA$91+AA$110-AA$111-AA$79*AA$9+AA$112</f>
        <v>271258.786959582</v>
      </c>
      <c r="AB115" s="34" t="n">
        <f aca="false">AA$128+AB$90-AB$91+AB$110-AB$111-AB$79*AB$9+AB$112</f>
        <v>287136.225851114</v>
      </c>
      <c r="AC115" s="34" t="n">
        <f aca="false">AB$128+AC$90-AC$91+AC$110-AC$111-AC$79*AC$9+AC$112</f>
        <v>303049.269216285</v>
      </c>
      <c r="AD115" s="34" t="n">
        <f aca="false">AC$128+AD$90-AD$91+AD$110-AD$111-AD$79*AD$9+AD$112</f>
        <v>-311740.118672618</v>
      </c>
      <c r="AE115" s="34" t="n">
        <f aca="false">AD$128+AE$90-AE$91+AE$110-AE$111-AE$79*AE$9+AE$112</f>
        <v>-259166.435385603</v>
      </c>
      <c r="AF115" s="34" t="n">
        <f aca="false">AE$128+AF$90-AF$91+AF$110-AF$111-AF$79*AF$9+AF$112</f>
        <v>-206556.340501018</v>
      </c>
      <c r="AG115" s="34" t="n">
        <f aca="false">AF$128+AG$90-AG$91+AG$110-AG$111-AG$79*AG$9+AG$112</f>
        <v>-153909.560931882</v>
      </c>
      <c r="AH115" s="34" t="n">
        <f aca="false">AG$128+AH$90-AH$91+AH$110-AH$111-AH$79*AH$9+AH$112</f>
        <v>-101225.821543058</v>
      </c>
      <c r="AI115" s="34" t="n">
        <f aca="false">AH$128+AI$90-AI$91+AI$110-AI$111-AI$79*AI$9+AI$112</f>
        <v>-48504.8451359012</v>
      </c>
      <c r="AJ115" s="34" t="n">
        <f aca="false">AI$128+AJ$90-AJ$91+AJ$110-AJ$111-AJ$79*AJ$9+AJ$112</f>
        <v>4253.64756722731</v>
      </c>
      <c r="AK115" s="34" t="n">
        <f aca="false">AJ$128+AK$90-AK$91+AK$110-AK$111-AK$79*AK$9+AK$112</f>
        <v>57049.9379385471</v>
      </c>
      <c r="AL115" s="34" t="n">
        <f aca="false">AK$128+AL$90-AL$91+AL$110-AL$111-AL$79*AL$9+AL$112</f>
        <v>109884.309460569</v>
      </c>
      <c r="AM115" s="34" t="n">
        <f aca="false">AL$128+AM$90-AM$91+AM$110-AM$111-AM$79*AM$9+AM$112</f>
        <v>162757.047741925</v>
      </c>
      <c r="AN115" s="34" t="n">
        <f aca="false">AM$128+AN$90-AN$91+AN$110-AN$111-AN$79*AN$9+AN$112</f>
        <v>215668.440533308</v>
      </c>
      <c r="AO115" s="34" t="n">
        <f aca="false">AN$128+AO$90-AO$91+AO$110-AO$111-AO$79*AO$9+AO$112</f>
        <v>268618.777743544</v>
      </c>
      <c r="AP115" s="34" t="n">
        <f aca="false">AO$128+AP$90-AP$91+AP$110-AP$111-AP$79*AP$9+AP$112</f>
        <v>-204392.169462804</v>
      </c>
      <c r="AQ115" s="34" t="n">
        <f aca="false">AP$128+AQ$90-AQ$91+AQ$110-AQ$111-AQ$79*AQ$9+AQ$112</f>
        <v>-118554.51596008</v>
      </c>
      <c r="AR115" s="34" t="n">
        <f aca="false">AQ$128+AR$90-AR$91+AR$110-AR$111-AR$79*AR$9+AR$112</f>
        <v>-32677.0352007788</v>
      </c>
      <c r="AS115" s="34" t="n">
        <f aca="false">AR$128+AS$90-AS$91+AS$110-AS$111-AS$79*AS$9+AS$112</f>
        <v>53240.5715195248</v>
      </c>
      <c r="AT115" s="34" t="n">
        <f aca="false">AS$128+AT$90-AT$91+AT$110-AT$111-AT$79*AT$9+AT$112</f>
        <v>139198.605145538</v>
      </c>
      <c r="AU115" s="34" t="n">
        <f aca="false">AT$128+AU$90-AU$91+AU$110-AU$111-AU$79*AU$9+AU$112</f>
        <v>225197.368879053</v>
      </c>
      <c r="AV115" s="34" t="n">
        <f aca="false">AU$128+AV$90-AV$91+AV$110-AV$111-AV$79*AV$9+AV$112</f>
        <v>311237.168195877</v>
      </c>
      <c r="AW115" s="34" t="n">
        <f aca="false">AV$128+AW$90-AW$91+AW$110-AW$111-AW$79*AW$9+AW$112</f>
        <v>397318.310862885</v>
      </c>
      <c r="AX115" s="34" t="n">
        <f aca="false">AW$128+AX$90-AX$91+AX$110-AX$111-AX$79*AX$9+AX$112</f>
        <v>483441.106955202</v>
      </c>
      <c r="AY115" s="34" t="n">
        <f aca="false">AX$128+AY$90-AY$91+AY$110-AY$111-AY$79*AY$9+AY$112</f>
        <v>569605.868873519</v>
      </c>
      <c r="AZ115" s="34" t="n">
        <f aca="false">AY$128+AZ$90-AZ$91+AZ$110-AZ$111-AZ$79*AZ$9+AZ$112</f>
        <v>655812.91136153</v>
      </c>
      <c r="BA115" s="34" t="n">
        <f aca="false">AZ$128+BA$90-BA$91+BA$110-BA$111-BA$79*BA$9+BA$112</f>
        <v>742062.551523509</v>
      </c>
      <c r="BB115" s="34" t="n">
        <f aca="false">BA$128+BB$90-BB$91+BB$110-BB$111-BB$79*BB$9+BB$112</f>
        <v>791565.146132666</v>
      </c>
      <c r="BC115" s="34" t="n">
        <f aca="false">BB$128+BC$90-BC$91+BC$110-BC$111-BC$79*BC$9+BC$112</f>
        <v>879220.527482878</v>
      </c>
      <c r="BD115" s="34" t="n">
        <f aca="false">BC$128+BD$90-BD$91+BD$110-BD$111-BD$79*BD$9+BD$112</f>
        <v>966919.47216105</v>
      </c>
      <c r="BE115" s="34" t="n">
        <f aca="false">BD$128+BE$90-BE$91+BE$110-BE$111-BE$79*BE$9+BE$112</f>
        <v>1054662.30689214</v>
      </c>
      <c r="BF115" s="34" t="n">
        <f aca="false">BE$128+BF$90-BF$91+BF$110-BF$111-BF$79*BF$9+BF$112</f>
        <v>337495.982470628</v>
      </c>
      <c r="BG115" s="34" t="n">
        <f aca="false">BF$128+BG$90-BG$91+BG$110-BG$111-BG$79*BG$9+BG$112</f>
        <v>425327.587302565</v>
      </c>
      <c r="BH115" s="34" t="n">
        <f aca="false">BG$128+BH$90-BH$91+BH$110-BH$111-BH$79*BH$9+BH$112</f>
        <v>513204.077138576</v>
      </c>
      <c r="BI115" s="34" t="n">
        <f aca="false">BH$128+BI$90-BI$91+BI$110-BI$111-BI$79*BI$9+BI$112</f>
        <v>601125.788616189</v>
      </c>
      <c r="BJ115" s="34" t="n">
        <f aca="false">BI$128+BJ$90-BJ$91+BJ$110-BJ$111-BJ$79*BJ$9+BJ$112</f>
        <v>689093.060897719</v>
      </c>
      <c r="BK115" s="34" t="n">
        <f aca="false">BJ$128+BK$90-BK$91+BK$110-BK$111-BK$79*BK$9+BK$112</f>
        <v>777106.235689193</v>
      </c>
      <c r="BL115" s="34" t="n">
        <f aca="false">BK$128+BL$90-BL$91+BL$110-BL$111-BL$79*BL$9+BL$112</f>
        <v>865165.657259436</v>
      </c>
      <c r="BM115" s="34" t="n">
        <f aca="false">BL$128+BM$90-BM$91+BM$110-BM$111-BM$79*BM$9+BM$112</f>
        <v>953271.672459288</v>
      </c>
      <c r="BN115" s="34" t="n">
        <f aca="false">BM$128+BN$90-BN$91+BN$110-BN$111-BN$79*BN$9+BN$112</f>
        <v>1070847.25778852</v>
      </c>
      <c r="BO115" s="34" t="n">
        <f aca="false">BN$128+BO$90-BO$91+BO$110-BO$111-BO$79*BO$9+BO$112</f>
        <v>1226147.69958634</v>
      </c>
      <c r="BP115" s="34" t="n">
        <f aca="false">BO$128+BP$90-BP$91+BP$110-BP$111-BP$79*BP$9+BP$112</f>
        <v>1381448.14138417</v>
      </c>
      <c r="BQ115" s="34" t="n">
        <f aca="false">BP$128+BQ$90-BQ$91+BQ$110-BQ$111-BQ$79*BQ$9+BQ$112</f>
        <v>1536748.583182</v>
      </c>
      <c r="BR115" s="34" t="n">
        <f aca="false">BQ$128+BR$90-BR$91+BR$110-BR$111-BR$79*BR$9+BR$112</f>
        <v>228122.480611604</v>
      </c>
      <c r="BS115" s="34" t="n">
        <f aca="false">BR$128+BS$90-BS$91+BS$110-BS$111-BS$79*BS$9+BS$112</f>
        <v>383422.92240943</v>
      </c>
      <c r="BT115" s="34" t="n">
        <f aca="false">BS$128+BT$90-BT$91+BT$110-BT$111-BT$79*BT$9+BT$112</f>
        <v>538723.364207257</v>
      </c>
      <c r="BU115" s="34" t="n">
        <f aca="false">BT$128+BU$90-BU$91+BU$110-BU$111-BU$79*BU$9+BU$112</f>
        <v>694023.806005083</v>
      </c>
      <c r="BV115" s="34" t="n">
        <f aca="false">BU$128+BV$90-BV$91+BV$110-BV$111-BV$79*BV$9+BV$112</f>
        <v>849324.247802909</v>
      </c>
      <c r="BW115" s="34" t="n">
        <f aca="false">BV$128+BW$90-BW$91+BW$110-BW$111-BW$79*BW$9+BW$112</f>
        <v>1004624.68960073</v>
      </c>
      <c r="BX115" s="34" t="n">
        <f aca="false">BW$128+BX$90-BX$91+BX$110-BX$111-BX$79*BX$9+BX$112</f>
        <v>1159925.13139856</v>
      </c>
      <c r="BY115" s="34" t="n">
        <f aca="false">BX$128+BY$90-BY$91+BY$110-BY$111-BY$79*BY$9+BY$112</f>
        <v>1315225.57319639</v>
      </c>
      <c r="BZ115" s="34" t="n">
        <f aca="false">BY$128+BZ$90-BZ$91+BZ$110-BZ$111-BZ$79*BZ$9+BZ$112</f>
        <v>1436551.70246101</v>
      </c>
      <c r="CA115" s="34" t="n">
        <f aca="false">BZ$128+CA$90-CA$91+CA$110-CA$111-CA$79*CA$9+CA$112</f>
        <v>1595967.72495041</v>
      </c>
      <c r="CB115" s="34" t="n">
        <f aca="false">CA$128+CB$90-CB$91+CB$110-CB$111-CB$79*CB$9+CB$112</f>
        <v>1755383.74743981</v>
      </c>
      <c r="CC115" s="34" t="n">
        <f aca="false">CB$128+CC$90-CC$91+CC$110-CC$111-CC$79*CC$9+CC$112</f>
        <v>1914799.76992921</v>
      </c>
      <c r="CD115" s="34" t="n">
        <f aca="false">CC$128+CD$90-CD$91+CD$110-CD$111-CD$79*CD$9+CD$112</f>
        <v>280027.099844691</v>
      </c>
      <c r="CE115" s="34" t="n">
        <f aca="false">CD$128+CE$90-CE$91+CE$110-CE$111-CE$79*CE$9+CE$112</f>
        <v>439443.122334091</v>
      </c>
      <c r="CF115" s="34" t="n">
        <f aca="false">CE$128+CF$90-CF$91+CF$110-CF$111-CF$79*CF$9+CF$112</f>
        <v>598859.144823491</v>
      </c>
      <c r="CG115" s="34" t="n">
        <f aca="false">CF$128+CG$90-CG$91+CG$110-CG$111-CG$79*CG$9+CG$112</f>
        <v>758275.167312891</v>
      </c>
      <c r="CH115" s="34" t="n">
        <f aca="false">CG$128+CH$90-CH$91+CH$110-CH$111-CH$79*CH$9+CH$112</f>
        <v>917691.18980229</v>
      </c>
      <c r="CI115" s="34" t="n">
        <f aca="false">CH$128+CI$90-CI$91+CI$110-CI$111-CI$79*CI$9+CI$112</f>
        <v>1077107.21229169</v>
      </c>
      <c r="CJ115" s="34" t="n">
        <f aca="false">CI$128+CJ$90-CJ$91+CJ$110-CJ$111-CJ$79*CJ$9+CJ$112</f>
        <v>1236523.23478109</v>
      </c>
      <c r="CK115" s="34" t="n">
        <f aca="false">CJ$128+CK$90-CK$91+CK$110-CK$111-CK$79*CK$9+CK$112</f>
        <v>1395939.25727049</v>
      </c>
      <c r="CL115" s="34" t="n">
        <f aca="false">CK$128+CL$90-CL$91+CL$110-CL$111-CL$79*CL$9+CL$112</f>
        <v>1521040.85812226</v>
      </c>
      <c r="CM115" s="34" t="n">
        <f aca="false">CL$128+CM$90-CM$91+CM$110-CM$111-CM$79*CM$9+CM$112</f>
        <v>1684600.67666855</v>
      </c>
      <c r="CN115" s="34" t="n">
        <f aca="false">CM$128+CN$90-CN$91+CN$110-CN$111-CN$79*CN$9+CN$112</f>
        <v>1848160.49521483</v>
      </c>
      <c r="CO115" s="34" t="n">
        <f aca="false">CN$128+CO$90-CO$91+CO$110-CO$111-CO$79*CO$9+CO$112</f>
        <v>2011720.31376112</v>
      </c>
      <c r="CP115" s="34" t="n">
        <f aca="false">CO$128+CP$90-CP$91+CP$110-CP$111-CP$79*CP$9+CP$112</f>
        <v>331704.47143461</v>
      </c>
      <c r="CQ115" s="34" t="n">
        <f aca="false">CP$128+CQ$90-CQ$91+CQ$110-CQ$111-CQ$79*CQ$9+CQ$112</f>
        <v>495264.289980898</v>
      </c>
      <c r="CR115" s="34" t="n">
        <f aca="false">CQ$128+CR$90-CR$91+CR$110-CR$111-CR$79*CR$9+CR$112</f>
        <v>658824.108527185</v>
      </c>
      <c r="CS115" s="34" t="n">
        <f aca="false">CR$128+CS$90-CS$91+CS$110-CS$111-CS$79*CS$9+CS$112</f>
        <v>822383.927073473</v>
      </c>
      <c r="CT115" s="34" t="n">
        <f aca="false">CS$128+CT$90-CT$91+CT$110-CT$111-CT$79*CT$9+CT$112</f>
        <v>985943.74561976</v>
      </c>
      <c r="CU115" s="34" t="n">
        <f aca="false">CT$128+CU$90-CU$91+CU$110-CU$111-CU$79*CU$9+CU$112</f>
        <v>1149503.56416605</v>
      </c>
      <c r="CV115" s="34" t="n">
        <f aca="false">CU$128+CV$90-CV$91+CV$110-CV$111-CV$79*CV$9+CV$112</f>
        <v>1313063.38271234</v>
      </c>
      <c r="CW115" s="34" t="n">
        <f aca="false">CV$128+CW$90-CW$91+CW$110-CW$111-CW$79*CW$9+CW$112</f>
        <v>1476623.20125862</v>
      </c>
      <c r="CX115" s="34" t="n">
        <f aca="false">CW$128+CX$90-CX$91+CX$110-CX$111-CX$79*CX$9+CX$112</f>
        <v>1605525.07895819</v>
      </c>
      <c r="CY115" s="34" t="n">
        <f aca="false">CX$128+CY$90-CY$91+CY$110-CY$111-CY$79*CY$9+CY$112</f>
        <v>1773256.8086071</v>
      </c>
      <c r="CZ115" s="34" t="n">
        <f aca="false">CY$128+CZ$90-CZ$91+CZ$110-CZ$111-CZ$79*CZ$9+CZ$112</f>
        <v>1940988.53825601</v>
      </c>
      <c r="DA115" s="34" t="n">
        <f aca="false">CZ$128+DA$90-DA$91+DA$110-DA$111-DA$79*DA$9+DA$112</f>
        <v>2108720.26790492</v>
      </c>
      <c r="DB115" s="34" t="n">
        <f aca="false">DA$128+DB$90-DB$91+DB$110-DB$111-DB$79*DB$9+DB$112</f>
        <v>383150.783998375</v>
      </c>
      <c r="DC115" s="34" t="n">
        <f aca="false">DB$128+DC$90-DC$91+DC$110-DC$111-DC$79*DC$9+DC$112</f>
        <v>550882.513647283</v>
      </c>
      <c r="DD115" s="34" t="n">
        <f aca="false">DC$128+DD$90-DD$91+DD$110-DD$111-DD$79*DD$9+DD$112</f>
        <v>718614.24329619</v>
      </c>
      <c r="DE115" s="34" t="n">
        <f aca="false">DD$128+DE$90-DE$91+DE$110-DE$111-DE$79*DE$9+DE$112</f>
        <v>886345.972945098</v>
      </c>
      <c r="DF115" s="34" t="n">
        <f aca="false">DE$128+DF$90-DF$91+DF$110-DF$111-DF$79*DF$9+DF$112</f>
        <v>1054077.70259401</v>
      </c>
      <c r="DG115" s="34" t="n">
        <f aca="false">DF$128+DG$90-DG$91+DG$110-DG$111-DG$79*DG$9+DG$112</f>
        <v>1221809.43224291</v>
      </c>
      <c r="DH115" s="34" t="n">
        <f aca="false">DG$128+DH$90-DH$91+DH$110-DH$111-DH$79*DH$9+DH$112</f>
        <v>1389541.16189182</v>
      </c>
      <c r="DI115" s="34" t="n">
        <f aca="false">DH$128+DI$90-DI$91+DI$110-DI$111-DI$79*DI$9+DI$112</f>
        <v>1557272.89154073</v>
      </c>
      <c r="DJ115" s="34" t="n">
        <f aca="false">DI$128+DJ$90-DJ$91+DJ$110-DJ$111-DJ$79*DJ$9+DJ$112</f>
        <v>1689999.71669704</v>
      </c>
      <c r="DK115" s="34" t="n">
        <f aca="false">DJ$128+DK$90-DK$91+DK$110-DK$111-DK$79*DK$9+DK$112</f>
        <v>1861931.35981212</v>
      </c>
      <c r="DL115" s="34" t="n">
        <f aca="false">DK$128+DL$90-DL$91+DL$110-DL$111-DL$79*DL$9+DL$112</f>
        <v>2033863.00292721</v>
      </c>
      <c r="DM115" s="34" t="n">
        <f aca="false">DL$128+DM$90-DM$91+DM$110-DM$111-DM$79*DM$9+DM$112</f>
        <v>2205794.64604229</v>
      </c>
      <c r="DN115" s="34" t="n">
        <f aca="false">DM$128+DN$90-DN$91+DN$110-DN$111-DN$79*DN$9+DN$112</f>
        <v>434362.142370491</v>
      </c>
      <c r="DO115" s="34" t="n">
        <f aca="false">DN$128+DO$90-DO$91+DO$110-DO$111-DO$79*DO$9+DO$112</f>
        <v>606293.785485577</v>
      </c>
      <c r="DP115" s="34" t="n">
        <f aca="false">DO$128+DP$90-DP$91+DP$110-DP$111-DP$79*DP$9+DP$112</f>
        <v>778225.428600663</v>
      </c>
      <c r="DQ115" s="34" t="n">
        <f aca="false">DP$128+DQ$90-DQ$91+DQ$110-DQ$111-DQ$79*DQ$9+DQ$112</f>
        <v>950157.071715749</v>
      </c>
      <c r="DR115" s="34" t="n">
        <f aca="false">DQ$128+DR$90-DR$91+DR$110-DR$111-DR$79*DR$9+DR$112</f>
        <v>1122088.71483084</v>
      </c>
      <c r="DS115" s="34" t="n">
        <f aca="false">DR$128+DS$90-DS$91+DS$110-DS$111-DS$79*DS$9+DS$112</f>
        <v>1294020.35794592</v>
      </c>
      <c r="DT115" s="34" t="n">
        <f aca="false">DS$128+DT$90-DT$91+DT$110-DT$111-DT$79*DT$9+DT$112</f>
        <v>1465952.00106101</v>
      </c>
      <c r="DU115" s="34" t="n">
        <f aca="false">DT$128+DU$90-DU$91+DU$110-DU$111-DU$79*DU$9+DU$112</f>
        <v>1637883.64417609</v>
      </c>
      <c r="DV115" s="34" t="n">
        <f aca="false">DU$128+DV$90-DV$91+DV$110-DV$111-DV$79*DV$9+DV$112</f>
        <v>1637883.64417609</v>
      </c>
      <c r="DW115" s="34" t="n">
        <f aca="false">DV$128+DW$90-DW$91+DW$110-DW$111-DW$79*DW$9+DW$112</f>
        <v>1637883.64417609</v>
      </c>
      <c r="DX115" s="34" t="n">
        <f aca="false">DW$128+DX$90-DX$91+DX$110-DX$111-DX$79*DX$9+DX$112</f>
        <v>1637883.64417609</v>
      </c>
      <c r="DY115" s="34" t="n">
        <f aca="false">DX$128+DY$90-DY$91+DY$110-DY$111-DY$79*DY$9+DY$112</f>
        <v>1637883.64417609</v>
      </c>
      <c r="DZ115" s="34" t="n">
        <f aca="false">DY$128+DZ$90-DZ$91+DZ$110-DZ$111-DZ$79*DZ$9+DZ$112</f>
        <v>1637883.64417609</v>
      </c>
      <c r="EA115" s="34" t="n">
        <f aca="false">DZ$128+EA$90-EA$91+EA$110-EA$111-EA$79*EA$9+EA$112</f>
        <v>1637883.64417609</v>
      </c>
      <c r="EB115" s="34" t="n">
        <f aca="false">EA$128+EB$90-EB$91+EB$110-EB$111-EB$79*EB$9+EB$112</f>
        <v>1637883.64417609</v>
      </c>
      <c r="EC115" s="34" t="n">
        <f aca="false">EB$128+EC$90-EC$91+EC$110-EC$111-EC$79*EC$9+EC$112</f>
        <v>1637883.64417609</v>
      </c>
      <c r="ED115" s="34" t="n">
        <f aca="false">EC$128+ED$90-ED$91+ED$110-ED$111-ED$79*ED$9+ED$112</f>
        <v>1637883.64417609</v>
      </c>
      <c r="EE115" s="34" t="n">
        <f aca="false">ED$128+EE$90-EE$91+EE$110-EE$111-EE$79*EE$9+EE$112</f>
        <v>1637883.64417609</v>
      </c>
      <c r="EF115" s="34" t="n">
        <f aca="false">EE$128+EF$90-EF$91+EF$110-EF$111-EF$79*EF$9+EF$112</f>
        <v>1637883.64417609</v>
      </c>
      <c r="EG115" s="34" t="n">
        <f aca="false">EF$128+EG$90-EG$91+EG$110-EG$111-EG$79*EG$9+EG$112</f>
        <v>1637883.64417609</v>
      </c>
      <c r="EH115" s="34" t="n">
        <f aca="false">EG$128+EH$90-EH$91+EH$110-EH$111-EH$79*EH$9+EH$112</f>
        <v>1637883.64417609</v>
      </c>
      <c r="EI115" s="34" t="n">
        <f aca="false">EH$128+EI$90-EI$91+EI$110-EI$111-EI$79*EI$9+EI$112</f>
        <v>1637883.64417609</v>
      </c>
      <c r="EJ115" s="34" t="n">
        <f aca="false">EI$128+EJ$90-EJ$91+EJ$110-EJ$111-EJ$79*EJ$9+EJ$112</f>
        <v>1637883.64417609</v>
      </c>
      <c r="EK115" s="34" t="n">
        <f aca="false">EJ$128+EK$90-EK$91+EK$110-EK$111-EK$79*EK$9+EK$112</f>
        <v>1637883.64417609</v>
      </c>
      <c r="EL115" s="34" t="n">
        <f aca="false">EK$128+EL$90-EL$91+EL$110-EL$111-EL$79*EL$9+EL$112</f>
        <v>1637883.64417609</v>
      </c>
      <c r="EM115" s="34" t="n">
        <f aca="false">EL$128+EM$90-EM$91+EM$110-EM$111-EM$79*EM$9+EM$112</f>
        <v>1637883.64417609</v>
      </c>
      <c r="EN115" s="34" t="n">
        <f aca="false">EM$128+EN$90-EN$91+EN$110-EN$111-EN$79*EN$9+EN$112</f>
        <v>1637883.64417609</v>
      </c>
      <c r="EO115" s="34" t="n">
        <f aca="false">EN$128+EO$90-EO$91+EO$110-EO$111-EO$79*EO$9+EO$112</f>
        <v>1637883.64417609</v>
      </c>
      <c r="EP115" s="34" t="n">
        <f aca="false">EO$128+EP$90-EP$91+EP$110-EP$111-EP$79*EP$9+EP$112</f>
        <v>1637883.64417609</v>
      </c>
      <c r="EQ115" s="34" t="n">
        <f aca="false">EP$128+EQ$90-EQ$91+EQ$110-EQ$111-EQ$79*EQ$9+EQ$112</f>
        <v>1637883.64417609</v>
      </c>
      <c r="ER115" s="34" t="n">
        <f aca="false">EQ$128+ER$90-ER$91+ER$110-ER$111-ER$79*ER$9+ER$112</f>
        <v>1637883.64417609</v>
      </c>
      <c r="ES115" s="34" t="n">
        <f aca="false">ER$128+ES$90-ES$91+ES$110-ES$111-ES$79*ES$9+ES$112</f>
        <v>1637883.64417609</v>
      </c>
    </row>
    <row r="116" customFormat="false" ht="15" hidden="false" customHeight="false" outlineLevel="0" collapsed="false">
      <c r="A116" s="2" t="s">
        <v>714</v>
      </c>
      <c r="B116" s="6" t="s">
        <v>164</v>
      </c>
      <c r="C116" s="6" t="s">
        <v>250</v>
      </c>
      <c r="F116" s="34" t="n">
        <f aca="false">F$45*P_CajaMin/DiasMes*F$9</f>
        <v>39863.0136986301</v>
      </c>
      <c r="G116" s="34" t="n">
        <f aca="false">G$45*P_CajaMin/DiasMes*G$9</f>
        <v>39863.0136986301</v>
      </c>
      <c r="H116" s="34" t="n">
        <f aca="false">H$45*P_CajaMin/DiasMes*H$9</f>
        <v>39863.0136986301</v>
      </c>
      <c r="I116" s="34" t="n">
        <f aca="false">I$45*P_CajaMin/DiasMes*I$9</f>
        <v>39863.0136986301</v>
      </c>
      <c r="J116" s="34" t="n">
        <f aca="false">J$45*P_CajaMin/DiasMes*J$9</f>
        <v>39863.0136986301</v>
      </c>
      <c r="K116" s="34" t="n">
        <f aca="false">K$45*P_CajaMin/DiasMes*K$9</f>
        <v>39863.0136986301</v>
      </c>
      <c r="L116" s="34" t="n">
        <f aca="false">L$45*P_CajaMin/DiasMes*L$9</f>
        <v>39863.0136986301</v>
      </c>
      <c r="M116" s="34" t="n">
        <f aca="false">M$45*P_CajaMin/DiasMes*M$9</f>
        <v>39863.0136986301</v>
      </c>
      <c r="N116" s="34" t="n">
        <f aca="false">N$45*P_CajaMin/DiasMes*N$9</f>
        <v>39863.0136986301</v>
      </c>
      <c r="O116" s="34" t="n">
        <f aca="false">O$45*P_CajaMin/DiasMes*O$9</f>
        <v>39863.0136986301</v>
      </c>
      <c r="P116" s="34" t="n">
        <f aca="false">P$45*P_CajaMin/DiasMes*P$9</f>
        <v>39863.0136986301</v>
      </c>
      <c r="Q116" s="34" t="n">
        <f aca="false">Q$45*P_CajaMin/DiasMes*Q$9</f>
        <v>39863.0136986301</v>
      </c>
      <c r="R116" s="34" t="n">
        <f aca="false">R$45*P_CajaMin/DiasMes*R$9</f>
        <v>50804.3835616438</v>
      </c>
      <c r="S116" s="34" t="n">
        <f aca="false">S$45*P_CajaMin/DiasMes*S$9</f>
        <v>50804.3835616438</v>
      </c>
      <c r="T116" s="34" t="n">
        <f aca="false">T$45*P_CajaMin/DiasMes*T$9</f>
        <v>50804.3835616438</v>
      </c>
      <c r="U116" s="34" t="n">
        <f aca="false">U$45*P_CajaMin/DiasMes*U$9</f>
        <v>50804.3835616438</v>
      </c>
      <c r="V116" s="34" t="n">
        <f aca="false">V$45*P_CajaMin/DiasMes*V$9</f>
        <v>50804.3835616438</v>
      </c>
      <c r="W116" s="34" t="n">
        <f aca="false">W$45*P_CajaMin/DiasMes*W$9</f>
        <v>50804.3835616438</v>
      </c>
      <c r="X116" s="34" t="n">
        <f aca="false">X$45*P_CajaMin/DiasMes*X$9</f>
        <v>50804.3835616438</v>
      </c>
      <c r="Y116" s="34" t="n">
        <f aca="false">Y$45*P_CajaMin/DiasMes*Y$9</f>
        <v>50804.3835616438</v>
      </c>
      <c r="Z116" s="34" t="n">
        <f aca="false">Z$45*P_CajaMin/DiasMes*Z$9</f>
        <v>50804.3835616438</v>
      </c>
      <c r="AA116" s="34" t="n">
        <f aca="false">AA$45*P_CajaMin/DiasMes*AA$9</f>
        <v>50804.3835616438</v>
      </c>
      <c r="AB116" s="34" t="n">
        <f aca="false">AB$45*P_CajaMin/DiasMes*AB$9</f>
        <v>50804.3835616438</v>
      </c>
      <c r="AC116" s="34" t="n">
        <f aca="false">AC$45*P_CajaMin/DiasMes*AC$9</f>
        <v>50804.3835616438</v>
      </c>
      <c r="AD116" s="34" t="n">
        <f aca="false">AD$45*P_CajaMin/DiasMes*AD$9</f>
        <v>61960.5945205479</v>
      </c>
      <c r="AE116" s="34" t="n">
        <f aca="false">AE$45*P_CajaMin/DiasMes*AE$9</f>
        <v>61960.5945205479</v>
      </c>
      <c r="AF116" s="34" t="n">
        <f aca="false">AF$45*P_CajaMin/DiasMes*AF$9</f>
        <v>61960.5945205479</v>
      </c>
      <c r="AG116" s="34" t="n">
        <f aca="false">AG$45*P_CajaMin/DiasMes*AG$9</f>
        <v>61960.5945205479</v>
      </c>
      <c r="AH116" s="34" t="n">
        <f aca="false">AH$45*P_CajaMin/DiasMes*AH$9</f>
        <v>61960.5945205479</v>
      </c>
      <c r="AI116" s="34" t="n">
        <f aca="false">AI$45*P_CajaMin/DiasMes*AI$9</f>
        <v>61960.5945205479</v>
      </c>
      <c r="AJ116" s="34" t="n">
        <f aca="false">AJ$45*P_CajaMin/DiasMes*AJ$9</f>
        <v>61960.5945205479</v>
      </c>
      <c r="AK116" s="34" t="n">
        <f aca="false">AK$45*P_CajaMin/DiasMes*AK$9</f>
        <v>61960.5945205479</v>
      </c>
      <c r="AL116" s="34" t="n">
        <f aca="false">AL$45*P_CajaMin/DiasMes*AL$9</f>
        <v>61960.5945205479</v>
      </c>
      <c r="AM116" s="34" t="n">
        <f aca="false">AM$45*P_CajaMin/DiasMes*AM$9</f>
        <v>61960.5945205479</v>
      </c>
      <c r="AN116" s="34" t="n">
        <f aca="false">AN$45*P_CajaMin/DiasMes*AN$9</f>
        <v>61960.5945205479</v>
      </c>
      <c r="AO116" s="34" t="n">
        <f aca="false">AO$45*P_CajaMin/DiasMes*AO$9</f>
        <v>61960.5945205479</v>
      </c>
      <c r="AP116" s="34" t="n">
        <f aca="false">AP$45*P_CajaMin/DiasMes*AP$9</f>
        <v>71387.1569589041</v>
      </c>
      <c r="AQ116" s="34" t="n">
        <f aca="false">AQ$45*P_CajaMin/DiasMes*AQ$9</f>
        <v>71387.1569589041</v>
      </c>
      <c r="AR116" s="34" t="n">
        <f aca="false">AR$45*P_CajaMin/DiasMes*AR$9</f>
        <v>71387.1569589041</v>
      </c>
      <c r="AS116" s="34" t="n">
        <f aca="false">AS$45*P_CajaMin/DiasMes*AS$9</f>
        <v>71387.1569589041</v>
      </c>
      <c r="AT116" s="34" t="n">
        <f aca="false">AT$45*P_CajaMin/DiasMes*AT$9</f>
        <v>71387.1569589041</v>
      </c>
      <c r="AU116" s="34" t="n">
        <f aca="false">AU$45*P_CajaMin/DiasMes*AU$9</f>
        <v>71387.1569589041</v>
      </c>
      <c r="AV116" s="34" t="n">
        <f aca="false">AV$45*P_CajaMin/DiasMes*AV$9</f>
        <v>71387.1569589041</v>
      </c>
      <c r="AW116" s="34" t="n">
        <f aca="false">AW$45*P_CajaMin/DiasMes*AW$9</f>
        <v>71387.1569589041</v>
      </c>
      <c r="AX116" s="34" t="n">
        <f aca="false">AX$45*P_CajaMin/DiasMes*AX$9</f>
        <v>71387.1569589041</v>
      </c>
      <c r="AY116" s="34" t="n">
        <f aca="false">AY$45*P_CajaMin/DiasMes*AY$9</f>
        <v>71387.1569589041</v>
      </c>
      <c r="AZ116" s="34" t="n">
        <f aca="false">AZ$45*P_CajaMin/DiasMes*AZ$9</f>
        <v>71387.1569589041</v>
      </c>
      <c r="BA116" s="34" t="n">
        <f aca="false">BA$45*P_CajaMin/DiasMes*BA$9</f>
        <v>71387.1569589041</v>
      </c>
      <c r="BB116" s="34" t="n">
        <f aca="false">BB$45*P_CajaMin/DiasMes*BB$9</f>
        <v>72101.0285284932</v>
      </c>
      <c r="BC116" s="34" t="n">
        <f aca="false">BC$45*P_CajaMin/DiasMes*BC$9</f>
        <v>72101.0285284932</v>
      </c>
      <c r="BD116" s="34" t="n">
        <f aca="false">BD$45*P_CajaMin/DiasMes*BD$9</f>
        <v>72101.0285284932</v>
      </c>
      <c r="BE116" s="34" t="n">
        <f aca="false">BE$45*P_CajaMin/DiasMes*BE$9</f>
        <v>72101.0285284932</v>
      </c>
      <c r="BF116" s="34" t="n">
        <f aca="false">BF$45*P_CajaMin/DiasMes*BF$9</f>
        <v>72101.0285284932</v>
      </c>
      <c r="BG116" s="34" t="n">
        <f aca="false">BG$45*P_CajaMin/DiasMes*BG$9</f>
        <v>72101.0285284932</v>
      </c>
      <c r="BH116" s="34" t="n">
        <f aca="false">BH$45*P_CajaMin/DiasMes*BH$9</f>
        <v>72101.0285284932</v>
      </c>
      <c r="BI116" s="34" t="n">
        <f aca="false">BI$45*P_CajaMin/DiasMes*BI$9</f>
        <v>72101.0285284932</v>
      </c>
      <c r="BJ116" s="34" t="n">
        <f aca="false">BJ$45*P_CajaMin/DiasMes*BJ$9</f>
        <v>72101.0285284932</v>
      </c>
      <c r="BK116" s="34" t="n">
        <f aca="false">BK$45*P_CajaMin/DiasMes*BK$9</f>
        <v>72101.0285284932</v>
      </c>
      <c r="BL116" s="34" t="n">
        <f aca="false">BL$45*P_CajaMin/DiasMes*BL$9</f>
        <v>72101.0285284932</v>
      </c>
      <c r="BM116" s="34" t="n">
        <f aca="false">BM$45*P_CajaMin/DiasMes*BM$9</f>
        <v>72101.0285284932</v>
      </c>
      <c r="BN116" s="34" t="n">
        <f aca="false">BN$45*P_CajaMin/DiasMes*BN$9</f>
        <v>72822.0388137781</v>
      </c>
      <c r="BO116" s="34" t="n">
        <f aca="false">BO$45*P_CajaMin/DiasMes*BO$9</f>
        <v>72822.0388137781</v>
      </c>
      <c r="BP116" s="34" t="n">
        <f aca="false">BP$45*P_CajaMin/DiasMes*BP$9</f>
        <v>72822.0388137781</v>
      </c>
      <c r="BQ116" s="34" t="n">
        <f aca="false">BQ$45*P_CajaMin/DiasMes*BQ$9</f>
        <v>72822.0388137781</v>
      </c>
      <c r="BR116" s="34" t="n">
        <f aca="false">BR$45*P_CajaMin/DiasMes*BR$9</f>
        <v>72822.0388137781</v>
      </c>
      <c r="BS116" s="34" t="n">
        <f aca="false">BS$45*P_CajaMin/DiasMes*BS$9</f>
        <v>72822.0388137781</v>
      </c>
      <c r="BT116" s="34" t="n">
        <f aca="false">BT$45*P_CajaMin/DiasMes*BT$9</f>
        <v>72822.0388137781</v>
      </c>
      <c r="BU116" s="34" t="n">
        <f aca="false">BU$45*P_CajaMin/DiasMes*BU$9</f>
        <v>72822.0388137781</v>
      </c>
      <c r="BV116" s="34" t="n">
        <f aca="false">BV$45*P_CajaMin/DiasMes*BV$9</f>
        <v>72822.0388137781</v>
      </c>
      <c r="BW116" s="34" t="n">
        <f aca="false">BW$45*P_CajaMin/DiasMes*BW$9</f>
        <v>72822.0388137781</v>
      </c>
      <c r="BX116" s="34" t="n">
        <f aca="false">BX$45*P_CajaMin/DiasMes*BX$9</f>
        <v>72822.0388137781</v>
      </c>
      <c r="BY116" s="34" t="n">
        <f aca="false">BY$45*P_CajaMin/DiasMes*BY$9</f>
        <v>72822.0388137781</v>
      </c>
      <c r="BZ116" s="34" t="n">
        <f aca="false">BZ$45*P_CajaMin/DiasMes*BZ$9</f>
        <v>73550.2592019159</v>
      </c>
      <c r="CA116" s="34" t="n">
        <f aca="false">CA$45*P_CajaMin/DiasMes*CA$9</f>
        <v>73550.2592019159</v>
      </c>
      <c r="CB116" s="34" t="n">
        <f aca="false">CB$45*P_CajaMin/DiasMes*CB$9</f>
        <v>73550.2592019159</v>
      </c>
      <c r="CC116" s="34" t="n">
        <f aca="false">CC$45*P_CajaMin/DiasMes*CC$9</f>
        <v>73550.2592019159</v>
      </c>
      <c r="CD116" s="34" t="n">
        <f aca="false">CD$45*P_CajaMin/DiasMes*CD$9</f>
        <v>73550.2592019159</v>
      </c>
      <c r="CE116" s="34" t="n">
        <f aca="false">CE$45*P_CajaMin/DiasMes*CE$9</f>
        <v>73550.2592019159</v>
      </c>
      <c r="CF116" s="34" t="n">
        <f aca="false">CF$45*P_CajaMin/DiasMes*CF$9</f>
        <v>73550.2592019159</v>
      </c>
      <c r="CG116" s="34" t="n">
        <f aca="false">CG$45*P_CajaMin/DiasMes*CG$9</f>
        <v>73550.2592019159</v>
      </c>
      <c r="CH116" s="34" t="n">
        <f aca="false">CH$45*P_CajaMin/DiasMes*CH$9</f>
        <v>73550.2592019159</v>
      </c>
      <c r="CI116" s="34" t="n">
        <f aca="false">CI$45*P_CajaMin/DiasMes*CI$9</f>
        <v>73550.2592019159</v>
      </c>
      <c r="CJ116" s="34" t="n">
        <f aca="false">CJ$45*P_CajaMin/DiasMes*CJ$9</f>
        <v>73550.2592019159</v>
      </c>
      <c r="CK116" s="34" t="n">
        <f aca="false">CK$45*P_CajaMin/DiasMes*CK$9</f>
        <v>73550.2592019159</v>
      </c>
      <c r="CL116" s="34" t="n">
        <f aca="false">CL$45*P_CajaMin/DiasMes*CL$9</f>
        <v>74285.761793935</v>
      </c>
      <c r="CM116" s="34" t="n">
        <f aca="false">CM$45*P_CajaMin/DiasMes*CM$9</f>
        <v>74285.761793935</v>
      </c>
      <c r="CN116" s="34" t="n">
        <f aca="false">CN$45*P_CajaMin/DiasMes*CN$9</f>
        <v>74285.761793935</v>
      </c>
      <c r="CO116" s="34" t="n">
        <f aca="false">CO$45*P_CajaMin/DiasMes*CO$9</f>
        <v>74285.761793935</v>
      </c>
      <c r="CP116" s="34" t="n">
        <f aca="false">CP$45*P_CajaMin/DiasMes*CP$9</f>
        <v>74285.761793935</v>
      </c>
      <c r="CQ116" s="34" t="n">
        <f aca="false">CQ$45*P_CajaMin/DiasMes*CQ$9</f>
        <v>74285.761793935</v>
      </c>
      <c r="CR116" s="34" t="n">
        <f aca="false">CR$45*P_CajaMin/DiasMes*CR$9</f>
        <v>74285.761793935</v>
      </c>
      <c r="CS116" s="34" t="n">
        <f aca="false">CS$45*P_CajaMin/DiasMes*CS$9</f>
        <v>74285.761793935</v>
      </c>
      <c r="CT116" s="34" t="n">
        <f aca="false">CT$45*P_CajaMin/DiasMes*CT$9</f>
        <v>74285.761793935</v>
      </c>
      <c r="CU116" s="34" t="n">
        <f aca="false">CU$45*P_CajaMin/DiasMes*CU$9</f>
        <v>74285.761793935</v>
      </c>
      <c r="CV116" s="34" t="n">
        <f aca="false">CV$45*P_CajaMin/DiasMes*CV$9</f>
        <v>74285.761793935</v>
      </c>
      <c r="CW116" s="34" t="n">
        <f aca="false">CW$45*P_CajaMin/DiasMes*CW$9</f>
        <v>74285.761793935</v>
      </c>
      <c r="CX116" s="34" t="n">
        <f aca="false">CX$45*P_CajaMin/DiasMes*CX$9</f>
        <v>75028.6194118744</v>
      </c>
      <c r="CY116" s="34" t="n">
        <f aca="false">CY$45*P_CajaMin/DiasMes*CY$9</f>
        <v>75028.6194118744</v>
      </c>
      <c r="CZ116" s="34" t="n">
        <f aca="false">CZ$45*P_CajaMin/DiasMes*CZ$9</f>
        <v>75028.6194118744</v>
      </c>
      <c r="DA116" s="34" t="n">
        <f aca="false">DA$45*P_CajaMin/DiasMes*DA$9</f>
        <v>75028.6194118744</v>
      </c>
      <c r="DB116" s="34" t="n">
        <f aca="false">DB$45*P_CajaMin/DiasMes*DB$9</f>
        <v>75028.6194118744</v>
      </c>
      <c r="DC116" s="34" t="n">
        <f aca="false">DC$45*P_CajaMin/DiasMes*DC$9</f>
        <v>75028.6194118744</v>
      </c>
      <c r="DD116" s="34" t="n">
        <f aca="false">DD$45*P_CajaMin/DiasMes*DD$9</f>
        <v>75028.6194118744</v>
      </c>
      <c r="DE116" s="34" t="n">
        <f aca="false">DE$45*P_CajaMin/DiasMes*DE$9</f>
        <v>75028.6194118744</v>
      </c>
      <c r="DF116" s="34" t="n">
        <f aca="false">DF$45*P_CajaMin/DiasMes*DF$9</f>
        <v>75028.6194118744</v>
      </c>
      <c r="DG116" s="34" t="n">
        <f aca="false">DG$45*P_CajaMin/DiasMes*DG$9</f>
        <v>75028.6194118744</v>
      </c>
      <c r="DH116" s="34" t="n">
        <f aca="false">DH$45*P_CajaMin/DiasMes*DH$9</f>
        <v>75028.6194118744</v>
      </c>
      <c r="DI116" s="34" t="n">
        <f aca="false">DI$45*P_CajaMin/DiasMes*DI$9</f>
        <v>75028.6194118744</v>
      </c>
      <c r="DJ116" s="34" t="n">
        <f aca="false">DJ$45*P_CajaMin/DiasMes*DJ$9</f>
        <v>75778.9056059931</v>
      </c>
      <c r="DK116" s="34" t="n">
        <f aca="false">DK$45*P_CajaMin/DiasMes*DK$9</f>
        <v>75778.9056059931</v>
      </c>
      <c r="DL116" s="34" t="n">
        <f aca="false">DL$45*P_CajaMin/DiasMes*DL$9</f>
        <v>75778.9056059931</v>
      </c>
      <c r="DM116" s="34" t="n">
        <f aca="false">DM$45*P_CajaMin/DiasMes*DM$9</f>
        <v>75778.9056059931</v>
      </c>
      <c r="DN116" s="34" t="n">
        <f aca="false">DN$45*P_CajaMin/DiasMes*DN$9</f>
        <v>75778.9056059931</v>
      </c>
      <c r="DO116" s="34" t="n">
        <f aca="false">DO$45*P_CajaMin/DiasMes*DO$9</f>
        <v>75778.9056059931</v>
      </c>
      <c r="DP116" s="34" t="n">
        <f aca="false">DP$45*P_CajaMin/DiasMes*DP$9</f>
        <v>75778.9056059931</v>
      </c>
      <c r="DQ116" s="34" t="n">
        <f aca="false">DQ$45*P_CajaMin/DiasMes*DQ$9</f>
        <v>75778.9056059931</v>
      </c>
      <c r="DR116" s="34" t="n">
        <f aca="false">DR$45*P_CajaMin/DiasMes*DR$9</f>
        <v>75778.9056059931</v>
      </c>
      <c r="DS116" s="34" t="n">
        <f aca="false">DS$45*P_CajaMin/DiasMes*DS$9</f>
        <v>75778.9056059931</v>
      </c>
      <c r="DT116" s="34" t="n">
        <f aca="false">DT$45*P_CajaMin/DiasMes*DT$9</f>
        <v>75778.9056059931</v>
      </c>
      <c r="DU116" s="34" t="n">
        <f aca="false">DU$45*P_CajaMin/DiasMes*DU$9</f>
        <v>75778.9056059931</v>
      </c>
      <c r="DV116" s="34" t="n">
        <f aca="false">DV$45*P_CajaMin/DiasMes*DV$9</f>
        <v>0</v>
      </c>
      <c r="DW116" s="34" t="n">
        <f aca="false">DW$45*P_CajaMin/DiasMes*DW$9</f>
        <v>0</v>
      </c>
      <c r="DX116" s="34" t="n">
        <f aca="false">DX$45*P_CajaMin/DiasMes*DX$9</f>
        <v>0</v>
      </c>
      <c r="DY116" s="34" t="n">
        <f aca="false">DY$45*P_CajaMin/DiasMes*DY$9</f>
        <v>0</v>
      </c>
      <c r="DZ116" s="34" t="n">
        <f aca="false">DZ$45*P_CajaMin/DiasMes*DZ$9</f>
        <v>0</v>
      </c>
      <c r="EA116" s="34" t="n">
        <f aca="false">EA$45*P_CajaMin/DiasMes*EA$9</f>
        <v>0</v>
      </c>
      <c r="EB116" s="34" t="n">
        <f aca="false">EB$45*P_CajaMin/DiasMes*EB$9</f>
        <v>0</v>
      </c>
      <c r="EC116" s="34" t="n">
        <f aca="false">EC$45*P_CajaMin/DiasMes*EC$9</f>
        <v>0</v>
      </c>
      <c r="ED116" s="34" t="n">
        <f aca="false">ED$45*P_CajaMin/DiasMes*ED$9</f>
        <v>0</v>
      </c>
      <c r="EE116" s="34" t="n">
        <f aca="false">EE$45*P_CajaMin/DiasMes*EE$9</f>
        <v>0</v>
      </c>
      <c r="EF116" s="34" t="n">
        <f aca="false">EF$45*P_CajaMin/DiasMes*EF$9</f>
        <v>0</v>
      </c>
      <c r="EG116" s="34" t="n">
        <f aca="false">EG$45*P_CajaMin/DiasMes*EG$9</f>
        <v>0</v>
      </c>
      <c r="EH116" s="34" t="n">
        <f aca="false">EH$45*P_CajaMin/DiasMes*EH$9</f>
        <v>0</v>
      </c>
      <c r="EI116" s="34" t="n">
        <f aca="false">EI$45*P_CajaMin/DiasMes*EI$9</f>
        <v>0</v>
      </c>
      <c r="EJ116" s="34" t="n">
        <f aca="false">EJ$45*P_CajaMin/DiasMes*EJ$9</f>
        <v>0</v>
      </c>
      <c r="EK116" s="34" t="n">
        <f aca="false">EK$45*P_CajaMin/DiasMes*EK$9</f>
        <v>0</v>
      </c>
      <c r="EL116" s="34" t="n">
        <f aca="false">EL$45*P_CajaMin/DiasMes*EL$9</f>
        <v>0</v>
      </c>
      <c r="EM116" s="34" t="n">
        <f aca="false">EM$45*P_CajaMin/DiasMes*EM$9</f>
        <v>0</v>
      </c>
      <c r="EN116" s="34" t="n">
        <f aca="false">EN$45*P_CajaMin/DiasMes*EN$9</f>
        <v>0</v>
      </c>
      <c r="EO116" s="34" t="n">
        <f aca="false">EO$45*P_CajaMin/DiasMes*EO$9</f>
        <v>0</v>
      </c>
      <c r="EP116" s="34" t="n">
        <f aca="false">EP$45*P_CajaMin/DiasMes*EP$9</f>
        <v>0</v>
      </c>
      <c r="EQ116" s="34" t="n">
        <f aca="false">EQ$45*P_CajaMin/DiasMes*EQ$9</f>
        <v>0</v>
      </c>
      <c r="ER116" s="34" t="n">
        <f aca="false">ER$45*P_CajaMin/DiasMes*ER$9</f>
        <v>0</v>
      </c>
      <c r="ES116" s="34" t="n">
        <f aca="false">ES$45*P_CajaMin/DiasMes*ES$9</f>
        <v>0</v>
      </c>
    </row>
    <row r="117" customFormat="false" ht="15" hidden="false" customHeight="false" outlineLevel="0" collapsed="false">
      <c r="A117" s="2" t="s">
        <v>715</v>
      </c>
      <c r="B117" s="6" t="s">
        <v>716</v>
      </c>
      <c r="C117" s="6" t="s">
        <v>250</v>
      </c>
      <c r="E117" s="40" t="n">
        <f aca="false">SUM(F117:ES117)</f>
        <v>0</v>
      </c>
      <c r="F117" s="34" t="n">
        <f aca="false">IF(F$113=1,MIN(MAX(0,N(P_LC_Lim)-0),MAX(0,F$116-F$115)),0)*F$9</f>
        <v>0</v>
      </c>
      <c r="G117" s="34" t="n">
        <f aca="false">IF(G$113=1,MIN(MAX(0,N(P_LC_Lim)-F$119),MAX(0,G$116-G$115)),0)*G$9</f>
        <v>0</v>
      </c>
      <c r="H117" s="34" t="n">
        <f aca="false">IF(H$113=1,MIN(MAX(0,N(P_LC_Lim)-G$119),MAX(0,H$116-H$115)),0)*H$9</f>
        <v>0</v>
      </c>
      <c r="I117" s="34" t="n">
        <f aca="false">IF(I$113=1,MIN(MAX(0,N(P_LC_Lim)-H$119),MAX(0,I$116-I$115)),0)*I$9</f>
        <v>0</v>
      </c>
      <c r="J117" s="34" t="n">
        <f aca="false">IF(J$113=1,MIN(MAX(0,N(P_LC_Lim)-I$119),MAX(0,J$116-J$115)),0)*J$9</f>
        <v>0</v>
      </c>
      <c r="K117" s="34" t="n">
        <f aca="false">IF(K$113=1,MIN(MAX(0,N(P_LC_Lim)-J$119),MAX(0,K$116-K$115)),0)*K$9</f>
        <v>0</v>
      </c>
      <c r="L117" s="34" t="n">
        <f aca="false">IF(L$113=1,MIN(MAX(0,N(P_LC_Lim)-K$119),MAX(0,L$116-L$115)),0)*L$9</f>
        <v>0</v>
      </c>
      <c r="M117" s="34" t="n">
        <f aca="false">IF(M$113=1,MIN(MAX(0,N(P_LC_Lim)-L$119),MAX(0,M$116-M$115)),0)*M$9</f>
        <v>0</v>
      </c>
      <c r="N117" s="34" t="n">
        <f aca="false">IF(N$113=1,MIN(MAX(0,N(P_LC_Lim)-M$119),MAX(0,N$116-N$115)),0)*N$9</f>
        <v>0</v>
      </c>
      <c r="O117" s="34" t="n">
        <f aca="false">IF(O$113=1,MIN(MAX(0,N(P_LC_Lim)-N$119),MAX(0,O$116-O$115)),0)*O$9</f>
        <v>0</v>
      </c>
      <c r="P117" s="34" t="n">
        <f aca="false">IF(P$113=1,MIN(MAX(0,N(P_LC_Lim)-O$119),MAX(0,P$116-P$115)),0)*P$9</f>
        <v>0</v>
      </c>
      <c r="Q117" s="34" t="n">
        <f aca="false">IF(Q$113=1,MIN(MAX(0,N(P_LC_Lim)-P$119),MAX(0,Q$116-Q$115)),0)*Q$9</f>
        <v>0</v>
      </c>
      <c r="R117" s="34" t="n">
        <f aca="false">IF(R$113=1,MIN(MAX(0,N(P_LC_Lim)-Q$119),MAX(0,R$116-R$115)),0)*R$9</f>
        <v>0</v>
      </c>
      <c r="S117" s="34" t="n">
        <f aca="false">IF(S$113=1,MIN(MAX(0,N(P_LC_Lim)-R$119),MAX(0,S$116-S$115)),0)*S$9</f>
        <v>0</v>
      </c>
      <c r="T117" s="34" t="n">
        <f aca="false">IF(T$113=1,MIN(MAX(0,N(P_LC_Lim)-S$119),MAX(0,T$116-T$115)),0)*T$9</f>
        <v>0</v>
      </c>
      <c r="U117" s="34" t="n">
        <f aca="false">IF(U$113=1,MIN(MAX(0,N(P_LC_Lim)-T$119),MAX(0,U$116-U$115)),0)*U$9</f>
        <v>0</v>
      </c>
      <c r="V117" s="34" t="n">
        <f aca="false">IF(V$113=1,MIN(MAX(0,N(P_LC_Lim)-U$119),MAX(0,V$116-V$115)),0)*V$9</f>
        <v>0</v>
      </c>
      <c r="W117" s="34" t="n">
        <f aca="false">IF(W$113=1,MIN(MAX(0,N(P_LC_Lim)-V$119),MAX(0,W$116-W$115)),0)*W$9</f>
        <v>0</v>
      </c>
      <c r="X117" s="34" t="n">
        <f aca="false">IF(X$113=1,MIN(MAX(0,N(P_LC_Lim)-W$119),MAX(0,X$116-X$115)),0)*X$9</f>
        <v>0</v>
      </c>
      <c r="Y117" s="34" t="n">
        <f aca="false">IF(Y$113=1,MIN(MAX(0,N(P_LC_Lim)-X$119),MAX(0,Y$116-Y$115)),0)*Y$9</f>
        <v>0</v>
      </c>
      <c r="Z117" s="34" t="n">
        <f aca="false">IF(Z$113=1,MIN(MAX(0,N(P_LC_Lim)-Y$119),MAX(0,Z$116-Z$115)),0)*Z$9</f>
        <v>0</v>
      </c>
      <c r="AA117" s="34" t="n">
        <f aca="false">IF(AA$113=1,MIN(MAX(0,N(P_LC_Lim)-Z$119),MAX(0,AA$116-AA$115)),0)*AA$9</f>
        <v>0</v>
      </c>
      <c r="AB117" s="34" t="n">
        <f aca="false">IF(AB$113=1,MIN(MAX(0,N(P_LC_Lim)-AA$119),MAX(0,AB$116-AB$115)),0)*AB$9</f>
        <v>0</v>
      </c>
      <c r="AC117" s="34" t="n">
        <f aca="false">IF(AC$113=1,MIN(MAX(0,N(P_LC_Lim)-AB$119),MAX(0,AC$116-AC$115)),0)*AC$9</f>
        <v>0</v>
      </c>
      <c r="AD117" s="34" t="n">
        <f aca="false">IF(AD$113=1,MIN(MAX(0,N(P_LC_Lim)-AC$119),MAX(0,AD$116-AD$115)),0)*AD$9</f>
        <v>0</v>
      </c>
      <c r="AE117" s="34" t="n">
        <f aca="false">IF(AE$113=1,MIN(MAX(0,N(P_LC_Lim)-AD$119),MAX(0,AE$116-AE$115)),0)*AE$9</f>
        <v>0</v>
      </c>
      <c r="AF117" s="34" t="n">
        <f aca="false">IF(AF$113=1,MIN(MAX(0,N(P_LC_Lim)-AE$119),MAX(0,AF$116-AF$115)),0)*AF$9</f>
        <v>0</v>
      </c>
      <c r="AG117" s="34" t="n">
        <f aca="false">IF(AG$113=1,MIN(MAX(0,N(P_LC_Lim)-AF$119),MAX(0,AG$116-AG$115)),0)*AG$9</f>
        <v>0</v>
      </c>
      <c r="AH117" s="34" t="n">
        <f aca="false">IF(AH$113=1,MIN(MAX(0,N(P_LC_Lim)-AG$119),MAX(0,AH$116-AH$115)),0)*AH$9</f>
        <v>0</v>
      </c>
      <c r="AI117" s="34" t="n">
        <f aca="false">IF(AI$113=1,MIN(MAX(0,N(P_LC_Lim)-AH$119),MAX(0,AI$116-AI$115)),0)*AI$9</f>
        <v>0</v>
      </c>
      <c r="AJ117" s="34" t="n">
        <f aca="false">IF(AJ$113=1,MIN(MAX(0,N(P_LC_Lim)-AI$119),MAX(0,AJ$116-AJ$115)),0)*AJ$9</f>
        <v>0</v>
      </c>
      <c r="AK117" s="34" t="n">
        <f aca="false">IF(AK$113=1,MIN(MAX(0,N(P_LC_Lim)-AJ$119),MAX(0,AK$116-AK$115)),0)*AK$9</f>
        <v>0</v>
      </c>
      <c r="AL117" s="34" t="n">
        <f aca="false">IF(AL$113=1,MIN(MAX(0,N(P_LC_Lim)-AK$119),MAX(0,AL$116-AL$115)),0)*AL$9</f>
        <v>0</v>
      </c>
      <c r="AM117" s="34" t="n">
        <f aca="false">IF(AM$113=1,MIN(MAX(0,N(P_LC_Lim)-AL$119),MAX(0,AM$116-AM$115)),0)*AM$9</f>
        <v>0</v>
      </c>
      <c r="AN117" s="34" t="n">
        <f aca="false">IF(AN$113=1,MIN(MAX(0,N(P_LC_Lim)-AM$119),MAX(0,AN$116-AN$115)),0)*AN$9</f>
        <v>0</v>
      </c>
      <c r="AO117" s="34" t="n">
        <f aca="false">IF(AO$113=1,MIN(MAX(0,N(P_LC_Lim)-AN$119),MAX(0,AO$116-AO$115)),0)*AO$9</f>
        <v>0</v>
      </c>
      <c r="AP117" s="34" t="n">
        <f aca="false">IF(AP$113=1,MIN(MAX(0,N(P_LC_Lim)-AO$119),MAX(0,AP$116-AP$115)),0)*AP$9</f>
        <v>0</v>
      </c>
      <c r="AQ117" s="34" t="n">
        <f aca="false">IF(AQ$113=1,MIN(MAX(0,N(P_LC_Lim)-AP$119),MAX(0,AQ$116-AQ$115)),0)*AQ$9</f>
        <v>0</v>
      </c>
      <c r="AR117" s="34" t="n">
        <f aca="false">IF(AR$113=1,MIN(MAX(0,N(P_LC_Lim)-AQ$119),MAX(0,AR$116-AR$115)),0)*AR$9</f>
        <v>0</v>
      </c>
      <c r="AS117" s="34" t="n">
        <f aca="false">IF(AS$113=1,MIN(MAX(0,N(P_LC_Lim)-AR$119),MAX(0,AS$116-AS$115)),0)*AS$9</f>
        <v>0</v>
      </c>
      <c r="AT117" s="34" t="n">
        <f aca="false">IF(AT$113=1,MIN(MAX(0,N(P_LC_Lim)-AS$119),MAX(0,AT$116-AT$115)),0)*AT$9</f>
        <v>0</v>
      </c>
      <c r="AU117" s="34" t="n">
        <f aca="false">IF(AU$113=1,MIN(MAX(0,N(P_LC_Lim)-AT$119),MAX(0,AU$116-AU$115)),0)*AU$9</f>
        <v>0</v>
      </c>
      <c r="AV117" s="34" t="n">
        <f aca="false">IF(AV$113=1,MIN(MAX(0,N(P_LC_Lim)-AU$119),MAX(0,AV$116-AV$115)),0)*AV$9</f>
        <v>0</v>
      </c>
      <c r="AW117" s="34" t="n">
        <f aca="false">IF(AW$113=1,MIN(MAX(0,N(P_LC_Lim)-AV$119),MAX(0,AW$116-AW$115)),0)*AW$9</f>
        <v>0</v>
      </c>
      <c r="AX117" s="34" t="n">
        <f aca="false">IF(AX$113=1,MIN(MAX(0,N(P_LC_Lim)-AW$119),MAX(0,AX$116-AX$115)),0)*AX$9</f>
        <v>0</v>
      </c>
      <c r="AY117" s="34" t="n">
        <f aca="false">IF(AY$113=1,MIN(MAX(0,N(P_LC_Lim)-AX$119),MAX(0,AY$116-AY$115)),0)*AY$9</f>
        <v>0</v>
      </c>
      <c r="AZ117" s="34" t="n">
        <f aca="false">IF(AZ$113=1,MIN(MAX(0,N(P_LC_Lim)-AY$119),MAX(0,AZ$116-AZ$115)),0)*AZ$9</f>
        <v>0</v>
      </c>
      <c r="BA117" s="34" t="n">
        <f aca="false">IF(BA$113=1,MIN(MAX(0,N(P_LC_Lim)-AZ$119),MAX(0,BA$116-BA$115)),0)*BA$9</f>
        <v>0</v>
      </c>
      <c r="BB117" s="34" t="n">
        <f aca="false">IF(BB$113=1,MIN(MAX(0,N(P_LC_Lim)-BA$119),MAX(0,BB$116-BB$115)),0)*BB$9</f>
        <v>0</v>
      </c>
      <c r="BC117" s="34" t="n">
        <f aca="false">IF(BC$113=1,MIN(MAX(0,N(P_LC_Lim)-BB$119),MAX(0,BC$116-BC$115)),0)*BC$9</f>
        <v>0</v>
      </c>
      <c r="BD117" s="34" t="n">
        <f aca="false">IF(BD$113=1,MIN(MAX(0,N(P_LC_Lim)-BC$119),MAX(0,BD$116-BD$115)),0)*BD$9</f>
        <v>0</v>
      </c>
      <c r="BE117" s="34" t="n">
        <f aca="false">IF(BE$113=1,MIN(MAX(0,N(P_LC_Lim)-BD$119),MAX(0,BE$116-BE$115)),0)*BE$9</f>
        <v>0</v>
      </c>
      <c r="BF117" s="34" t="n">
        <f aca="false">IF(BF$113=1,MIN(MAX(0,N(P_LC_Lim)-BE$119),MAX(0,BF$116-BF$115)),0)*BF$9</f>
        <v>0</v>
      </c>
      <c r="BG117" s="34" t="n">
        <f aca="false">IF(BG$113=1,MIN(MAX(0,N(P_LC_Lim)-BF$119),MAX(0,BG$116-BG$115)),0)*BG$9</f>
        <v>0</v>
      </c>
      <c r="BH117" s="34" t="n">
        <f aca="false">IF(BH$113=1,MIN(MAX(0,N(P_LC_Lim)-BG$119),MAX(0,BH$116-BH$115)),0)*BH$9</f>
        <v>0</v>
      </c>
      <c r="BI117" s="34" t="n">
        <f aca="false">IF(BI$113=1,MIN(MAX(0,N(P_LC_Lim)-BH$119),MAX(0,BI$116-BI$115)),0)*BI$9</f>
        <v>0</v>
      </c>
      <c r="BJ117" s="34" t="n">
        <f aca="false">IF(BJ$113=1,MIN(MAX(0,N(P_LC_Lim)-BI$119),MAX(0,BJ$116-BJ$115)),0)*BJ$9</f>
        <v>0</v>
      </c>
      <c r="BK117" s="34" t="n">
        <f aca="false">IF(BK$113=1,MIN(MAX(0,N(P_LC_Lim)-BJ$119),MAX(0,BK$116-BK$115)),0)*BK$9</f>
        <v>0</v>
      </c>
      <c r="BL117" s="34" t="n">
        <f aca="false">IF(BL$113=1,MIN(MAX(0,N(P_LC_Lim)-BK$119),MAX(0,BL$116-BL$115)),0)*BL$9</f>
        <v>0</v>
      </c>
      <c r="BM117" s="34" t="n">
        <f aca="false">IF(BM$113=1,MIN(MAX(0,N(P_LC_Lim)-BL$119),MAX(0,BM$116-BM$115)),0)*BM$9</f>
        <v>0</v>
      </c>
      <c r="BN117" s="34" t="n">
        <f aca="false">IF(BN$113=1,MIN(MAX(0,N(P_LC_Lim)-BM$119),MAX(0,BN$116-BN$115)),0)*BN$9</f>
        <v>0</v>
      </c>
      <c r="BO117" s="34" t="n">
        <f aca="false">IF(BO$113=1,MIN(MAX(0,N(P_LC_Lim)-BN$119),MAX(0,BO$116-BO$115)),0)*BO$9</f>
        <v>0</v>
      </c>
      <c r="BP117" s="34" t="n">
        <f aca="false">IF(BP$113=1,MIN(MAX(0,N(P_LC_Lim)-BO$119),MAX(0,BP$116-BP$115)),0)*BP$9</f>
        <v>0</v>
      </c>
      <c r="BQ117" s="34" t="n">
        <f aca="false">IF(BQ$113=1,MIN(MAX(0,N(P_LC_Lim)-BP$119),MAX(0,BQ$116-BQ$115)),0)*BQ$9</f>
        <v>0</v>
      </c>
      <c r="BR117" s="34" t="n">
        <f aca="false">IF(BR$113=1,MIN(MAX(0,N(P_LC_Lim)-BQ$119),MAX(0,BR$116-BR$115)),0)*BR$9</f>
        <v>0</v>
      </c>
      <c r="BS117" s="34" t="n">
        <f aca="false">IF(BS$113=1,MIN(MAX(0,N(P_LC_Lim)-BR$119),MAX(0,BS$116-BS$115)),0)*BS$9</f>
        <v>0</v>
      </c>
      <c r="BT117" s="34" t="n">
        <f aca="false">IF(BT$113=1,MIN(MAX(0,N(P_LC_Lim)-BS$119),MAX(0,BT$116-BT$115)),0)*BT$9</f>
        <v>0</v>
      </c>
      <c r="BU117" s="34" t="n">
        <f aca="false">IF(BU$113=1,MIN(MAX(0,N(P_LC_Lim)-BT$119),MAX(0,BU$116-BU$115)),0)*BU$9</f>
        <v>0</v>
      </c>
      <c r="BV117" s="34" t="n">
        <f aca="false">IF(BV$113=1,MIN(MAX(0,N(P_LC_Lim)-BU$119),MAX(0,BV$116-BV$115)),0)*BV$9</f>
        <v>0</v>
      </c>
      <c r="BW117" s="34" t="n">
        <f aca="false">IF(BW$113=1,MIN(MAX(0,N(P_LC_Lim)-BV$119),MAX(0,BW$116-BW$115)),0)*BW$9</f>
        <v>0</v>
      </c>
      <c r="BX117" s="34" t="n">
        <f aca="false">IF(BX$113=1,MIN(MAX(0,N(P_LC_Lim)-BW$119),MAX(0,BX$116-BX$115)),0)*BX$9</f>
        <v>0</v>
      </c>
      <c r="BY117" s="34" t="n">
        <f aca="false">IF(BY$113=1,MIN(MAX(0,N(P_LC_Lim)-BX$119),MAX(0,BY$116-BY$115)),0)*BY$9</f>
        <v>0</v>
      </c>
      <c r="BZ117" s="34" t="n">
        <f aca="false">IF(BZ$113=1,MIN(MAX(0,N(P_LC_Lim)-BY$119),MAX(0,BZ$116-BZ$115)),0)*BZ$9</f>
        <v>0</v>
      </c>
      <c r="CA117" s="34" t="n">
        <f aca="false">IF(CA$113=1,MIN(MAX(0,N(P_LC_Lim)-BZ$119),MAX(0,CA$116-CA$115)),0)*CA$9</f>
        <v>0</v>
      </c>
      <c r="CB117" s="34" t="n">
        <f aca="false">IF(CB$113=1,MIN(MAX(0,N(P_LC_Lim)-CA$119),MAX(0,CB$116-CB$115)),0)*CB$9</f>
        <v>0</v>
      </c>
      <c r="CC117" s="34" t="n">
        <f aca="false">IF(CC$113=1,MIN(MAX(0,N(P_LC_Lim)-CB$119),MAX(0,CC$116-CC$115)),0)*CC$9</f>
        <v>0</v>
      </c>
      <c r="CD117" s="34" t="n">
        <f aca="false">IF(CD$113=1,MIN(MAX(0,N(P_LC_Lim)-CC$119),MAX(0,CD$116-CD$115)),0)*CD$9</f>
        <v>0</v>
      </c>
      <c r="CE117" s="34" t="n">
        <f aca="false">IF(CE$113=1,MIN(MAX(0,N(P_LC_Lim)-CD$119),MAX(0,CE$116-CE$115)),0)*CE$9</f>
        <v>0</v>
      </c>
      <c r="CF117" s="34" t="n">
        <f aca="false">IF(CF$113=1,MIN(MAX(0,N(P_LC_Lim)-CE$119),MAX(0,CF$116-CF$115)),0)*CF$9</f>
        <v>0</v>
      </c>
      <c r="CG117" s="34" t="n">
        <f aca="false">IF(CG$113=1,MIN(MAX(0,N(P_LC_Lim)-CF$119),MAX(0,CG$116-CG$115)),0)*CG$9</f>
        <v>0</v>
      </c>
      <c r="CH117" s="34" t="n">
        <f aca="false">IF(CH$113=1,MIN(MAX(0,N(P_LC_Lim)-CG$119),MAX(0,CH$116-CH$115)),0)*CH$9</f>
        <v>0</v>
      </c>
      <c r="CI117" s="34" t="n">
        <f aca="false">IF(CI$113=1,MIN(MAX(0,N(P_LC_Lim)-CH$119),MAX(0,CI$116-CI$115)),0)*CI$9</f>
        <v>0</v>
      </c>
      <c r="CJ117" s="34" t="n">
        <f aca="false">IF(CJ$113=1,MIN(MAX(0,N(P_LC_Lim)-CI$119),MAX(0,CJ$116-CJ$115)),0)*CJ$9</f>
        <v>0</v>
      </c>
      <c r="CK117" s="34" t="n">
        <f aca="false">IF(CK$113=1,MIN(MAX(0,N(P_LC_Lim)-CJ$119),MAX(0,CK$116-CK$115)),0)*CK$9</f>
        <v>0</v>
      </c>
      <c r="CL117" s="34" t="n">
        <f aca="false">IF(CL$113=1,MIN(MAX(0,N(P_LC_Lim)-CK$119),MAX(0,CL$116-CL$115)),0)*CL$9</f>
        <v>0</v>
      </c>
      <c r="CM117" s="34" t="n">
        <f aca="false">IF(CM$113=1,MIN(MAX(0,N(P_LC_Lim)-CL$119),MAX(0,CM$116-CM$115)),0)*CM$9</f>
        <v>0</v>
      </c>
      <c r="CN117" s="34" t="n">
        <f aca="false">IF(CN$113=1,MIN(MAX(0,N(P_LC_Lim)-CM$119),MAX(0,CN$116-CN$115)),0)*CN$9</f>
        <v>0</v>
      </c>
      <c r="CO117" s="34" t="n">
        <f aca="false">IF(CO$113=1,MIN(MAX(0,N(P_LC_Lim)-CN$119),MAX(0,CO$116-CO$115)),0)*CO$9</f>
        <v>0</v>
      </c>
      <c r="CP117" s="34" t="n">
        <f aca="false">IF(CP$113=1,MIN(MAX(0,N(P_LC_Lim)-CO$119),MAX(0,CP$116-CP$115)),0)*CP$9</f>
        <v>0</v>
      </c>
      <c r="CQ117" s="34" t="n">
        <f aca="false">IF(CQ$113=1,MIN(MAX(0,N(P_LC_Lim)-CP$119),MAX(0,CQ$116-CQ$115)),0)*CQ$9</f>
        <v>0</v>
      </c>
      <c r="CR117" s="34" t="n">
        <f aca="false">IF(CR$113=1,MIN(MAX(0,N(P_LC_Lim)-CQ$119),MAX(0,CR$116-CR$115)),0)*CR$9</f>
        <v>0</v>
      </c>
      <c r="CS117" s="34" t="n">
        <f aca="false">IF(CS$113=1,MIN(MAX(0,N(P_LC_Lim)-CR$119),MAX(0,CS$116-CS$115)),0)*CS$9</f>
        <v>0</v>
      </c>
      <c r="CT117" s="34" t="n">
        <f aca="false">IF(CT$113=1,MIN(MAX(0,N(P_LC_Lim)-CS$119),MAX(0,CT$116-CT$115)),0)*CT$9</f>
        <v>0</v>
      </c>
      <c r="CU117" s="34" t="n">
        <f aca="false">IF(CU$113=1,MIN(MAX(0,N(P_LC_Lim)-CT$119),MAX(0,CU$116-CU$115)),0)*CU$9</f>
        <v>0</v>
      </c>
      <c r="CV117" s="34" t="n">
        <f aca="false">IF(CV$113=1,MIN(MAX(0,N(P_LC_Lim)-CU$119),MAX(0,CV$116-CV$115)),0)*CV$9</f>
        <v>0</v>
      </c>
      <c r="CW117" s="34" t="n">
        <f aca="false">IF(CW$113=1,MIN(MAX(0,N(P_LC_Lim)-CV$119),MAX(0,CW$116-CW$115)),0)*CW$9</f>
        <v>0</v>
      </c>
      <c r="CX117" s="34" t="n">
        <f aca="false">IF(CX$113=1,MIN(MAX(0,N(P_LC_Lim)-CW$119),MAX(0,CX$116-CX$115)),0)*CX$9</f>
        <v>0</v>
      </c>
      <c r="CY117" s="34" t="n">
        <f aca="false">IF(CY$113=1,MIN(MAX(0,N(P_LC_Lim)-CX$119),MAX(0,CY$116-CY$115)),0)*CY$9</f>
        <v>0</v>
      </c>
      <c r="CZ117" s="34" t="n">
        <f aca="false">IF(CZ$113=1,MIN(MAX(0,N(P_LC_Lim)-CY$119),MAX(0,CZ$116-CZ$115)),0)*CZ$9</f>
        <v>0</v>
      </c>
      <c r="DA117" s="34" t="n">
        <f aca="false">IF(DA$113=1,MIN(MAX(0,N(P_LC_Lim)-CZ$119),MAX(0,DA$116-DA$115)),0)*DA$9</f>
        <v>0</v>
      </c>
      <c r="DB117" s="34" t="n">
        <f aca="false">IF(DB$113=1,MIN(MAX(0,N(P_LC_Lim)-DA$119),MAX(0,DB$116-DB$115)),0)*DB$9</f>
        <v>0</v>
      </c>
      <c r="DC117" s="34" t="n">
        <f aca="false">IF(DC$113=1,MIN(MAX(0,N(P_LC_Lim)-DB$119),MAX(0,DC$116-DC$115)),0)*DC$9</f>
        <v>0</v>
      </c>
      <c r="DD117" s="34" t="n">
        <f aca="false">IF(DD$113=1,MIN(MAX(0,N(P_LC_Lim)-DC$119),MAX(0,DD$116-DD$115)),0)*DD$9</f>
        <v>0</v>
      </c>
      <c r="DE117" s="34" t="n">
        <f aca="false">IF(DE$113=1,MIN(MAX(0,N(P_LC_Lim)-DD$119),MAX(0,DE$116-DE$115)),0)*DE$9</f>
        <v>0</v>
      </c>
      <c r="DF117" s="34" t="n">
        <f aca="false">IF(DF$113=1,MIN(MAX(0,N(P_LC_Lim)-DE$119),MAX(0,DF$116-DF$115)),0)*DF$9</f>
        <v>0</v>
      </c>
      <c r="DG117" s="34" t="n">
        <f aca="false">IF(DG$113=1,MIN(MAX(0,N(P_LC_Lim)-DF$119),MAX(0,DG$116-DG$115)),0)*DG$9</f>
        <v>0</v>
      </c>
      <c r="DH117" s="34" t="n">
        <f aca="false">IF(DH$113=1,MIN(MAX(0,N(P_LC_Lim)-DG$119),MAX(0,DH$116-DH$115)),0)*DH$9</f>
        <v>0</v>
      </c>
      <c r="DI117" s="34" t="n">
        <f aca="false">IF(DI$113=1,MIN(MAX(0,N(P_LC_Lim)-DH$119),MAX(0,DI$116-DI$115)),0)*DI$9</f>
        <v>0</v>
      </c>
      <c r="DJ117" s="34" t="n">
        <f aca="false">IF(DJ$113=1,MIN(MAX(0,N(P_LC_Lim)-DI$119),MAX(0,DJ$116-DJ$115)),0)*DJ$9</f>
        <v>0</v>
      </c>
      <c r="DK117" s="34" t="n">
        <f aca="false">IF(DK$113=1,MIN(MAX(0,N(P_LC_Lim)-DJ$119),MAX(0,DK$116-DK$115)),0)*DK$9</f>
        <v>0</v>
      </c>
      <c r="DL117" s="34" t="n">
        <f aca="false">IF(DL$113=1,MIN(MAX(0,N(P_LC_Lim)-DK$119),MAX(0,DL$116-DL$115)),0)*DL$9</f>
        <v>0</v>
      </c>
      <c r="DM117" s="34" t="n">
        <f aca="false">IF(DM$113=1,MIN(MAX(0,N(P_LC_Lim)-DL$119),MAX(0,DM$116-DM$115)),0)*DM$9</f>
        <v>0</v>
      </c>
      <c r="DN117" s="34" t="n">
        <f aca="false">IF(DN$113=1,MIN(MAX(0,N(P_LC_Lim)-DM$119),MAX(0,DN$116-DN$115)),0)*DN$9</f>
        <v>0</v>
      </c>
      <c r="DO117" s="34" t="n">
        <f aca="false">IF(DO$113=1,MIN(MAX(0,N(P_LC_Lim)-DN$119),MAX(0,DO$116-DO$115)),0)*DO$9</f>
        <v>0</v>
      </c>
      <c r="DP117" s="34" t="n">
        <f aca="false">IF(DP$113=1,MIN(MAX(0,N(P_LC_Lim)-DO$119),MAX(0,DP$116-DP$115)),0)*DP$9</f>
        <v>0</v>
      </c>
      <c r="DQ117" s="34" t="n">
        <f aca="false">IF(DQ$113=1,MIN(MAX(0,N(P_LC_Lim)-DP$119),MAX(0,DQ$116-DQ$115)),0)*DQ$9</f>
        <v>0</v>
      </c>
      <c r="DR117" s="34" t="n">
        <f aca="false">IF(DR$113=1,MIN(MAX(0,N(P_LC_Lim)-DQ$119),MAX(0,DR$116-DR$115)),0)*DR$9</f>
        <v>0</v>
      </c>
      <c r="DS117" s="34" t="n">
        <f aca="false">IF(DS$113=1,MIN(MAX(0,N(P_LC_Lim)-DR$119),MAX(0,DS$116-DS$115)),0)*DS$9</f>
        <v>0</v>
      </c>
      <c r="DT117" s="34" t="n">
        <f aca="false">IF(DT$113=1,MIN(MAX(0,N(P_LC_Lim)-DS$119),MAX(0,DT$116-DT$115)),0)*DT$9</f>
        <v>0</v>
      </c>
      <c r="DU117" s="34" t="n">
        <f aca="false">IF(DU$113=1,MIN(MAX(0,N(P_LC_Lim)-DT$119),MAX(0,DU$116-DU$115)),0)*DU$9</f>
        <v>0</v>
      </c>
      <c r="DV117" s="34" t="n">
        <f aca="false">IF(DV$113=1,MIN(MAX(0,N(P_LC_Lim)-DU$119),MAX(0,DV$116-DV$115)),0)*DV$9</f>
        <v>0</v>
      </c>
      <c r="DW117" s="34" t="n">
        <f aca="false">IF(DW$113=1,MIN(MAX(0,N(P_LC_Lim)-DV$119),MAX(0,DW$116-DW$115)),0)*DW$9</f>
        <v>0</v>
      </c>
      <c r="DX117" s="34" t="n">
        <f aca="false">IF(DX$113=1,MIN(MAX(0,N(P_LC_Lim)-DW$119),MAX(0,DX$116-DX$115)),0)*DX$9</f>
        <v>0</v>
      </c>
      <c r="DY117" s="34" t="n">
        <f aca="false">IF(DY$113=1,MIN(MAX(0,N(P_LC_Lim)-DX$119),MAX(0,DY$116-DY$115)),0)*DY$9</f>
        <v>0</v>
      </c>
      <c r="DZ117" s="34" t="n">
        <f aca="false">IF(DZ$113=1,MIN(MAX(0,N(P_LC_Lim)-DY$119),MAX(0,DZ$116-DZ$115)),0)*DZ$9</f>
        <v>0</v>
      </c>
      <c r="EA117" s="34" t="n">
        <f aca="false">IF(EA$113=1,MIN(MAX(0,N(P_LC_Lim)-DZ$119),MAX(0,EA$116-EA$115)),0)*EA$9</f>
        <v>0</v>
      </c>
      <c r="EB117" s="34" t="n">
        <f aca="false">IF(EB$113=1,MIN(MAX(0,N(P_LC_Lim)-EA$119),MAX(0,EB$116-EB$115)),0)*EB$9</f>
        <v>0</v>
      </c>
      <c r="EC117" s="34" t="n">
        <f aca="false">IF(EC$113=1,MIN(MAX(0,N(P_LC_Lim)-EB$119),MAX(0,EC$116-EC$115)),0)*EC$9</f>
        <v>0</v>
      </c>
      <c r="ED117" s="34" t="n">
        <f aca="false">IF(ED$113=1,MIN(MAX(0,N(P_LC_Lim)-EC$119),MAX(0,ED$116-ED$115)),0)*ED$9</f>
        <v>0</v>
      </c>
      <c r="EE117" s="34" t="n">
        <f aca="false">IF(EE$113=1,MIN(MAX(0,N(P_LC_Lim)-ED$119),MAX(0,EE$116-EE$115)),0)*EE$9</f>
        <v>0</v>
      </c>
      <c r="EF117" s="34" t="n">
        <f aca="false">IF(EF$113=1,MIN(MAX(0,N(P_LC_Lim)-EE$119),MAX(0,EF$116-EF$115)),0)*EF$9</f>
        <v>0</v>
      </c>
      <c r="EG117" s="34" t="n">
        <f aca="false">IF(EG$113=1,MIN(MAX(0,N(P_LC_Lim)-EF$119),MAX(0,EG$116-EG$115)),0)*EG$9</f>
        <v>0</v>
      </c>
      <c r="EH117" s="34" t="n">
        <f aca="false">IF(EH$113=1,MIN(MAX(0,N(P_LC_Lim)-EG$119),MAX(0,EH$116-EH$115)),0)*EH$9</f>
        <v>0</v>
      </c>
      <c r="EI117" s="34" t="n">
        <f aca="false">IF(EI$113=1,MIN(MAX(0,N(P_LC_Lim)-EH$119),MAX(0,EI$116-EI$115)),0)*EI$9</f>
        <v>0</v>
      </c>
      <c r="EJ117" s="34" t="n">
        <f aca="false">IF(EJ$113=1,MIN(MAX(0,N(P_LC_Lim)-EI$119),MAX(0,EJ$116-EJ$115)),0)*EJ$9</f>
        <v>0</v>
      </c>
      <c r="EK117" s="34" t="n">
        <f aca="false">IF(EK$113=1,MIN(MAX(0,N(P_LC_Lim)-EJ$119),MAX(0,EK$116-EK$115)),0)*EK$9</f>
        <v>0</v>
      </c>
      <c r="EL117" s="34" t="n">
        <f aca="false">IF(EL$113=1,MIN(MAX(0,N(P_LC_Lim)-EK$119),MAX(0,EL$116-EL$115)),0)*EL$9</f>
        <v>0</v>
      </c>
      <c r="EM117" s="34" t="n">
        <f aca="false">IF(EM$113=1,MIN(MAX(0,N(P_LC_Lim)-EL$119),MAX(0,EM$116-EM$115)),0)*EM$9</f>
        <v>0</v>
      </c>
      <c r="EN117" s="34" t="n">
        <f aca="false">IF(EN$113=1,MIN(MAX(0,N(P_LC_Lim)-EM$119),MAX(0,EN$116-EN$115)),0)*EN$9</f>
        <v>0</v>
      </c>
      <c r="EO117" s="34" t="n">
        <f aca="false">IF(EO$113=1,MIN(MAX(0,N(P_LC_Lim)-EN$119),MAX(0,EO$116-EO$115)),0)*EO$9</f>
        <v>0</v>
      </c>
      <c r="EP117" s="34" t="n">
        <f aca="false">IF(EP$113=1,MIN(MAX(0,N(P_LC_Lim)-EO$119),MAX(0,EP$116-EP$115)),0)*EP$9</f>
        <v>0</v>
      </c>
      <c r="EQ117" s="34" t="n">
        <f aca="false">IF(EQ$113=1,MIN(MAX(0,N(P_LC_Lim)-EP$119),MAX(0,EQ$116-EQ$115)),0)*EQ$9</f>
        <v>0</v>
      </c>
      <c r="ER117" s="34" t="n">
        <f aca="false">IF(ER$113=1,MIN(MAX(0,N(P_LC_Lim)-EQ$119),MAX(0,ER$116-ER$115)),0)*ER$9</f>
        <v>0</v>
      </c>
      <c r="ES117" s="34" t="n">
        <f aca="false">IF(ES$113=1,MIN(MAX(0,N(P_LC_Lim)-ER$119),MAX(0,ES$116-ES$115)),0)*ES$9</f>
        <v>0</v>
      </c>
    </row>
    <row r="118" customFormat="false" ht="15" hidden="false" customHeight="false" outlineLevel="0" collapsed="false">
      <c r="A118" s="2" t="s">
        <v>717</v>
      </c>
      <c r="B118" s="6" t="s">
        <v>718</v>
      </c>
      <c r="C118" s="6" t="s">
        <v>250</v>
      </c>
      <c r="E118" s="40" t="n">
        <f aca="false">SUM(F118:ES118)</f>
        <v>0</v>
      </c>
      <c r="F118" s="34" t="n">
        <f aca="false">IF(F$113=1,MIN(0,MAX(0,F$115-F$116)),0)*F$9</f>
        <v>0</v>
      </c>
      <c r="G118" s="34" t="n">
        <f aca="false">IF(G$113=1,MIN(F$119,MAX(0,G$115-G$116)),F$119)*G$9</f>
        <v>0</v>
      </c>
      <c r="H118" s="34" t="n">
        <f aca="false">IF(H$113=1,MIN(G$119,MAX(0,H$115-H$116)),G$119)*H$9</f>
        <v>0</v>
      </c>
      <c r="I118" s="34" t="n">
        <f aca="false">IF(I$113=1,MIN(H$119,MAX(0,I$115-I$116)),H$119)*I$9</f>
        <v>0</v>
      </c>
      <c r="J118" s="34" t="n">
        <f aca="false">IF(J$113=1,MIN(I$119,MAX(0,J$115-J$116)),I$119)*J$9</f>
        <v>0</v>
      </c>
      <c r="K118" s="34" t="n">
        <f aca="false">IF(K$113=1,MIN(J$119,MAX(0,K$115-K$116)),J$119)*K$9</f>
        <v>0</v>
      </c>
      <c r="L118" s="34" t="n">
        <f aca="false">IF(L$113=1,MIN(K$119,MAX(0,L$115-L$116)),K$119)*L$9</f>
        <v>0</v>
      </c>
      <c r="M118" s="34" t="n">
        <f aca="false">IF(M$113=1,MIN(L$119,MAX(0,M$115-M$116)),L$119)*M$9</f>
        <v>0</v>
      </c>
      <c r="N118" s="34" t="n">
        <f aca="false">IF(N$113=1,MIN(M$119,MAX(0,N$115-N$116)),M$119)*N$9</f>
        <v>0</v>
      </c>
      <c r="O118" s="34" t="n">
        <f aca="false">IF(O$113=1,MIN(N$119,MAX(0,O$115-O$116)),N$119)*O$9</f>
        <v>0</v>
      </c>
      <c r="P118" s="34" t="n">
        <f aca="false">IF(P$113=1,MIN(O$119,MAX(0,P$115-P$116)),O$119)*P$9</f>
        <v>0</v>
      </c>
      <c r="Q118" s="34" t="n">
        <f aca="false">IF(Q$113=1,MIN(P$119,MAX(0,Q$115-Q$116)),P$119)*Q$9</f>
        <v>0</v>
      </c>
      <c r="R118" s="34" t="n">
        <f aca="false">IF(R$113=1,MIN(Q$119,MAX(0,R$115-R$116)),Q$119)*R$9</f>
        <v>0</v>
      </c>
      <c r="S118" s="34" t="n">
        <f aca="false">IF(S$113=1,MIN(R$119,MAX(0,S$115-S$116)),R$119)*S$9</f>
        <v>0</v>
      </c>
      <c r="T118" s="34" t="n">
        <f aca="false">IF(T$113=1,MIN(S$119,MAX(0,T$115-T$116)),S$119)*T$9</f>
        <v>0</v>
      </c>
      <c r="U118" s="34" t="n">
        <f aca="false">IF(U$113=1,MIN(T$119,MAX(0,U$115-U$116)),T$119)*U$9</f>
        <v>0</v>
      </c>
      <c r="V118" s="34" t="n">
        <f aca="false">IF(V$113=1,MIN(U$119,MAX(0,V$115-V$116)),U$119)*V$9</f>
        <v>0</v>
      </c>
      <c r="W118" s="34" t="n">
        <f aca="false">IF(W$113=1,MIN(V$119,MAX(0,W$115-W$116)),V$119)*W$9</f>
        <v>0</v>
      </c>
      <c r="X118" s="34" t="n">
        <f aca="false">IF(X$113=1,MIN(W$119,MAX(0,X$115-X$116)),W$119)*X$9</f>
        <v>0</v>
      </c>
      <c r="Y118" s="34" t="n">
        <f aca="false">IF(Y$113=1,MIN(X$119,MAX(0,Y$115-Y$116)),X$119)*Y$9</f>
        <v>0</v>
      </c>
      <c r="Z118" s="34" t="n">
        <f aca="false">IF(Z$113=1,MIN(Y$119,MAX(0,Z$115-Z$116)),Y$119)*Z$9</f>
        <v>0</v>
      </c>
      <c r="AA118" s="34" t="n">
        <f aca="false">IF(AA$113=1,MIN(Z$119,MAX(0,AA$115-AA$116)),Z$119)*AA$9</f>
        <v>0</v>
      </c>
      <c r="AB118" s="34" t="n">
        <f aca="false">IF(AB$113=1,MIN(AA$119,MAX(0,AB$115-AB$116)),AA$119)*AB$9</f>
        <v>0</v>
      </c>
      <c r="AC118" s="34" t="n">
        <f aca="false">IF(AC$113=1,MIN(AB$119,MAX(0,AC$115-AC$116)),AB$119)*AC$9</f>
        <v>0</v>
      </c>
      <c r="AD118" s="34" t="n">
        <f aca="false">IF(AD$113=1,MIN(AC$119,MAX(0,AD$115-AD$116)),AC$119)*AD$9</f>
        <v>0</v>
      </c>
      <c r="AE118" s="34" t="n">
        <f aca="false">IF(AE$113=1,MIN(AD$119,MAX(0,AE$115-AE$116)),AD$119)*AE$9</f>
        <v>0</v>
      </c>
      <c r="AF118" s="34" t="n">
        <f aca="false">IF(AF$113=1,MIN(AE$119,MAX(0,AF$115-AF$116)),AE$119)*AF$9</f>
        <v>0</v>
      </c>
      <c r="AG118" s="34" t="n">
        <f aca="false">IF(AG$113=1,MIN(AF$119,MAX(0,AG$115-AG$116)),AF$119)*AG$9</f>
        <v>0</v>
      </c>
      <c r="AH118" s="34" t="n">
        <f aca="false">IF(AH$113=1,MIN(AG$119,MAX(0,AH$115-AH$116)),AG$119)*AH$9</f>
        <v>0</v>
      </c>
      <c r="AI118" s="34" t="n">
        <f aca="false">IF(AI$113=1,MIN(AH$119,MAX(0,AI$115-AI$116)),AH$119)*AI$9</f>
        <v>0</v>
      </c>
      <c r="AJ118" s="34" t="n">
        <f aca="false">IF(AJ$113=1,MIN(AI$119,MAX(0,AJ$115-AJ$116)),AI$119)*AJ$9</f>
        <v>0</v>
      </c>
      <c r="AK118" s="34" t="n">
        <f aca="false">IF(AK$113=1,MIN(AJ$119,MAX(0,AK$115-AK$116)),AJ$119)*AK$9</f>
        <v>0</v>
      </c>
      <c r="AL118" s="34" t="n">
        <f aca="false">IF(AL$113=1,MIN(AK$119,MAX(0,AL$115-AL$116)),AK$119)*AL$9</f>
        <v>0</v>
      </c>
      <c r="AM118" s="34" t="n">
        <f aca="false">IF(AM$113=1,MIN(AL$119,MAX(0,AM$115-AM$116)),AL$119)*AM$9</f>
        <v>0</v>
      </c>
      <c r="AN118" s="34" t="n">
        <f aca="false">IF(AN$113=1,MIN(AM$119,MAX(0,AN$115-AN$116)),AM$119)*AN$9</f>
        <v>0</v>
      </c>
      <c r="AO118" s="34" t="n">
        <f aca="false">IF(AO$113=1,MIN(AN$119,MAX(0,AO$115-AO$116)),AN$119)*AO$9</f>
        <v>0</v>
      </c>
      <c r="AP118" s="34" t="n">
        <f aca="false">IF(AP$113=1,MIN(AO$119,MAX(0,AP$115-AP$116)),AO$119)*AP$9</f>
        <v>0</v>
      </c>
      <c r="AQ118" s="34" t="n">
        <f aca="false">IF(AQ$113=1,MIN(AP$119,MAX(0,AQ$115-AQ$116)),AP$119)*AQ$9</f>
        <v>0</v>
      </c>
      <c r="AR118" s="34" t="n">
        <f aca="false">IF(AR$113=1,MIN(AQ$119,MAX(0,AR$115-AR$116)),AQ$119)*AR$9</f>
        <v>0</v>
      </c>
      <c r="AS118" s="34" t="n">
        <f aca="false">IF(AS$113=1,MIN(AR$119,MAX(0,AS$115-AS$116)),AR$119)*AS$9</f>
        <v>0</v>
      </c>
      <c r="AT118" s="34" t="n">
        <f aca="false">IF(AT$113=1,MIN(AS$119,MAX(0,AT$115-AT$116)),AS$119)*AT$9</f>
        <v>0</v>
      </c>
      <c r="AU118" s="34" t="n">
        <f aca="false">IF(AU$113=1,MIN(AT$119,MAX(0,AU$115-AU$116)),AT$119)*AU$9</f>
        <v>0</v>
      </c>
      <c r="AV118" s="34" t="n">
        <f aca="false">IF(AV$113=1,MIN(AU$119,MAX(0,AV$115-AV$116)),AU$119)*AV$9</f>
        <v>0</v>
      </c>
      <c r="AW118" s="34" t="n">
        <f aca="false">IF(AW$113=1,MIN(AV$119,MAX(0,AW$115-AW$116)),AV$119)*AW$9</f>
        <v>0</v>
      </c>
      <c r="AX118" s="34" t="n">
        <f aca="false">IF(AX$113=1,MIN(AW$119,MAX(0,AX$115-AX$116)),AW$119)*AX$9</f>
        <v>0</v>
      </c>
      <c r="AY118" s="34" t="n">
        <f aca="false">IF(AY$113=1,MIN(AX$119,MAX(0,AY$115-AY$116)),AX$119)*AY$9</f>
        <v>0</v>
      </c>
      <c r="AZ118" s="34" t="n">
        <f aca="false">IF(AZ$113=1,MIN(AY$119,MAX(0,AZ$115-AZ$116)),AY$119)*AZ$9</f>
        <v>0</v>
      </c>
      <c r="BA118" s="34" t="n">
        <f aca="false">IF(BA$113=1,MIN(AZ$119,MAX(0,BA$115-BA$116)),AZ$119)*BA$9</f>
        <v>0</v>
      </c>
      <c r="BB118" s="34" t="n">
        <f aca="false">IF(BB$113=1,MIN(BA$119,MAX(0,BB$115-BB$116)),BA$119)*BB$9</f>
        <v>0</v>
      </c>
      <c r="BC118" s="34" t="n">
        <f aca="false">IF(BC$113=1,MIN(BB$119,MAX(0,BC$115-BC$116)),BB$119)*BC$9</f>
        <v>0</v>
      </c>
      <c r="BD118" s="34" t="n">
        <f aca="false">IF(BD$113=1,MIN(BC$119,MAX(0,BD$115-BD$116)),BC$119)*BD$9</f>
        <v>0</v>
      </c>
      <c r="BE118" s="34" t="n">
        <f aca="false">IF(BE$113=1,MIN(BD$119,MAX(0,BE$115-BE$116)),BD$119)*BE$9</f>
        <v>0</v>
      </c>
      <c r="BF118" s="34" t="n">
        <f aca="false">IF(BF$113=1,MIN(BE$119,MAX(0,BF$115-BF$116)),BE$119)*BF$9</f>
        <v>0</v>
      </c>
      <c r="BG118" s="34" t="n">
        <f aca="false">IF(BG$113=1,MIN(BF$119,MAX(0,BG$115-BG$116)),BF$119)*BG$9</f>
        <v>0</v>
      </c>
      <c r="BH118" s="34" t="n">
        <f aca="false">IF(BH$113=1,MIN(BG$119,MAX(0,BH$115-BH$116)),BG$119)*BH$9</f>
        <v>0</v>
      </c>
      <c r="BI118" s="34" t="n">
        <f aca="false">IF(BI$113=1,MIN(BH$119,MAX(0,BI$115-BI$116)),BH$119)*BI$9</f>
        <v>0</v>
      </c>
      <c r="BJ118" s="34" t="n">
        <f aca="false">IF(BJ$113=1,MIN(BI$119,MAX(0,BJ$115-BJ$116)),BI$119)*BJ$9</f>
        <v>0</v>
      </c>
      <c r="BK118" s="34" t="n">
        <f aca="false">IF(BK$113=1,MIN(BJ$119,MAX(0,BK$115-BK$116)),BJ$119)*BK$9</f>
        <v>0</v>
      </c>
      <c r="BL118" s="34" t="n">
        <f aca="false">IF(BL$113=1,MIN(BK$119,MAX(0,BL$115-BL$116)),BK$119)*BL$9</f>
        <v>0</v>
      </c>
      <c r="BM118" s="34" t="n">
        <f aca="false">IF(BM$113=1,MIN(BL$119,MAX(0,BM$115-BM$116)),BL$119)*BM$9</f>
        <v>0</v>
      </c>
      <c r="BN118" s="34" t="n">
        <f aca="false">IF(BN$113=1,MIN(BM$119,MAX(0,BN$115-BN$116)),BM$119)*BN$9</f>
        <v>0</v>
      </c>
      <c r="BO118" s="34" t="n">
        <f aca="false">IF(BO$113=1,MIN(BN$119,MAX(0,BO$115-BO$116)),BN$119)*BO$9</f>
        <v>0</v>
      </c>
      <c r="BP118" s="34" t="n">
        <f aca="false">IF(BP$113=1,MIN(BO$119,MAX(0,BP$115-BP$116)),BO$119)*BP$9</f>
        <v>0</v>
      </c>
      <c r="BQ118" s="34" t="n">
        <f aca="false">IF(BQ$113=1,MIN(BP$119,MAX(0,BQ$115-BQ$116)),BP$119)*BQ$9</f>
        <v>0</v>
      </c>
      <c r="BR118" s="34" t="n">
        <f aca="false">IF(BR$113=1,MIN(BQ$119,MAX(0,BR$115-BR$116)),BQ$119)*BR$9</f>
        <v>0</v>
      </c>
      <c r="BS118" s="34" t="n">
        <f aca="false">IF(BS$113=1,MIN(BR$119,MAX(0,BS$115-BS$116)),BR$119)*BS$9</f>
        <v>0</v>
      </c>
      <c r="BT118" s="34" t="n">
        <f aca="false">IF(BT$113=1,MIN(BS$119,MAX(0,BT$115-BT$116)),BS$119)*BT$9</f>
        <v>0</v>
      </c>
      <c r="BU118" s="34" t="n">
        <f aca="false">IF(BU$113=1,MIN(BT$119,MAX(0,BU$115-BU$116)),BT$119)*BU$9</f>
        <v>0</v>
      </c>
      <c r="BV118" s="34" t="n">
        <f aca="false">IF(BV$113=1,MIN(BU$119,MAX(0,BV$115-BV$116)),BU$119)*BV$9</f>
        <v>0</v>
      </c>
      <c r="BW118" s="34" t="n">
        <f aca="false">IF(BW$113=1,MIN(BV$119,MAX(0,BW$115-BW$116)),BV$119)*BW$9</f>
        <v>0</v>
      </c>
      <c r="BX118" s="34" t="n">
        <f aca="false">IF(BX$113=1,MIN(BW$119,MAX(0,BX$115-BX$116)),BW$119)*BX$9</f>
        <v>0</v>
      </c>
      <c r="BY118" s="34" t="n">
        <f aca="false">IF(BY$113=1,MIN(BX$119,MAX(0,BY$115-BY$116)),BX$119)*BY$9</f>
        <v>0</v>
      </c>
      <c r="BZ118" s="34" t="n">
        <f aca="false">IF(BZ$113=1,MIN(BY$119,MAX(0,BZ$115-BZ$116)),BY$119)*BZ$9</f>
        <v>0</v>
      </c>
      <c r="CA118" s="34" t="n">
        <f aca="false">IF(CA$113=1,MIN(BZ$119,MAX(0,CA$115-CA$116)),BZ$119)*CA$9</f>
        <v>0</v>
      </c>
      <c r="CB118" s="34" t="n">
        <f aca="false">IF(CB$113=1,MIN(CA$119,MAX(0,CB$115-CB$116)),CA$119)*CB$9</f>
        <v>0</v>
      </c>
      <c r="CC118" s="34" t="n">
        <f aca="false">IF(CC$113=1,MIN(CB$119,MAX(0,CC$115-CC$116)),CB$119)*CC$9</f>
        <v>0</v>
      </c>
      <c r="CD118" s="34" t="n">
        <f aca="false">IF(CD$113=1,MIN(CC$119,MAX(0,CD$115-CD$116)),CC$119)*CD$9</f>
        <v>0</v>
      </c>
      <c r="CE118" s="34" t="n">
        <f aca="false">IF(CE$113=1,MIN(CD$119,MAX(0,CE$115-CE$116)),CD$119)*CE$9</f>
        <v>0</v>
      </c>
      <c r="CF118" s="34" t="n">
        <f aca="false">IF(CF$113=1,MIN(CE$119,MAX(0,CF$115-CF$116)),CE$119)*CF$9</f>
        <v>0</v>
      </c>
      <c r="CG118" s="34" t="n">
        <f aca="false">IF(CG$113=1,MIN(CF$119,MAX(0,CG$115-CG$116)),CF$119)*CG$9</f>
        <v>0</v>
      </c>
      <c r="CH118" s="34" t="n">
        <f aca="false">IF(CH$113=1,MIN(CG$119,MAX(0,CH$115-CH$116)),CG$119)*CH$9</f>
        <v>0</v>
      </c>
      <c r="CI118" s="34" t="n">
        <f aca="false">IF(CI$113=1,MIN(CH$119,MAX(0,CI$115-CI$116)),CH$119)*CI$9</f>
        <v>0</v>
      </c>
      <c r="CJ118" s="34" t="n">
        <f aca="false">IF(CJ$113=1,MIN(CI$119,MAX(0,CJ$115-CJ$116)),CI$119)*CJ$9</f>
        <v>0</v>
      </c>
      <c r="CK118" s="34" t="n">
        <f aca="false">IF(CK$113=1,MIN(CJ$119,MAX(0,CK$115-CK$116)),CJ$119)*CK$9</f>
        <v>0</v>
      </c>
      <c r="CL118" s="34" t="n">
        <f aca="false">IF(CL$113=1,MIN(CK$119,MAX(0,CL$115-CL$116)),CK$119)*CL$9</f>
        <v>0</v>
      </c>
      <c r="CM118" s="34" t="n">
        <f aca="false">IF(CM$113=1,MIN(CL$119,MAX(0,CM$115-CM$116)),CL$119)*CM$9</f>
        <v>0</v>
      </c>
      <c r="CN118" s="34" t="n">
        <f aca="false">IF(CN$113=1,MIN(CM$119,MAX(0,CN$115-CN$116)),CM$119)*CN$9</f>
        <v>0</v>
      </c>
      <c r="CO118" s="34" t="n">
        <f aca="false">IF(CO$113=1,MIN(CN$119,MAX(0,CO$115-CO$116)),CN$119)*CO$9</f>
        <v>0</v>
      </c>
      <c r="CP118" s="34" t="n">
        <f aca="false">IF(CP$113=1,MIN(CO$119,MAX(0,CP$115-CP$116)),CO$119)*CP$9</f>
        <v>0</v>
      </c>
      <c r="CQ118" s="34" t="n">
        <f aca="false">IF(CQ$113=1,MIN(CP$119,MAX(0,CQ$115-CQ$116)),CP$119)*CQ$9</f>
        <v>0</v>
      </c>
      <c r="CR118" s="34" t="n">
        <f aca="false">IF(CR$113=1,MIN(CQ$119,MAX(0,CR$115-CR$116)),CQ$119)*CR$9</f>
        <v>0</v>
      </c>
      <c r="CS118" s="34" t="n">
        <f aca="false">IF(CS$113=1,MIN(CR$119,MAX(0,CS$115-CS$116)),CR$119)*CS$9</f>
        <v>0</v>
      </c>
      <c r="CT118" s="34" t="n">
        <f aca="false">IF(CT$113=1,MIN(CS$119,MAX(0,CT$115-CT$116)),CS$119)*CT$9</f>
        <v>0</v>
      </c>
      <c r="CU118" s="34" t="n">
        <f aca="false">IF(CU$113=1,MIN(CT$119,MAX(0,CU$115-CU$116)),CT$119)*CU$9</f>
        <v>0</v>
      </c>
      <c r="CV118" s="34" t="n">
        <f aca="false">IF(CV$113=1,MIN(CU$119,MAX(0,CV$115-CV$116)),CU$119)*CV$9</f>
        <v>0</v>
      </c>
      <c r="CW118" s="34" t="n">
        <f aca="false">IF(CW$113=1,MIN(CV$119,MAX(0,CW$115-CW$116)),CV$119)*CW$9</f>
        <v>0</v>
      </c>
      <c r="CX118" s="34" t="n">
        <f aca="false">IF(CX$113=1,MIN(CW$119,MAX(0,CX$115-CX$116)),CW$119)*CX$9</f>
        <v>0</v>
      </c>
      <c r="CY118" s="34" t="n">
        <f aca="false">IF(CY$113=1,MIN(CX$119,MAX(0,CY$115-CY$116)),CX$119)*CY$9</f>
        <v>0</v>
      </c>
      <c r="CZ118" s="34" t="n">
        <f aca="false">IF(CZ$113=1,MIN(CY$119,MAX(0,CZ$115-CZ$116)),CY$119)*CZ$9</f>
        <v>0</v>
      </c>
      <c r="DA118" s="34" t="n">
        <f aca="false">IF(DA$113=1,MIN(CZ$119,MAX(0,DA$115-DA$116)),CZ$119)*DA$9</f>
        <v>0</v>
      </c>
      <c r="DB118" s="34" t="n">
        <f aca="false">IF(DB$113=1,MIN(DA$119,MAX(0,DB$115-DB$116)),DA$119)*DB$9</f>
        <v>0</v>
      </c>
      <c r="DC118" s="34" t="n">
        <f aca="false">IF(DC$113=1,MIN(DB$119,MAX(0,DC$115-DC$116)),DB$119)*DC$9</f>
        <v>0</v>
      </c>
      <c r="DD118" s="34" t="n">
        <f aca="false">IF(DD$113=1,MIN(DC$119,MAX(0,DD$115-DD$116)),DC$119)*DD$9</f>
        <v>0</v>
      </c>
      <c r="DE118" s="34" t="n">
        <f aca="false">IF(DE$113=1,MIN(DD$119,MAX(0,DE$115-DE$116)),DD$119)*DE$9</f>
        <v>0</v>
      </c>
      <c r="DF118" s="34" t="n">
        <f aca="false">IF(DF$113=1,MIN(DE$119,MAX(0,DF$115-DF$116)),DE$119)*DF$9</f>
        <v>0</v>
      </c>
      <c r="DG118" s="34" t="n">
        <f aca="false">IF(DG$113=1,MIN(DF$119,MAX(0,DG$115-DG$116)),DF$119)*DG$9</f>
        <v>0</v>
      </c>
      <c r="DH118" s="34" t="n">
        <f aca="false">IF(DH$113=1,MIN(DG$119,MAX(0,DH$115-DH$116)),DG$119)*DH$9</f>
        <v>0</v>
      </c>
      <c r="DI118" s="34" t="n">
        <f aca="false">IF(DI$113=1,MIN(DH$119,MAX(0,DI$115-DI$116)),DH$119)*DI$9</f>
        <v>0</v>
      </c>
      <c r="DJ118" s="34" t="n">
        <f aca="false">IF(DJ$113=1,MIN(DI$119,MAX(0,DJ$115-DJ$116)),DI$119)*DJ$9</f>
        <v>0</v>
      </c>
      <c r="DK118" s="34" t="n">
        <f aca="false">IF(DK$113=1,MIN(DJ$119,MAX(0,DK$115-DK$116)),DJ$119)*DK$9</f>
        <v>0</v>
      </c>
      <c r="DL118" s="34" t="n">
        <f aca="false">IF(DL$113=1,MIN(DK$119,MAX(0,DL$115-DL$116)),DK$119)*DL$9</f>
        <v>0</v>
      </c>
      <c r="DM118" s="34" t="n">
        <f aca="false">IF(DM$113=1,MIN(DL$119,MAX(0,DM$115-DM$116)),DL$119)*DM$9</f>
        <v>0</v>
      </c>
      <c r="DN118" s="34" t="n">
        <f aca="false">IF(DN$113=1,MIN(DM$119,MAX(0,DN$115-DN$116)),DM$119)*DN$9</f>
        <v>0</v>
      </c>
      <c r="DO118" s="34" t="n">
        <f aca="false">IF(DO$113=1,MIN(DN$119,MAX(0,DO$115-DO$116)),DN$119)*DO$9</f>
        <v>0</v>
      </c>
      <c r="DP118" s="34" t="n">
        <f aca="false">IF(DP$113=1,MIN(DO$119,MAX(0,DP$115-DP$116)),DO$119)*DP$9</f>
        <v>0</v>
      </c>
      <c r="DQ118" s="34" t="n">
        <f aca="false">IF(DQ$113=1,MIN(DP$119,MAX(0,DQ$115-DQ$116)),DP$119)*DQ$9</f>
        <v>0</v>
      </c>
      <c r="DR118" s="34" t="n">
        <f aca="false">IF(DR$113=1,MIN(DQ$119,MAX(0,DR$115-DR$116)),DQ$119)*DR$9</f>
        <v>0</v>
      </c>
      <c r="DS118" s="34" t="n">
        <f aca="false">IF(DS$113=1,MIN(DR$119,MAX(0,DS$115-DS$116)),DR$119)*DS$9</f>
        <v>0</v>
      </c>
      <c r="DT118" s="34" t="n">
        <f aca="false">IF(DT$113=1,MIN(DS$119,MAX(0,DT$115-DT$116)),DS$119)*DT$9</f>
        <v>0</v>
      </c>
      <c r="DU118" s="34" t="n">
        <f aca="false">IF(DU$113=1,MIN(DT$119,MAX(0,DU$115-DU$116)),DT$119)*DU$9</f>
        <v>0</v>
      </c>
      <c r="DV118" s="34" t="n">
        <f aca="false">IF(DV$113=1,MIN(DU$119,MAX(0,DV$115-DV$116)),DU$119)*DV$9</f>
        <v>0</v>
      </c>
      <c r="DW118" s="34" t="n">
        <f aca="false">IF(DW$113=1,MIN(DV$119,MAX(0,DW$115-DW$116)),DV$119)*DW$9</f>
        <v>0</v>
      </c>
      <c r="DX118" s="34" t="n">
        <f aca="false">IF(DX$113=1,MIN(DW$119,MAX(0,DX$115-DX$116)),DW$119)*DX$9</f>
        <v>0</v>
      </c>
      <c r="DY118" s="34" t="n">
        <f aca="false">IF(DY$113=1,MIN(DX$119,MAX(0,DY$115-DY$116)),DX$119)*DY$9</f>
        <v>0</v>
      </c>
      <c r="DZ118" s="34" t="n">
        <f aca="false">IF(DZ$113=1,MIN(DY$119,MAX(0,DZ$115-DZ$116)),DY$119)*DZ$9</f>
        <v>0</v>
      </c>
      <c r="EA118" s="34" t="n">
        <f aca="false">IF(EA$113=1,MIN(DZ$119,MAX(0,EA$115-EA$116)),DZ$119)*EA$9</f>
        <v>0</v>
      </c>
      <c r="EB118" s="34" t="n">
        <f aca="false">IF(EB$113=1,MIN(EA$119,MAX(0,EB$115-EB$116)),EA$119)*EB$9</f>
        <v>0</v>
      </c>
      <c r="EC118" s="34" t="n">
        <f aca="false">IF(EC$113=1,MIN(EB$119,MAX(0,EC$115-EC$116)),EB$119)*EC$9</f>
        <v>0</v>
      </c>
      <c r="ED118" s="34" t="n">
        <f aca="false">IF(ED$113=1,MIN(EC$119,MAX(0,ED$115-ED$116)),EC$119)*ED$9</f>
        <v>0</v>
      </c>
      <c r="EE118" s="34" t="n">
        <f aca="false">IF(EE$113=1,MIN(ED$119,MAX(0,EE$115-EE$116)),ED$119)*EE$9</f>
        <v>0</v>
      </c>
      <c r="EF118" s="34" t="n">
        <f aca="false">IF(EF$113=1,MIN(EE$119,MAX(0,EF$115-EF$116)),EE$119)*EF$9</f>
        <v>0</v>
      </c>
      <c r="EG118" s="34" t="n">
        <f aca="false">IF(EG$113=1,MIN(EF$119,MAX(0,EG$115-EG$116)),EF$119)*EG$9</f>
        <v>0</v>
      </c>
      <c r="EH118" s="34" t="n">
        <f aca="false">IF(EH$113=1,MIN(EG$119,MAX(0,EH$115-EH$116)),EG$119)*EH$9</f>
        <v>0</v>
      </c>
      <c r="EI118" s="34" t="n">
        <f aca="false">IF(EI$113=1,MIN(EH$119,MAX(0,EI$115-EI$116)),EH$119)*EI$9</f>
        <v>0</v>
      </c>
      <c r="EJ118" s="34" t="n">
        <f aca="false">IF(EJ$113=1,MIN(EI$119,MAX(0,EJ$115-EJ$116)),EI$119)*EJ$9</f>
        <v>0</v>
      </c>
      <c r="EK118" s="34" t="n">
        <f aca="false">IF(EK$113=1,MIN(EJ$119,MAX(0,EK$115-EK$116)),EJ$119)*EK$9</f>
        <v>0</v>
      </c>
      <c r="EL118" s="34" t="n">
        <f aca="false">IF(EL$113=1,MIN(EK$119,MAX(0,EL$115-EL$116)),EK$119)*EL$9</f>
        <v>0</v>
      </c>
      <c r="EM118" s="34" t="n">
        <f aca="false">IF(EM$113=1,MIN(EL$119,MAX(0,EM$115-EM$116)),EL$119)*EM$9</f>
        <v>0</v>
      </c>
      <c r="EN118" s="34" t="n">
        <f aca="false">IF(EN$113=1,MIN(EM$119,MAX(0,EN$115-EN$116)),EM$119)*EN$9</f>
        <v>0</v>
      </c>
      <c r="EO118" s="34" t="n">
        <f aca="false">IF(EO$113=1,MIN(EN$119,MAX(0,EO$115-EO$116)),EN$119)*EO$9</f>
        <v>0</v>
      </c>
      <c r="EP118" s="34" t="n">
        <f aca="false">IF(EP$113=1,MIN(EO$119,MAX(0,EP$115-EP$116)),EO$119)*EP$9</f>
        <v>0</v>
      </c>
      <c r="EQ118" s="34" t="n">
        <f aca="false">IF(EQ$113=1,MIN(EP$119,MAX(0,EQ$115-EQ$116)),EP$119)*EQ$9</f>
        <v>0</v>
      </c>
      <c r="ER118" s="34" t="n">
        <f aca="false">IF(ER$113=1,MIN(EQ$119,MAX(0,ER$115-ER$116)),EQ$119)*ER$9</f>
        <v>0</v>
      </c>
      <c r="ES118" s="34" t="n">
        <f aca="false">IF(ES$113=1,MIN(ER$119,MAX(0,ES$115-ES$116)),ER$119)*ES$9</f>
        <v>0</v>
      </c>
    </row>
    <row r="119" customFormat="false" ht="15" hidden="false" customHeight="false" outlineLevel="0" collapsed="false">
      <c r="A119" s="2" t="s">
        <v>719</v>
      </c>
      <c r="B119" s="6" t="s">
        <v>720</v>
      </c>
      <c r="C119" s="6" t="s">
        <v>250</v>
      </c>
      <c r="E119" s="40" t="n">
        <f aca="false">MAX(F119:ES119)</f>
        <v>0</v>
      </c>
      <c r="F119" s="34" t="n">
        <f aca="false">0+F$117-F$118</f>
        <v>0</v>
      </c>
      <c r="G119" s="34" t="n">
        <f aca="false">F$119+G$117-G$118</f>
        <v>0</v>
      </c>
      <c r="H119" s="34" t="n">
        <f aca="false">G$119+H$117-H$118</f>
        <v>0</v>
      </c>
      <c r="I119" s="34" t="n">
        <f aca="false">H$119+I$117-I$118</f>
        <v>0</v>
      </c>
      <c r="J119" s="34" t="n">
        <f aca="false">I$119+J$117-J$118</f>
        <v>0</v>
      </c>
      <c r="K119" s="34" t="n">
        <f aca="false">J$119+K$117-K$118</f>
        <v>0</v>
      </c>
      <c r="L119" s="34" t="n">
        <f aca="false">K$119+L$117-L$118</f>
        <v>0</v>
      </c>
      <c r="M119" s="34" t="n">
        <f aca="false">L$119+M$117-M$118</f>
        <v>0</v>
      </c>
      <c r="N119" s="34" t="n">
        <f aca="false">M$119+N$117-N$118</f>
        <v>0</v>
      </c>
      <c r="O119" s="34" t="n">
        <f aca="false">N$119+O$117-O$118</f>
        <v>0</v>
      </c>
      <c r="P119" s="34" t="n">
        <f aca="false">O$119+P$117-P$118</f>
        <v>0</v>
      </c>
      <c r="Q119" s="34" t="n">
        <f aca="false">P$119+Q$117-Q$118</f>
        <v>0</v>
      </c>
      <c r="R119" s="34" t="n">
        <f aca="false">Q$119+R$117-R$118</f>
        <v>0</v>
      </c>
      <c r="S119" s="34" t="n">
        <f aca="false">R$119+S$117-S$118</f>
        <v>0</v>
      </c>
      <c r="T119" s="34" t="n">
        <f aca="false">S$119+T$117-T$118</f>
        <v>0</v>
      </c>
      <c r="U119" s="34" t="n">
        <f aca="false">T$119+U$117-U$118</f>
        <v>0</v>
      </c>
      <c r="V119" s="34" t="n">
        <f aca="false">U$119+V$117-V$118</f>
        <v>0</v>
      </c>
      <c r="W119" s="34" t="n">
        <f aca="false">V$119+W$117-W$118</f>
        <v>0</v>
      </c>
      <c r="X119" s="34" t="n">
        <f aca="false">W$119+X$117-X$118</f>
        <v>0</v>
      </c>
      <c r="Y119" s="34" t="n">
        <f aca="false">X$119+Y$117-Y$118</f>
        <v>0</v>
      </c>
      <c r="Z119" s="34" t="n">
        <f aca="false">Y$119+Z$117-Z$118</f>
        <v>0</v>
      </c>
      <c r="AA119" s="34" t="n">
        <f aca="false">Z$119+AA$117-AA$118</f>
        <v>0</v>
      </c>
      <c r="AB119" s="34" t="n">
        <f aca="false">AA$119+AB$117-AB$118</f>
        <v>0</v>
      </c>
      <c r="AC119" s="34" t="n">
        <f aca="false">AB$119+AC$117-AC$118</f>
        <v>0</v>
      </c>
      <c r="AD119" s="34" t="n">
        <f aca="false">AC$119+AD$117-AD$118</f>
        <v>0</v>
      </c>
      <c r="AE119" s="34" t="n">
        <f aca="false">AD$119+AE$117-AE$118</f>
        <v>0</v>
      </c>
      <c r="AF119" s="34" t="n">
        <f aca="false">AE$119+AF$117-AF$118</f>
        <v>0</v>
      </c>
      <c r="AG119" s="34" t="n">
        <f aca="false">AF$119+AG$117-AG$118</f>
        <v>0</v>
      </c>
      <c r="AH119" s="34" t="n">
        <f aca="false">AG$119+AH$117-AH$118</f>
        <v>0</v>
      </c>
      <c r="AI119" s="34" t="n">
        <f aca="false">AH$119+AI$117-AI$118</f>
        <v>0</v>
      </c>
      <c r="AJ119" s="34" t="n">
        <f aca="false">AI$119+AJ$117-AJ$118</f>
        <v>0</v>
      </c>
      <c r="AK119" s="34" t="n">
        <f aca="false">AJ$119+AK$117-AK$118</f>
        <v>0</v>
      </c>
      <c r="AL119" s="34" t="n">
        <f aca="false">AK$119+AL$117-AL$118</f>
        <v>0</v>
      </c>
      <c r="AM119" s="34" t="n">
        <f aca="false">AL$119+AM$117-AM$118</f>
        <v>0</v>
      </c>
      <c r="AN119" s="34" t="n">
        <f aca="false">AM$119+AN$117-AN$118</f>
        <v>0</v>
      </c>
      <c r="AO119" s="34" t="n">
        <f aca="false">AN$119+AO$117-AO$118</f>
        <v>0</v>
      </c>
      <c r="AP119" s="34" t="n">
        <f aca="false">AO$119+AP$117-AP$118</f>
        <v>0</v>
      </c>
      <c r="AQ119" s="34" t="n">
        <f aca="false">AP$119+AQ$117-AQ$118</f>
        <v>0</v>
      </c>
      <c r="AR119" s="34" t="n">
        <f aca="false">AQ$119+AR$117-AR$118</f>
        <v>0</v>
      </c>
      <c r="AS119" s="34" t="n">
        <f aca="false">AR$119+AS$117-AS$118</f>
        <v>0</v>
      </c>
      <c r="AT119" s="34" t="n">
        <f aca="false">AS$119+AT$117-AT$118</f>
        <v>0</v>
      </c>
      <c r="AU119" s="34" t="n">
        <f aca="false">AT$119+AU$117-AU$118</f>
        <v>0</v>
      </c>
      <c r="AV119" s="34" t="n">
        <f aca="false">AU$119+AV$117-AV$118</f>
        <v>0</v>
      </c>
      <c r="AW119" s="34" t="n">
        <f aca="false">AV$119+AW$117-AW$118</f>
        <v>0</v>
      </c>
      <c r="AX119" s="34" t="n">
        <f aca="false">AW$119+AX$117-AX$118</f>
        <v>0</v>
      </c>
      <c r="AY119" s="34" t="n">
        <f aca="false">AX$119+AY$117-AY$118</f>
        <v>0</v>
      </c>
      <c r="AZ119" s="34" t="n">
        <f aca="false">AY$119+AZ$117-AZ$118</f>
        <v>0</v>
      </c>
      <c r="BA119" s="34" t="n">
        <f aca="false">AZ$119+BA$117-BA$118</f>
        <v>0</v>
      </c>
      <c r="BB119" s="34" t="n">
        <f aca="false">BA$119+BB$117-BB$118</f>
        <v>0</v>
      </c>
      <c r="BC119" s="34" t="n">
        <f aca="false">BB$119+BC$117-BC$118</f>
        <v>0</v>
      </c>
      <c r="BD119" s="34" t="n">
        <f aca="false">BC$119+BD$117-BD$118</f>
        <v>0</v>
      </c>
      <c r="BE119" s="34" t="n">
        <f aca="false">BD$119+BE$117-BE$118</f>
        <v>0</v>
      </c>
      <c r="BF119" s="34" t="n">
        <f aca="false">BE$119+BF$117-BF$118</f>
        <v>0</v>
      </c>
      <c r="BG119" s="34" t="n">
        <f aca="false">BF$119+BG$117-BG$118</f>
        <v>0</v>
      </c>
      <c r="BH119" s="34" t="n">
        <f aca="false">BG$119+BH$117-BH$118</f>
        <v>0</v>
      </c>
      <c r="BI119" s="34" t="n">
        <f aca="false">BH$119+BI$117-BI$118</f>
        <v>0</v>
      </c>
      <c r="BJ119" s="34" t="n">
        <f aca="false">BI$119+BJ$117-BJ$118</f>
        <v>0</v>
      </c>
      <c r="BK119" s="34" t="n">
        <f aca="false">BJ$119+BK$117-BK$118</f>
        <v>0</v>
      </c>
      <c r="BL119" s="34" t="n">
        <f aca="false">BK$119+BL$117-BL$118</f>
        <v>0</v>
      </c>
      <c r="BM119" s="34" t="n">
        <f aca="false">BL$119+BM$117-BM$118</f>
        <v>0</v>
      </c>
      <c r="BN119" s="34" t="n">
        <f aca="false">BM$119+BN$117-BN$118</f>
        <v>0</v>
      </c>
      <c r="BO119" s="34" t="n">
        <f aca="false">BN$119+BO$117-BO$118</f>
        <v>0</v>
      </c>
      <c r="BP119" s="34" t="n">
        <f aca="false">BO$119+BP$117-BP$118</f>
        <v>0</v>
      </c>
      <c r="BQ119" s="34" t="n">
        <f aca="false">BP$119+BQ$117-BQ$118</f>
        <v>0</v>
      </c>
      <c r="BR119" s="34" t="n">
        <f aca="false">BQ$119+BR$117-BR$118</f>
        <v>0</v>
      </c>
      <c r="BS119" s="34" t="n">
        <f aca="false">BR$119+BS$117-BS$118</f>
        <v>0</v>
      </c>
      <c r="BT119" s="34" t="n">
        <f aca="false">BS$119+BT$117-BT$118</f>
        <v>0</v>
      </c>
      <c r="BU119" s="34" t="n">
        <f aca="false">BT$119+BU$117-BU$118</f>
        <v>0</v>
      </c>
      <c r="BV119" s="34" t="n">
        <f aca="false">BU$119+BV$117-BV$118</f>
        <v>0</v>
      </c>
      <c r="BW119" s="34" t="n">
        <f aca="false">BV$119+BW$117-BW$118</f>
        <v>0</v>
      </c>
      <c r="BX119" s="34" t="n">
        <f aca="false">BW$119+BX$117-BX$118</f>
        <v>0</v>
      </c>
      <c r="BY119" s="34" t="n">
        <f aca="false">BX$119+BY$117-BY$118</f>
        <v>0</v>
      </c>
      <c r="BZ119" s="34" t="n">
        <f aca="false">BY$119+BZ$117-BZ$118</f>
        <v>0</v>
      </c>
      <c r="CA119" s="34" t="n">
        <f aca="false">BZ$119+CA$117-CA$118</f>
        <v>0</v>
      </c>
      <c r="CB119" s="34" t="n">
        <f aca="false">CA$119+CB$117-CB$118</f>
        <v>0</v>
      </c>
      <c r="CC119" s="34" t="n">
        <f aca="false">CB$119+CC$117-CC$118</f>
        <v>0</v>
      </c>
      <c r="CD119" s="34" t="n">
        <f aca="false">CC$119+CD$117-CD$118</f>
        <v>0</v>
      </c>
      <c r="CE119" s="34" t="n">
        <f aca="false">CD$119+CE$117-CE$118</f>
        <v>0</v>
      </c>
      <c r="CF119" s="34" t="n">
        <f aca="false">CE$119+CF$117-CF$118</f>
        <v>0</v>
      </c>
      <c r="CG119" s="34" t="n">
        <f aca="false">CF$119+CG$117-CG$118</f>
        <v>0</v>
      </c>
      <c r="CH119" s="34" t="n">
        <f aca="false">CG$119+CH$117-CH$118</f>
        <v>0</v>
      </c>
      <c r="CI119" s="34" t="n">
        <f aca="false">CH$119+CI$117-CI$118</f>
        <v>0</v>
      </c>
      <c r="CJ119" s="34" t="n">
        <f aca="false">CI$119+CJ$117-CJ$118</f>
        <v>0</v>
      </c>
      <c r="CK119" s="34" t="n">
        <f aca="false">CJ$119+CK$117-CK$118</f>
        <v>0</v>
      </c>
      <c r="CL119" s="34" t="n">
        <f aca="false">CK$119+CL$117-CL$118</f>
        <v>0</v>
      </c>
      <c r="CM119" s="34" t="n">
        <f aca="false">CL$119+CM$117-CM$118</f>
        <v>0</v>
      </c>
      <c r="CN119" s="34" t="n">
        <f aca="false">CM$119+CN$117-CN$118</f>
        <v>0</v>
      </c>
      <c r="CO119" s="34" t="n">
        <f aca="false">CN$119+CO$117-CO$118</f>
        <v>0</v>
      </c>
      <c r="CP119" s="34" t="n">
        <f aca="false">CO$119+CP$117-CP$118</f>
        <v>0</v>
      </c>
      <c r="CQ119" s="34" t="n">
        <f aca="false">CP$119+CQ$117-CQ$118</f>
        <v>0</v>
      </c>
      <c r="CR119" s="34" t="n">
        <f aca="false">CQ$119+CR$117-CR$118</f>
        <v>0</v>
      </c>
      <c r="CS119" s="34" t="n">
        <f aca="false">CR$119+CS$117-CS$118</f>
        <v>0</v>
      </c>
      <c r="CT119" s="34" t="n">
        <f aca="false">CS$119+CT$117-CT$118</f>
        <v>0</v>
      </c>
      <c r="CU119" s="34" t="n">
        <f aca="false">CT$119+CU$117-CU$118</f>
        <v>0</v>
      </c>
      <c r="CV119" s="34" t="n">
        <f aca="false">CU$119+CV$117-CV$118</f>
        <v>0</v>
      </c>
      <c r="CW119" s="34" t="n">
        <f aca="false">CV$119+CW$117-CW$118</f>
        <v>0</v>
      </c>
      <c r="CX119" s="34" t="n">
        <f aca="false">CW$119+CX$117-CX$118</f>
        <v>0</v>
      </c>
      <c r="CY119" s="34" t="n">
        <f aca="false">CX$119+CY$117-CY$118</f>
        <v>0</v>
      </c>
      <c r="CZ119" s="34" t="n">
        <f aca="false">CY$119+CZ$117-CZ$118</f>
        <v>0</v>
      </c>
      <c r="DA119" s="34" t="n">
        <f aca="false">CZ$119+DA$117-DA$118</f>
        <v>0</v>
      </c>
      <c r="DB119" s="34" t="n">
        <f aca="false">DA$119+DB$117-DB$118</f>
        <v>0</v>
      </c>
      <c r="DC119" s="34" t="n">
        <f aca="false">DB$119+DC$117-DC$118</f>
        <v>0</v>
      </c>
      <c r="DD119" s="34" t="n">
        <f aca="false">DC$119+DD$117-DD$118</f>
        <v>0</v>
      </c>
      <c r="DE119" s="34" t="n">
        <f aca="false">DD$119+DE$117-DE$118</f>
        <v>0</v>
      </c>
      <c r="DF119" s="34" t="n">
        <f aca="false">DE$119+DF$117-DF$118</f>
        <v>0</v>
      </c>
      <c r="DG119" s="34" t="n">
        <f aca="false">DF$119+DG$117-DG$118</f>
        <v>0</v>
      </c>
      <c r="DH119" s="34" t="n">
        <f aca="false">DG$119+DH$117-DH$118</f>
        <v>0</v>
      </c>
      <c r="DI119" s="34" t="n">
        <f aca="false">DH$119+DI$117-DI$118</f>
        <v>0</v>
      </c>
      <c r="DJ119" s="34" t="n">
        <f aca="false">DI$119+DJ$117-DJ$118</f>
        <v>0</v>
      </c>
      <c r="DK119" s="34" t="n">
        <f aca="false">DJ$119+DK$117-DK$118</f>
        <v>0</v>
      </c>
      <c r="DL119" s="34" t="n">
        <f aca="false">DK$119+DL$117-DL$118</f>
        <v>0</v>
      </c>
      <c r="DM119" s="34" t="n">
        <f aca="false">DL$119+DM$117-DM$118</f>
        <v>0</v>
      </c>
      <c r="DN119" s="34" t="n">
        <f aca="false">DM$119+DN$117-DN$118</f>
        <v>0</v>
      </c>
      <c r="DO119" s="34" t="n">
        <f aca="false">DN$119+DO$117-DO$118</f>
        <v>0</v>
      </c>
      <c r="DP119" s="34" t="n">
        <f aca="false">DO$119+DP$117-DP$118</f>
        <v>0</v>
      </c>
      <c r="DQ119" s="34" t="n">
        <f aca="false">DP$119+DQ$117-DQ$118</f>
        <v>0</v>
      </c>
      <c r="DR119" s="34" t="n">
        <f aca="false">DQ$119+DR$117-DR$118</f>
        <v>0</v>
      </c>
      <c r="DS119" s="34" t="n">
        <f aca="false">DR$119+DS$117-DS$118</f>
        <v>0</v>
      </c>
      <c r="DT119" s="34" t="n">
        <f aca="false">DS$119+DT$117-DT$118</f>
        <v>0</v>
      </c>
      <c r="DU119" s="34" t="n">
        <f aca="false">DT$119+DU$117-DU$118</f>
        <v>0</v>
      </c>
      <c r="DV119" s="34" t="n">
        <f aca="false">DU$119+DV$117-DV$118</f>
        <v>0</v>
      </c>
      <c r="DW119" s="34" t="n">
        <f aca="false">DV$119+DW$117-DW$118</f>
        <v>0</v>
      </c>
      <c r="DX119" s="34" t="n">
        <f aca="false">DW$119+DX$117-DX$118</f>
        <v>0</v>
      </c>
      <c r="DY119" s="34" t="n">
        <f aca="false">DX$119+DY$117-DY$118</f>
        <v>0</v>
      </c>
      <c r="DZ119" s="34" t="n">
        <f aca="false">DY$119+DZ$117-DZ$118</f>
        <v>0</v>
      </c>
      <c r="EA119" s="34" t="n">
        <f aca="false">DZ$119+EA$117-EA$118</f>
        <v>0</v>
      </c>
      <c r="EB119" s="34" t="n">
        <f aca="false">EA$119+EB$117-EB$118</f>
        <v>0</v>
      </c>
      <c r="EC119" s="34" t="n">
        <f aca="false">EB$119+EC$117-EC$118</f>
        <v>0</v>
      </c>
      <c r="ED119" s="34" t="n">
        <f aca="false">EC$119+ED$117-ED$118</f>
        <v>0</v>
      </c>
      <c r="EE119" s="34" t="n">
        <f aca="false">ED$119+EE$117-EE$118</f>
        <v>0</v>
      </c>
      <c r="EF119" s="34" t="n">
        <f aca="false">EE$119+EF$117-EF$118</f>
        <v>0</v>
      </c>
      <c r="EG119" s="34" t="n">
        <f aca="false">EF$119+EG$117-EG$118</f>
        <v>0</v>
      </c>
      <c r="EH119" s="34" t="n">
        <f aca="false">EG$119+EH$117-EH$118</f>
        <v>0</v>
      </c>
      <c r="EI119" s="34" t="n">
        <f aca="false">EH$119+EI$117-EI$118</f>
        <v>0</v>
      </c>
      <c r="EJ119" s="34" t="n">
        <f aca="false">EI$119+EJ$117-EJ$118</f>
        <v>0</v>
      </c>
      <c r="EK119" s="34" t="n">
        <f aca="false">EJ$119+EK$117-EK$118</f>
        <v>0</v>
      </c>
      <c r="EL119" s="34" t="n">
        <f aca="false">EK$119+EL$117-EL$118</f>
        <v>0</v>
      </c>
      <c r="EM119" s="34" t="n">
        <f aca="false">EL$119+EM$117-EM$118</f>
        <v>0</v>
      </c>
      <c r="EN119" s="34" t="n">
        <f aca="false">EM$119+EN$117-EN$118</f>
        <v>0</v>
      </c>
      <c r="EO119" s="34" t="n">
        <f aca="false">EN$119+EO$117-EO$118</f>
        <v>0</v>
      </c>
      <c r="EP119" s="34" t="n">
        <f aca="false">EO$119+EP$117-EP$118</f>
        <v>0</v>
      </c>
      <c r="EQ119" s="34" t="n">
        <f aca="false">EP$119+EQ$117-EQ$118</f>
        <v>0</v>
      </c>
      <c r="ER119" s="34" t="n">
        <f aca="false">EQ$119+ER$117-ER$118</f>
        <v>0</v>
      </c>
      <c r="ES119" s="34" t="n">
        <f aca="false">ER$119+ES$117-ES$118</f>
        <v>0</v>
      </c>
    </row>
    <row r="120" customFormat="false" ht="15" hidden="false" customHeight="false" outlineLevel="0" collapsed="false">
      <c r="A120" s="2" t="s">
        <v>721</v>
      </c>
      <c r="B120" s="6" t="s">
        <v>722</v>
      </c>
      <c r="C120" s="6" t="s">
        <v>250</v>
      </c>
      <c r="E120" s="40" t="n">
        <f aca="false">SUM(F120:ES120)</f>
        <v>2791587</v>
      </c>
      <c r="F120" s="34" t="n">
        <f aca="false">F$110+F$117</f>
        <v>2791587</v>
      </c>
      <c r="G120" s="34" t="n">
        <f aca="false">G$110+G$117</f>
        <v>0</v>
      </c>
      <c r="H120" s="34" t="n">
        <f aca="false">H$110+H$117</f>
        <v>0</v>
      </c>
      <c r="I120" s="34" t="n">
        <f aca="false">I$110+I$117</f>
        <v>0</v>
      </c>
      <c r="J120" s="34" t="n">
        <f aca="false">J$110+J$117</f>
        <v>0</v>
      </c>
      <c r="K120" s="34" t="n">
        <f aca="false">K$110+K$117</f>
        <v>0</v>
      </c>
      <c r="L120" s="34" t="n">
        <f aca="false">L$110+L$117</f>
        <v>0</v>
      </c>
      <c r="M120" s="34" t="n">
        <f aca="false">M$110+M$117</f>
        <v>0</v>
      </c>
      <c r="N120" s="34" t="n">
        <f aca="false">N$110+N$117</f>
        <v>0</v>
      </c>
      <c r="O120" s="34" t="n">
        <f aca="false">O$110+O$117</f>
        <v>0</v>
      </c>
      <c r="P120" s="34" t="n">
        <f aca="false">P$110+P$117</f>
        <v>0</v>
      </c>
      <c r="Q120" s="34" t="n">
        <f aca="false">Q$110+Q$117</f>
        <v>0</v>
      </c>
      <c r="R120" s="34" t="n">
        <f aca="false">R$110+R$117</f>
        <v>0</v>
      </c>
      <c r="S120" s="34" t="n">
        <f aca="false">S$110+S$117</f>
        <v>0</v>
      </c>
      <c r="T120" s="34" t="n">
        <f aca="false">T$110+T$117</f>
        <v>0</v>
      </c>
      <c r="U120" s="34" t="n">
        <f aca="false">U$110+U$117</f>
        <v>0</v>
      </c>
      <c r="V120" s="34" t="n">
        <f aca="false">V$110+V$117</f>
        <v>0</v>
      </c>
      <c r="W120" s="34" t="n">
        <f aca="false">W$110+W$117</f>
        <v>0</v>
      </c>
      <c r="X120" s="34" t="n">
        <f aca="false">X$110+X$117</f>
        <v>0</v>
      </c>
      <c r="Y120" s="34" t="n">
        <f aca="false">Y$110+Y$117</f>
        <v>0</v>
      </c>
      <c r="Z120" s="34" t="n">
        <f aca="false">Z$110+Z$117</f>
        <v>0</v>
      </c>
      <c r="AA120" s="34" t="n">
        <f aca="false">AA$110+AA$117</f>
        <v>0</v>
      </c>
      <c r="AB120" s="34" t="n">
        <f aca="false">AB$110+AB$117</f>
        <v>0</v>
      </c>
      <c r="AC120" s="34" t="n">
        <f aca="false">AC$110+AC$117</f>
        <v>0</v>
      </c>
      <c r="AD120" s="34" t="n">
        <f aca="false">AD$110+AD$117</f>
        <v>0</v>
      </c>
      <c r="AE120" s="34" t="n">
        <f aca="false">AE$110+AE$117</f>
        <v>0</v>
      </c>
      <c r="AF120" s="34" t="n">
        <f aca="false">AF$110+AF$117</f>
        <v>0</v>
      </c>
      <c r="AG120" s="34" t="n">
        <f aca="false">AG$110+AG$117</f>
        <v>0</v>
      </c>
      <c r="AH120" s="34" t="n">
        <f aca="false">AH$110+AH$117</f>
        <v>0</v>
      </c>
      <c r="AI120" s="34" t="n">
        <f aca="false">AI$110+AI$117</f>
        <v>0</v>
      </c>
      <c r="AJ120" s="34" t="n">
        <f aca="false">AJ$110+AJ$117</f>
        <v>0</v>
      </c>
      <c r="AK120" s="34" t="n">
        <f aca="false">AK$110+AK$117</f>
        <v>0</v>
      </c>
      <c r="AL120" s="34" t="n">
        <f aca="false">AL$110+AL$117</f>
        <v>0</v>
      </c>
      <c r="AM120" s="34" t="n">
        <f aca="false">AM$110+AM$117</f>
        <v>0</v>
      </c>
      <c r="AN120" s="34" t="n">
        <f aca="false">AN$110+AN$117</f>
        <v>0</v>
      </c>
      <c r="AO120" s="34" t="n">
        <f aca="false">AO$110+AO$117</f>
        <v>0</v>
      </c>
      <c r="AP120" s="34" t="n">
        <f aca="false">AP$110+AP$117</f>
        <v>0</v>
      </c>
      <c r="AQ120" s="34" t="n">
        <f aca="false">AQ$110+AQ$117</f>
        <v>0</v>
      </c>
      <c r="AR120" s="34" t="n">
        <f aca="false">AR$110+AR$117</f>
        <v>0</v>
      </c>
      <c r="AS120" s="34" t="n">
        <f aca="false">AS$110+AS$117</f>
        <v>0</v>
      </c>
      <c r="AT120" s="34" t="n">
        <f aca="false">AT$110+AT$117</f>
        <v>0</v>
      </c>
      <c r="AU120" s="34" t="n">
        <f aca="false">AU$110+AU$117</f>
        <v>0</v>
      </c>
      <c r="AV120" s="34" t="n">
        <f aca="false">AV$110+AV$117</f>
        <v>0</v>
      </c>
      <c r="AW120" s="34" t="n">
        <f aca="false">AW$110+AW$117</f>
        <v>0</v>
      </c>
      <c r="AX120" s="34" t="n">
        <f aca="false">AX$110+AX$117</f>
        <v>0</v>
      </c>
      <c r="AY120" s="34" t="n">
        <f aca="false">AY$110+AY$117</f>
        <v>0</v>
      </c>
      <c r="AZ120" s="34" t="n">
        <f aca="false">AZ$110+AZ$117</f>
        <v>0</v>
      </c>
      <c r="BA120" s="34" t="n">
        <f aca="false">BA$110+BA$117</f>
        <v>0</v>
      </c>
      <c r="BB120" s="34" t="n">
        <f aca="false">BB$110+BB$117</f>
        <v>0</v>
      </c>
      <c r="BC120" s="34" t="n">
        <f aca="false">BC$110+BC$117</f>
        <v>0</v>
      </c>
      <c r="BD120" s="34" t="n">
        <f aca="false">BD$110+BD$117</f>
        <v>0</v>
      </c>
      <c r="BE120" s="34" t="n">
        <f aca="false">BE$110+BE$117</f>
        <v>0</v>
      </c>
      <c r="BF120" s="34" t="n">
        <f aca="false">BF$110+BF$117</f>
        <v>0</v>
      </c>
      <c r="BG120" s="34" t="n">
        <f aca="false">BG$110+BG$117</f>
        <v>0</v>
      </c>
      <c r="BH120" s="34" t="n">
        <f aca="false">BH$110+BH$117</f>
        <v>0</v>
      </c>
      <c r="BI120" s="34" t="n">
        <f aca="false">BI$110+BI$117</f>
        <v>0</v>
      </c>
      <c r="BJ120" s="34" t="n">
        <f aca="false">BJ$110+BJ$117</f>
        <v>0</v>
      </c>
      <c r="BK120" s="34" t="n">
        <f aca="false">BK$110+BK$117</f>
        <v>0</v>
      </c>
      <c r="BL120" s="34" t="n">
        <f aca="false">BL$110+BL$117</f>
        <v>0</v>
      </c>
      <c r="BM120" s="34" t="n">
        <f aca="false">BM$110+BM$117</f>
        <v>0</v>
      </c>
      <c r="BN120" s="34" t="n">
        <f aca="false">BN$110+BN$117</f>
        <v>0</v>
      </c>
      <c r="BO120" s="34" t="n">
        <f aca="false">BO$110+BO$117</f>
        <v>0</v>
      </c>
      <c r="BP120" s="34" t="n">
        <f aca="false">BP$110+BP$117</f>
        <v>0</v>
      </c>
      <c r="BQ120" s="34" t="n">
        <f aca="false">BQ$110+BQ$117</f>
        <v>0</v>
      </c>
      <c r="BR120" s="34" t="n">
        <f aca="false">BR$110+BR$117</f>
        <v>0</v>
      </c>
      <c r="BS120" s="34" t="n">
        <f aca="false">BS$110+BS$117</f>
        <v>0</v>
      </c>
      <c r="BT120" s="34" t="n">
        <f aca="false">BT$110+BT$117</f>
        <v>0</v>
      </c>
      <c r="BU120" s="34" t="n">
        <f aca="false">BU$110+BU$117</f>
        <v>0</v>
      </c>
      <c r="BV120" s="34" t="n">
        <f aca="false">BV$110+BV$117</f>
        <v>0</v>
      </c>
      <c r="BW120" s="34" t="n">
        <f aca="false">BW$110+BW$117</f>
        <v>0</v>
      </c>
      <c r="BX120" s="34" t="n">
        <f aca="false">BX$110+BX$117</f>
        <v>0</v>
      </c>
      <c r="BY120" s="34" t="n">
        <f aca="false">BY$110+BY$117</f>
        <v>0</v>
      </c>
      <c r="BZ120" s="34" t="n">
        <f aca="false">BZ$110+BZ$117</f>
        <v>0</v>
      </c>
      <c r="CA120" s="34" t="n">
        <f aca="false">CA$110+CA$117</f>
        <v>0</v>
      </c>
      <c r="CB120" s="34" t="n">
        <f aca="false">CB$110+CB$117</f>
        <v>0</v>
      </c>
      <c r="CC120" s="34" t="n">
        <f aca="false">CC$110+CC$117</f>
        <v>0</v>
      </c>
      <c r="CD120" s="34" t="n">
        <f aca="false">CD$110+CD$117</f>
        <v>0</v>
      </c>
      <c r="CE120" s="34" t="n">
        <f aca="false">CE$110+CE$117</f>
        <v>0</v>
      </c>
      <c r="CF120" s="34" t="n">
        <f aca="false">CF$110+CF$117</f>
        <v>0</v>
      </c>
      <c r="CG120" s="34" t="n">
        <f aca="false">CG$110+CG$117</f>
        <v>0</v>
      </c>
      <c r="CH120" s="34" t="n">
        <f aca="false">CH$110+CH$117</f>
        <v>0</v>
      </c>
      <c r="CI120" s="34" t="n">
        <f aca="false">CI$110+CI$117</f>
        <v>0</v>
      </c>
      <c r="CJ120" s="34" t="n">
        <f aca="false">CJ$110+CJ$117</f>
        <v>0</v>
      </c>
      <c r="CK120" s="34" t="n">
        <f aca="false">CK$110+CK$117</f>
        <v>0</v>
      </c>
      <c r="CL120" s="34" t="n">
        <f aca="false">CL$110+CL$117</f>
        <v>0</v>
      </c>
      <c r="CM120" s="34" t="n">
        <f aca="false">CM$110+CM$117</f>
        <v>0</v>
      </c>
      <c r="CN120" s="34" t="n">
        <f aca="false">CN$110+CN$117</f>
        <v>0</v>
      </c>
      <c r="CO120" s="34" t="n">
        <f aca="false">CO$110+CO$117</f>
        <v>0</v>
      </c>
      <c r="CP120" s="34" t="n">
        <f aca="false">CP$110+CP$117</f>
        <v>0</v>
      </c>
      <c r="CQ120" s="34" t="n">
        <f aca="false">CQ$110+CQ$117</f>
        <v>0</v>
      </c>
      <c r="CR120" s="34" t="n">
        <f aca="false">CR$110+CR$117</f>
        <v>0</v>
      </c>
      <c r="CS120" s="34" t="n">
        <f aca="false">CS$110+CS$117</f>
        <v>0</v>
      </c>
      <c r="CT120" s="34" t="n">
        <f aca="false">CT$110+CT$117</f>
        <v>0</v>
      </c>
      <c r="CU120" s="34" t="n">
        <f aca="false">CU$110+CU$117</f>
        <v>0</v>
      </c>
      <c r="CV120" s="34" t="n">
        <f aca="false">CV$110+CV$117</f>
        <v>0</v>
      </c>
      <c r="CW120" s="34" t="n">
        <f aca="false">CW$110+CW$117</f>
        <v>0</v>
      </c>
      <c r="CX120" s="34" t="n">
        <f aca="false">CX$110+CX$117</f>
        <v>0</v>
      </c>
      <c r="CY120" s="34" t="n">
        <f aca="false">CY$110+CY$117</f>
        <v>0</v>
      </c>
      <c r="CZ120" s="34" t="n">
        <f aca="false">CZ$110+CZ$117</f>
        <v>0</v>
      </c>
      <c r="DA120" s="34" t="n">
        <f aca="false">DA$110+DA$117</f>
        <v>0</v>
      </c>
      <c r="DB120" s="34" t="n">
        <f aca="false">DB$110+DB$117</f>
        <v>0</v>
      </c>
      <c r="DC120" s="34" t="n">
        <f aca="false">DC$110+DC$117</f>
        <v>0</v>
      </c>
      <c r="DD120" s="34" t="n">
        <f aca="false">DD$110+DD$117</f>
        <v>0</v>
      </c>
      <c r="DE120" s="34" t="n">
        <f aca="false">DE$110+DE$117</f>
        <v>0</v>
      </c>
      <c r="DF120" s="34" t="n">
        <f aca="false">DF$110+DF$117</f>
        <v>0</v>
      </c>
      <c r="DG120" s="34" t="n">
        <f aca="false">DG$110+DG$117</f>
        <v>0</v>
      </c>
      <c r="DH120" s="34" t="n">
        <f aca="false">DH$110+DH$117</f>
        <v>0</v>
      </c>
      <c r="DI120" s="34" t="n">
        <f aca="false">DI$110+DI$117</f>
        <v>0</v>
      </c>
      <c r="DJ120" s="34" t="n">
        <f aca="false">DJ$110+DJ$117</f>
        <v>0</v>
      </c>
      <c r="DK120" s="34" t="n">
        <f aca="false">DK$110+DK$117</f>
        <v>0</v>
      </c>
      <c r="DL120" s="34" t="n">
        <f aca="false">DL$110+DL$117</f>
        <v>0</v>
      </c>
      <c r="DM120" s="34" t="n">
        <f aca="false">DM$110+DM$117</f>
        <v>0</v>
      </c>
      <c r="DN120" s="34" t="n">
        <f aca="false">DN$110+DN$117</f>
        <v>0</v>
      </c>
      <c r="DO120" s="34" t="n">
        <f aca="false">DO$110+DO$117</f>
        <v>0</v>
      </c>
      <c r="DP120" s="34" t="n">
        <f aca="false">DP$110+DP$117</f>
        <v>0</v>
      </c>
      <c r="DQ120" s="34" t="n">
        <f aca="false">DQ$110+DQ$117</f>
        <v>0</v>
      </c>
      <c r="DR120" s="34" t="n">
        <f aca="false">DR$110+DR$117</f>
        <v>0</v>
      </c>
      <c r="DS120" s="34" t="n">
        <f aca="false">DS$110+DS$117</f>
        <v>0</v>
      </c>
      <c r="DT120" s="34" t="n">
        <f aca="false">DT$110+DT$117</f>
        <v>0</v>
      </c>
      <c r="DU120" s="34" t="n">
        <f aca="false">DU$110+DU$117</f>
        <v>0</v>
      </c>
      <c r="DV120" s="34" t="n">
        <f aca="false">DV$110+DV$117</f>
        <v>0</v>
      </c>
      <c r="DW120" s="34" t="n">
        <f aca="false">DW$110+DW$117</f>
        <v>0</v>
      </c>
      <c r="DX120" s="34" t="n">
        <f aca="false">DX$110+DX$117</f>
        <v>0</v>
      </c>
      <c r="DY120" s="34" t="n">
        <f aca="false">DY$110+DY$117</f>
        <v>0</v>
      </c>
      <c r="DZ120" s="34" t="n">
        <f aca="false">DZ$110+DZ$117</f>
        <v>0</v>
      </c>
      <c r="EA120" s="34" t="n">
        <f aca="false">EA$110+EA$117</f>
        <v>0</v>
      </c>
      <c r="EB120" s="34" t="n">
        <f aca="false">EB$110+EB$117</f>
        <v>0</v>
      </c>
      <c r="EC120" s="34" t="n">
        <f aca="false">EC$110+EC$117</f>
        <v>0</v>
      </c>
      <c r="ED120" s="34" t="n">
        <f aca="false">ED$110+ED$117</f>
        <v>0</v>
      </c>
      <c r="EE120" s="34" t="n">
        <f aca="false">EE$110+EE$117</f>
        <v>0</v>
      </c>
      <c r="EF120" s="34" t="n">
        <f aca="false">EF$110+EF$117</f>
        <v>0</v>
      </c>
      <c r="EG120" s="34" t="n">
        <f aca="false">EG$110+EG$117</f>
        <v>0</v>
      </c>
      <c r="EH120" s="34" t="n">
        <f aca="false">EH$110+EH$117</f>
        <v>0</v>
      </c>
      <c r="EI120" s="34" t="n">
        <f aca="false">EI$110+EI$117</f>
        <v>0</v>
      </c>
      <c r="EJ120" s="34" t="n">
        <f aca="false">EJ$110+EJ$117</f>
        <v>0</v>
      </c>
      <c r="EK120" s="34" t="n">
        <f aca="false">EK$110+EK$117</f>
        <v>0</v>
      </c>
      <c r="EL120" s="34" t="n">
        <f aca="false">EL$110+EL$117</f>
        <v>0</v>
      </c>
      <c r="EM120" s="34" t="n">
        <f aca="false">EM$110+EM$117</f>
        <v>0</v>
      </c>
      <c r="EN120" s="34" t="n">
        <f aca="false">EN$110+EN$117</f>
        <v>0</v>
      </c>
      <c r="EO120" s="34" t="n">
        <f aca="false">EO$110+EO$117</f>
        <v>0</v>
      </c>
      <c r="EP120" s="34" t="n">
        <f aca="false">EP$110+EP$117</f>
        <v>0</v>
      </c>
      <c r="EQ120" s="34" t="n">
        <f aca="false">EQ$110+EQ$117</f>
        <v>0</v>
      </c>
      <c r="ER120" s="34" t="n">
        <f aca="false">ER$110+ER$117</f>
        <v>0</v>
      </c>
      <c r="ES120" s="34" t="n">
        <f aca="false">ES$110+ES$117</f>
        <v>0</v>
      </c>
    </row>
    <row r="121" customFormat="false" ht="15" hidden="false" customHeight="false" outlineLevel="0" collapsed="false">
      <c r="A121" s="2" t="s">
        <v>723</v>
      </c>
      <c r="B121" s="6" t="s">
        <v>724</v>
      </c>
      <c r="C121" s="6" t="s">
        <v>250</v>
      </c>
      <c r="E121" s="40" t="n">
        <f aca="false">SUM(F121:ES121)</f>
        <v>2791587</v>
      </c>
      <c r="F121" s="34" t="n">
        <f aca="false">F$111+F$118</f>
        <v>0</v>
      </c>
      <c r="G121" s="34" t="n">
        <f aca="false">G$111+G$118</f>
        <v>0</v>
      </c>
      <c r="H121" s="34" t="n">
        <f aca="false">H$111+H$118</f>
        <v>0</v>
      </c>
      <c r="I121" s="34" t="n">
        <f aca="false">I$111+I$118</f>
        <v>0</v>
      </c>
      <c r="J121" s="34" t="n">
        <f aca="false">J$111+J$118</f>
        <v>0</v>
      </c>
      <c r="K121" s="34" t="n">
        <f aca="false">K$111+K$118</f>
        <v>0</v>
      </c>
      <c r="L121" s="34" t="n">
        <f aca="false">L$111+L$118</f>
        <v>42123.3040946878</v>
      </c>
      <c r="M121" s="34" t="n">
        <f aca="false">M$111+M$118</f>
        <v>42439.2288753979</v>
      </c>
      <c r="N121" s="34" t="n">
        <f aca="false">N$111+N$118</f>
        <v>42757.5230919634</v>
      </c>
      <c r="O121" s="34" t="n">
        <f aca="false">O$111+O$118</f>
        <v>43078.2045151531</v>
      </c>
      <c r="P121" s="34" t="n">
        <f aca="false">P$111+P$118</f>
        <v>43401.2910490168</v>
      </c>
      <c r="Q121" s="34" t="n">
        <f aca="false">Q$111+Q$118</f>
        <v>43726.8007318844</v>
      </c>
      <c r="R121" s="34" t="n">
        <f aca="false">R$111+R$118</f>
        <v>44054.7517373735</v>
      </c>
      <c r="S121" s="34" t="n">
        <f aca="false">S$111+S$118</f>
        <v>44385.1623754038</v>
      </c>
      <c r="T121" s="34" t="n">
        <f aca="false">T$111+T$118</f>
        <v>44718.0510932194</v>
      </c>
      <c r="U121" s="34" t="n">
        <f aca="false">U$111+U$118</f>
        <v>45053.4364764185</v>
      </c>
      <c r="V121" s="34" t="n">
        <f aca="false">V$111+V$118</f>
        <v>45391.3372499916</v>
      </c>
      <c r="W121" s="34" t="n">
        <f aca="false">W$111+W$118</f>
        <v>45731.7722793666</v>
      </c>
      <c r="X121" s="34" t="n">
        <f aca="false">X$111+X$118</f>
        <v>46074.7605714618</v>
      </c>
      <c r="Y121" s="34" t="n">
        <f aca="false">Y$111+Y$118</f>
        <v>46420.3212757478</v>
      </c>
      <c r="Z121" s="34" t="n">
        <f aca="false">Z$111+Z$118</f>
        <v>46768.4736853159</v>
      </c>
      <c r="AA121" s="34" t="n">
        <f aca="false">AA$111+AA$118</f>
        <v>47119.2372379558</v>
      </c>
      <c r="AB121" s="34" t="n">
        <f aca="false">AB$111+AB$118</f>
        <v>47472.6315172404</v>
      </c>
      <c r="AC121" s="34" t="n">
        <f aca="false">AC$111+AC$118</f>
        <v>47828.6762536197</v>
      </c>
      <c r="AD121" s="34" t="n">
        <f aca="false">AD$111+AD$118</f>
        <v>48187.3913255219</v>
      </c>
      <c r="AE121" s="34" t="n">
        <f aca="false">AE$111+AE$118</f>
        <v>48548.7967604633</v>
      </c>
      <c r="AF121" s="34" t="n">
        <f aca="false">AF$111+AF$118</f>
        <v>48912.9127361668</v>
      </c>
      <c r="AG121" s="34" t="n">
        <f aca="false">AG$111+AG$118</f>
        <v>49279.759581688</v>
      </c>
      <c r="AH121" s="34" t="n">
        <f aca="false">AH$111+AH$118</f>
        <v>49649.3577785507</v>
      </c>
      <c r="AI121" s="34" t="n">
        <f aca="false">AI$111+AI$118</f>
        <v>50021.7279618898</v>
      </c>
      <c r="AJ121" s="34" t="n">
        <f aca="false">AJ$111+AJ$118</f>
        <v>50396.890921604</v>
      </c>
      <c r="AK121" s="34" t="n">
        <f aca="false">AK$111+AK$118</f>
        <v>50774.867603516</v>
      </c>
      <c r="AL121" s="34" t="n">
        <f aca="false">AL$111+AL$118</f>
        <v>51155.6791105424</v>
      </c>
      <c r="AM121" s="34" t="n">
        <f aca="false">AM$111+AM$118</f>
        <v>51539.3467038715</v>
      </c>
      <c r="AN121" s="34" t="n">
        <f aca="false">AN$111+AN$118</f>
        <v>51925.8918041505</v>
      </c>
      <c r="AO121" s="34" t="n">
        <f aca="false">AO$111+AO$118</f>
        <v>52315.3359926816</v>
      </c>
      <c r="AP121" s="34" t="n">
        <f aca="false">AP$111+AP$118</f>
        <v>52707.7010126267</v>
      </c>
      <c r="AQ121" s="34" t="n">
        <f aca="false">AQ$111+AQ$118</f>
        <v>53103.0087702214</v>
      </c>
      <c r="AR121" s="34" t="n">
        <f aca="false">AR$111+AR$118</f>
        <v>53501.2813359981</v>
      </c>
      <c r="AS121" s="34" t="n">
        <f aca="false">AS$111+AS$118</f>
        <v>53902.5409460181</v>
      </c>
      <c r="AT121" s="34" t="n">
        <f aca="false">AT$111+AT$118</f>
        <v>54306.8100031132</v>
      </c>
      <c r="AU121" s="34" t="n">
        <f aca="false">AU$111+AU$118</f>
        <v>54714.1110781366</v>
      </c>
      <c r="AV121" s="34" t="n">
        <f aca="false">AV$111+AV$118</f>
        <v>55124.4669112226</v>
      </c>
      <c r="AW121" s="34" t="n">
        <f aca="false">AW$111+AW$118</f>
        <v>55537.9004130568</v>
      </c>
      <c r="AX121" s="34" t="n">
        <f aca="false">AX$111+AX$118</f>
        <v>55954.4346661547</v>
      </c>
      <c r="AY121" s="34" t="n">
        <f aca="false">AY$111+AY$118</f>
        <v>56374.0929261509</v>
      </c>
      <c r="AZ121" s="34" t="n">
        <f aca="false">AZ$111+AZ$118</f>
        <v>56796.898623097</v>
      </c>
      <c r="BA121" s="34" t="n">
        <f aca="false">BA$111+BA$118</f>
        <v>57222.8753627702</v>
      </c>
      <c r="BB121" s="34" t="n">
        <f aca="false">BB$111+BB$118</f>
        <v>57652.046927991</v>
      </c>
      <c r="BC121" s="34" t="n">
        <f aca="false">BC$111+BC$118</f>
        <v>58084.4372799509</v>
      </c>
      <c r="BD121" s="34" t="n">
        <f aca="false">BD$111+BD$118</f>
        <v>58520.0705595506</v>
      </c>
      <c r="BE121" s="34" t="n">
        <f aca="false">BE$111+BE$118</f>
        <v>58958.9710887472</v>
      </c>
      <c r="BF121" s="34" t="n">
        <f aca="false">BF$111+BF$118</f>
        <v>59401.1633719128</v>
      </c>
      <c r="BG121" s="34" t="n">
        <f aca="false">BG$111+BG$118</f>
        <v>59846.6720972021</v>
      </c>
      <c r="BH121" s="34" t="n">
        <f aca="false">BH$111+BH$118</f>
        <v>60295.5221379312</v>
      </c>
      <c r="BI121" s="34" t="n">
        <f aca="false">BI$111+BI$118</f>
        <v>60747.7385539656</v>
      </c>
      <c r="BJ121" s="34" t="n">
        <f aca="false">BJ$111+BJ$118</f>
        <v>61203.3465931204</v>
      </c>
      <c r="BK121" s="34" t="n">
        <f aca="false">BK$111+BK$118</f>
        <v>61662.3716925688</v>
      </c>
      <c r="BL121" s="34" t="n">
        <f aca="false">BL$111+BL$118</f>
        <v>62124.839480263</v>
      </c>
      <c r="BM121" s="34" t="n">
        <f aca="false">BM$111+BM$118</f>
        <v>62590.7757763667</v>
      </c>
      <c r="BN121" s="34" t="n">
        <f aca="false">BN$111+BN$118</f>
        <v>0</v>
      </c>
      <c r="BO121" s="34" t="n">
        <f aca="false">BO$111+BO$118</f>
        <v>0</v>
      </c>
      <c r="BP121" s="34" t="n">
        <f aca="false">BP$111+BP$118</f>
        <v>0</v>
      </c>
      <c r="BQ121" s="34" t="n">
        <f aca="false">BQ$111+BQ$118</f>
        <v>0</v>
      </c>
      <c r="BR121" s="34" t="n">
        <f aca="false">BR$111+BR$118</f>
        <v>0</v>
      </c>
      <c r="BS121" s="34" t="n">
        <f aca="false">BS$111+BS$118</f>
        <v>0</v>
      </c>
      <c r="BT121" s="34" t="n">
        <f aca="false">BT$111+BT$118</f>
        <v>0</v>
      </c>
      <c r="BU121" s="34" t="n">
        <f aca="false">BU$111+BU$118</f>
        <v>0</v>
      </c>
      <c r="BV121" s="34" t="n">
        <f aca="false">BV$111+BV$118</f>
        <v>0</v>
      </c>
      <c r="BW121" s="34" t="n">
        <f aca="false">BW$111+BW$118</f>
        <v>0</v>
      </c>
      <c r="BX121" s="34" t="n">
        <f aca="false">BX$111+BX$118</f>
        <v>0</v>
      </c>
      <c r="BY121" s="34" t="n">
        <f aca="false">BY$111+BY$118</f>
        <v>0</v>
      </c>
      <c r="BZ121" s="34" t="n">
        <f aca="false">BZ$111+BZ$118</f>
        <v>0</v>
      </c>
      <c r="CA121" s="34" t="n">
        <f aca="false">CA$111+CA$118</f>
        <v>0</v>
      </c>
      <c r="CB121" s="34" t="n">
        <f aca="false">CB$111+CB$118</f>
        <v>0</v>
      </c>
      <c r="CC121" s="34" t="n">
        <f aca="false">CC$111+CC$118</f>
        <v>0</v>
      </c>
      <c r="CD121" s="34" t="n">
        <f aca="false">CD$111+CD$118</f>
        <v>0</v>
      </c>
      <c r="CE121" s="34" t="n">
        <f aca="false">CE$111+CE$118</f>
        <v>0</v>
      </c>
      <c r="CF121" s="34" t="n">
        <f aca="false">CF$111+CF$118</f>
        <v>0</v>
      </c>
      <c r="CG121" s="34" t="n">
        <f aca="false">CG$111+CG$118</f>
        <v>0</v>
      </c>
      <c r="CH121" s="34" t="n">
        <f aca="false">CH$111+CH$118</f>
        <v>0</v>
      </c>
      <c r="CI121" s="34" t="n">
        <f aca="false">CI$111+CI$118</f>
        <v>0</v>
      </c>
      <c r="CJ121" s="34" t="n">
        <f aca="false">CJ$111+CJ$118</f>
        <v>0</v>
      </c>
      <c r="CK121" s="34" t="n">
        <f aca="false">CK$111+CK$118</f>
        <v>0</v>
      </c>
      <c r="CL121" s="34" t="n">
        <f aca="false">CL$111+CL$118</f>
        <v>0</v>
      </c>
      <c r="CM121" s="34" t="n">
        <f aca="false">CM$111+CM$118</f>
        <v>0</v>
      </c>
      <c r="CN121" s="34" t="n">
        <f aca="false">CN$111+CN$118</f>
        <v>0</v>
      </c>
      <c r="CO121" s="34" t="n">
        <f aca="false">CO$111+CO$118</f>
        <v>0</v>
      </c>
      <c r="CP121" s="34" t="n">
        <f aca="false">CP$111+CP$118</f>
        <v>0</v>
      </c>
      <c r="CQ121" s="34" t="n">
        <f aca="false">CQ$111+CQ$118</f>
        <v>0</v>
      </c>
      <c r="CR121" s="34" t="n">
        <f aca="false">CR$111+CR$118</f>
        <v>0</v>
      </c>
      <c r="CS121" s="34" t="n">
        <f aca="false">CS$111+CS$118</f>
        <v>0</v>
      </c>
      <c r="CT121" s="34" t="n">
        <f aca="false">CT$111+CT$118</f>
        <v>0</v>
      </c>
      <c r="CU121" s="34" t="n">
        <f aca="false">CU$111+CU$118</f>
        <v>0</v>
      </c>
      <c r="CV121" s="34" t="n">
        <f aca="false">CV$111+CV$118</f>
        <v>0</v>
      </c>
      <c r="CW121" s="34" t="n">
        <f aca="false">CW$111+CW$118</f>
        <v>0</v>
      </c>
      <c r="CX121" s="34" t="n">
        <f aca="false">CX$111+CX$118</f>
        <v>0</v>
      </c>
      <c r="CY121" s="34" t="n">
        <f aca="false">CY$111+CY$118</f>
        <v>0</v>
      </c>
      <c r="CZ121" s="34" t="n">
        <f aca="false">CZ$111+CZ$118</f>
        <v>0</v>
      </c>
      <c r="DA121" s="34" t="n">
        <f aca="false">DA$111+DA$118</f>
        <v>0</v>
      </c>
      <c r="DB121" s="34" t="n">
        <f aca="false">DB$111+DB$118</f>
        <v>0</v>
      </c>
      <c r="DC121" s="34" t="n">
        <f aca="false">DC$111+DC$118</f>
        <v>0</v>
      </c>
      <c r="DD121" s="34" t="n">
        <f aca="false">DD$111+DD$118</f>
        <v>0</v>
      </c>
      <c r="DE121" s="34" t="n">
        <f aca="false">DE$111+DE$118</f>
        <v>0</v>
      </c>
      <c r="DF121" s="34" t="n">
        <f aca="false">DF$111+DF$118</f>
        <v>0</v>
      </c>
      <c r="DG121" s="34" t="n">
        <f aca="false">DG$111+DG$118</f>
        <v>0</v>
      </c>
      <c r="DH121" s="34" t="n">
        <f aca="false">DH$111+DH$118</f>
        <v>0</v>
      </c>
      <c r="DI121" s="34" t="n">
        <f aca="false">DI$111+DI$118</f>
        <v>0</v>
      </c>
      <c r="DJ121" s="34" t="n">
        <f aca="false">DJ$111+DJ$118</f>
        <v>0</v>
      </c>
      <c r="DK121" s="34" t="n">
        <f aca="false">DK$111+DK$118</f>
        <v>0</v>
      </c>
      <c r="DL121" s="34" t="n">
        <f aca="false">DL$111+DL$118</f>
        <v>0</v>
      </c>
      <c r="DM121" s="34" t="n">
        <f aca="false">DM$111+DM$118</f>
        <v>0</v>
      </c>
      <c r="DN121" s="34" t="n">
        <f aca="false">DN$111+DN$118</f>
        <v>0</v>
      </c>
      <c r="DO121" s="34" t="n">
        <f aca="false">DO$111+DO$118</f>
        <v>0</v>
      </c>
      <c r="DP121" s="34" t="n">
        <f aca="false">DP$111+DP$118</f>
        <v>0</v>
      </c>
      <c r="DQ121" s="34" t="n">
        <f aca="false">DQ$111+DQ$118</f>
        <v>0</v>
      </c>
      <c r="DR121" s="34" t="n">
        <f aca="false">DR$111+DR$118</f>
        <v>0</v>
      </c>
      <c r="DS121" s="34" t="n">
        <f aca="false">DS$111+DS$118</f>
        <v>0</v>
      </c>
      <c r="DT121" s="34" t="n">
        <f aca="false">DT$111+DT$118</f>
        <v>0</v>
      </c>
      <c r="DU121" s="34" t="n">
        <f aca="false">DU$111+DU$118</f>
        <v>0</v>
      </c>
      <c r="DV121" s="34" t="n">
        <f aca="false">DV$111+DV$118</f>
        <v>0</v>
      </c>
      <c r="DW121" s="34" t="n">
        <f aca="false">DW$111+DW$118</f>
        <v>0</v>
      </c>
      <c r="DX121" s="34" t="n">
        <f aca="false">DX$111+DX$118</f>
        <v>0</v>
      </c>
      <c r="DY121" s="34" t="n">
        <f aca="false">DY$111+DY$118</f>
        <v>0</v>
      </c>
      <c r="DZ121" s="34" t="n">
        <f aca="false">DZ$111+DZ$118</f>
        <v>0</v>
      </c>
      <c r="EA121" s="34" t="n">
        <f aca="false">EA$111+EA$118</f>
        <v>0</v>
      </c>
      <c r="EB121" s="34" t="n">
        <f aca="false">EB$111+EB$118</f>
        <v>0</v>
      </c>
      <c r="EC121" s="34" t="n">
        <f aca="false">EC$111+EC$118</f>
        <v>0</v>
      </c>
      <c r="ED121" s="34" t="n">
        <f aca="false">ED$111+ED$118</f>
        <v>0</v>
      </c>
      <c r="EE121" s="34" t="n">
        <f aca="false">EE$111+EE$118</f>
        <v>0</v>
      </c>
      <c r="EF121" s="34" t="n">
        <f aca="false">EF$111+EF$118</f>
        <v>0</v>
      </c>
      <c r="EG121" s="34" t="n">
        <f aca="false">EG$111+EG$118</f>
        <v>0</v>
      </c>
      <c r="EH121" s="34" t="n">
        <f aca="false">EH$111+EH$118</f>
        <v>0</v>
      </c>
      <c r="EI121" s="34" t="n">
        <f aca="false">EI$111+EI$118</f>
        <v>0</v>
      </c>
      <c r="EJ121" s="34" t="n">
        <f aca="false">EJ$111+EJ$118</f>
        <v>0</v>
      </c>
      <c r="EK121" s="34" t="n">
        <f aca="false">EK$111+EK$118</f>
        <v>0</v>
      </c>
      <c r="EL121" s="34" t="n">
        <f aca="false">EL$111+EL$118</f>
        <v>0</v>
      </c>
      <c r="EM121" s="34" t="n">
        <f aca="false">EM$111+EM$118</f>
        <v>0</v>
      </c>
      <c r="EN121" s="34" t="n">
        <f aca="false">EN$111+EN$118</f>
        <v>0</v>
      </c>
      <c r="EO121" s="34" t="n">
        <f aca="false">EO$111+EO$118</f>
        <v>0</v>
      </c>
      <c r="EP121" s="34" t="n">
        <f aca="false">EP$111+EP$118</f>
        <v>0</v>
      </c>
      <c r="EQ121" s="34" t="n">
        <f aca="false">EQ$111+EQ$118</f>
        <v>0</v>
      </c>
      <c r="ER121" s="34" t="n">
        <f aca="false">ER$111+ER$118</f>
        <v>0</v>
      </c>
      <c r="ES121" s="34" t="n">
        <f aca="false">ES$111+ES$118</f>
        <v>0</v>
      </c>
    </row>
    <row r="122" customFormat="false" ht="15" hidden="false" customHeight="false" outlineLevel="0" collapsed="false">
      <c r="A122" s="2" t="s">
        <v>725</v>
      </c>
      <c r="B122" s="52" t="s">
        <v>726</v>
      </c>
      <c r="C122" s="6" t="s">
        <v>250</v>
      </c>
      <c r="E122" s="40" t="n">
        <f aca="false">MAX(F122:ES122)</f>
        <v>2791587</v>
      </c>
      <c r="F122" s="10" t="n">
        <f aca="false">0+F$120-F$121</f>
        <v>2791587</v>
      </c>
      <c r="G122" s="10" t="n">
        <f aca="false">F$122+G$120-G$121</f>
        <v>2791587</v>
      </c>
      <c r="H122" s="10" t="n">
        <f aca="false">G$122+H$120-H$121</f>
        <v>2791587</v>
      </c>
      <c r="I122" s="10" t="n">
        <f aca="false">H$122+I$120-I$121</f>
        <v>2791587</v>
      </c>
      <c r="J122" s="10" t="n">
        <f aca="false">I$122+J$120-J$121</f>
        <v>2791587</v>
      </c>
      <c r="K122" s="10" t="n">
        <f aca="false">J$122+K$120-K$121</f>
        <v>2791587</v>
      </c>
      <c r="L122" s="10" t="n">
        <f aca="false">K$122+L$120-L$121</f>
        <v>2749463.69590531</v>
      </c>
      <c r="M122" s="10" t="n">
        <f aca="false">L$122+M$120-M$121</f>
        <v>2707024.46702991</v>
      </c>
      <c r="N122" s="10" t="n">
        <f aca="false">M$122+N$120-N$121</f>
        <v>2664266.94393795</v>
      </c>
      <c r="O122" s="10" t="n">
        <f aca="false">N$122+O$120-O$121</f>
        <v>2621188.7394228</v>
      </c>
      <c r="P122" s="10" t="n">
        <f aca="false">O$122+P$120-P$121</f>
        <v>2577787.44837378</v>
      </c>
      <c r="Q122" s="10" t="n">
        <f aca="false">P$122+Q$120-Q$121</f>
        <v>2534060.6476419</v>
      </c>
      <c r="R122" s="10" t="n">
        <f aca="false">Q$122+R$120-R$121</f>
        <v>2490005.89590452</v>
      </c>
      <c r="S122" s="10" t="n">
        <f aca="false">R$122+S$120-S$121</f>
        <v>2445620.73352912</v>
      </c>
      <c r="T122" s="10" t="n">
        <f aca="false">S$122+T$120-T$121</f>
        <v>2400902.6824359</v>
      </c>
      <c r="U122" s="10" t="n">
        <f aca="false">T$122+U$120-U$121</f>
        <v>2355849.24595948</v>
      </c>
      <c r="V122" s="10" t="n">
        <f aca="false">U$122+V$120-V$121</f>
        <v>2310457.90870949</v>
      </c>
      <c r="W122" s="10" t="n">
        <f aca="false">V$122+W$120-W$121</f>
        <v>2264726.13643012</v>
      </c>
      <c r="X122" s="10" t="n">
        <f aca="false">W$122+X$120-X$121</f>
        <v>2218651.37585866</v>
      </c>
      <c r="Y122" s="10" t="n">
        <f aca="false">X$122+Y$120-Y$121</f>
        <v>2172231.05458292</v>
      </c>
      <c r="Z122" s="10" t="n">
        <f aca="false">Y$122+Z$120-Z$121</f>
        <v>2125462.5808976</v>
      </c>
      <c r="AA122" s="10" t="n">
        <f aca="false">Z$122+AA$120-AA$121</f>
        <v>2078343.34365964</v>
      </c>
      <c r="AB122" s="10" t="n">
        <f aca="false">AA$122+AB$120-AB$121</f>
        <v>2030870.7121424</v>
      </c>
      <c r="AC122" s="10" t="n">
        <f aca="false">AB$122+AC$120-AC$121</f>
        <v>1983042.03588878</v>
      </c>
      <c r="AD122" s="10" t="n">
        <f aca="false">AC$122+AD$120-AD$121</f>
        <v>1934854.64456326</v>
      </c>
      <c r="AE122" s="10" t="n">
        <f aca="false">AD$122+AE$120-AE$121</f>
        <v>1886305.8478028</v>
      </c>
      <c r="AF122" s="10" t="n">
        <f aca="false">AE$122+AF$120-AF$121</f>
        <v>1837392.93506663</v>
      </c>
      <c r="AG122" s="10" t="n">
        <f aca="false">AF$122+AG$120-AG$121</f>
        <v>1788113.17548494</v>
      </c>
      <c r="AH122" s="10" t="n">
        <f aca="false">AG$122+AH$120-AH$121</f>
        <v>1738463.81770639</v>
      </c>
      <c r="AI122" s="10" t="n">
        <f aca="false">AH$122+AI$120-AI$121</f>
        <v>1688442.0897445</v>
      </c>
      <c r="AJ122" s="10" t="n">
        <f aca="false">AI$122+AJ$120-AJ$121</f>
        <v>1638045.1988229</v>
      </c>
      <c r="AK122" s="10" t="n">
        <f aca="false">AJ$122+AK$120-AK$121</f>
        <v>1587270.33121938</v>
      </c>
      <c r="AL122" s="10" t="n">
        <f aca="false">AK$122+AL$120-AL$121</f>
        <v>1536114.65210884</v>
      </c>
      <c r="AM122" s="10" t="n">
        <f aca="false">AL$122+AM$120-AM$121</f>
        <v>1484575.30540497</v>
      </c>
      <c r="AN122" s="10" t="n">
        <f aca="false">AM$122+AN$120-AN$121</f>
        <v>1432649.41360082</v>
      </c>
      <c r="AO122" s="10" t="n">
        <f aca="false">AN$122+AO$120-AO$121</f>
        <v>1380334.07760814</v>
      </c>
      <c r="AP122" s="10" t="n">
        <f aca="false">AO$122+AP$120-AP$121</f>
        <v>1327626.37659551</v>
      </c>
      <c r="AQ122" s="10" t="n">
        <f aca="false">AP$122+AQ$120-AQ$121</f>
        <v>1274523.36782529</v>
      </c>
      <c r="AR122" s="10" t="n">
        <f aca="false">AQ$122+AR$120-AR$121</f>
        <v>1221022.08648929</v>
      </c>
      <c r="AS122" s="10" t="n">
        <f aca="false">AR$122+AS$120-AS$121</f>
        <v>1167119.54554327</v>
      </c>
      <c r="AT122" s="10" t="n">
        <f aca="false">AS$122+AT$120-AT$121</f>
        <v>1112812.73554016</v>
      </c>
      <c r="AU122" s="10" t="n">
        <f aca="false">AT$122+AU$120-AU$121</f>
        <v>1058098.62446202</v>
      </c>
      <c r="AV122" s="10" t="n">
        <f aca="false">AU$122+AV$120-AV$121</f>
        <v>1002974.1575508</v>
      </c>
      <c r="AW122" s="10" t="n">
        <f aca="false">AV$122+AW$120-AW$121</f>
        <v>947436.257137743</v>
      </c>
      <c r="AX122" s="10" t="n">
        <f aca="false">AW$122+AX$120-AX$121</f>
        <v>891481.822471588</v>
      </c>
      <c r="AY122" s="10" t="n">
        <f aca="false">AX$122+AY$120-AY$121</f>
        <v>835107.729545437</v>
      </c>
      <c r="AZ122" s="10" t="n">
        <f aca="false">AY$122+AZ$120-AZ$121</f>
        <v>778310.83092234</v>
      </c>
      <c r="BA122" s="10" t="n">
        <f aca="false">AZ$122+BA$120-BA$121</f>
        <v>721087.95555957</v>
      </c>
      <c r="BB122" s="10" t="n">
        <f aca="false">BA$122+BB$120-BB$121</f>
        <v>663435.908631579</v>
      </c>
      <c r="BC122" s="10" t="n">
        <f aca="false">BB$122+BC$120-BC$121</f>
        <v>605351.471351628</v>
      </c>
      <c r="BD122" s="10" t="n">
        <f aca="false">BC$122+BD$120-BD$121</f>
        <v>546831.400792078</v>
      </c>
      <c r="BE122" s="10" t="n">
        <f aca="false">BD$122+BE$120-BE$121</f>
        <v>487872.429703331</v>
      </c>
      <c r="BF122" s="10" t="n">
        <f aca="false">BE$122+BF$120-BF$121</f>
        <v>428471.266331418</v>
      </c>
      <c r="BG122" s="10" t="n">
        <f aca="false">BF$122+BG$120-BG$121</f>
        <v>368624.594234216</v>
      </c>
      <c r="BH122" s="10" t="n">
        <f aca="false">BG$122+BH$120-BH$121</f>
        <v>308329.072096285</v>
      </c>
      <c r="BI122" s="10" t="n">
        <f aca="false">BH$122+BI$120-BI$121</f>
        <v>247581.333542319</v>
      </c>
      <c r="BJ122" s="10" t="n">
        <f aca="false">BI$122+BJ$120-BJ$121</f>
        <v>186377.986949199</v>
      </c>
      <c r="BK122" s="10" t="n">
        <f aca="false">BJ$122+BK$120-BK$121</f>
        <v>124715.61525663</v>
      </c>
      <c r="BL122" s="10" t="n">
        <f aca="false">BK$122+BL$120-BL$121</f>
        <v>62590.7757763667</v>
      </c>
      <c r="BM122" s="10" t="n">
        <f aca="false">BL$122+BM$120-BM$121</f>
        <v>0</v>
      </c>
      <c r="BN122" s="10" t="n">
        <f aca="false">BM$122+BN$120-BN$121</f>
        <v>0</v>
      </c>
      <c r="BO122" s="10" t="n">
        <f aca="false">BN$122+BO$120-BO$121</f>
        <v>0</v>
      </c>
      <c r="BP122" s="10" t="n">
        <f aca="false">BO$122+BP$120-BP$121</f>
        <v>0</v>
      </c>
      <c r="BQ122" s="10" t="n">
        <f aca="false">BP$122+BQ$120-BQ$121</f>
        <v>0</v>
      </c>
      <c r="BR122" s="10" t="n">
        <f aca="false">BQ$122+BR$120-BR$121</f>
        <v>0</v>
      </c>
      <c r="BS122" s="10" t="n">
        <f aca="false">BR$122+BS$120-BS$121</f>
        <v>0</v>
      </c>
      <c r="BT122" s="10" t="n">
        <f aca="false">BS$122+BT$120-BT$121</f>
        <v>0</v>
      </c>
      <c r="BU122" s="10" t="n">
        <f aca="false">BT$122+BU$120-BU$121</f>
        <v>0</v>
      </c>
      <c r="BV122" s="10" t="n">
        <f aca="false">BU$122+BV$120-BV$121</f>
        <v>0</v>
      </c>
      <c r="BW122" s="10" t="n">
        <f aca="false">BV$122+BW$120-BW$121</f>
        <v>0</v>
      </c>
      <c r="BX122" s="10" t="n">
        <f aca="false">BW$122+BX$120-BX$121</f>
        <v>0</v>
      </c>
      <c r="BY122" s="10" t="n">
        <f aca="false">BX$122+BY$120-BY$121</f>
        <v>0</v>
      </c>
      <c r="BZ122" s="10" t="n">
        <f aca="false">BY$122+BZ$120-BZ$121</f>
        <v>0</v>
      </c>
      <c r="CA122" s="10" t="n">
        <f aca="false">BZ$122+CA$120-CA$121</f>
        <v>0</v>
      </c>
      <c r="CB122" s="10" t="n">
        <f aca="false">CA$122+CB$120-CB$121</f>
        <v>0</v>
      </c>
      <c r="CC122" s="10" t="n">
        <f aca="false">CB$122+CC$120-CC$121</f>
        <v>0</v>
      </c>
      <c r="CD122" s="10" t="n">
        <f aca="false">CC$122+CD$120-CD$121</f>
        <v>0</v>
      </c>
      <c r="CE122" s="10" t="n">
        <f aca="false">CD$122+CE$120-CE$121</f>
        <v>0</v>
      </c>
      <c r="CF122" s="10" t="n">
        <f aca="false">CE$122+CF$120-CF$121</f>
        <v>0</v>
      </c>
      <c r="CG122" s="10" t="n">
        <f aca="false">CF$122+CG$120-CG$121</f>
        <v>0</v>
      </c>
      <c r="CH122" s="10" t="n">
        <f aca="false">CG$122+CH$120-CH$121</f>
        <v>0</v>
      </c>
      <c r="CI122" s="10" t="n">
        <f aca="false">CH$122+CI$120-CI$121</f>
        <v>0</v>
      </c>
      <c r="CJ122" s="10" t="n">
        <f aca="false">CI$122+CJ$120-CJ$121</f>
        <v>0</v>
      </c>
      <c r="CK122" s="10" t="n">
        <f aca="false">CJ$122+CK$120-CK$121</f>
        <v>0</v>
      </c>
      <c r="CL122" s="10" t="n">
        <f aca="false">CK$122+CL$120-CL$121</f>
        <v>0</v>
      </c>
      <c r="CM122" s="10" t="n">
        <f aca="false">CL$122+CM$120-CM$121</f>
        <v>0</v>
      </c>
      <c r="CN122" s="10" t="n">
        <f aca="false">CM$122+CN$120-CN$121</f>
        <v>0</v>
      </c>
      <c r="CO122" s="10" t="n">
        <f aca="false">CN$122+CO$120-CO$121</f>
        <v>0</v>
      </c>
      <c r="CP122" s="10" t="n">
        <f aca="false">CO$122+CP$120-CP$121</f>
        <v>0</v>
      </c>
      <c r="CQ122" s="10" t="n">
        <f aca="false">CP$122+CQ$120-CQ$121</f>
        <v>0</v>
      </c>
      <c r="CR122" s="10" t="n">
        <f aca="false">CQ$122+CR$120-CR$121</f>
        <v>0</v>
      </c>
      <c r="CS122" s="10" t="n">
        <f aca="false">CR$122+CS$120-CS$121</f>
        <v>0</v>
      </c>
      <c r="CT122" s="10" t="n">
        <f aca="false">CS$122+CT$120-CT$121</f>
        <v>0</v>
      </c>
      <c r="CU122" s="10" t="n">
        <f aca="false">CT$122+CU$120-CU$121</f>
        <v>0</v>
      </c>
      <c r="CV122" s="10" t="n">
        <f aca="false">CU$122+CV$120-CV$121</f>
        <v>0</v>
      </c>
      <c r="CW122" s="10" t="n">
        <f aca="false">CV$122+CW$120-CW$121</f>
        <v>0</v>
      </c>
      <c r="CX122" s="10" t="n">
        <f aca="false">CW$122+CX$120-CX$121</f>
        <v>0</v>
      </c>
      <c r="CY122" s="10" t="n">
        <f aca="false">CX$122+CY$120-CY$121</f>
        <v>0</v>
      </c>
      <c r="CZ122" s="10" t="n">
        <f aca="false">CY$122+CZ$120-CZ$121</f>
        <v>0</v>
      </c>
      <c r="DA122" s="10" t="n">
        <f aca="false">CZ$122+DA$120-DA$121</f>
        <v>0</v>
      </c>
      <c r="DB122" s="10" t="n">
        <f aca="false">DA$122+DB$120-DB$121</f>
        <v>0</v>
      </c>
      <c r="DC122" s="10" t="n">
        <f aca="false">DB$122+DC$120-DC$121</f>
        <v>0</v>
      </c>
      <c r="DD122" s="10" t="n">
        <f aca="false">DC$122+DD$120-DD$121</f>
        <v>0</v>
      </c>
      <c r="DE122" s="10" t="n">
        <f aca="false">DD$122+DE$120-DE$121</f>
        <v>0</v>
      </c>
      <c r="DF122" s="10" t="n">
        <f aca="false">DE$122+DF$120-DF$121</f>
        <v>0</v>
      </c>
      <c r="DG122" s="10" t="n">
        <f aca="false">DF$122+DG$120-DG$121</f>
        <v>0</v>
      </c>
      <c r="DH122" s="10" t="n">
        <f aca="false">DG$122+DH$120-DH$121</f>
        <v>0</v>
      </c>
      <c r="DI122" s="10" t="n">
        <f aca="false">DH$122+DI$120-DI$121</f>
        <v>0</v>
      </c>
      <c r="DJ122" s="10" t="n">
        <f aca="false">DI$122+DJ$120-DJ$121</f>
        <v>0</v>
      </c>
      <c r="DK122" s="10" t="n">
        <f aca="false">DJ$122+DK$120-DK$121</f>
        <v>0</v>
      </c>
      <c r="DL122" s="10" t="n">
        <f aca="false">DK$122+DL$120-DL$121</f>
        <v>0</v>
      </c>
      <c r="DM122" s="10" t="n">
        <f aca="false">DL$122+DM$120-DM$121</f>
        <v>0</v>
      </c>
      <c r="DN122" s="10" t="n">
        <f aca="false">DM$122+DN$120-DN$121</f>
        <v>0</v>
      </c>
      <c r="DO122" s="10" t="n">
        <f aca="false">DN$122+DO$120-DO$121</f>
        <v>0</v>
      </c>
      <c r="DP122" s="10" t="n">
        <f aca="false">DO$122+DP$120-DP$121</f>
        <v>0</v>
      </c>
      <c r="DQ122" s="10" t="n">
        <f aca="false">DP$122+DQ$120-DQ$121</f>
        <v>0</v>
      </c>
      <c r="DR122" s="10" t="n">
        <f aca="false">DQ$122+DR$120-DR$121</f>
        <v>0</v>
      </c>
      <c r="DS122" s="10" t="n">
        <f aca="false">DR$122+DS$120-DS$121</f>
        <v>0</v>
      </c>
      <c r="DT122" s="10" t="n">
        <f aca="false">DS$122+DT$120-DT$121</f>
        <v>0</v>
      </c>
      <c r="DU122" s="10" t="n">
        <f aca="false">DT$122+DU$120-DU$121</f>
        <v>0</v>
      </c>
      <c r="DV122" s="10" t="n">
        <f aca="false">DU$122+DV$120-DV$121</f>
        <v>0</v>
      </c>
      <c r="DW122" s="10" t="n">
        <f aca="false">DV$122+DW$120-DW$121</f>
        <v>0</v>
      </c>
      <c r="DX122" s="10" t="n">
        <f aca="false">DW$122+DX$120-DX$121</f>
        <v>0</v>
      </c>
      <c r="DY122" s="10" t="n">
        <f aca="false">DX$122+DY$120-DY$121</f>
        <v>0</v>
      </c>
      <c r="DZ122" s="10" t="n">
        <f aca="false">DY$122+DZ$120-DZ$121</f>
        <v>0</v>
      </c>
      <c r="EA122" s="10" t="n">
        <f aca="false">DZ$122+EA$120-EA$121</f>
        <v>0</v>
      </c>
      <c r="EB122" s="10" t="n">
        <f aca="false">EA$122+EB$120-EB$121</f>
        <v>0</v>
      </c>
      <c r="EC122" s="10" t="n">
        <f aca="false">EB$122+EC$120-EC$121</f>
        <v>0</v>
      </c>
      <c r="ED122" s="10" t="n">
        <f aca="false">EC$122+ED$120-ED$121</f>
        <v>0</v>
      </c>
      <c r="EE122" s="10" t="n">
        <f aca="false">ED$122+EE$120-EE$121</f>
        <v>0</v>
      </c>
      <c r="EF122" s="10" t="n">
        <f aca="false">EE$122+EF$120-EF$121</f>
        <v>0</v>
      </c>
      <c r="EG122" s="10" t="n">
        <f aca="false">EF$122+EG$120-EG$121</f>
        <v>0</v>
      </c>
      <c r="EH122" s="10" t="n">
        <f aca="false">EG$122+EH$120-EH$121</f>
        <v>0</v>
      </c>
      <c r="EI122" s="10" t="n">
        <f aca="false">EH$122+EI$120-EI$121</f>
        <v>0</v>
      </c>
      <c r="EJ122" s="10" t="n">
        <f aca="false">EI$122+EJ$120-EJ$121</f>
        <v>0</v>
      </c>
      <c r="EK122" s="10" t="n">
        <f aca="false">EJ$122+EK$120-EK$121</f>
        <v>0</v>
      </c>
      <c r="EL122" s="10" t="n">
        <f aca="false">EK$122+EL$120-EL$121</f>
        <v>0</v>
      </c>
      <c r="EM122" s="10" t="n">
        <f aca="false">EL$122+EM$120-EM$121</f>
        <v>0</v>
      </c>
      <c r="EN122" s="10" t="n">
        <f aca="false">EM$122+EN$120-EN$121</f>
        <v>0</v>
      </c>
      <c r="EO122" s="10" t="n">
        <f aca="false">EN$122+EO$120-EO$121</f>
        <v>0</v>
      </c>
      <c r="EP122" s="10" t="n">
        <f aca="false">EO$122+EP$120-EP$121</f>
        <v>0</v>
      </c>
      <c r="EQ122" s="10" t="n">
        <f aca="false">EP$122+EQ$120-EQ$121</f>
        <v>0</v>
      </c>
      <c r="ER122" s="10" t="n">
        <f aca="false">EQ$122+ER$120-ER$121</f>
        <v>0</v>
      </c>
      <c r="ES122" s="10" t="n">
        <f aca="false">ER$122+ES$120-ES$121</f>
        <v>0</v>
      </c>
    </row>
    <row r="123" customFormat="false" ht="15" hidden="false" customHeight="false" outlineLevel="0" collapsed="false">
      <c r="A123" s="2" t="s">
        <v>727</v>
      </c>
      <c r="B123" s="6" t="s">
        <v>728</v>
      </c>
      <c r="C123" s="6" t="s">
        <v>250</v>
      </c>
      <c r="E123" s="40" t="n">
        <f aca="false">MIN(F123:ES123)</f>
        <v>-311740.118672618</v>
      </c>
      <c r="F123" s="34" t="n">
        <f aca="false">F$115+F$117-F$118</f>
        <v>535727.93036656</v>
      </c>
      <c r="G123" s="34" t="n">
        <f aca="false">G$115+G$117-G$118</f>
        <v>555194.83809215</v>
      </c>
      <c r="H123" s="34" t="n">
        <f aca="false">H$115+H$117-H$118</f>
        <v>574661.745817739</v>
      </c>
      <c r="I123" s="34" t="n">
        <f aca="false">I$115+I$117-I$118</f>
        <v>594128.653543329</v>
      </c>
      <c r="J123" s="34" t="n">
        <f aca="false">J$115+J$117-J$118</f>
        <v>613595.561268919</v>
      </c>
      <c r="K123" s="34" t="n">
        <f aca="false">K$115+K$117-K$118</f>
        <v>633062.468994509</v>
      </c>
      <c r="L123" s="34" t="n">
        <f aca="false">L$115+L$117-L$118</f>
        <v>610406.072625411</v>
      </c>
      <c r="M123" s="34" t="n">
        <f aca="false">M$115+M$117-M$118</f>
        <v>587781.268734384</v>
      </c>
      <c r="N123" s="34" t="n">
        <f aca="false">N$115+N$117-N$118</f>
        <v>565188.294265013</v>
      </c>
      <c r="O123" s="34" t="n">
        <f aca="false">O$115+O$117-O$118</f>
        <v>542627.387937962</v>
      </c>
      <c r="P123" s="34" t="n">
        <f aca="false">P$115+P$117-P$118</f>
        <v>520098.790264297</v>
      </c>
      <c r="Q123" s="34" t="n">
        <f aca="false">Q$115+Q$117-Q$118</f>
        <v>497602.743558918</v>
      </c>
      <c r="R123" s="34" t="n">
        <f aca="false">R$115+R$117-R$118</f>
        <v>129920.95007682</v>
      </c>
      <c r="S123" s="34" t="n">
        <f aca="false">S$115+S$117-S$118</f>
        <v>145489.642054168</v>
      </c>
      <c r="T123" s="34" t="n">
        <f aca="false">T$115+T$117-T$118</f>
        <v>161091.622903299</v>
      </c>
      <c r="U123" s="34" t="n">
        <f aca="false">U$115+U$117-U$118</f>
        <v>176727.142290749</v>
      </c>
      <c r="V123" s="34" t="n">
        <f aca="false">V$115+V$117-V$118</f>
        <v>192396.451755556</v>
      </c>
      <c r="W123" s="34" t="n">
        <f aca="false">W$115+W$117-W$118</f>
        <v>208099.804723301</v>
      </c>
      <c r="X123" s="34" t="n">
        <f aca="false">X$115+X$117-X$118</f>
        <v>223837.456520255</v>
      </c>
      <c r="Y123" s="34" t="n">
        <f aca="false">Y$115+Y$117-Y$118</f>
        <v>239609.664387639</v>
      </c>
      <c r="Z123" s="34" t="n">
        <f aca="false">Z$115+Z$117-Z$118</f>
        <v>255416.687495978</v>
      </c>
      <c r="AA123" s="34" t="n">
        <f aca="false">AA$115+AA$117-AA$118</f>
        <v>271258.786959582</v>
      </c>
      <c r="AB123" s="34" t="n">
        <f aca="false">AB$115+AB$117-AB$118</f>
        <v>287136.225851114</v>
      </c>
      <c r="AC123" s="34" t="n">
        <f aca="false">AC$115+AC$117-AC$118</f>
        <v>303049.269216285</v>
      </c>
      <c r="AD123" s="34" t="n">
        <f aca="false">AD$115+AD$117-AD$118</f>
        <v>-311740.118672618</v>
      </c>
      <c r="AE123" s="34" t="n">
        <f aca="false">AE$115+AE$117-AE$118</f>
        <v>-259166.435385603</v>
      </c>
      <c r="AF123" s="34" t="n">
        <f aca="false">AF$115+AF$117-AF$118</f>
        <v>-206556.340501018</v>
      </c>
      <c r="AG123" s="34" t="n">
        <f aca="false">AG$115+AG$117-AG$118</f>
        <v>-153909.560931882</v>
      </c>
      <c r="AH123" s="34" t="n">
        <f aca="false">AH$115+AH$117-AH$118</f>
        <v>-101225.821543058</v>
      </c>
      <c r="AI123" s="34" t="n">
        <f aca="false">AI$115+AI$117-AI$118</f>
        <v>-48504.8451359012</v>
      </c>
      <c r="AJ123" s="34" t="n">
        <f aca="false">AJ$115+AJ$117-AJ$118</f>
        <v>4253.64756722731</v>
      </c>
      <c r="AK123" s="34" t="n">
        <f aca="false">AK$115+AK$117-AK$118</f>
        <v>57049.9379385471</v>
      </c>
      <c r="AL123" s="34" t="n">
        <f aca="false">AL$115+AL$117-AL$118</f>
        <v>109884.309460569</v>
      </c>
      <c r="AM123" s="34" t="n">
        <f aca="false">AM$115+AM$117-AM$118</f>
        <v>162757.047741925</v>
      </c>
      <c r="AN123" s="34" t="n">
        <f aca="false">AN$115+AN$117-AN$118</f>
        <v>215668.440533308</v>
      </c>
      <c r="AO123" s="34" t="n">
        <f aca="false">AO$115+AO$117-AO$118</f>
        <v>268618.777743544</v>
      </c>
      <c r="AP123" s="34" t="n">
        <f aca="false">AP$115+AP$117-AP$118</f>
        <v>-204392.169462804</v>
      </c>
      <c r="AQ123" s="34" t="n">
        <f aca="false">AQ$115+AQ$117-AQ$118</f>
        <v>-118554.51596008</v>
      </c>
      <c r="AR123" s="34" t="n">
        <f aca="false">AR$115+AR$117-AR$118</f>
        <v>-32677.0352007788</v>
      </c>
      <c r="AS123" s="34" t="n">
        <f aca="false">AS$115+AS$117-AS$118</f>
        <v>53240.5715195248</v>
      </c>
      <c r="AT123" s="34" t="n">
        <f aca="false">AT$115+AT$117-AT$118</f>
        <v>139198.605145538</v>
      </c>
      <c r="AU123" s="34" t="n">
        <f aca="false">AU$115+AU$117-AU$118</f>
        <v>225197.368879053</v>
      </c>
      <c r="AV123" s="34" t="n">
        <f aca="false">AV$115+AV$117-AV$118</f>
        <v>311237.168195877</v>
      </c>
      <c r="AW123" s="34" t="n">
        <f aca="false">AW$115+AW$117-AW$118</f>
        <v>397318.310862885</v>
      </c>
      <c r="AX123" s="34" t="n">
        <f aca="false">AX$115+AX$117-AX$118</f>
        <v>483441.106955202</v>
      </c>
      <c r="AY123" s="34" t="n">
        <f aca="false">AY$115+AY$117-AY$118</f>
        <v>569605.868873519</v>
      </c>
      <c r="AZ123" s="34" t="n">
        <f aca="false">AZ$115+AZ$117-AZ$118</f>
        <v>655812.91136153</v>
      </c>
      <c r="BA123" s="34" t="n">
        <f aca="false">BA$115+BA$117-BA$118</f>
        <v>742062.551523509</v>
      </c>
      <c r="BB123" s="34" t="n">
        <f aca="false">BB$115+BB$117-BB$118</f>
        <v>791565.146132666</v>
      </c>
      <c r="BC123" s="34" t="n">
        <f aca="false">BC$115+BC$117-BC$118</f>
        <v>879220.527482878</v>
      </c>
      <c r="BD123" s="34" t="n">
        <f aca="false">BD$115+BD$117-BD$118</f>
        <v>966919.47216105</v>
      </c>
      <c r="BE123" s="34" t="n">
        <f aca="false">BE$115+BE$117-BE$118</f>
        <v>1054662.30689214</v>
      </c>
      <c r="BF123" s="34" t="n">
        <f aca="false">BF$115+BF$117-BF$118</f>
        <v>337495.982470628</v>
      </c>
      <c r="BG123" s="34" t="n">
        <f aca="false">BG$115+BG$117-BG$118</f>
        <v>425327.587302565</v>
      </c>
      <c r="BH123" s="34" t="n">
        <f aca="false">BH$115+BH$117-BH$118</f>
        <v>513204.077138576</v>
      </c>
      <c r="BI123" s="34" t="n">
        <f aca="false">BI$115+BI$117-BI$118</f>
        <v>601125.788616189</v>
      </c>
      <c r="BJ123" s="34" t="n">
        <f aca="false">BJ$115+BJ$117-BJ$118</f>
        <v>689093.060897719</v>
      </c>
      <c r="BK123" s="34" t="n">
        <f aca="false">BK$115+BK$117-BK$118</f>
        <v>777106.235689193</v>
      </c>
      <c r="BL123" s="34" t="n">
        <f aca="false">BL$115+BL$117-BL$118</f>
        <v>865165.657259436</v>
      </c>
      <c r="BM123" s="34" t="n">
        <f aca="false">BM$115+BM$117-BM$118</f>
        <v>953271.672459288</v>
      </c>
      <c r="BN123" s="34" t="n">
        <f aca="false">BN$115+BN$117-BN$118</f>
        <v>1070847.25778852</v>
      </c>
      <c r="BO123" s="34" t="n">
        <f aca="false">BO$115+BO$117-BO$118</f>
        <v>1226147.69958634</v>
      </c>
      <c r="BP123" s="34" t="n">
        <f aca="false">BP$115+BP$117-BP$118</f>
        <v>1381448.14138417</v>
      </c>
      <c r="BQ123" s="34" t="n">
        <f aca="false">BQ$115+BQ$117-BQ$118</f>
        <v>1536748.583182</v>
      </c>
      <c r="BR123" s="34" t="n">
        <f aca="false">BR$115+BR$117-BR$118</f>
        <v>228122.480611604</v>
      </c>
      <c r="BS123" s="34" t="n">
        <f aca="false">BS$115+BS$117-BS$118</f>
        <v>383422.92240943</v>
      </c>
      <c r="BT123" s="34" t="n">
        <f aca="false">BT$115+BT$117-BT$118</f>
        <v>538723.364207257</v>
      </c>
      <c r="BU123" s="34" t="n">
        <f aca="false">BU$115+BU$117-BU$118</f>
        <v>694023.806005083</v>
      </c>
      <c r="BV123" s="34" t="n">
        <f aca="false">BV$115+BV$117-BV$118</f>
        <v>849324.247802909</v>
      </c>
      <c r="BW123" s="34" t="n">
        <f aca="false">BW$115+BW$117-BW$118</f>
        <v>1004624.68960073</v>
      </c>
      <c r="BX123" s="34" t="n">
        <f aca="false">BX$115+BX$117-BX$118</f>
        <v>1159925.13139856</v>
      </c>
      <c r="BY123" s="34" t="n">
        <f aca="false">BY$115+BY$117-BY$118</f>
        <v>1315225.57319639</v>
      </c>
      <c r="BZ123" s="34" t="n">
        <f aca="false">BZ$115+BZ$117-BZ$118</f>
        <v>1436551.70246101</v>
      </c>
      <c r="CA123" s="34" t="n">
        <f aca="false">CA$115+CA$117-CA$118</f>
        <v>1595967.72495041</v>
      </c>
      <c r="CB123" s="34" t="n">
        <f aca="false">CB$115+CB$117-CB$118</f>
        <v>1755383.74743981</v>
      </c>
      <c r="CC123" s="34" t="n">
        <f aca="false">CC$115+CC$117-CC$118</f>
        <v>1914799.76992921</v>
      </c>
      <c r="CD123" s="34" t="n">
        <f aca="false">CD$115+CD$117-CD$118</f>
        <v>280027.099844691</v>
      </c>
      <c r="CE123" s="34" t="n">
        <f aca="false">CE$115+CE$117-CE$118</f>
        <v>439443.122334091</v>
      </c>
      <c r="CF123" s="34" t="n">
        <f aca="false">CF$115+CF$117-CF$118</f>
        <v>598859.144823491</v>
      </c>
      <c r="CG123" s="34" t="n">
        <f aca="false">CG$115+CG$117-CG$118</f>
        <v>758275.167312891</v>
      </c>
      <c r="CH123" s="34" t="n">
        <f aca="false">CH$115+CH$117-CH$118</f>
        <v>917691.18980229</v>
      </c>
      <c r="CI123" s="34" t="n">
        <f aca="false">CI$115+CI$117-CI$118</f>
        <v>1077107.21229169</v>
      </c>
      <c r="CJ123" s="34" t="n">
        <f aca="false">CJ$115+CJ$117-CJ$118</f>
        <v>1236523.23478109</v>
      </c>
      <c r="CK123" s="34" t="n">
        <f aca="false">CK$115+CK$117-CK$118</f>
        <v>1395939.25727049</v>
      </c>
      <c r="CL123" s="34" t="n">
        <f aca="false">CL$115+CL$117-CL$118</f>
        <v>1521040.85812226</v>
      </c>
      <c r="CM123" s="34" t="n">
        <f aca="false">CM$115+CM$117-CM$118</f>
        <v>1684600.67666855</v>
      </c>
      <c r="CN123" s="34" t="n">
        <f aca="false">CN$115+CN$117-CN$118</f>
        <v>1848160.49521483</v>
      </c>
      <c r="CO123" s="34" t="n">
        <f aca="false">CO$115+CO$117-CO$118</f>
        <v>2011720.31376112</v>
      </c>
      <c r="CP123" s="34" t="n">
        <f aca="false">CP$115+CP$117-CP$118</f>
        <v>331704.47143461</v>
      </c>
      <c r="CQ123" s="34" t="n">
        <f aca="false">CQ$115+CQ$117-CQ$118</f>
        <v>495264.289980898</v>
      </c>
      <c r="CR123" s="34" t="n">
        <f aca="false">CR$115+CR$117-CR$118</f>
        <v>658824.108527185</v>
      </c>
      <c r="CS123" s="34" t="n">
        <f aca="false">CS$115+CS$117-CS$118</f>
        <v>822383.927073473</v>
      </c>
      <c r="CT123" s="34" t="n">
        <f aca="false">CT$115+CT$117-CT$118</f>
        <v>985943.74561976</v>
      </c>
      <c r="CU123" s="34" t="n">
        <f aca="false">CU$115+CU$117-CU$118</f>
        <v>1149503.56416605</v>
      </c>
      <c r="CV123" s="34" t="n">
        <f aca="false">CV$115+CV$117-CV$118</f>
        <v>1313063.38271234</v>
      </c>
      <c r="CW123" s="34" t="n">
        <f aca="false">CW$115+CW$117-CW$118</f>
        <v>1476623.20125862</v>
      </c>
      <c r="CX123" s="34" t="n">
        <f aca="false">CX$115+CX$117-CX$118</f>
        <v>1605525.07895819</v>
      </c>
      <c r="CY123" s="34" t="n">
        <f aca="false">CY$115+CY$117-CY$118</f>
        <v>1773256.8086071</v>
      </c>
      <c r="CZ123" s="34" t="n">
        <f aca="false">CZ$115+CZ$117-CZ$118</f>
        <v>1940988.53825601</v>
      </c>
      <c r="DA123" s="34" t="n">
        <f aca="false">DA$115+DA$117-DA$118</f>
        <v>2108720.26790492</v>
      </c>
      <c r="DB123" s="34" t="n">
        <f aca="false">DB$115+DB$117-DB$118</f>
        <v>383150.783998375</v>
      </c>
      <c r="DC123" s="34" t="n">
        <f aca="false">DC$115+DC$117-DC$118</f>
        <v>550882.513647283</v>
      </c>
      <c r="DD123" s="34" t="n">
        <f aca="false">DD$115+DD$117-DD$118</f>
        <v>718614.24329619</v>
      </c>
      <c r="DE123" s="34" t="n">
        <f aca="false">DE$115+DE$117-DE$118</f>
        <v>886345.972945098</v>
      </c>
      <c r="DF123" s="34" t="n">
        <f aca="false">DF$115+DF$117-DF$118</f>
        <v>1054077.70259401</v>
      </c>
      <c r="DG123" s="34" t="n">
        <f aca="false">DG$115+DG$117-DG$118</f>
        <v>1221809.43224291</v>
      </c>
      <c r="DH123" s="34" t="n">
        <f aca="false">DH$115+DH$117-DH$118</f>
        <v>1389541.16189182</v>
      </c>
      <c r="DI123" s="34" t="n">
        <f aca="false">DI$115+DI$117-DI$118</f>
        <v>1557272.89154073</v>
      </c>
      <c r="DJ123" s="34" t="n">
        <f aca="false">DJ$115+DJ$117-DJ$118</f>
        <v>1689999.71669704</v>
      </c>
      <c r="DK123" s="34" t="n">
        <f aca="false">DK$115+DK$117-DK$118</f>
        <v>1861931.35981212</v>
      </c>
      <c r="DL123" s="34" t="n">
        <f aca="false">DL$115+DL$117-DL$118</f>
        <v>2033863.00292721</v>
      </c>
      <c r="DM123" s="34" t="n">
        <f aca="false">DM$115+DM$117-DM$118</f>
        <v>2205794.64604229</v>
      </c>
      <c r="DN123" s="34" t="n">
        <f aca="false">DN$115+DN$117-DN$118</f>
        <v>434362.142370491</v>
      </c>
      <c r="DO123" s="34" t="n">
        <f aca="false">DO$115+DO$117-DO$118</f>
        <v>606293.785485577</v>
      </c>
      <c r="DP123" s="34" t="n">
        <f aca="false">DP$115+DP$117-DP$118</f>
        <v>778225.428600663</v>
      </c>
      <c r="DQ123" s="34" t="n">
        <f aca="false">DQ$115+DQ$117-DQ$118</f>
        <v>950157.071715749</v>
      </c>
      <c r="DR123" s="34" t="n">
        <f aca="false">DR$115+DR$117-DR$118</f>
        <v>1122088.71483084</v>
      </c>
      <c r="DS123" s="34" t="n">
        <f aca="false">DS$115+DS$117-DS$118</f>
        <v>1294020.35794592</v>
      </c>
      <c r="DT123" s="34" t="n">
        <f aca="false">DT$115+DT$117-DT$118</f>
        <v>1465952.00106101</v>
      </c>
      <c r="DU123" s="34" t="n">
        <f aca="false">DU$115+DU$117-DU$118</f>
        <v>1637883.64417609</v>
      </c>
      <c r="DV123" s="34" t="n">
        <f aca="false">DV$115+DV$117-DV$118</f>
        <v>1637883.64417609</v>
      </c>
      <c r="DW123" s="34" t="n">
        <f aca="false">DW$115+DW$117-DW$118</f>
        <v>1637883.64417609</v>
      </c>
      <c r="DX123" s="34" t="n">
        <f aca="false">DX$115+DX$117-DX$118</f>
        <v>1637883.64417609</v>
      </c>
      <c r="DY123" s="34" t="n">
        <f aca="false">DY$115+DY$117-DY$118</f>
        <v>1637883.64417609</v>
      </c>
      <c r="DZ123" s="34" t="n">
        <f aca="false">DZ$115+DZ$117-DZ$118</f>
        <v>1637883.64417609</v>
      </c>
      <c r="EA123" s="34" t="n">
        <f aca="false">EA$115+EA$117-EA$118</f>
        <v>1637883.64417609</v>
      </c>
      <c r="EB123" s="34" t="n">
        <f aca="false">EB$115+EB$117-EB$118</f>
        <v>1637883.64417609</v>
      </c>
      <c r="EC123" s="34" t="n">
        <f aca="false">EC$115+EC$117-EC$118</f>
        <v>1637883.64417609</v>
      </c>
      <c r="ED123" s="34" t="n">
        <f aca="false">ED$115+ED$117-ED$118</f>
        <v>1637883.64417609</v>
      </c>
      <c r="EE123" s="34" t="n">
        <f aca="false">EE$115+EE$117-EE$118</f>
        <v>1637883.64417609</v>
      </c>
      <c r="EF123" s="34" t="n">
        <f aca="false">EF$115+EF$117-EF$118</f>
        <v>1637883.64417609</v>
      </c>
      <c r="EG123" s="34" t="n">
        <f aca="false">EG$115+EG$117-EG$118</f>
        <v>1637883.64417609</v>
      </c>
      <c r="EH123" s="34" t="n">
        <f aca="false">EH$115+EH$117-EH$118</f>
        <v>1637883.64417609</v>
      </c>
      <c r="EI123" s="34" t="n">
        <f aca="false">EI$115+EI$117-EI$118</f>
        <v>1637883.64417609</v>
      </c>
      <c r="EJ123" s="34" t="n">
        <f aca="false">EJ$115+EJ$117-EJ$118</f>
        <v>1637883.64417609</v>
      </c>
      <c r="EK123" s="34" t="n">
        <f aca="false">EK$115+EK$117-EK$118</f>
        <v>1637883.64417609</v>
      </c>
      <c r="EL123" s="34" t="n">
        <f aca="false">EL$115+EL$117-EL$118</f>
        <v>1637883.64417609</v>
      </c>
      <c r="EM123" s="34" t="n">
        <f aca="false">EM$115+EM$117-EM$118</f>
        <v>1637883.64417609</v>
      </c>
      <c r="EN123" s="34" t="n">
        <f aca="false">EN$115+EN$117-EN$118</f>
        <v>1637883.64417609</v>
      </c>
      <c r="EO123" s="34" t="n">
        <f aca="false">EO$115+EO$117-EO$118</f>
        <v>1637883.64417609</v>
      </c>
      <c r="EP123" s="34" t="n">
        <f aca="false">EP$115+EP$117-EP$118</f>
        <v>1637883.64417609</v>
      </c>
      <c r="EQ123" s="34" t="n">
        <f aca="false">EQ$115+EQ$117-EQ$118</f>
        <v>1637883.64417609</v>
      </c>
      <c r="ER123" s="34" t="n">
        <f aca="false">ER$115+ER$117-ER$118</f>
        <v>1637883.64417609</v>
      </c>
      <c r="ES123" s="34" t="n">
        <f aca="false">ES$115+ES$117-ES$118</f>
        <v>1637883.64417609</v>
      </c>
    </row>
    <row r="124" customFormat="false" ht="15" hidden="false" customHeight="false" outlineLevel="0" collapsed="false">
      <c r="A124" s="2" t="s">
        <v>729</v>
      </c>
      <c r="B124" s="6" t="s">
        <v>730</v>
      </c>
      <c r="C124" s="6" t="s">
        <v>250</v>
      </c>
      <c r="F124" s="34" t="n">
        <f aca="false">IF(F$7=1,F$81,0+F$81)</f>
        <v>13500.8903089231</v>
      </c>
      <c r="G124" s="34" t="n">
        <f aca="false">IF(G$7=1,G$81,F$124+G$81)</f>
        <v>27001.7806178461</v>
      </c>
      <c r="H124" s="34" t="n">
        <f aca="false">IF(H$7=1,H$81,G$124+H$81)</f>
        <v>40502.6709267692</v>
      </c>
      <c r="I124" s="34" t="n">
        <f aca="false">IF(I$7=1,I$81,H$124+I$81)</f>
        <v>54003.5612356923</v>
      </c>
      <c r="J124" s="34" t="n">
        <f aca="false">IF(J$7=1,J$81,I$124+J$81)</f>
        <v>67504.4515446154</v>
      </c>
      <c r="K124" s="34" t="n">
        <f aca="false">IF(K$7=1,K$81,J$124+K$81)</f>
        <v>81005.3418535384</v>
      </c>
      <c r="L124" s="34" t="n">
        <f aca="false">IF(L$7=1,L$81,K$124+L$81)</f>
        <v>94506.2321624615</v>
      </c>
      <c r="M124" s="34" t="n">
        <f aca="false">IF(M$7=1,M$81,L$124+M$81)</f>
        <v>108354.639730166</v>
      </c>
      <c r="N124" s="34" t="n">
        <f aca="false">IF(N$7=1,N$81,M$124+N$81)</f>
        <v>122553.170936092</v>
      </c>
      <c r="O124" s="34" t="n">
        <f aca="false">IF(O$7=1,O$81,N$124+O$81)</f>
        <v>137104.451707527</v>
      </c>
      <c r="P124" s="34" t="n">
        <f aca="false">IF(P$7=1,P$81,O$124+P$81)</f>
        <v>152011.127666212</v>
      </c>
      <c r="Q124" s="34" t="n">
        <f aca="false">IF(Q$7=1,Q$81,P$124+Q$81)</f>
        <v>167275.864276051</v>
      </c>
      <c r="R124" s="34" t="n">
        <f aca="false">IF(R$7=1,R$81,Q$124+R$81)</f>
        <v>52791.0519009191</v>
      </c>
      <c r="S124" s="34" t="n">
        <f aca="false">IF(S$7=1,S$81,R$124+S$81)</f>
        <v>105945.555503672</v>
      </c>
      <c r="T124" s="34" t="n">
        <f aca="false">IF(T$7=1,T$81,S$124+T$81)</f>
        <v>159466.236696021</v>
      </c>
      <c r="U124" s="34" t="n">
        <f aca="false">IF(U$7=1,U$81,T$124+U$81)</f>
        <v>213355.84180989</v>
      </c>
      <c r="V124" s="34" t="n">
        <f aca="false">IF(V$7=1,V$81,U$124+V$81)</f>
        <v>267617.137774689</v>
      </c>
      <c r="W124" s="34" t="n">
        <f aca="false">IF(W$7=1,W$81,V$124+W$81)</f>
        <v>322252.9122718</v>
      </c>
      <c r="X124" s="34" t="n">
        <f aca="false">IF(X$7=1,X$81,W$124+X$81)</f>
        <v>377265.973890217</v>
      </c>
      <c r="Y124" s="34" t="n">
        <f aca="false">IF(Y$7=1,Y$81,X$124+Y$81)</f>
        <v>432659.152283347</v>
      </c>
      <c r="Z124" s="34" t="n">
        <f aca="false">IF(Z$7=1,Z$81,Y$124+Z$81)</f>
        <v>488435.298327003</v>
      </c>
      <c r="AA124" s="34" t="n">
        <f aca="false">IF(AA$7=1,AA$81,Z$124+AA$81)</f>
        <v>544597.284278563</v>
      </c>
      <c r="AB124" s="34" t="n">
        <f aca="false">IF(AB$7=1,AB$81,AA$124+AB$81)</f>
        <v>601148.003937336</v>
      </c>
      <c r="AC124" s="34" t="n">
        <f aca="false">IF(AC$7=1,AC$81,AB$124+AC$81)</f>
        <v>658090.372806125</v>
      </c>
      <c r="AD124" s="34" t="n">
        <f aca="false">IF(AD$7=1,AD$81,AC$124+AD$81)</f>
        <v>93925.5833190422</v>
      </c>
      <c r="AE124" s="34" t="n">
        <f aca="false">IF(AE$7=1,AE$81,AD$124+AE$81)</f>
        <v>188248.71261652</v>
      </c>
      <c r="AF124" s="34" t="n">
        <f aca="false">IF(AF$7=1,AF$81,AE$124+AF$81)</f>
        <v>282972.369487272</v>
      </c>
      <c r="AG124" s="34" t="n">
        <f aca="false">IF(AG$7=1,AG$81,AF$124+AG$81)</f>
        <v>378099.557888097</v>
      </c>
      <c r="AH124" s="34" t="n">
        <f aca="false">IF(AH$7=1,AH$81,AG$124+AH$81)</f>
        <v>473633.30430547</v>
      </c>
      <c r="AI124" s="34" t="n">
        <f aca="false">IF(AI$7=1,AI$81,AH$124+AI$81)</f>
        <v>569576.657924517</v>
      </c>
      <c r="AJ124" s="34" t="n">
        <f aca="false">IF(AJ$7=1,AJ$81,AI$124+AJ$81)</f>
        <v>665932.69079925</v>
      </c>
      <c r="AK124" s="34" t="n">
        <f aca="false">IF(AK$7=1,AK$81,AJ$124+AK$81)</f>
        <v>762704.498024086</v>
      </c>
      <c r="AL124" s="34" t="n">
        <f aca="false">IF(AL$7=1,AL$81,AK$124+AL$81)</f>
        <v>859895.19790665</v>
      </c>
      <c r="AM124" s="34" t="n">
        <f aca="false">IF(AM$7=1,AM$81,AL$124+AM$81)</f>
        <v>957507.932141877</v>
      </c>
      <c r="AN124" s="34" t="n">
        <f aca="false">IF(AN$7=1,AN$81,AM$124+AN$81)</f>
        <v>1055545.86598741</v>
      </c>
      <c r="AO124" s="34" t="n">
        <f aca="false">IF(AO$7=1,AO$81,AN$124+AO$81)</f>
        <v>1154012.18844033</v>
      </c>
      <c r="AP124" s="34" t="n">
        <f aca="false">IF(AP$7=1,AP$81,AO$124+AP$81)</f>
        <v>131706.472989591</v>
      </c>
      <c r="AQ124" s="34" t="n">
        <f aca="false">IF(AQ$7=1,AQ$81,AP$124+AQ$81)</f>
        <v>263847.784512537</v>
      </c>
      <c r="AR124" s="34" t="n">
        <f aca="false">IF(AR$7=1,AR$81,AQ$124+AR$81)</f>
        <v>396427.195857836</v>
      </c>
      <c r="AS124" s="34" t="n">
        <f aca="false">IF(AS$7=1,AS$81,AR$124+AS$81)</f>
        <v>529447.992774158</v>
      </c>
      <c r="AT124" s="34" t="n">
        <f aca="false">IF(AT$7=1,AT$81,AS$124+AT$81)</f>
        <v>662913.485653284</v>
      </c>
      <c r="AU124" s="34" t="n">
        <f aca="false">IF(AU$7=1,AU$81,AT$124+AU$81)</f>
        <v>796827.009714936</v>
      </c>
      <c r="AV124" s="34" t="n">
        <f aca="false">IF(AV$7=1,AV$81,AU$124+AV$81)</f>
        <v>931191.925192983</v>
      </c>
      <c r="AW124" s="34" t="n">
        <f aca="false">IF(AW$7=1,AW$81,AV$124+AW$81)</f>
        <v>1066011.61752305</v>
      </c>
      <c r="AX124" s="34" t="n">
        <f aca="false">IF(AX$7=1,AX$81,AW$124+AX$81)</f>
        <v>1201289.49753152</v>
      </c>
      <c r="AY124" s="34" t="n">
        <f aca="false">IF(AY$7=1,AY$81,AX$124+AY$81)</f>
        <v>1337029.00162599</v>
      </c>
      <c r="AZ124" s="34" t="n">
        <f aca="false">IF(AZ$7=1,AZ$81,AY$124+AZ$81)</f>
        <v>1473233.5919871</v>
      </c>
      <c r="BA124" s="34" t="n">
        <f aca="false">IF(BA$7=1,BA$81,AZ$124+BA$81)</f>
        <v>1609906.75676184</v>
      </c>
      <c r="BB124" s="34" t="n">
        <f aca="false">IF(BB$7=1,BB$81,BA$124+BB$81)</f>
        <v>138464.838493007</v>
      </c>
      <c r="BC124" s="34" t="n">
        <f aca="false">IF(BC$7=1,BC$81,BB$124+BC$81)</f>
        <v>277405.30637317</v>
      </c>
      <c r="BD124" s="34" t="n">
        <f aca="false">IF(BD$7=1,BD$81,BC$124+BD$81)</f>
        <v>416824.970860893</v>
      </c>
      <c r="BE124" s="34" t="n">
        <f aca="false">IF(BE$7=1,BE$81,BD$124+BE$81)</f>
        <v>556727.425930732</v>
      </c>
      <c r="BF124" s="34" t="n">
        <f aca="false">IF(BF$7=1,BF$81,BE$124+BF$81)</f>
        <v>697116.292512053</v>
      </c>
      <c r="BG124" s="34" t="n">
        <f aca="false">IF(BG$7=1,BG$81,BF$124+BG$81)</f>
        <v>837995.218691193</v>
      </c>
      <c r="BH124" s="34" t="n">
        <f aca="false">IF(BH$7=1,BH$81,BG$124+BH$81)</f>
        <v>979367.879915134</v>
      </c>
      <c r="BI124" s="34" t="n">
        <f aca="false">IF(BI$7=1,BI$81,BH$124+BI$81)</f>
        <v>1121237.97919671</v>
      </c>
      <c r="BJ124" s="34" t="n">
        <f aca="false">IF(BJ$7=1,BJ$81,BI$124+BJ$81)</f>
        <v>1263609.24732136</v>
      </c>
      <c r="BK124" s="34" t="n">
        <f aca="false">IF(BK$7=1,BK$81,BJ$124+BK$81)</f>
        <v>1406485.44305541</v>
      </c>
      <c r="BL124" s="34" t="n">
        <f aca="false">IF(BL$7=1,BL$81,BK$124+BL$81)</f>
        <v>1549870.35335591</v>
      </c>
      <c r="BM124" s="34" t="n">
        <f aca="false">IF(BM$7=1,BM$81,BL$124+BM$81)</f>
        <v>1693767.79358213</v>
      </c>
      <c r="BN124" s="34" t="n">
        <f aca="false">IF(BN$7=1,BN$81,BM$124+BN$81)</f>
        <v>149515.724381159</v>
      </c>
      <c r="BO124" s="34" t="n">
        <f aca="false">IF(BO$7=1,BO$81,BN$124+BO$81)</f>
        <v>299031.448762319</v>
      </c>
      <c r="BP124" s="34" t="n">
        <f aca="false">IF(BP$7=1,BP$81,BO$124+BP$81)</f>
        <v>448547.173143478</v>
      </c>
      <c r="BQ124" s="34" t="n">
        <f aca="false">IF(BQ$7=1,BQ$81,BP$124+BQ$81)</f>
        <v>598062.897524638</v>
      </c>
      <c r="BR124" s="34" t="n">
        <f aca="false">IF(BR$7=1,BR$81,BQ$124+BR$81)</f>
        <v>747578.621905797</v>
      </c>
      <c r="BS124" s="34" t="n">
        <f aca="false">IF(BS$7=1,BS$81,BR$124+BS$81)</f>
        <v>897094.346286957</v>
      </c>
      <c r="BT124" s="34" t="n">
        <f aca="false">IF(BT$7=1,BT$81,BS$124+BT$81)</f>
        <v>1046610.07066812</v>
      </c>
      <c r="BU124" s="34" t="n">
        <f aca="false">IF(BU$7=1,BU$81,BT$124+BU$81)</f>
        <v>1196125.79504928</v>
      </c>
      <c r="BV124" s="34" t="n">
        <f aca="false">IF(BV$7=1,BV$81,BU$124+BV$81)</f>
        <v>1345641.51943044</v>
      </c>
      <c r="BW124" s="34" t="n">
        <f aca="false">IF(BW$7=1,BW$81,BV$124+BW$81)</f>
        <v>1495157.2438116</v>
      </c>
      <c r="BX124" s="34" t="n">
        <f aca="false">IF(BX$7=1,BX$81,BW$124+BX$81)</f>
        <v>1644672.96819275</v>
      </c>
      <c r="BY124" s="34" t="n">
        <f aca="false">IF(BY$7=1,BY$81,BX$124+BY$81)</f>
        <v>1794188.69257391</v>
      </c>
      <c r="BZ124" s="34" t="n">
        <f aca="false">IF(BZ$7=1,BZ$81,BY$124+BZ$81)</f>
        <v>153631.305072733</v>
      </c>
      <c r="CA124" s="34" t="n">
        <f aca="false">IF(CA$7=1,CA$81,BZ$124+CA$81)</f>
        <v>307262.610145466</v>
      </c>
      <c r="CB124" s="34" t="n">
        <f aca="false">IF(CB$7=1,CB$81,CA$124+CB$81)</f>
        <v>460893.915218199</v>
      </c>
      <c r="CC124" s="34" t="n">
        <f aca="false">IF(CC$7=1,CC$81,CB$124+CC$81)</f>
        <v>614525.220290932</v>
      </c>
      <c r="CD124" s="34" t="n">
        <f aca="false">IF(CD$7=1,CD$81,CC$124+CD$81)</f>
        <v>768156.525363665</v>
      </c>
      <c r="CE124" s="34" t="n">
        <f aca="false">IF(CE$7=1,CE$81,CD$124+CE$81)</f>
        <v>921787.830436399</v>
      </c>
      <c r="CF124" s="34" t="n">
        <f aca="false">IF(CF$7=1,CF$81,CE$124+CF$81)</f>
        <v>1075419.13550913</v>
      </c>
      <c r="CG124" s="34" t="n">
        <f aca="false">IF(CG$7=1,CG$81,CF$124+CG$81)</f>
        <v>1229050.44058186</v>
      </c>
      <c r="CH124" s="34" t="n">
        <f aca="false">IF(CH$7=1,CH$81,CG$124+CH$81)</f>
        <v>1382681.7456546</v>
      </c>
      <c r="CI124" s="34" t="n">
        <f aca="false">IF(CI$7=1,CI$81,CH$124+CI$81)</f>
        <v>1536313.05072733</v>
      </c>
      <c r="CJ124" s="34" t="n">
        <f aca="false">IF(CJ$7=1,CJ$81,CI$124+CJ$81)</f>
        <v>1689944.35580006</v>
      </c>
      <c r="CK124" s="34" t="n">
        <f aca="false">IF(CK$7=1,CK$81,CJ$124+CK$81)</f>
        <v>1843575.6608728</v>
      </c>
      <c r="CL124" s="34" t="n">
        <f aca="false">IF(CL$7=1,CL$81,CK$124+CL$81)</f>
        <v>157775.101129621</v>
      </c>
      <c r="CM124" s="34" t="n">
        <f aca="false">IF(CM$7=1,CM$81,CL$124+CM$81)</f>
        <v>315550.202259242</v>
      </c>
      <c r="CN124" s="34" t="n">
        <f aca="false">IF(CN$7=1,CN$81,CM$124+CN$81)</f>
        <v>473325.303388863</v>
      </c>
      <c r="CO124" s="34" t="n">
        <f aca="false">IF(CO$7=1,CO$81,CN$124+CO$81)</f>
        <v>631100.404518483</v>
      </c>
      <c r="CP124" s="34" t="n">
        <f aca="false">IF(CP$7=1,CP$81,CO$124+CP$81)</f>
        <v>788875.505648104</v>
      </c>
      <c r="CQ124" s="34" t="n">
        <f aca="false">IF(CQ$7=1,CQ$81,CP$124+CQ$81)</f>
        <v>946650.606777725</v>
      </c>
      <c r="CR124" s="34" t="n">
        <f aca="false">IF(CR$7=1,CR$81,CQ$124+CR$81)</f>
        <v>1104425.70790735</v>
      </c>
      <c r="CS124" s="34" t="n">
        <f aca="false">IF(CS$7=1,CS$81,CR$124+CS$81)</f>
        <v>1262200.80903697</v>
      </c>
      <c r="CT124" s="34" t="n">
        <f aca="false">IF(CT$7=1,CT$81,CS$124+CT$81)</f>
        <v>1419975.91016659</v>
      </c>
      <c r="CU124" s="34" t="n">
        <f aca="false">IF(CU$7=1,CU$81,CT$124+CU$81)</f>
        <v>1577751.01129621</v>
      </c>
      <c r="CV124" s="34" t="n">
        <f aca="false">IF(CV$7=1,CV$81,CU$124+CV$81)</f>
        <v>1735526.11242583</v>
      </c>
      <c r="CW124" s="34" t="n">
        <f aca="false">IF(CW$7=1,CW$81,CV$124+CW$81)</f>
        <v>1893301.21355545</v>
      </c>
      <c r="CX124" s="34" t="n">
        <f aca="false">IF(CX$7=1,CX$81,CW$124+CX$81)</f>
        <v>161947.012232241</v>
      </c>
      <c r="CY124" s="34" t="n">
        <f aca="false">IF(CY$7=1,CY$81,CX$124+CY$81)</f>
        <v>323894.024464482</v>
      </c>
      <c r="CZ124" s="34" t="n">
        <f aca="false">IF(CZ$7=1,CZ$81,CY$124+CZ$81)</f>
        <v>485841.036696723</v>
      </c>
      <c r="DA124" s="34" t="n">
        <f aca="false">IF(DA$7=1,DA$81,CZ$124+DA$81)</f>
        <v>647788.048928964</v>
      </c>
      <c r="DB124" s="34" t="n">
        <f aca="false">IF(DB$7=1,DB$81,DA$124+DB$81)</f>
        <v>809735.061161204</v>
      </c>
      <c r="DC124" s="34" t="n">
        <f aca="false">IF(DC$7=1,DC$81,DB$124+DC$81)</f>
        <v>971682.073393445</v>
      </c>
      <c r="DD124" s="34" t="n">
        <f aca="false">IF(DD$7=1,DD$81,DC$124+DD$81)</f>
        <v>1133629.08562569</v>
      </c>
      <c r="DE124" s="34" t="n">
        <f aca="false">IF(DE$7=1,DE$81,DD$124+DE$81)</f>
        <v>1295576.09785793</v>
      </c>
      <c r="DF124" s="34" t="n">
        <f aca="false">IF(DF$7=1,DF$81,DE$124+DF$81)</f>
        <v>1457523.11009017</v>
      </c>
      <c r="DG124" s="34" t="n">
        <f aca="false">IF(DG$7=1,DG$81,DF$124+DG$81)</f>
        <v>1619470.12232241</v>
      </c>
      <c r="DH124" s="34" t="n">
        <f aca="false">IF(DH$7=1,DH$81,DG$124+DH$81)</f>
        <v>1781417.13455465</v>
      </c>
      <c r="DI124" s="34" t="n">
        <f aca="false">IF(DI$7=1,DI$81,DH$124+DI$81)</f>
        <v>1943364.14678689</v>
      </c>
      <c r="DJ124" s="34" t="n">
        <f aca="false">IF(DJ$7=1,DJ$81,DI$124+DJ$81)</f>
        <v>166146.925698419</v>
      </c>
      <c r="DK124" s="34" t="n">
        <f aca="false">IF(DK$7=1,DK$81,DJ$124+DK$81)</f>
        <v>332293.851396839</v>
      </c>
      <c r="DL124" s="34" t="n">
        <f aca="false">IF(DL$7=1,DL$81,DK$124+DL$81)</f>
        <v>498440.777095258</v>
      </c>
      <c r="DM124" s="34" t="n">
        <f aca="false">IF(DM$7=1,DM$81,DL$124+DM$81)</f>
        <v>664587.702793678</v>
      </c>
      <c r="DN124" s="34" t="n">
        <f aca="false">IF(DN$7=1,DN$81,DM$124+DN$81)</f>
        <v>830734.628492097</v>
      </c>
      <c r="DO124" s="34" t="n">
        <f aca="false">IF(DO$7=1,DO$81,DN$124+DO$81)</f>
        <v>996881.554190517</v>
      </c>
      <c r="DP124" s="34" t="n">
        <f aca="false">IF(DP$7=1,DP$81,DO$124+DP$81)</f>
        <v>1163028.47988894</v>
      </c>
      <c r="DQ124" s="34" t="n">
        <f aca="false">IF(DQ$7=1,DQ$81,DP$124+DQ$81)</f>
        <v>1329175.40558736</v>
      </c>
      <c r="DR124" s="34" t="n">
        <f aca="false">IF(DR$7=1,DR$81,DQ$124+DR$81)</f>
        <v>1495322.33128578</v>
      </c>
      <c r="DS124" s="34" t="n">
        <f aca="false">IF(DS$7=1,DS$81,DR$124+DS$81)</f>
        <v>1661469.25698419</v>
      </c>
      <c r="DT124" s="34" t="n">
        <f aca="false">IF(DT$7=1,DT$81,DS$124+DT$81)</f>
        <v>1827616.18268261</v>
      </c>
      <c r="DU124" s="34" t="n">
        <f aca="false">IF(DU$7=1,DU$81,DT$124+DU$81)</f>
        <v>1993763.10838103</v>
      </c>
      <c r="DV124" s="34" t="n">
        <f aca="false">IF(DV$7=1,DV$81,DU$124+DV$81)</f>
        <v>0</v>
      </c>
      <c r="DW124" s="34" t="n">
        <f aca="false">IF(DW$7=1,DW$81,DV$124+DW$81)</f>
        <v>0</v>
      </c>
      <c r="DX124" s="34" t="n">
        <f aca="false">IF(DX$7=1,DX$81,DW$124+DX$81)</f>
        <v>0</v>
      </c>
      <c r="DY124" s="34" t="n">
        <f aca="false">IF(DY$7=1,DY$81,DX$124+DY$81)</f>
        <v>0</v>
      </c>
      <c r="DZ124" s="34" t="n">
        <f aca="false">IF(DZ$7=1,DZ$81,DY$124+DZ$81)</f>
        <v>0</v>
      </c>
      <c r="EA124" s="34" t="n">
        <f aca="false">IF(EA$7=1,EA$81,DZ$124+EA$81)</f>
        <v>0</v>
      </c>
      <c r="EB124" s="34" t="n">
        <f aca="false">IF(EB$7=1,EB$81,EA$124+EB$81)</f>
        <v>0</v>
      </c>
      <c r="EC124" s="34" t="n">
        <f aca="false">IF(EC$7=1,EC$81,EB$124+EC$81)</f>
        <v>0</v>
      </c>
      <c r="ED124" s="34" t="n">
        <f aca="false">IF(ED$7=1,ED$81,EC$124+ED$81)</f>
        <v>0</v>
      </c>
      <c r="EE124" s="34" t="n">
        <f aca="false">IF(EE$7=1,EE$81,ED$124+EE$81)</f>
        <v>0</v>
      </c>
      <c r="EF124" s="34" t="n">
        <f aca="false">IF(EF$7=1,EF$81,EE$124+EF$81)</f>
        <v>0</v>
      </c>
      <c r="EG124" s="34" t="n">
        <f aca="false">IF(EG$7=1,EG$81,EF$124+EG$81)</f>
        <v>0</v>
      </c>
      <c r="EH124" s="34" t="n">
        <f aca="false">IF(EH$7=1,EH$81,EG$124+EH$81)</f>
        <v>0</v>
      </c>
      <c r="EI124" s="34" t="n">
        <f aca="false">IF(EI$7=1,EI$81,EH$124+EI$81)</f>
        <v>0</v>
      </c>
      <c r="EJ124" s="34" t="n">
        <f aca="false">IF(EJ$7=1,EJ$81,EI$124+EJ$81)</f>
        <v>0</v>
      </c>
      <c r="EK124" s="34" t="n">
        <f aca="false">IF(EK$7=1,EK$81,EJ$124+EK$81)</f>
        <v>0</v>
      </c>
      <c r="EL124" s="34" t="n">
        <f aca="false">IF(EL$7=1,EL$81,EK$124+EL$81)</f>
        <v>0</v>
      </c>
      <c r="EM124" s="34" t="n">
        <f aca="false">IF(EM$7=1,EM$81,EL$124+EM$81)</f>
        <v>0</v>
      </c>
      <c r="EN124" s="34" t="n">
        <f aca="false">IF(EN$7=1,EN$81,EM$124+EN$81)</f>
        <v>0</v>
      </c>
      <c r="EO124" s="34" t="n">
        <f aca="false">IF(EO$7=1,EO$81,EN$124+EO$81)</f>
        <v>0</v>
      </c>
      <c r="EP124" s="34" t="n">
        <f aca="false">IF(EP$7=1,EP$81,EO$124+EP$81)</f>
        <v>0</v>
      </c>
      <c r="EQ124" s="34" t="n">
        <f aca="false">IF(EQ$7=1,EQ$81,EP$124+EQ$81)</f>
        <v>0</v>
      </c>
      <c r="ER124" s="34" t="n">
        <f aca="false">IF(ER$7=1,ER$81,EQ$124+ER$81)</f>
        <v>0</v>
      </c>
      <c r="ES124" s="34" t="n">
        <f aca="false">IF(ES$7=1,ES$81,ER$124+ES$81)</f>
        <v>0</v>
      </c>
    </row>
    <row r="125" customFormat="false" ht="15" hidden="false" customHeight="false" outlineLevel="0" collapsed="false">
      <c r="A125" s="2" t="s">
        <v>731</v>
      </c>
      <c r="B125" s="6" t="s">
        <v>732</v>
      </c>
      <c r="C125" s="6" t="s">
        <v>250</v>
      </c>
      <c r="F125" s="34" t="n">
        <f aca="false">0</f>
        <v>0</v>
      </c>
      <c r="G125" s="34" t="n">
        <f aca="false">IF(G$7=1,F$124,F$125)</f>
        <v>0</v>
      </c>
      <c r="H125" s="34" t="n">
        <f aca="false">IF(H$7=1,G$124,G$125)</f>
        <v>0</v>
      </c>
      <c r="I125" s="34" t="n">
        <f aca="false">IF(I$7=1,H$124,H$125)</f>
        <v>0</v>
      </c>
      <c r="J125" s="34" t="n">
        <f aca="false">IF(J$7=1,I$124,I$125)</f>
        <v>0</v>
      </c>
      <c r="K125" s="34" t="n">
        <f aca="false">IF(K$7=1,J$124,J$125)</f>
        <v>0</v>
      </c>
      <c r="L125" s="34" t="n">
        <f aca="false">IF(L$7=1,K$124,K$125)</f>
        <v>0</v>
      </c>
      <c r="M125" s="34" t="n">
        <f aca="false">IF(M$7=1,L$124,L$125)</f>
        <v>0</v>
      </c>
      <c r="N125" s="34" t="n">
        <f aca="false">IF(N$7=1,M$124,M$125)</f>
        <v>0</v>
      </c>
      <c r="O125" s="34" t="n">
        <f aca="false">IF(O$7=1,N$124,N$125)</f>
        <v>0</v>
      </c>
      <c r="P125" s="34" t="n">
        <f aca="false">IF(P$7=1,O$124,O$125)</f>
        <v>0</v>
      </c>
      <c r="Q125" s="34" t="n">
        <f aca="false">IF(Q$7=1,P$124,P$125)</f>
        <v>0</v>
      </c>
      <c r="R125" s="34" t="n">
        <f aca="false">IF(R$7=1,Q$124,Q$125)</f>
        <v>167275.864276051</v>
      </c>
      <c r="S125" s="34" t="n">
        <f aca="false">IF(S$7=1,R$124,R$125)</f>
        <v>167275.864276051</v>
      </c>
      <c r="T125" s="34" t="n">
        <f aca="false">IF(T$7=1,S$124,S$125)</f>
        <v>167275.864276051</v>
      </c>
      <c r="U125" s="34" t="n">
        <f aca="false">IF(U$7=1,T$124,T$125)</f>
        <v>167275.864276051</v>
      </c>
      <c r="V125" s="34" t="n">
        <f aca="false">IF(V$7=1,U$124,U$125)</f>
        <v>167275.864276051</v>
      </c>
      <c r="W125" s="34" t="n">
        <f aca="false">IF(W$7=1,V$124,V$125)</f>
        <v>167275.864276051</v>
      </c>
      <c r="X125" s="34" t="n">
        <f aca="false">IF(X$7=1,W$124,W$125)</f>
        <v>167275.864276051</v>
      </c>
      <c r="Y125" s="34" t="n">
        <f aca="false">IF(Y$7=1,X$124,X$125)</f>
        <v>167275.864276051</v>
      </c>
      <c r="Z125" s="34" t="n">
        <f aca="false">IF(Z$7=1,Y$124,Y$125)</f>
        <v>167275.864276051</v>
      </c>
      <c r="AA125" s="34" t="n">
        <f aca="false">IF(AA$7=1,Z$124,Z$125)</f>
        <v>167275.864276051</v>
      </c>
      <c r="AB125" s="34" t="n">
        <f aca="false">IF(AB$7=1,AA$124,AA$125)</f>
        <v>167275.864276051</v>
      </c>
      <c r="AC125" s="34" t="n">
        <f aca="false">IF(AC$7=1,AB$124,AB$125)</f>
        <v>167275.864276051</v>
      </c>
      <c r="AD125" s="34" t="n">
        <f aca="false">IF(AD$7=1,AC$124,AC$125)</f>
        <v>658090.372806125</v>
      </c>
      <c r="AE125" s="34" t="n">
        <f aca="false">IF(AE$7=1,AD$124,AD$125)</f>
        <v>658090.372806125</v>
      </c>
      <c r="AF125" s="34" t="n">
        <f aca="false">IF(AF$7=1,AE$124,AE$125)</f>
        <v>658090.372806125</v>
      </c>
      <c r="AG125" s="34" t="n">
        <f aca="false">IF(AG$7=1,AF$124,AF$125)</f>
        <v>658090.372806125</v>
      </c>
      <c r="AH125" s="34" t="n">
        <f aca="false">IF(AH$7=1,AG$124,AG$125)</f>
        <v>658090.372806125</v>
      </c>
      <c r="AI125" s="34" t="n">
        <f aca="false">IF(AI$7=1,AH$124,AH$125)</f>
        <v>658090.372806125</v>
      </c>
      <c r="AJ125" s="34" t="n">
        <f aca="false">IF(AJ$7=1,AI$124,AI$125)</f>
        <v>658090.372806125</v>
      </c>
      <c r="AK125" s="34" t="n">
        <f aca="false">IF(AK$7=1,AJ$124,AJ$125)</f>
        <v>658090.372806125</v>
      </c>
      <c r="AL125" s="34" t="n">
        <f aca="false">IF(AL$7=1,AK$124,AK$125)</f>
        <v>658090.372806125</v>
      </c>
      <c r="AM125" s="34" t="n">
        <f aca="false">IF(AM$7=1,AL$124,AL$125)</f>
        <v>658090.372806125</v>
      </c>
      <c r="AN125" s="34" t="n">
        <f aca="false">IF(AN$7=1,AM$124,AM$125)</f>
        <v>658090.372806125</v>
      </c>
      <c r="AO125" s="34" t="n">
        <f aca="false">IF(AO$7=1,AN$124,AN$125)</f>
        <v>658090.372806125</v>
      </c>
      <c r="AP125" s="34" t="n">
        <f aca="false">IF(AP$7=1,AO$124,AO$125)</f>
        <v>1154012.18844033</v>
      </c>
      <c r="AQ125" s="34" t="n">
        <f aca="false">IF(AQ$7=1,AP$124,AP$125)</f>
        <v>1154012.18844033</v>
      </c>
      <c r="AR125" s="34" t="n">
        <f aca="false">IF(AR$7=1,AQ$124,AQ$125)</f>
        <v>1154012.18844033</v>
      </c>
      <c r="AS125" s="34" t="n">
        <f aca="false">IF(AS$7=1,AR$124,AR$125)</f>
        <v>1154012.18844033</v>
      </c>
      <c r="AT125" s="34" t="n">
        <f aca="false">IF(AT$7=1,AS$124,AS$125)</f>
        <v>1154012.18844033</v>
      </c>
      <c r="AU125" s="34" t="n">
        <f aca="false">IF(AU$7=1,AT$124,AT$125)</f>
        <v>1154012.18844033</v>
      </c>
      <c r="AV125" s="34" t="n">
        <f aca="false">IF(AV$7=1,AU$124,AU$125)</f>
        <v>1154012.18844033</v>
      </c>
      <c r="AW125" s="34" t="n">
        <f aca="false">IF(AW$7=1,AV$124,AV$125)</f>
        <v>1154012.18844033</v>
      </c>
      <c r="AX125" s="34" t="n">
        <f aca="false">IF(AX$7=1,AW$124,AW$125)</f>
        <v>1154012.18844033</v>
      </c>
      <c r="AY125" s="34" t="n">
        <f aca="false">IF(AY$7=1,AX$124,AX$125)</f>
        <v>1154012.18844033</v>
      </c>
      <c r="AZ125" s="34" t="n">
        <f aca="false">IF(AZ$7=1,AY$124,AY$125)</f>
        <v>1154012.18844033</v>
      </c>
      <c r="BA125" s="34" t="n">
        <f aca="false">IF(BA$7=1,AZ$124,AZ$125)</f>
        <v>1154012.18844033</v>
      </c>
      <c r="BB125" s="34" t="n">
        <f aca="false">IF(BB$7=1,BA$124,BA$125)</f>
        <v>1609906.75676184</v>
      </c>
      <c r="BC125" s="34" t="n">
        <f aca="false">IF(BC$7=1,BB$124,BB$125)</f>
        <v>1609906.75676184</v>
      </c>
      <c r="BD125" s="34" t="n">
        <f aca="false">IF(BD$7=1,BC$124,BC$125)</f>
        <v>1609906.75676184</v>
      </c>
      <c r="BE125" s="34" t="n">
        <f aca="false">IF(BE$7=1,BD$124,BD$125)</f>
        <v>1609906.75676184</v>
      </c>
      <c r="BF125" s="34" t="n">
        <f aca="false">IF(BF$7=1,BE$124,BE$125)</f>
        <v>1609906.75676184</v>
      </c>
      <c r="BG125" s="34" t="n">
        <f aca="false">IF(BG$7=1,BF$124,BF$125)</f>
        <v>1609906.75676184</v>
      </c>
      <c r="BH125" s="34" t="n">
        <f aca="false">IF(BH$7=1,BG$124,BG$125)</f>
        <v>1609906.75676184</v>
      </c>
      <c r="BI125" s="34" t="n">
        <f aca="false">IF(BI$7=1,BH$124,BH$125)</f>
        <v>1609906.75676184</v>
      </c>
      <c r="BJ125" s="34" t="n">
        <f aca="false">IF(BJ$7=1,BI$124,BI$125)</f>
        <v>1609906.75676184</v>
      </c>
      <c r="BK125" s="34" t="n">
        <f aca="false">IF(BK$7=1,BJ$124,BJ$125)</f>
        <v>1609906.75676184</v>
      </c>
      <c r="BL125" s="34" t="n">
        <f aca="false">IF(BL$7=1,BK$124,BK$125)</f>
        <v>1609906.75676184</v>
      </c>
      <c r="BM125" s="34" t="n">
        <f aca="false">IF(BM$7=1,BL$124,BL$125)</f>
        <v>1609906.75676184</v>
      </c>
      <c r="BN125" s="34" t="n">
        <f aca="false">IF(BN$7=1,BM$124,BM$125)</f>
        <v>1693767.79358213</v>
      </c>
      <c r="BO125" s="34" t="n">
        <f aca="false">IF(BO$7=1,BN$124,BN$125)</f>
        <v>1693767.79358213</v>
      </c>
      <c r="BP125" s="34" t="n">
        <f aca="false">IF(BP$7=1,BO$124,BO$125)</f>
        <v>1693767.79358213</v>
      </c>
      <c r="BQ125" s="34" t="n">
        <f aca="false">IF(BQ$7=1,BP$124,BP$125)</f>
        <v>1693767.79358213</v>
      </c>
      <c r="BR125" s="34" t="n">
        <f aca="false">IF(BR$7=1,BQ$124,BQ$125)</f>
        <v>1693767.79358213</v>
      </c>
      <c r="BS125" s="34" t="n">
        <f aca="false">IF(BS$7=1,BR$124,BR$125)</f>
        <v>1693767.79358213</v>
      </c>
      <c r="BT125" s="34" t="n">
        <f aca="false">IF(BT$7=1,BS$124,BS$125)</f>
        <v>1693767.79358213</v>
      </c>
      <c r="BU125" s="34" t="n">
        <f aca="false">IF(BU$7=1,BT$124,BT$125)</f>
        <v>1693767.79358213</v>
      </c>
      <c r="BV125" s="34" t="n">
        <f aca="false">IF(BV$7=1,BU$124,BU$125)</f>
        <v>1693767.79358213</v>
      </c>
      <c r="BW125" s="34" t="n">
        <f aca="false">IF(BW$7=1,BV$124,BV$125)</f>
        <v>1693767.79358213</v>
      </c>
      <c r="BX125" s="34" t="n">
        <f aca="false">IF(BX$7=1,BW$124,BW$125)</f>
        <v>1693767.79358213</v>
      </c>
      <c r="BY125" s="34" t="n">
        <f aca="false">IF(BY$7=1,BX$124,BX$125)</f>
        <v>1693767.79358213</v>
      </c>
      <c r="BZ125" s="34" t="n">
        <f aca="false">IF(BZ$7=1,BY$124,BY$125)</f>
        <v>1794188.69257391</v>
      </c>
      <c r="CA125" s="34" t="n">
        <f aca="false">IF(CA$7=1,BZ$124,BZ$125)</f>
        <v>1794188.69257391</v>
      </c>
      <c r="CB125" s="34" t="n">
        <f aca="false">IF(CB$7=1,CA$124,CA$125)</f>
        <v>1794188.69257391</v>
      </c>
      <c r="CC125" s="34" t="n">
        <f aca="false">IF(CC$7=1,CB$124,CB$125)</f>
        <v>1794188.69257391</v>
      </c>
      <c r="CD125" s="34" t="n">
        <f aca="false">IF(CD$7=1,CC$124,CC$125)</f>
        <v>1794188.69257391</v>
      </c>
      <c r="CE125" s="34" t="n">
        <f aca="false">IF(CE$7=1,CD$124,CD$125)</f>
        <v>1794188.69257391</v>
      </c>
      <c r="CF125" s="34" t="n">
        <f aca="false">IF(CF$7=1,CE$124,CE$125)</f>
        <v>1794188.69257391</v>
      </c>
      <c r="CG125" s="34" t="n">
        <f aca="false">IF(CG$7=1,CF$124,CF$125)</f>
        <v>1794188.69257391</v>
      </c>
      <c r="CH125" s="34" t="n">
        <f aca="false">IF(CH$7=1,CG$124,CG$125)</f>
        <v>1794188.69257391</v>
      </c>
      <c r="CI125" s="34" t="n">
        <f aca="false">IF(CI$7=1,CH$124,CH$125)</f>
        <v>1794188.69257391</v>
      </c>
      <c r="CJ125" s="34" t="n">
        <f aca="false">IF(CJ$7=1,CI$124,CI$125)</f>
        <v>1794188.69257391</v>
      </c>
      <c r="CK125" s="34" t="n">
        <f aca="false">IF(CK$7=1,CJ$124,CJ$125)</f>
        <v>1794188.69257391</v>
      </c>
      <c r="CL125" s="34" t="n">
        <f aca="false">IF(CL$7=1,CK$124,CK$125)</f>
        <v>1843575.6608728</v>
      </c>
      <c r="CM125" s="34" t="n">
        <f aca="false">IF(CM$7=1,CL$124,CL$125)</f>
        <v>1843575.6608728</v>
      </c>
      <c r="CN125" s="34" t="n">
        <f aca="false">IF(CN$7=1,CM$124,CM$125)</f>
        <v>1843575.6608728</v>
      </c>
      <c r="CO125" s="34" t="n">
        <f aca="false">IF(CO$7=1,CN$124,CN$125)</f>
        <v>1843575.6608728</v>
      </c>
      <c r="CP125" s="34" t="n">
        <f aca="false">IF(CP$7=1,CO$124,CO$125)</f>
        <v>1843575.6608728</v>
      </c>
      <c r="CQ125" s="34" t="n">
        <f aca="false">IF(CQ$7=1,CP$124,CP$125)</f>
        <v>1843575.6608728</v>
      </c>
      <c r="CR125" s="34" t="n">
        <f aca="false">IF(CR$7=1,CQ$124,CQ$125)</f>
        <v>1843575.6608728</v>
      </c>
      <c r="CS125" s="34" t="n">
        <f aca="false">IF(CS$7=1,CR$124,CR$125)</f>
        <v>1843575.6608728</v>
      </c>
      <c r="CT125" s="34" t="n">
        <f aca="false">IF(CT$7=1,CS$124,CS$125)</f>
        <v>1843575.6608728</v>
      </c>
      <c r="CU125" s="34" t="n">
        <f aca="false">IF(CU$7=1,CT$124,CT$125)</f>
        <v>1843575.6608728</v>
      </c>
      <c r="CV125" s="34" t="n">
        <f aca="false">IF(CV$7=1,CU$124,CU$125)</f>
        <v>1843575.6608728</v>
      </c>
      <c r="CW125" s="34" t="n">
        <f aca="false">IF(CW$7=1,CV$124,CV$125)</f>
        <v>1843575.6608728</v>
      </c>
      <c r="CX125" s="34" t="n">
        <f aca="false">IF(CX$7=1,CW$124,CW$125)</f>
        <v>1893301.21355545</v>
      </c>
      <c r="CY125" s="34" t="n">
        <f aca="false">IF(CY$7=1,CX$124,CX$125)</f>
        <v>1893301.21355545</v>
      </c>
      <c r="CZ125" s="34" t="n">
        <f aca="false">IF(CZ$7=1,CY$124,CY$125)</f>
        <v>1893301.21355545</v>
      </c>
      <c r="DA125" s="34" t="n">
        <f aca="false">IF(DA$7=1,CZ$124,CZ$125)</f>
        <v>1893301.21355545</v>
      </c>
      <c r="DB125" s="34" t="n">
        <f aca="false">IF(DB$7=1,DA$124,DA$125)</f>
        <v>1893301.21355545</v>
      </c>
      <c r="DC125" s="34" t="n">
        <f aca="false">IF(DC$7=1,DB$124,DB$125)</f>
        <v>1893301.21355545</v>
      </c>
      <c r="DD125" s="34" t="n">
        <f aca="false">IF(DD$7=1,DC$124,DC$125)</f>
        <v>1893301.21355545</v>
      </c>
      <c r="DE125" s="34" t="n">
        <f aca="false">IF(DE$7=1,DD$124,DD$125)</f>
        <v>1893301.21355545</v>
      </c>
      <c r="DF125" s="34" t="n">
        <f aca="false">IF(DF$7=1,DE$124,DE$125)</f>
        <v>1893301.21355545</v>
      </c>
      <c r="DG125" s="34" t="n">
        <f aca="false">IF(DG$7=1,DF$124,DF$125)</f>
        <v>1893301.21355545</v>
      </c>
      <c r="DH125" s="34" t="n">
        <f aca="false">IF(DH$7=1,DG$124,DG$125)</f>
        <v>1893301.21355545</v>
      </c>
      <c r="DI125" s="34" t="n">
        <f aca="false">IF(DI$7=1,DH$124,DH$125)</f>
        <v>1893301.21355545</v>
      </c>
      <c r="DJ125" s="34" t="n">
        <f aca="false">IF(DJ$7=1,DI$124,DI$125)</f>
        <v>1943364.14678689</v>
      </c>
      <c r="DK125" s="34" t="n">
        <f aca="false">IF(DK$7=1,DJ$124,DJ$125)</f>
        <v>1943364.14678689</v>
      </c>
      <c r="DL125" s="34" t="n">
        <f aca="false">IF(DL$7=1,DK$124,DK$125)</f>
        <v>1943364.14678689</v>
      </c>
      <c r="DM125" s="34" t="n">
        <f aca="false">IF(DM$7=1,DL$124,DL$125)</f>
        <v>1943364.14678689</v>
      </c>
      <c r="DN125" s="34" t="n">
        <f aca="false">IF(DN$7=1,DM$124,DM$125)</f>
        <v>1943364.14678689</v>
      </c>
      <c r="DO125" s="34" t="n">
        <f aca="false">IF(DO$7=1,DN$124,DN$125)</f>
        <v>1943364.14678689</v>
      </c>
      <c r="DP125" s="34" t="n">
        <f aca="false">IF(DP$7=1,DO$124,DO$125)</f>
        <v>1943364.14678689</v>
      </c>
      <c r="DQ125" s="34" t="n">
        <f aca="false">IF(DQ$7=1,DP$124,DP$125)</f>
        <v>1943364.14678689</v>
      </c>
      <c r="DR125" s="34" t="n">
        <f aca="false">IF(DR$7=1,DQ$124,DQ$125)</f>
        <v>1943364.14678689</v>
      </c>
      <c r="DS125" s="34" t="n">
        <f aca="false">IF(DS$7=1,DR$124,DR$125)</f>
        <v>1943364.14678689</v>
      </c>
      <c r="DT125" s="34" t="n">
        <f aca="false">IF(DT$7=1,DS$124,DS$125)</f>
        <v>1943364.14678689</v>
      </c>
      <c r="DU125" s="34" t="n">
        <f aca="false">IF(DU$7=1,DT$124,DT$125)</f>
        <v>1943364.14678689</v>
      </c>
      <c r="DV125" s="34" t="n">
        <f aca="false">IF(DV$7=1,DU$124,DU$125)</f>
        <v>1993763.10838103</v>
      </c>
      <c r="DW125" s="34" t="n">
        <f aca="false">IF(DW$7=1,DV$124,DV$125)</f>
        <v>1993763.10838103</v>
      </c>
      <c r="DX125" s="34" t="n">
        <f aca="false">IF(DX$7=1,DW$124,DW$125)</f>
        <v>1993763.10838103</v>
      </c>
      <c r="DY125" s="34" t="n">
        <f aca="false">IF(DY$7=1,DX$124,DX$125)</f>
        <v>1993763.10838103</v>
      </c>
      <c r="DZ125" s="34" t="n">
        <f aca="false">IF(DZ$7=1,DY$124,DY$125)</f>
        <v>1993763.10838103</v>
      </c>
      <c r="EA125" s="34" t="n">
        <f aca="false">IF(EA$7=1,DZ$124,DZ$125)</f>
        <v>1993763.10838103</v>
      </c>
      <c r="EB125" s="34" t="n">
        <f aca="false">IF(EB$7=1,EA$124,EA$125)</f>
        <v>1993763.10838103</v>
      </c>
      <c r="EC125" s="34" t="n">
        <f aca="false">IF(EC$7=1,EB$124,EB$125)</f>
        <v>1993763.10838103</v>
      </c>
      <c r="ED125" s="34" t="n">
        <f aca="false">IF(ED$7=1,EC$124,EC$125)</f>
        <v>1993763.10838103</v>
      </c>
      <c r="EE125" s="34" t="n">
        <f aca="false">IF(EE$7=1,ED$124,ED$125)</f>
        <v>1993763.10838103</v>
      </c>
      <c r="EF125" s="34" t="n">
        <f aca="false">IF(EF$7=1,EE$124,EE$125)</f>
        <v>1993763.10838103</v>
      </c>
      <c r="EG125" s="34" t="n">
        <f aca="false">IF(EG$7=1,EF$124,EF$125)</f>
        <v>1993763.10838103</v>
      </c>
      <c r="EH125" s="34" t="n">
        <f aca="false">IF(EH$7=1,EG$124,EG$125)</f>
        <v>0</v>
      </c>
      <c r="EI125" s="34" t="n">
        <f aca="false">IF(EI$7=1,EH$124,EH$125)</f>
        <v>0</v>
      </c>
      <c r="EJ125" s="34" t="n">
        <f aca="false">IF(EJ$7=1,EI$124,EI$125)</f>
        <v>0</v>
      </c>
      <c r="EK125" s="34" t="n">
        <f aca="false">IF(EK$7=1,EJ$124,EJ$125)</f>
        <v>0</v>
      </c>
      <c r="EL125" s="34" t="n">
        <f aca="false">IF(EL$7=1,EK$124,EK$125)</f>
        <v>0</v>
      </c>
      <c r="EM125" s="34" t="n">
        <f aca="false">IF(EM$7=1,EL$124,EL$125)</f>
        <v>0</v>
      </c>
      <c r="EN125" s="34" t="n">
        <f aca="false">IF(EN$7=1,EM$124,EM$125)</f>
        <v>0</v>
      </c>
      <c r="EO125" s="34" t="n">
        <f aca="false">IF(EO$7=1,EN$124,EN$125)</f>
        <v>0</v>
      </c>
      <c r="EP125" s="34" t="n">
        <f aca="false">IF(EP$7=1,EO$124,EO$125)</f>
        <v>0</v>
      </c>
      <c r="EQ125" s="34" t="n">
        <f aca="false">IF(EQ$7=1,EP$124,EP$125)</f>
        <v>0</v>
      </c>
      <c r="ER125" s="34" t="n">
        <f aca="false">IF(ER$7=1,EQ$124,EQ$125)</f>
        <v>0</v>
      </c>
      <c r="ES125" s="34" t="n">
        <f aca="false">IF(ES$7=1,ER$124,ER$125)</f>
        <v>0</v>
      </c>
    </row>
    <row r="126" customFormat="false" ht="15" hidden="false" customHeight="false" outlineLevel="0" collapsed="false">
      <c r="A126" s="2" t="s">
        <v>733</v>
      </c>
      <c r="B126" s="6" t="s">
        <v>734</v>
      </c>
      <c r="C126" s="6" t="s">
        <v>250</v>
      </c>
      <c r="E126" s="40" t="n">
        <f aca="false">SUM(F126:ES126)</f>
        <v>10319354.5422842</v>
      </c>
      <c r="F126" s="34" t="n">
        <f aca="false">IF(AND(F$7=MAX(1,P_MesDiv),F$6&gt;=2),INDEX(Payout_O,1,MIN(10,F$6-1))*MAX(0,F$125),0)*F$9</f>
        <v>0</v>
      </c>
      <c r="G126" s="34" t="n">
        <f aca="false">IF(AND(G$7=MAX(1,P_MesDiv),G$6&gt;=2),INDEX(Payout_O,1,MIN(10,G$6-1))*MAX(0,G$125),0)*G$9</f>
        <v>0</v>
      </c>
      <c r="H126" s="34" t="n">
        <f aca="false">IF(AND(H$7=MAX(1,P_MesDiv),H$6&gt;=2),INDEX(Payout_O,1,MIN(10,H$6-1))*MAX(0,H$125),0)*H$9</f>
        <v>0</v>
      </c>
      <c r="I126" s="34" t="n">
        <f aca="false">IF(AND(I$7=MAX(1,P_MesDiv),I$6&gt;=2),INDEX(Payout_O,1,MIN(10,I$6-1))*MAX(0,I$125),0)*I$9</f>
        <v>0</v>
      </c>
      <c r="J126" s="34" t="n">
        <f aca="false">IF(AND(J$7=MAX(1,P_MesDiv),J$6&gt;=2),INDEX(Payout_O,1,MIN(10,J$6-1))*MAX(0,J$125),0)*J$9</f>
        <v>0</v>
      </c>
      <c r="K126" s="34" t="n">
        <f aca="false">IF(AND(K$7=MAX(1,P_MesDiv),K$6&gt;=2),INDEX(Payout_O,1,MIN(10,K$6-1))*MAX(0,K$125),0)*K$9</f>
        <v>0</v>
      </c>
      <c r="L126" s="34" t="n">
        <f aca="false">IF(AND(L$7=MAX(1,P_MesDiv),L$6&gt;=2),INDEX(Payout_O,1,MIN(10,L$6-1))*MAX(0,L$125),0)*L$9</f>
        <v>0</v>
      </c>
      <c r="M126" s="34" t="n">
        <f aca="false">IF(AND(M$7=MAX(1,P_MesDiv),M$6&gt;=2),INDEX(Payout_O,1,MIN(10,M$6-1))*MAX(0,M$125),0)*M$9</f>
        <v>0</v>
      </c>
      <c r="N126" s="34" t="n">
        <f aca="false">IF(AND(N$7=MAX(1,P_MesDiv),N$6&gt;=2),INDEX(Payout_O,1,MIN(10,N$6-1))*MAX(0,N$125),0)*N$9</f>
        <v>0</v>
      </c>
      <c r="O126" s="34" t="n">
        <f aca="false">IF(AND(O$7=MAX(1,P_MesDiv),O$6&gt;=2),INDEX(Payout_O,1,MIN(10,O$6-1))*MAX(0,O$125),0)*O$9</f>
        <v>0</v>
      </c>
      <c r="P126" s="34" t="n">
        <f aca="false">IF(AND(P$7=MAX(1,P_MesDiv),P$6&gt;=2),INDEX(Payout_O,1,MIN(10,P$6-1))*MAX(0,P$125),0)*P$9</f>
        <v>0</v>
      </c>
      <c r="Q126" s="34" t="n">
        <f aca="false">IF(AND(Q$7=MAX(1,P_MesDiv),Q$6&gt;=2),INDEX(Payout_O,1,MIN(10,Q$6-1))*MAX(0,Q$125),0)*Q$9</f>
        <v>0</v>
      </c>
      <c r="R126" s="34" t="n">
        <f aca="false">IF(AND(R$7=MAX(1,P_MesDiv),R$6&gt;=2),INDEX(Payout_O,1,MIN(10,R$6-1))*MAX(0,R$125),0)*R$9</f>
        <v>0</v>
      </c>
      <c r="S126" s="34" t="n">
        <f aca="false">IF(AND(S$7=MAX(1,P_MesDiv),S$6&gt;=2),INDEX(Payout_O,1,MIN(10,S$6-1))*MAX(0,S$125),0)*S$9</f>
        <v>0</v>
      </c>
      <c r="T126" s="34" t="n">
        <f aca="false">IF(AND(T$7=MAX(1,P_MesDiv),T$6&gt;=2),INDEX(Payout_O,1,MIN(10,T$6-1))*MAX(0,T$125),0)*T$9</f>
        <v>0</v>
      </c>
      <c r="U126" s="34" t="n">
        <f aca="false">IF(AND(U$7=MAX(1,P_MesDiv),U$6&gt;=2),INDEX(Payout_O,1,MIN(10,U$6-1))*MAX(0,U$125),0)*U$9</f>
        <v>0</v>
      </c>
      <c r="V126" s="34" t="n">
        <f aca="false">IF(AND(V$7=MAX(1,P_MesDiv),V$6&gt;=2),INDEX(Payout_O,1,MIN(10,V$6-1))*MAX(0,V$125),0)*V$9</f>
        <v>0</v>
      </c>
      <c r="W126" s="34" t="n">
        <f aca="false">IF(AND(W$7=MAX(1,P_MesDiv),W$6&gt;=2),INDEX(Payout_O,1,MIN(10,W$6-1))*MAX(0,W$125),0)*W$9</f>
        <v>0</v>
      </c>
      <c r="X126" s="34" t="n">
        <f aca="false">IF(AND(X$7=MAX(1,P_MesDiv),X$6&gt;=2),INDEX(Payout_O,1,MIN(10,X$6-1))*MAX(0,X$125),0)*X$9</f>
        <v>0</v>
      </c>
      <c r="Y126" s="34" t="n">
        <f aca="false">IF(AND(Y$7=MAX(1,P_MesDiv),Y$6&gt;=2),INDEX(Payout_O,1,MIN(10,Y$6-1))*MAX(0,Y$125),0)*Y$9</f>
        <v>0</v>
      </c>
      <c r="Z126" s="34" t="n">
        <f aca="false">IF(AND(Z$7=MAX(1,P_MesDiv),Z$6&gt;=2),INDEX(Payout_O,1,MIN(10,Z$6-1))*MAX(0,Z$125),0)*Z$9</f>
        <v>0</v>
      </c>
      <c r="AA126" s="34" t="n">
        <f aca="false">IF(AND(AA$7=MAX(1,P_MesDiv),AA$6&gt;=2),INDEX(Payout_O,1,MIN(10,AA$6-1))*MAX(0,AA$125),0)*AA$9</f>
        <v>0</v>
      </c>
      <c r="AB126" s="34" t="n">
        <f aca="false">IF(AND(AB$7=MAX(1,P_MesDiv),AB$6&gt;=2),INDEX(Payout_O,1,MIN(10,AB$6-1))*MAX(0,AB$125),0)*AB$9</f>
        <v>0</v>
      </c>
      <c r="AC126" s="34" t="n">
        <f aca="false">IF(AND(AC$7=MAX(1,P_MesDiv),AC$6&gt;=2),INDEX(Payout_O,1,MIN(10,AC$6-1))*MAX(0,AC$125),0)*AC$9</f>
        <v>0</v>
      </c>
      <c r="AD126" s="34" t="n">
        <f aca="false">IF(AND(AD$7=MAX(1,P_MesDiv),AD$6&gt;=2),INDEX(Payout_O,1,MIN(10,AD$6-1))*MAX(0,AD$125),0)*AD$9</f>
        <v>0</v>
      </c>
      <c r="AE126" s="34" t="n">
        <f aca="false">IF(AND(AE$7=MAX(1,P_MesDiv),AE$6&gt;=2),INDEX(Payout_O,1,MIN(10,AE$6-1))*MAX(0,AE$125),0)*AE$9</f>
        <v>0</v>
      </c>
      <c r="AF126" s="34" t="n">
        <f aca="false">IF(AND(AF$7=MAX(1,P_MesDiv),AF$6&gt;=2),INDEX(Payout_O,1,MIN(10,AF$6-1))*MAX(0,AF$125),0)*AF$9</f>
        <v>0</v>
      </c>
      <c r="AG126" s="34" t="n">
        <f aca="false">IF(AND(AG$7=MAX(1,P_MesDiv),AG$6&gt;=2),INDEX(Payout_O,1,MIN(10,AG$6-1))*MAX(0,AG$125),0)*AG$9</f>
        <v>0</v>
      </c>
      <c r="AH126" s="34" t="n">
        <f aca="false">IF(AND(AH$7=MAX(1,P_MesDiv),AH$6&gt;=2),INDEX(Payout_O,1,MIN(10,AH$6-1))*MAX(0,AH$125),0)*AH$9</f>
        <v>0</v>
      </c>
      <c r="AI126" s="34" t="n">
        <f aca="false">IF(AND(AI$7=MAX(1,P_MesDiv),AI$6&gt;=2),INDEX(Payout_O,1,MIN(10,AI$6-1))*MAX(0,AI$125),0)*AI$9</f>
        <v>0</v>
      </c>
      <c r="AJ126" s="34" t="n">
        <f aca="false">IF(AND(AJ$7=MAX(1,P_MesDiv),AJ$6&gt;=2),INDEX(Payout_O,1,MIN(10,AJ$6-1))*MAX(0,AJ$125),0)*AJ$9</f>
        <v>0</v>
      </c>
      <c r="AK126" s="34" t="n">
        <f aca="false">IF(AND(AK$7=MAX(1,P_MesDiv),AK$6&gt;=2),INDEX(Payout_O,1,MIN(10,AK$6-1))*MAX(0,AK$125),0)*AK$9</f>
        <v>0</v>
      </c>
      <c r="AL126" s="34" t="n">
        <f aca="false">IF(AND(AL$7=MAX(1,P_MesDiv),AL$6&gt;=2),INDEX(Payout_O,1,MIN(10,AL$6-1))*MAX(0,AL$125),0)*AL$9</f>
        <v>0</v>
      </c>
      <c r="AM126" s="34" t="n">
        <f aca="false">IF(AND(AM$7=MAX(1,P_MesDiv),AM$6&gt;=2),INDEX(Payout_O,1,MIN(10,AM$6-1))*MAX(0,AM$125),0)*AM$9</f>
        <v>0</v>
      </c>
      <c r="AN126" s="34" t="n">
        <f aca="false">IF(AND(AN$7=MAX(1,P_MesDiv),AN$6&gt;=2),INDEX(Payout_O,1,MIN(10,AN$6-1))*MAX(0,AN$125),0)*AN$9</f>
        <v>0</v>
      </c>
      <c r="AO126" s="34" t="n">
        <f aca="false">IF(AND(AO$7=MAX(1,P_MesDiv),AO$6&gt;=2),INDEX(Payout_O,1,MIN(10,AO$6-1))*MAX(0,AO$125),0)*AO$9</f>
        <v>0</v>
      </c>
      <c r="AP126" s="34" t="n">
        <f aca="false">IF(AND(AP$7=MAX(1,P_MesDiv),AP$6&gt;=2),INDEX(Payout_O,1,MIN(10,AP$6-1))*MAX(0,AP$125),0)*AP$9</f>
        <v>0</v>
      </c>
      <c r="AQ126" s="34" t="n">
        <f aca="false">IF(AND(AQ$7=MAX(1,P_MesDiv),AQ$6&gt;=2),INDEX(Payout_O,1,MIN(10,AQ$6-1))*MAX(0,AQ$125),0)*AQ$9</f>
        <v>0</v>
      </c>
      <c r="AR126" s="34" t="n">
        <f aca="false">IF(AND(AR$7=MAX(1,P_MesDiv),AR$6&gt;=2),INDEX(Payout_O,1,MIN(10,AR$6-1))*MAX(0,AR$125),0)*AR$9</f>
        <v>0</v>
      </c>
      <c r="AS126" s="34" t="n">
        <f aca="false">IF(AND(AS$7=MAX(1,P_MesDiv),AS$6&gt;=2),INDEX(Payout_O,1,MIN(10,AS$6-1))*MAX(0,AS$125),0)*AS$9</f>
        <v>346203.656532099</v>
      </c>
      <c r="AT126" s="34" t="n">
        <f aca="false">IF(AND(AT$7=MAX(1,P_MesDiv),AT$6&gt;=2),INDEX(Payout_O,1,MIN(10,AT$6-1))*MAX(0,AT$125),0)*AT$9</f>
        <v>0</v>
      </c>
      <c r="AU126" s="34" t="n">
        <f aca="false">IF(AND(AU$7=MAX(1,P_MesDiv),AU$6&gt;=2),INDEX(Payout_O,1,MIN(10,AU$6-1))*MAX(0,AU$125),0)*AU$9</f>
        <v>0</v>
      </c>
      <c r="AV126" s="34" t="n">
        <f aca="false">IF(AND(AV$7=MAX(1,P_MesDiv),AV$6&gt;=2),INDEX(Payout_O,1,MIN(10,AV$6-1))*MAX(0,AV$125),0)*AV$9</f>
        <v>0</v>
      </c>
      <c r="AW126" s="34" t="n">
        <f aca="false">IF(AND(AW$7=MAX(1,P_MesDiv),AW$6&gt;=2),INDEX(Payout_O,1,MIN(10,AW$6-1))*MAX(0,AW$125),0)*AW$9</f>
        <v>0</v>
      </c>
      <c r="AX126" s="34" t="n">
        <f aca="false">IF(AND(AX$7=MAX(1,P_MesDiv),AX$6&gt;=2),INDEX(Payout_O,1,MIN(10,AX$6-1))*MAX(0,AX$125),0)*AX$9</f>
        <v>0</v>
      </c>
      <c r="AY126" s="34" t="n">
        <f aca="false">IF(AND(AY$7=MAX(1,P_MesDiv),AY$6&gt;=2),INDEX(Payout_O,1,MIN(10,AY$6-1))*MAX(0,AY$125),0)*AY$9</f>
        <v>0</v>
      </c>
      <c r="AZ126" s="34" t="n">
        <f aca="false">IF(AND(AZ$7=MAX(1,P_MesDiv),AZ$6&gt;=2),INDEX(Payout_O,1,MIN(10,AZ$6-1))*MAX(0,AZ$125),0)*AZ$9</f>
        <v>0</v>
      </c>
      <c r="BA126" s="34" t="n">
        <f aca="false">IF(AND(BA$7=MAX(1,P_MesDiv),BA$6&gt;=2),INDEX(Payout_O,1,MIN(10,BA$6-1))*MAX(0,BA$125),0)*BA$9</f>
        <v>0</v>
      </c>
      <c r="BB126" s="34" t="n">
        <f aca="false">IF(AND(BB$7=MAX(1,P_MesDiv),BB$6&gt;=2),INDEX(Payout_O,1,MIN(10,BB$6-1))*MAX(0,BB$125),0)*BB$9</f>
        <v>0</v>
      </c>
      <c r="BC126" s="34" t="n">
        <f aca="false">IF(AND(BC$7=MAX(1,P_MesDiv),BC$6&gt;=2),INDEX(Payout_O,1,MIN(10,BC$6-1))*MAX(0,BC$125),0)*BC$9</f>
        <v>0</v>
      </c>
      <c r="BD126" s="34" t="n">
        <f aca="false">IF(AND(BD$7=MAX(1,P_MesDiv),BD$6&gt;=2),INDEX(Payout_O,1,MIN(10,BD$6-1))*MAX(0,BD$125),0)*BD$9</f>
        <v>0</v>
      </c>
      <c r="BE126" s="34" t="n">
        <f aca="false">IF(AND(BE$7=MAX(1,P_MesDiv),BE$6&gt;=2),INDEX(Payout_O,1,MIN(10,BE$6-1))*MAX(0,BE$125),0)*BE$9</f>
        <v>804953.378380922</v>
      </c>
      <c r="BF126" s="34" t="n">
        <f aca="false">IF(AND(BF$7=MAX(1,P_MesDiv),BF$6&gt;=2),INDEX(Payout_O,1,MIN(10,BF$6-1))*MAX(0,BF$125),0)*BF$9</f>
        <v>0</v>
      </c>
      <c r="BG126" s="34" t="n">
        <f aca="false">IF(AND(BG$7=MAX(1,P_MesDiv),BG$6&gt;=2),INDEX(Payout_O,1,MIN(10,BG$6-1))*MAX(0,BG$125),0)*BG$9</f>
        <v>0</v>
      </c>
      <c r="BH126" s="34" t="n">
        <f aca="false">IF(AND(BH$7=MAX(1,P_MesDiv),BH$6&gt;=2),INDEX(Payout_O,1,MIN(10,BH$6-1))*MAX(0,BH$125),0)*BH$9</f>
        <v>0</v>
      </c>
      <c r="BI126" s="34" t="n">
        <f aca="false">IF(AND(BI$7=MAX(1,P_MesDiv),BI$6&gt;=2),INDEX(Payout_O,1,MIN(10,BI$6-1))*MAX(0,BI$125),0)*BI$9</f>
        <v>0</v>
      </c>
      <c r="BJ126" s="34" t="n">
        <f aca="false">IF(AND(BJ$7=MAX(1,P_MesDiv),BJ$6&gt;=2),INDEX(Payout_O,1,MIN(10,BJ$6-1))*MAX(0,BJ$125),0)*BJ$9</f>
        <v>0</v>
      </c>
      <c r="BK126" s="34" t="n">
        <f aca="false">IF(AND(BK$7=MAX(1,P_MesDiv),BK$6&gt;=2),INDEX(Payout_O,1,MIN(10,BK$6-1))*MAX(0,BK$125),0)*BK$9</f>
        <v>0</v>
      </c>
      <c r="BL126" s="34" t="n">
        <f aca="false">IF(AND(BL$7=MAX(1,P_MesDiv),BL$6&gt;=2),INDEX(Payout_O,1,MIN(10,BL$6-1))*MAX(0,BL$125),0)*BL$9</f>
        <v>0</v>
      </c>
      <c r="BM126" s="34" t="n">
        <f aca="false">IF(AND(BM$7=MAX(1,P_MesDiv),BM$6&gt;=2),INDEX(Payout_O,1,MIN(10,BM$6-1))*MAX(0,BM$125),0)*BM$9</f>
        <v>0</v>
      </c>
      <c r="BN126" s="34" t="n">
        <f aca="false">IF(AND(BN$7=MAX(1,P_MesDiv),BN$6&gt;=2),INDEX(Payout_O,1,MIN(10,BN$6-1))*MAX(0,BN$125),0)*BN$9</f>
        <v>0</v>
      </c>
      <c r="BO126" s="34" t="n">
        <f aca="false">IF(AND(BO$7=MAX(1,P_MesDiv),BO$6&gt;=2),INDEX(Payout_O,1,MIN(10,BO$6-1))*MAX(0,BO$125),0)*BO$9</f>
        <v>0</v>
      </c>
      <c r="BP126" s="34" t="n">
        <f aca="false">IF(AND(BP$7=MAX(1,P_MesDiv),BP$6&gt;=2),INDEX(Payout_O,1,MIN(10,BP$6-1))*MAX(0,BP$125),0)*BP$9</f>
        <v>0</v>
      </c>
      <c r="BQ126" s="34" t="n">
        <f aca="false">IF(AND(BQ$7=MAX(1,P_MesDiv),BQ$6&gt;=2),INDEX(Payout_O,1,MIN(10,BQ$6-1))*MAX(0,BQ$125),0)*BQ$9</f>
        <v>1693767.79358213</v>
      </c>
      <c r="BR126" s="34" t="n">
        <f aca="false">IF(AND(BR$7=MAX(1,P_MesDiv),BR$6&gt;=2),INDEX(Payout_O,1,MIN(10,BR$6-1))*MAX(0,BR$125),0)*BR$9</f>
        <v>0</v>
      </c>
      <c r="BS126" s="34" t="n">
        <f aca="false">IF(AND(BS$7=MAX(1,P_MesDiv),BS$6&gt;=2),INDEX(Payout_O,1,MIN(10,BS$6-1))*MAX(0,BS$125),0)*BS$9</f>
        <v>0</v>
      </c>
      <c r="BT126" s="34" t="n">
        <f aca="false">IF(AND(BT$7=MAX(1,P_MesDiv),BT$6&gt;=2),INDEX(Payout_O,1,MIN(10,BT$6-1))*MAX(0,BT$125),0)*BT$9</f>
        <v>0</v>
      </c>
      <c r="BU126" s="34" t="n">
        <f aca="false">IF(AND(BU$7=MAX(1,P_MesDiv),BU$6&gt;=2),INDEX(Payout_O,1,MIN(10,BU$6-1))*MAX(0,BU$125),0)*BU$9</f>
        <v>0</v>
      </c>
      <c r="BV126" s="34" t="n">
        <f aca="false">IF(AND(BV$7=MAX(1,P_MesDiv),BV$6&gt;=2),INDEX(Payout_O,1,MIN(10,BV$6-1))*MAX(0,BV$125),0)*BV$9</f>
        <v>0</v>
      </c>
      <c r="BW126" s="34" t="n">
        <f aca="false">IF(AND(BW$7=MAX(1,P_MesDiv),BW$6&gt;=2),INDEX(Payout_O,1,MIN(10,BW$6-1))*MAX(0,BW$125),0)*BW$9</f>
        <v>0</v>
      </c>
      <c r="BX126" s="34" t="n">
        <f aca="false">IF(AND(BX$7=MAX(1,P_MesDiv),BX$6&gt;=2),INDEX(Payout_O,1,MIN(10,BX$6-1))*MAX(0,BX$125),0)*BX$9</f>
        <v>0</v>
      </c>
      <c r="BY126" s="34" t="n">
        <f aca="false">IF(AND(BY$7=MAX(1,P_MesDiv),BY$6&gt;=2),INDEX(Payout_O,1,MIN(10,BY$6-1))*MAX(0,BY$125),0)*BY$9</f>
        <v>0</v>
      </c>
      <c r="BZ126" s="34" t="n">
        <f aca="false">IF(AND(BZ$7=MAX(1,P_MesDiv),BZ$6&gt;=2),INDEX(Payout_O,1,MIN(10,BZ$6-1))*MAX(0,BZ$125),0)*BZ$9</f>
        <v>0</v>
      </c>
      <c r="CA126" s="34" t="n">
        <f aca="false">IF(AND(CA$7=MAX(1,P_MesDiv),CA$6&gt;=2),INDEX(Payout_O,1,MIN(10,CA$6-1))*MAX(0,CA$125),0)*CA$9</f>
        <v>0</v>
      </c>
      <c r="CB126" s="34" t="n">
        <f aca="false">IF(AND(CB$7=MAX(1,P_MesDiv),CB$6&gt;=2),INDEX(Payout_O,1,MIN(10,CB$6-1))*MAX(0,CB$125),0)*CB$9</f>
        <v>0</v>
      </c>
      <c r="CC126" s="34" t="n">
        <f aca="false">IF(AND(CC$7=MAX(1,P_MesDiv),CC$6&gt;=2),INDEX(Payout_O,1,MIN(10,CC$6-1))*MAX(0,CC$125),0)*CC$9</f>
        <v>1794188.69257391</v>
      </c>
      <c r="CD126" s="34" t="n">
        <f aca="false">IF(AND(CD$7=MAX(1,P_MesDiv),CD$6&gt;=2),INDEX(Payout_O,1,MIN(10,CD$6-1))*MAX(0,CD$125),0)*CD$9</f>
        <v>0</v>
      </c>
      <c r="CE126" s="34" t="n">
        <f aca="false">IF(AND(CE$7=MAX(1,P_MesDiv),CE$6&gt;=2),INDEX(Payout_O,1,MIN(10,CE$6-1))*MAX(0,CE$125),0)*CE$9</f>
        <v>0</v>
      </c>
      <c r="CF126" s="34" t="n">
        <f aca="false">IF(AND(CF$7=MAX(1,P_MesDiv),CF$6&gt;=2),INDEX(Payout_O,1,MIN(10,CF$6-1))*MAX(0,CF$125),0)*CF$9</f>
        <v>0</v>
      </c>
      <c r="CG126" s="34" t="n">
        <f aca="false">IF(AND(CG$7=MAX(1,P_MesDiv),CG$6&gt;=2),INDEX(Payout_O,1,MIN(10,CG$6-1))*MAX(0,CG$125),0)*CG$9</f>
        <v>0</v>
      </c>
      <c r="CH126" s="34" t="n">
        <f aca="false">IF(AND(CH$7=MAX(1,P_MesDiv),CH$6&gt;=2),INDEX(Payout_O,1,MIN(10,CH$6-1))*MAX(0,CH$125),0)*CH$9</f>
        <v>0</v>
      </c>
      <c r="CI126" s="34" t="n">
        <f aca="false">IF(AND(CI$7=MAX(1,P_MesDiv),CI$6&gt;=2),INDEX(Payout_O,1,MIN(10,CI$6-1))*MAX(0,CI$125),0)*CI$9</f>
        <v>0</v>
      </c>
      <c r="CJ126" s="34" t="n">
        <f aca="false">IF(AND(CJ$7=MAX(1,P_MesDiv),CJ$6&gt;=2),INDEX(Payout_O,1,MIN(10,CJ$6-1))*MAX(0,CJ$125),0)*CJ$9</f>
        <v>0</v>
      </c>
      <c r="CK126" s="34" t="n">
        <f aca="false">IF(AND(CK$7=MAX(1,P_MesDiv),CK$6&gt;=2),INDEX(Payout_O,1,MIN(10,CK$6-1))*MAX(0,CK$125),0)*CK$9</f>
        <v>0</v>
      </c>
      <c r="CL126" s="34" t="n">
        <f aca="false">IF(AND(CL$7=MAX(1,P_MesDiv),CL$6&gt;=2),INDEX(Payout_O,1,MIN(10,CL$6-1))*MAX(0,CL$125),0)*CL$9</f>
        <v>0</v>
      </c>
      <c r="CM126" s="34" t="n">
        <f aca="false">IF(AND(CM$7=MAX(1,P_MesDiv),CM$6&gt;=2),INDEX(Payout_O,1,MIN(10,CM$6-1))*MAX(0,CM$125),0)*CM$9</f>
        <v>0</v>
      </c>
      <c r="CN126" s="34" t="n">
        <f aca="false">IF(AND(CN$7=MAX(1,P_MesDiv),CN$6&gt;=2),INDEX(Payout_O,1,MIN(10,CN$6-1))*MAX(0,CN$125),0)*CN$9</f>
        <v>0</v>
      </c>
      <c r="CO126" s="34" t="n">
        <f aca="false">IF(AND(CO$7=MAX(1,P_MesDiv),CO$6&gt;=2),INDEX(Payout_O,1,MIN(10,CO$6-1))*MAX(0,CO$125),0)*CO$9</f>
        <v>1843575.6608728</v>
      </c>
      <c r="CP126" s="34" t="n">
        <f aca="false">IF(AND(CP$7=MAX(1,P_MesDiv),CP$6&gt;=2),INDEX(Payout_O,1,MIN(10,CP$6-1))*MAX(0,CP$125),0)*CP$9</f>
        <v>0</v>
      </c>
      <c r="CQ126" s="34" t="n">
        <f aca="false">IF(AND(CQ$7=MAX(1,P_MesDiv),CQ$6&gt;=2),INDEX(Payout_O,1,MIN(10,CQ$6-1))*MAX(0,CQ$125),0)*CQ$9</f>
        <v>0</v>
      </c>
      <c r="CR126" s="34" t="n">
        <f aca="false">IF(AND(CR$7=MAX(1,P_MesDiv),CR$6&gt;=2),INDEX(Payout_O,1,MIN(10,CR$6-1))*MAX(0,CR$125),0)*CR$9</f>
        <v>0</v>
      </c>
      <c r="CS126" s="34" t="n">
        <f aca="false">IF(AND(CS$7=MAX(1,P_MesDiv),CS$6&gt;=2),INDEX(Payout_O,1,MIN(10,CS$6-1))*MAX(0,CS$125),0)*CS$9</f>
        <v>0</v>
      </c>
      <c r="CT126" s="34" t="n">
        <f aca="false">IF(AND(CT$7=MAX(1,P_MesDiv),CT$6&gt;=2),INDEX(Payout_O,1,MIN(10,CT$6-1))*MAX(0,CT$125),0)*CT$9</f>
        <v>0</v>
      </c>
      <c r="CU126" s="34" t="n">
        <f aca="false">IF(AND(CU$7=MAX(1,P_MesDiv),CU$6&gt;=2),INDEX(Payout_O,1,MIN(10,CU$6-1))*MAX(0,CU$125),0)*CU$9</f>
        <v>0</v>
      </c>
      <c r="CV126" s="34" t="n">
        <f aca="false">IF(AND(CV$7=MAX(1,P_MesDiv),CV$6&gt;=2),INDEX(Payout_O,1,MIN(10,CV$6-1))*MAX(0,CV$125),0)*CV$9</f>
        <v>0</v>
      </c>
      <c r="CW126" s="34" t="n">
        <f aca="false">IF(AND(CW$7=MAX(1,P_MesDiv),CW$6&gt;=2),INDEX(Payout_O,1,MIN(10,CW$6-1))*MAX(0,CW$125),0)*CW$9</f>
        <v>0</v>
      </c>
      <c r="CX126" s="34" t="n">
        <f aca="false">IF(AND(CX$7=MAX(1,P_MesDiv),CX$6&gt;=2),INDEX(Payout_O,1,MIN(10,CX$6-1))*MAX(0,CX$125),0)*CX$9</f>
        <v>0</v>
      </c>
      <c r="CY126" s="34" t="n">
        <f aca="false">IF(AND(CY$7=MAX(1,P_MesDiv),CY$6&gt;=2),INDEX(Payout_O,1,MIN(10,CY$6-1))*MAX(0,CY$125),0)*CY$9</f>
        <v>0</v>
      </c>
      <c r="CZ126" s="34" t="n">
        <f aca="false">IF(AND(CZ$7=MAX(1,P_MesDiv),CZ$6&gt;=2),INDEX(Payout_O,1,MIN(10,CZ$6-1))*MAX(0,CZ$125),0)*CZ$9</f>
        <v>0</v>
      </c>
      <c r="DA126" s="34" t="n">
        <f aca="false">IF(AND(DA$7=MAX(1,P_MesDiv),DA$6&gt;=2),INDEX(Payout_O,1,MIN(10,DA$6-1))*MAX(0,DA$125),0)*DA$9</f>
        <v>1893301.21355545</v>
      </c>
      <c r="DB126" s="34" t="n">
        <f aca="false">IF(AND(DB$7=MAX(1,P_MesDiv),DB$6&gt;=2),INDEX(Payout_O,1,MIN(10,DB$6-1))*MAX(0,DB$125),0)*DB$9</f>
        <v>0</v>
      </c>
      <c r="DC126" s="34" t="n">
        <f aca="false">IF(AND(DC$7=MAX(1,P_MesDiv),DC$6&gt;=2),INDEX(Payout_O,1,MIN(10,DC$6-1))*MAX(0,DC$125),0)*DC$9</f>
        <v>0</v>
      </c>
      <c r="DD126" s="34" t="n">
        <f aca="false">IF(AND(DD$7=MAX(1,P_MesDiv),DD$6&gt;=2),INDEX(Payout_O,1,MIN(10,DD$6-1))*MAX(0,DD$125),0)*DD$9</f>
        <v>0</v>
      </c>
      <c r="DE126" s="34" t="n">
        <f aca="false">IF(AND(DE$7=MAX(1,P_MesDiv),DE$6&gt;=2),INDEX(Payout_O,1,MIN(10,DE$6-1))*MAX(0,DE$125),0)*DE$9</f>
        <v>0</v>
      </c>
      <c r="DF126" s="34" t="n">
        <f aca="false">IF(AND(DF$7=MAX(1,P_MesDiv),DF$6&gt;=2),INDEX(Payout_O,1,MIN(10,DF$6-1))*MAX(0,DF$125),0)*DF$9</f>
        <v>0</v>
      </c>
      <c r="DG126" s="34" t="n">
        <f aca="false">IF(AND(DG$7=MAX(1,P_MesDiv),DG$6&gt;=2),INDEX(Payout_O,1,MIN(10,DG$6-1))*MAX(0,DG$125),0)*DG$9</f>
        <v>0</v>
      </c>
      <c r="DH126" s="34" t="n">
        <f aca="false">IF(AND(DH$7=MAX(1,P_MesDiv),DH$6&gt;=2),INDEX(Payout_O,1,MIN(10,DH$6-1))*MAX(0,DH$125),0)*DH$9</f>
        <v>0</v>
      </c>
      <c r="DI126" s="34" t="n">
        <f aca="false">IF(AND(DI$7=MAX(1,P_MesDiv),DI$6&gt;=2),INDEX(Payout_O,1,MIN(10,DI$6-1))*MAX(0,DI$125),0)*DI$9</f>
        <v>0</v>
      </c>
      <c r="DJ126" s="34" t="n">
        <f aca="false">IF(AND(DJ$7=MAX(1,P_MesDiv),DJ$6&gt;=2),INDEX(Payout_O,1,MIN(10,DJ$6-1))*MAX(0,DJ$125),0)*DJ$9</f>
        <v>0</v>
      </c>
      <c r="DK126" s="34" t="n">
        <f aca="false">IF(AND(DK$7=MAX(1,P_MesDiv),DK$6&gt;=2),INDEX(Payout_O,1,MIN(10,DK$6-1))*MAX(0,DK$125),0)*DK$9</f>
        <v>0</v>
      </c>
      <c r="DL126" s="34" t="n">
        <f aca="false">IF(AND(DL$7=MAX(1,P_MesDiv),DL$6&gt;=2),INDEX(Payout_O,1,MIN(10,DL$6-1))*MAX(0,DL$125),0)*DL$9</f>
        <v>0</v>
      </c>
      <c r="DM126" s="34" t="n">
        <f aca="false">IF(AND(DM$7=MAX(1,P_MesDiv),DM$6&gt;=2),INDEX(Payout_O,1,MIN(10,DM$6-1))*MAX(0,DM$125),0)*DM$9</f>
        <v>1943364.14678689</v>
      </c>
      <c r="DN126" s="34" t="n">
        <f aca="false">IF(AND(DN$7=MAX(1,P_MesDiv),DN$6&gt;=2),INDEX(Payout_O,1,MIN(10,DN$6-1))*MAX(0,DN$125),0)*DN$9</f>
        <v>0</v>
      </c>
      <c r="DO126" s="34" t="n">
        <f aca="false">IF(AND(DO$7=MAX(1,P_MesDiv),DO$6&gt;=2),INDEX(Payout_O,1,MIN(10,DO$6-1))*MAX(0,DO$125),0)*DO$9</f>
        <v>0</v>
      </c>
      <c r="DP126" s="34" t="n">
        <f aca="false">IF(AND(DP$7=MAX(1,P_MesDiv),DP$6&gt;=2),INDEX(Payout_O,1,MIN(10,DP$6-1))*MAX(0,DP$125),0)*DP$9</f>
        <v>0</v>
      </c>
      <c r="DQ126" s="34" t="n">
        <f aca="false">IF(AND(DQ$7=MAX(1,P_MesDiv),DQ$6&gt;=2),INDEX(Payout_O,1,MIN(10,DQ$6-1))*MAX(0,DQ$125),0)*DQ$9</f>
        <v>0</v>
      </c>
      <c r="DR126" s="34" t="n">
        <f aca="false">IF(AND(DR$7=MAX(1,P_MesDiv),DR$6&gt;=2),INDEX(Payout_O,1,MIN(10,DR$6-1))*MAX(0,DR$125),0)*DR$9</f>
        <v>0</v>
      </c>
      <c r="DS126" s="34" t="n">
        <f aca="false">IF(AND(DS$7=MAX(1,P_MesDiv),DS$6&gt;=2),INDEX(Payout_O,1,MIN(10,DS$6-1))*MAX(0,DS$125),0)*DS$9</f>
        <v>0</v>
      </c>
      <c r="DT126" s="34" t="n">
        <f aca="false">IF(AND(DT$7=MAX(1,P_MesDiv),DT$6&gt;=2),INDEX(Payout_O,1,MIN(10,DT$6-1))*MAX(0,DT$125),0)*DT$9</f>
        <v>0</v>
      </c>
      <c r="DU126" s="34" t="n">
        <f aca="false">IF(AND(DU$7=MAX(1,P_MesDiv),DU$6&gt;=2),INDEX(Payout_O,1,MIN(10,DU$6-1))*MAX(0,DU$125),0)*DU$9</f>
        <v>0</v>
      </c>
      <c r="DV126" s="34" t="n">
        <f aca="false">IF(AND(DV$7=MAX(1,P_MesDiv),DV$6&gt;=2),INDEX(Payout_O,1,MIN(10,DV$6-1))*MAX(0,DV$125),0)*DV$9</f>
        <v>0</v>
      </c>
      <c r="DW126" s="34" t="n">
        <f aca="false">IF(AND(DW$7=MAX(1,P_MesDiv),DW$6&gt;=2),INDEX(Payout_O,1,MIN(10,DW$6-1))*MAX(0,DW$125),0)*DW$9</f>
        <v>0</v>
      </c>
      <c r="DX126" s="34" t="n">
        <f aca="false">IF(AND(DX$7=MAX(1,P_MesDiv),DX$6&gt;=2),INDEX(Payout_O,1,MIN(10,DX$6-1))*MAX(0,DX$125),0)*DX$9</f>
        <v>0</v>
      </c>
      <c r="DY126" s="34" t="n">
        <f aca="false">IF(AND(DY$7=MAX(1,P_MesDiv),DY$6&gt;=2),INDEX(Payout_O,1,MIN(10,DY$6-1))*MAX(0,DY$125),0)*DY$9</f>
        <v>0</v>
      </c>
      <c r="DZ126" s="34" t="n">
        <f aca="false">IF(AND(DZ$7=MAX(1,P_MesDiv),DZ$6&gt;=2),INDEX(Payout_O,1,MIN(10,DZ$6-1))*MAX(0,DZ$125),0)*DZ$9</f>
        <v>0</v>
      </c>
      <c r="EA126" s="34" t="n">
        <f aca="false">IF(AND(EA$7=MAX(1,P_MesDiv),EA$6&gt;=2),INDEX(Payout_O,1,MIN(10,EA$6-1))*MAX(0,EA$125),0)*EA$9</f>
        <v>0</v>
      </c>
      <c r="EB126" s="34" t="n">
        <f aca="false">IF(AND(EB$7=MAX(1,P_MesDiv),EB$6&gt;=2),INDEX(Payout_O,1,MIN(10,EB$6-1))*MAX(0,EB$125),0)*EB$9</f>
        <v>0</v>
      </c>
      <c r="EC126" s="34" t="n">
        <f aca="false">IF(AND(EC$7=MAX(1,P_MesDiv),EC$6&gt;=2),INDEX(Payout_O,1,MIN(10,EC$6-1))*MAX(0,EC$125),0)*EC$9</f>
        <v>0</v>
      </c>
      <c r="ED126" s="34" t="n">
        <f aca="false">IF(AND(ED$7=MAX(1,P_MesDiv),ED$6&gt;=2),INDEX(Payout_O,1,MIN(10,ED$6-1))*MAX(0,ED$125),0)*ED$9</f>
        <v>0</v>
      </c>
      <c r="EE126" s="34" t="n">
        <f aca="false">IF(AND(EE$7=MAX(1,P_MesDiv),EE$6&gt;=2),INDEX(Payout_O,1,MIN(10,EE$6-1))*MAX(0,EE$125),0)*EE$9</f>
        <v>0</v>
      </c>
      <c r="EF126" s="34" t="n">
        <f aca="false">IF(AND(EF$7=MAX(1,P_MesDiv),EF$6&gt;=2),INDEX(Payout_O,1,MIN(10,EF$6-1))*MAX(0,EF$125),0)*EF$9</f>
        <v>0</v>
      </c>
      <c r="EG126" s="34" t="n">
        <f aca="false">IF(AND(EG$7=MAX(1,P_MesDiv),EG$6&gt;=2),INDEX(Payout_O,1,MIN(10,EG$6-1))*MAX(0,EG$125),0)*EG$9</f>
        <v>0</v>
      </c>
      <c r="EH126" s="34" t="n">
        <f aca="false">IF(AND(EH$7=MAX(1,P_MesDiv),EH$6&gt;=2),INDEX(Payout_O,1,MIN(10,EH$6-1))*MAX(0,EH$125),0)*EH$9</f>
        <v>0</v>
      </c>
      <c r="EI126" s="34" t="n">
        <f aca="false">IF(AND(EI$7=MAX(1,P_MesDiv),EI$6&gt;=2),INDEX(Payout_O,1,MIN(10,EI$6-1))*MAX(0,EI$125),0)*EI$9</f>
        <v>0</v>
      </c>
      <c r="EJ126" s="34" t="n">
        <f aca="false">IF(AND(EJ$7=MAX(1,P_MesDiv),EJ$6&gt;=2),INDEX(Payout_O,1,MIN(10,EJ$6-1))*MAX(0,EJ$125),0)*EJ$9</f>
        <v>0</v>
      </c>
      <c r="EK126" s="34" t="n">
        <f aca="false">IF(AND(EK$7=MAX(1,P_MesDiv),EK$6&gt;=2),INDEX(Payout_O,1,MIN(10,EK$6-1))*MAX(0,EK$125),0)*EK$9</f>
        <v>0</v>
      </c>
      <c r="EL126" s="34" t="n">
        <f aca="false">IF(AND(EL$7=MAX(1,P_MesDiv),EL$6&gt;=2),INDEX(Payout_O,1,MIN(10,EL$6-1))*MAX(0,EL$125),0)*EL$9</f>
        <v>0</v>
      </c>
      <c r="EM126" s="34" t="n">
        <f aca="false">IF(AND(EM$7=MAX(1,P_MesDiv),EM$6&gt;=2),INDEX(Payout_O,1,MIN(10,EM$6-1))*MAX(0,EM$125),0)*EM$9</f>
        <v>0</v>
      </c>
      <c r="EN126" s="34" t="n">
        <f aca="false">IF(AND(EN$7=MAX(1,P_MesDiv),EN$6&gt;=2),INDEX(Payout_O,1,MIN(10,EN$6-1))*MAX(0,EN$125),0)*EN$9</f>
        <v>0</v>
      </c>
      <c r="EO126" s="34" t="n">
        <f aca="false">IF(AND(EO$7=MAX(1,P_MesDiv),EO$6&gt;=2),INDEX(Payout_O,1,MIN(10,EO$6-1))*MAX(0,EO$125),0)*EO$9</f>
        <v>0</v>
      </c>
      <c r="EP126" s="34" t="n">
        <f aca="false">IF(AND(EP$7=MAX(1,P_MesDiv),EP$6&gt;=2),INDEX(Payout_O,1,MIN(10,EP$6-1))*MAX(0,EP$125),0)*EP$9</f>
        <v>0</v>
      </c>
      <c r="EQ126" s="34" t="n">
        <f aca="false">IF(AND(EQ$7=MAX(1,P_MesDiv),EQ$6&gt;=2),INDEX(Payout_O,1,MIN(10,EQ$6-1))*MAX(0,EQ$125),0)*EQ$9</f>
        <v>0</v>
      </c>
      <c r="ER126" s="34" t="n">
        <f aca="false">IF(AND(ER$7=MAX(1,P_MesDiv),ER$6&gt;=2),INDEX(Payout_O,1,MIN(10,ER$6-1))*MAX(0,ER$125),0)*ER$9</f>
        <v>0</v>
      </c>
      <c r="ES126" s="34" t="n">
        <f aca="false">IF(AND(ES$7=MAX(1,P_MesDiv),ES$6&gt;=2),INDEX(Payout_O,1,MIN(10,ES$6-1))*MAX(0,ES$125),0)*ES$9</f>
        <v>0</v>
      </c>
    </row>
    <row r="127" customFormat="false" ht="15" hidden="false" customHeight="false" outlineLevel="0" collapsed="false">
      <c r="A127" s="2" t="s">
        <v>735</v>
      </c>
      <c r="B127" s="6" t="s">
        <v>736</v>
      </c>
      <c r="C127" s="6" t="s">
        <v>250</v>
      </c>
      <c r="E127" s="40" t="n">
        <f aca="false">SUM(F127:ES127)</f>
        <v>9743309.63653819</v>
      </c>
      <c r="F127" s="34" t="n">
        <f aca="false">MIN(F$126,MAX(0,F$123-F$116))</f>
        <v>0</v>
      </c>
      <c r="G127" s="34" t="n">
        <f aca="false">MIN(G$126,MAX(0,G$123-G$116))</f>
        <v>0</v>
      </c>
      <c r="H127" s="34" t="n">
        <f aca="false">MIN(H$126,MAX(0,H$123-H$116))</f>
        <v>0</v>
      </c>
      <c r="I127" s="34" t="n">
        <f aca="false">MIN(I$126,MAX(0,I$123-I$116))</f>
        <v>0</v>
      </c>
      <c r="J127" s="34" t="n">
        <f aca="false">MIN(J$126,MAX(0,J$123-J$116))</f>
        <v>0</v>
      </c>
      <c r="K127" s="34" t="n">
        <f aca="false">MIN(K$126,MAX(0,K$123-K$116))</f>
        <v>0</v>
      </c>
      <c r="L127" s="34" t="n">
        <f aca="false">MIN(L$126,MAX(0,L$123-L$116))</f>
        <v>0</v>
      </c>
      <c r="M127" s="34" t="n">
        <f aca="false">MIN(M$126,MAX(0,M$123-M$116))</f>
        <v>0</v>
      </c>
      <c r="N127" s="34" t="n">
        <f aca="false">MIN(N$126,MAX(0,N$123-N$116))</f>
        <v>0</v>
      </c>
      <c r="O127" s="34" t="n">
        <f aca="false">MIN(O$126,MAX(0,O$123-O$116))</f>
        <v>0</v>
      </c>
      <c r="P127" s="34" t="n">
        <f aca="false">MIN(P$126,MAX(0,P$123-P$116))</f>
        <v>0</v>
      </c>
      <c r="Q127" s="34" t="n">
        <f aca="false">MIN(Q$126,MAX(0,Q$123-Q$116))</f>
        <v>0</v>
      </c>
      <c r="R127" s="34" t="n">
        <f aca="false">MIN(R$126,MAX(0,R$123-R$116))</f>
        <v>0</v>
      </c>
      <c r="S127" s="34" t="n">
        <f aca="false">MIN(S$126,MAX(0,S$123-S$116))</f>
        <v>0</v>
      </c>
      <c r="T127" s="34" t="n">
        <f aca="false">MIN(T$126,MAX(0,T$123-T$116))</f>
        <v>0</v>
      </c>
      <c r="U127" s="34" t="n">
        <f aca="false">MIN(U$126,MAX(0,U$123-U$116))</f>
        <v>0</v>
      </c>
      <c r="V127" s="34" t="n">
        <f aca="false">MIN(V$126,MAX(0,V$123-V$116))</f>
        <v>0</v>
      </c>
      <c r="W127" s="34" t="n">
        <f aca="false">MIN(W$126,MAX(0,W$123-W$116))</f>
        <v>0</v>
      </c>
      <c r="X127" s="34" t="n">
        <f aca="false">MIN(X$126,MAX(0,X$123-X$116))</f>
        <v>0</v>
      </c>
      <c r="Y127" s="34" t="n">
        <f aca="false">MIN(Y$126,MAX(0,Y$123-Y$116))</f>
        <v>0</v>
      </c>
      <c r="Z127" s="34" t="n">
        <f aca="false">MIN(Z$126,MAX(0,Z$123-Z$116))</f>
        <v>0</v>
      </c>
      <c r="AA127" s="34" t="n">
        <f aca="false">MIN(AA$126,MAX(0,AA$123-AA$116))</f>
        <v>0</v>
      </c>
      <c r="AB127" s="34" t="n">
        <f aca="false">MIN(AB$126,MAX(0,AB$123-AB$116))</f>
        <v>0</v>
      </c>
      <c r="AC127" s="34" t="n">
        <f aca="false">MIN(AC$126,MAX(0,AC$123-AC$116))</f>
        <v>0</v>
      </c>
      <c r="AD127" s="34" t="n">
        <f aca="false">MIN(AD$126,MAX(0,AD$123-AD$116))</f>
        <v>0</v>
      </c>
      <c r="AE127" s="34" t="n">
        <f aca="false">MIN(AE$126,MAX(0,AE$123-AE$116))</f>
        <v>0</v>
      </c>
      <c r="AF127" s="34" t="n">
        <f aca="false">MIN(AF$126,MAX(0,AF$123-AF$116))</f>
        <v>0</v>
      </c>
      <c r="AG127" s="34" t="n">
        <f aca="false">MIN(AG$126,MAX(0,AG$123-AG$116))</f>
        <v>0</v>
      </c>
      <c r="AH127" s="34" t="n">
        <f aca="false">MIN(AH$126,MAX(0,AH$123-AH$116))</f>
        <v>0</v>
      </c>
      <c r="AI127" s="34" t="n">
        <f aca="false">MIN(AI$126,MAX(0,AI$123-AI$116))</f>
        <v>0</v>
      </c>
      <c r="AJ127" s="34" t="n">
        <f aca="false">MIN(AJ$126,MAX(0,AJ$123-AJ$116))</f>
        <v>0</v>
      </c>
      <c r="AK127" s="34" t="n">
        <f aca="false">MIN(AK$126,MAX(0,AK$123-AK$116))</f>
        <v>0</v>
      </c>
      <c r="AL127" s="34" t="n">
        <f aca="false">MIN(AL$126,MAX(0,AL$123-AL$116))</f>
        <v>0</v>
      </c>
      <c r="AM127" s="34" t="n">
        <f aca="false">MIN(AM$126,MAX(0,AM$123-AM$116))</f>
        <v>0</v>
      </c>
      <c r="AN127" s="34" t="n">
        <f aca="false">MIN(AN$126,MAX(0,AN$123-AN$116))</f>
        <v>0</v>
      </c>
      <c r="AO127" s="34" t="n">
        <f aca="false">MIN(AO$126,MAX(0,AO$123-AO$116))</f>
        <v>0</v>
      </c>
      <c r="AP127" s="34" t="n">
        <f aca="false">MIN(AP$126,MAX(0,AP$123-AP$116))</f>
        <v>0</v>
      </c>
      <c r="AQ127" s="34" t="n">
        <f aca="false">MIN(AQ$126,MAX(0,AQ$123-AQ$116))</f>
        <v>0</v>
      </c>
      <c r="AR127" s="34" t="n">
        <f aca="false">MIN(AR$126,MAX(0,AR$123-AR$116))</f>
        <v>0</v>
      </c>
      <c r="AS127" s="34" t="n">
        <f aca="false">MIN(AS$126,MAX(0,AS$123-AS$116))</f>
        <v>0</v>
      </c>
      <c r="AT127" s="34" t="n">
        <f aca="false">MIN(AT$126,MAX(0,AT$123-AT$116))</f>
        <v>0</v>
      </c>
      <c r="AU127" s="34" t="n">
        <f aca="false">MIN(AU$126,MAX(0,AU$123-AU$116))</f>
        <v>0</v>
      </c>
      <c r="AV127" s="34" t="n">
        <f aca="false">MIN(AV$126,MAX(0,AV$123-AV$116))</f>
        <v>0</v>
      </c>
      <c r="AW127" s="34" t="n">
        <f aca="false">MIN(AW$126,MAX(0,AW$123-AW$116))</f>
        <v>0</v>
      </c>
      <c r="AX127" s="34" t="n">
        <f aca="false">MIN(AX$126,MAX(0,AX$123-AX$116))</f>
        <v>0</v>
      </c>
      <c r="AY127" s="34" t="n">
        <f aca="false">MIN(AY$126,MAX(0,AY$123-AY$116))</f>
        <v>0</v>
      </c>
      <c r="AZ127" s="34" t="n">
        <f aca="false">MIN(AZ$126,MAX(0,AZ$123-AZ$116))</f>
        <v>0</v>
      </c>
      <c r="BA127" s="34" t="n">
        <f aca="false">MIN(BA$126,MAX(0,BA$123-BA$116))</f>
        <v>0</v>
      </c>
      <c r="BB127" s="34" t="n">
        <f aca="false">MIN(BB$126,MAX(0,BB$123-BB$116))</f>
        <v>0</v>
      </c>
      <c r="BC127" s="34" t="n">
        <f aca="false">MIN(BC$126,MAX(0,BC$123-BC$116))</f>
        <v>0</v>
      </c>
      <c r="BD127" s="34" t="n">
        <f aca="false">MIN(BD$126,MAX(0,BD$123-BD$116))</f>
        <v>0</v>
      </c>
      <c r="BE127" s="34" t="n">
        <f aca="false">MIN(BE$126,MAX(0,BE$123-BE$116))</f>
        <v>804953.378380922</v>
      </c>
      <c r="BF127" s="34" t="n">
        <f aca="false">MIN(BF$126,MAX(0,BF$123-BF$116))</f>
        <v>0</v>
      </c>
      <c r="BG127" s="34" t="n">
        <f aca="false">MIN(BG$126,MAX(0,BG$123-BG$116))</f>
        <v>0</v>
      </c>
      <c r="BH127" s="34" t="n">
        <f aca="false">MIN(BH$126,MAX(0,BH$123-BH$116))</f>
        <v>0</v>
      </c>
      <c r="BI127" s="34" t="n">
        <f aca="false">MIN(BI$126,MAX(0,BI$123-BI$116))</f>
        <v>0</v>
      </c>
      <c r="BJ127" s="34" t="n">
        <f aca="false">MIN(BJ$126,MAX(0,BJ$123-BJ$116))</f>
        <v>0</v>
      </c>
      <c r="BK127" s="34" t="n">
        <f aca="false">MIN(BK$126,MAX(0,BK$123-BK$116))</f>
        <v>0</v>
      </c>
      <c r="BL127" s="34" t="n">
        <f aca="false">MIN(BL$126,MAX(0,BL$123-BL$116))</f>
        <v>0</v>
      </c>
      <c r="BM127" s="34" t="n">
        <f aca="false">MIN(BM$126,MAX(0,BM$123-BM$116))</f>
        <v>0</v>
      </c>
      <c r="BN127" s="34" t="n">
        <f aca="false">MIN(BN$126,MAX(0,BN$123-BN$116))</f>
        <v>0</v>
      </c>
      <c r="BO127" s="34" t="n">
        <f aca="false">MIN(BO$126,MAX(0,BO$123-BO$116))</f>
        <v>0</v>
      </c>
      <c r="BP127" s="34" t="n">
        <f aca="false">MIN(BP$126,MAX(0,BP$123-BP$116))</f>
        <v>0</v>
      </c>
      <c r="BQ127" s="34" t="n">
        <f aca="false">MIN(BQ$126,MAX(0,BQ$123-BQ$116))</f>
        <v>1463926.54436822</v>
      </c>
      <c r="BR127" s="34" t="n">
        <f aca="false">MIN(BR$126,MAX(0,BR$123-BR$116))</f>
        <v>0</v>
      </c>
      <c r="BS127" s="34" t="n">
        <f aca="false">MIN(BS$126,MAX(0,BS$123-BS$116))</f>
        <v>0</v>
      </c>
      <c r="BT127" s="34" t="n">
        <f aca="false">MIN(BT$126,MAX(0,BT$123-BT$116))</f>
        <v>0</v>
      </c>
      <c r="BU127" s="34" t="n">
        <f aca="false">MIN(BU$126,MAX(0,BU$123-BU$116))</f>
        <v>0</v>
      </c>
      <c r="BV127" s="34" t="n">
        <f aca="false">MIN(BV$126,MAX(0,BV$123-BV$116))</f>
        <v>0</v>
      </c>
      <c r="BW127" s="34" t="n">
        <f aca="false">MIN(BW$126,MAX(0,BW$123-BW$116))</f>
        <v>0</v>
      </c>
      <c r="BX127" s="34" t="n">
        <f aca="false">MIN(BX$126,MAX(0,BX$123-BX$116))</f>
        <v>0</v>
      </c>
      <c r="BY127" s="34" t="n">
        <f aca="false">MIN(BY$126,MAX(0,BY$123-BY$116))</f>
        <v>0</v>
      </c>
      <c r="BZ127" s="34" t="n">
        <f aca="false">MIN(BZ$126,MAX(0,BZ$123-BZ$116))</f>
        <v>0</v>
      </c>
      <c r="CA127" s="34" t="n">
        <f aca="false">MIN(CA$126,MAX(0,CA$123-CA$116))</f>
        <v>0</v>
      </c>
      <c r="CB127" s="34" t="n">
        <f aca="false">MIN(CB$126,MAX(0,CB$123-CB$116))</f>
        <v>0</v>
      </c>
      <c r="CC127" s="34" t="n">
        <f aca="false">MIN(CC$126,MAX(0,CC$123-CC$116))</f>
        <v>1794188.69257391</v>
      </c>
      <c r="CD127" s="34" t="n">
        <f aca="false">MIN(CD$126,MAX(0,CD$123-CD$116))</f>
        <v>0</v>
      </c>
      <c r="CE127" s="34" t="n">
        <f aca="false">MIN(CE$126,MAX(0,CE$123-CE$116))</f>
        <v>0</v>
      </c>
      <c r="CF127" s="34" t="n">
        <f aca="false">MIN(CF$126,MAX(0,CF$123-CF$116))</f>
        <v>0</v>
      </c>
      <c r="CG127" s="34" t="n">
        <f aca="false">MIN(CG$126,MAX(0,CG$123-CG$116))</f>
        <v>0</v>
      </c>
      <c r="CH127" s="34" t="n">
        <f aca="false">MIN(CH$126,MAX(0,CH$123-CH$116))</f>
        <v>0</v>
      </c>
      <c r="CI127" s="34" t="n">
        <f aca="false">MIN(CI$126,MAX(0,CI$123-CI$116))</f>
        <v>0</v>
      </c>
      <c r="CJ127" s="34" t="n">
        <f aca="false">MIN(CJ$126,MAX(0,CJ$123-CJ$116))</f>
        <v>0</v>
      </c>
      <c r="CK127" s="34" t="n">
        <f aca="false">MIN(CK$126,MAX(0,CK$123-CK$116))</f>
        <v>0</v>
      </c>
      <c r="CL127" s="34" t="n">
        <f aca="false">MIN(CL$126,MAX(0,CL$123-CL$116))</f>
        <v>0</v>
      </c>
      <c r="CM127" s="34" t="n">
        <f aca="false">MIN(CM$126,MAX(0,CM$123-CM$116))</f>
        <v>0</v>
      </c>
      <c r="CN127" s="34" t="n">
        <f aca="false">MIN(CN$126,MAX(0,CN$123-CN$116))</f>
        <v>0</v>
      </c>
      <c r="CO127" s="34" t="n">
        <f aca="false">MIN(CO$126,MAX(0,CO$123-CO$116))</f>
        <v>1843575.6608728</v>
      </c>
      <c r="CP127" s="34" t="n">
        <f aca="false">MIN(CP$126,MAX(0,CP$123-CP$116))</f>
        <v>0</v>
      </c>
      <c r="CQ127" s="34" t="n">
        <f aca="false">MIN(CQ$126,MAX(0,CQ$123-CQ$116))</f>
        <v>0</v>
      </c>
      <c r="CR127" s="34" t="n">
        <f aca="false">MIN(CR$126,MAX(0,CR$123-CR$116))</f>
        <v>0</v>
      </c>
      <c r="CS127" s="34" t="n">
        <f aca="false">MIN(CS$126,MAX(0,CS$123-CS$116))</f>
        <v>0</v>
      </c>
      <c r="CT127" s="34" t="n">
        <f aca="false">MIN(CT$126,MAX(0,CT$123-CT$116))</f>
        <v>0</v>
      </c>
      <c r="CU127" s="34" t="n">
        <f aca="false">MIN(CU$126,MAX(0,CU$123-CU$116))</f>
        <v>0</v>
      </c>
      <c r="CV127" s="34" t="n">
        <f aca="false">MIN(CV$126,MAX(0,CV$123-CV$116))</f>
        <v>0</v>
      </c>
      <c r="CW127" s="34" t="n">
        <f aca="false">MIN(CW$126,MAX(0,CW$123-CW$116))</f>
        <v>0</v>
      </c>
      <c r="CX127" s="34" t="n">
        <f aca="false">MIN(CX$126,MAX(0,CX$123-CX$116))</f>
        <v>0</v>
      </c>
      <c r="CY127" s="34" t="n">
        <f aca="false">MIN(CY$126,MAX(0,CY$123-CY$116))</f>
        <v>0</v>
      </c>
      <c r="CZ127" s="34" t="n">
        <f aca="false">MIN(CZ$126,MAX(0,CZ$123-CZ$116))</f>
        <v>0</v>
      </c>
      <c r="DA127" s="34" t="n">
        <f aca="false">MIN(DA$126,MAX(0,DA$123-DA$116))</f>
        <v>1893301.21355545</v>
      </c>
      <c r="DB127" s="34" t="n">
        <f aca="false">MIN(DB$126,MAX(0,DB$123-DB$116))</f>
        <v>0</v>
      </c>
      <c r="DC127" s="34" t="n">
        <f aca="false">MIN(DC$126,MAX(0,DC$123-DC$116))</f>
        <v>0</v>
      </c>
      <c r="DD127" s="34" t="n">
        <f aca="false">MIN(DD$126,MAX(0,DD$123-DD$116))</f>
        <v>0</v>
      </c>
      <c r="DE127" s="34" t="n">
        <f aca="false">MIN(DE$126,MAX(0,DE$123-DE$116))</f>
        <v>0</v>
      </c>
      <c r="DF127" s="34" t="n">
        <f aca="false">MIN(DF$126,MAX(0,DF$123-DF$116))</f>
        <v>0</v>
      </c>
      <c r="DG127" s="34" t="n">
        <f aca="false">MIN(DG$126,MAX(0,DG$123-DG$116))</f>
        <v>0</v>
      </c>
      <c r="DH127" s="34" t="n">
        <f aca="false">MIN(DH$126,MAX(0,DH$123-DH$116))</f>
        <v>0</v>
      </c>
      <c r="DI127" s="34" t="n">
        <f aca="false">MIN(DI$126,MAX(0,DI$123-DI$116))</f>
        <v>0</v>
      </c>
      <c r="DJ127" s="34" t="n">
        <f aca="false">MIN(DJ$126,MAX(0,DJ$123-DJ$116))</f>
        <v>0</v>
      </c>
      <c r="DK127" s="34" t="n">
        <f aca="false">MIN(DK$126,MAX(0,DK$123-DK$116))</f>
        <v>0</v>
      </c>
      <c r="DL127" s="34" t="n">
        <f aca="false">MIN(DL$126,MAX(0,DL$123-DL$116))</f>
        <v>0</v>
      </c>
      <c r="DM127" s="34" t="n">
        <f aca="false">MIN(DM$126,MAX(0,DM$123-DM$116))</f>
        <v>1943364.14678689</v>
      </c>
      <c r="DN127" s="34" t="n">
        <f aca="false">MIN(DN$126,MAX(0,DN$123-DN$116))</f>
        <v>0</v>
      </c>
      <c r="DO127" s="34" t="n">
        <f aca="false">MIN(DO$126,MAX(0,DO$123-DO$116))</f>
        <v>0</v>
      </c>
      <c r="DP127" s="34" t="n">
        <f aca="false">MIN(DP$126,MAX(0,DP$123-DP$116))</f>
        <v>0</v>
      </c>
      <c r="DQ127" s="34" t="n">
        <f aca="false">MIN(DQ$126,MAX(0,DQ$123-DQ$116))</f>
        <v>0</v>
      </c>
      <c r="DR127" s="34" t="n">
        <f aca="false">MIN(DR$126,MAX(0,DR$123-DR$116))</f>
        <v>0</v>
      </c>
      <c r="DS127" s="34" t="n">
        <f aca="false">MIN(DS$126,MAX(0,DS$123-DS$116))</f>
        <v>0</v>
      </c>
      <c r="DT127" s="34" t="n">
        <f aca="false">MIN(DT$126,MAX(0,DT$123-DT$116))</f>
        <v>0</v>
      </c>
      <c r="DU127" s="34" t="n">
        <f aca="false">MIN(DU$126,MAX(0,DU$123-DU$116))</f>
        <v>0</v>
      </c>
      <c r="DV127" s="34" t="n">
        <f aca="false">MIN(DV$126,MAX(0,DV$123-DV$116))</f>
        <v>0</v>
      </c>
      <c r="DW127" s="34" t="n">
        <f aca="false">MIN(DW$126,MAX(0,DW$123-DW$116))</f>
        <v>0</v>
      </c>
      <c r="DX127" s="34" t="n">
        <f aca="false">MIN(DX$126,MAX(0,DX$123-DX$116))</f>
        <v>0</v>
      </c>
      <c r="DY127" s="34" t="n">
        <f aca="false">MIN(DY$126,MAX(0,DY$123-DY$116))</f>
        <v>0</v>
      </c>
      <c r="DZ127" s="34" t="n">
        <f aca="false">MIN(DZ$126,MAX(0,DZ$123-DZ$116))</f>
        <v>0</v>
      </c>
      <c r="EA127" s="34" t="n">
        <f aca="false">MIN(EA$126,MAX(0,EA$123-EA$116))</f>
        <v>0</v>
      </c>
      <c r="EB127" s="34" t="n">
        <f aca="false">MIN(EB$126,MAX(0,EB$123-EB$116))</f>
        <v>0</v>
      </c>
      <c r="EC127" s="34" t="n">
        <f aca="false">MIN(EC$126,MAX(0,EC$123-EC$116))</f>
        <v>0</v>
      </c>
      <c r="ED127" s="34" t="n">
        <f aca="false">MIN(ED$126,MAX(0,ED$123-ED$116))</f>
        <v>0</v>
      </c>
      <c r="EE127" s="34" t="n">
        <f aca="false">MIN(EE$126,MAX(0,EE$123-EE$116))</f>
        <v>0</v>
      </c>
      <c r="EF127" s="34" t="n">
        <f aca="false">MIN(EF$126,MAX(0,EF$123-EF$116))</f>
        <v>0</v>
      </c>
      <c r="EG127" s="34" t="n">
        <f aca="false">MIN(EG$126,MAX(0,EG$123-EG$116))</f>
        <v>0</v>
      </c>
      <c r="EH127" s="34" t="n">
        <f aca="false">MIN(EH$126,MAX(0,EH$123-EH$116))</f>
        <v>0</v>
      </c>
      <c r="EI127" s="34" t="n">
        <f aca="false">MIN(EI$126,MAX(0,EI$123-EI$116))</f>
        <v>0</v>
      </c>
      <c r="EJ127" s="34" t="n">
        <f aca="false">MIN(EJ$126,MAX(0,EJ$123-EJ$116))</f>
        <v>0</v>
      </c>
      <c r="EK127" s="34" t="n">
        <f aca="false">MIN(EK$126,MAX(0,EK$123-EK$116))</f>
        <v>0</v>
      </c>
      <c r="EL127" s="34" t="n">
        <f aca="false">MIN(EL$126,MAX(0,EL$123-EL$116))</f>
        <v>0</v>
      </c>
      <c r="EM127" s="34" t="n">
        <f aca="false">MIN(EM$126,MAX(0,EM$123-EM$116))</f>
        <v>0</v>
      </c>
      <c r="EN127" s="34" t="n">
        <f aca="false">MIN(EN$126,MAX(0,EN$123-EN$116))</f>
        <v>0</v>
      </c>
      <c r="EO127" s="34" t="n">
        <f aca="false">MIN(EO$126,MAX(0,EO$123-EO$116))</f>
        <v>0</v>
      </c>
      <c r="EP127" s="34" t="n">
        <f aca="false">MIN(EP$126,MAX(0,EP$123-EP$116))</f>
        <v>0</v>
      </c>
      <c r="EQ127" s="34" t="n">
        <f aca="false">MIN(EQ$126,MAX(0,EQ$123-EQ$116))</f>
        <v>0</v>
      </c>
      <c r="ER127" s="34" t="n">
        <f aca="false">MIN(ER$126,MAX(0,ER$123-ER$116))</f>
        <v>0</v>
      </c>
      <c r="ES127" s="34" t="n">
        <f aca="false">MIN(ES$126,MAX(0,ES$123-ES$116))</f>
        <v>0</v>
      </c>
    </row>
    <row r="128" customFormat="false" ht="15" hidden="false" customHeight="false" outlineLevel="0" collapsed="false">
      <c r="A128" s="2" t="s">
        <v>737</v>
      </c>
      <c r="B128" s="52" t="s">
        <v>738</v>
      </c>
      <c r="C128" s="6" t="s">
        <v>250</v>
      </c>
      <c r="E128" s="40" t="n">
        <f aca="false">MIN(F128:ES128)</f>
        <v>-311740.118672618</v>
      </c>
      <c r="F128" s="10" t="n">
        <f aca="false">F$123-F$127</f>
        <v>535727.93036656</v>
      </c>
      <c r="G128" s="10" t="n">
        <f aca="false">G$123-G$127</f>
        <v>555194.83809215</v>
      </c>
      <c r="H128" s="10" t="n">
        <f aca="false">H$123-H$127</f>
        <v>574661.745817739</v>
      </c>
      <c r="I128" s="10" t="n">
        <f aca="false">I$123-I$127</f>
        <v>594128.653543329</v>
      </c>
      <c r="J128" s="10" t="n">
        <f aca="false">J$123-J$127</f>
        <v>613595.561268919</v>
      </c>
      <c r="K128" s="10" t="n">
        <f aca="false">K$123-K$127</f>
        <v>633062.468994509</v>
      </c>
      <c r="L128" s="10" t="n">
        <f aca="false">L$123-L$127</f>
        <v>610406.072625411</v>
      </c>
      <c r="M128" s="10" t="n">
        <f aca="false">M$123-M$127</f>
        <v>587781.268734384</v>
      </c>
      <c r="N128" s="10" t="n">
        <f aca="false">N$123-N$127</f>
        <v>565188.294265013</v>
      </c>
      <c r="O128" s="10" t="n">
        <f aca="false">O$123-O$127</f>
        <v>542627.387937962</v>
      </c>
      <c r="P128" s="10" t="n">
        <f aca="false">P$123-P$127</f>
        <v>520098.790264297</v>
      </c>
      <c r="Q128" s="10" t="n">
        <f aca="false">Q$123-Q$127</f>
        <v>497602.743558918</v>
      </c>
      <c r="R128" s="10" t="n">
        <f aca="false">R$123-R$127</f>
        <v>129920.95007682</v>
      </c>
      <c r="S128" s="10" t="n">
        <f aca="false">S$123-S$127</f>
        <v>145489.642054168</v>
      </c>
      <c r="T128" s="10" t="n">
        <f aca="false">T$123-T$127</f>
        <v>161091.622903299</v>
      </c>
      <c r="U128" s="10" t="n">
        <f aca="false">U$123-U$127</f>
        <v>176727.142290749</v>
      </c>
      <c r="V128" s="10" t="n">
        <f aca="false">V$123-V$127</f>
        <v>192396.451755556</v>
      </c>
      <c r="W128" s="10" t="n">
        <f aca="false">W$123-W$127</f>
        <v>208099.804723301</v>
      </c>
      <c r="X128" s="10" t="n">
        <f aca="false">X$123-X$127</f>
        <v>223837.456520255</v>
      </c>
      <c r="Y128" s="10" t="n">
        <f aca="false">Y$123-Y$127</f>
        <v>239609.664387639</v>
      </c>
      <c r="Z128" s="10" t="n">
        <f aca="false">Z$123-Z$127</f>
        <v>255416.687495978</v>
      </c>
      <c r="AA128" s="10" t="n">
        <f aca="false">AA$123-AA$127</f>
        <v>271258.786959582</v>
      </c>
      <c r="AB128" s="10" t="n">
        <f aca="false">AB$123-AB$127</f>
        <v>287136.225851114</v>
      </c>
      <c r="AC128" s="10" t="n">
        <f aca="false">AC$123-AC$127</f>
        <v>303049.269216285</v>
      </c>
      <c r="AD128" s="10" t="n">
        <f aca="false">AD$123-AD$127</f>
        <v>-311740.118672618</v>
      </c>
      <c r="AE128" s="10" t="n">
        <f aca="false">AE$123-AE$127</f>
        <v>-259166.435385603</v>
      </c>
      <c r="AF128" s="10" t="n">
        <f aca="false">AF$123-AF$127</f>
        <v>-206556.340501018</v>
      </c>
      <c r="AG128" s="10" t="n">
        <f aca="false">AG$123-AG$127</f>
        <v>-153909.560931882</v>
      </c>
      <c r="AH128" s="10" t="n">
        <f aca="false">AH$123-AH$127</f>
        <v>-101225.821543058</v>
      </c>
      <c r="AI128" s="10" t="n">
        <f aca="false">AI$123-AI$127</f>
        <v>-48504.8451359012</v>
      </c>
      <c r="AJ128" s="10" t="n">
        <f aca="false">AJ$123-AJ$127</f>
        <v>4253.64756722731</v>
      </c>
      <c r="AK128" s="10" t="n">
        <f aca="false">AK$123-AK$127</f>
        <v>57049.9379385471</v>
      </c>
      <c r="AL128" s="10" t="n">
        <f aca="false">AL$123-AL$127</f>
        <v>109884.309460569</v>
      </c>
      <c r="AM128" s="10" t="n">
        <f aca="false">AM$123-AM$127</f>
        <v>162757.047741925</v>
      </c>
      <c r="AN128" s="10" t="n">
        <f aca="false">AN$123-AN$127</f>
        <v>215668.440533308</v>
      </c>
      <c r="AO128" s="10" t="n">
        <f aca="false">AO$123-AO$127</f>
        <v>268618.777743544</v>
      </c>
      <c r="AP128" s="10" t="n">
        <f aca="false">AP$123-AP$127</f>
        <v>-204392.169462804</v>
      </c>
      <c r="AQ128" s="10" t="n">
        <f aca="false">AQ$123-AQ$127</f>
        <v>-118554.51596008</v>
      </c>
      <c r="AR128" s="10" t="n">
        <f aca="false">AR$123-AR$127</f>
        <v>-32677.0352007788</v>
      </c>
      <c r="AS128" s="10" t="n">
        <f aca="false">AS$123-AS$127</f>
        <v>53240.5715195248</v>
      </c>
      <c r="AT128" s="10" t="n">
        <f aca="false">AT$123-AT$127</f>
        <v>139198.605145538</v>
      </c>
      <c r="AU128" s="10" t="n">
        <f aca="false">AU$123-AU$127</f>
        <v>225197.368879053</v>
      </c>
      <c r="AV128" s="10" t="n">
        <f aca="false">AV$123-AV$127</f>
        <v>311237.168195877</v>
      </c>
      <c r="AW128" s="10" t="n">
        <f aca="false">AW$123-AW$127</f>
        <v>397318.310862885</v>
      </c>
      <c r="AX128" s="10" t="n">
        <f aca="false">AX$123-AX$127</f>
        <v>483441.106955202</v>
      </c>
      <c r="AY128" s="10" t="n">
        <f aca="false">AY$123-AY$127</f>
        <v>569605.868873519</v>
      </c>
      <c r="AZ128" s="10" t="n">
        <f aca="false">AZ$123-AZ$127</f>
        <v>655812.91136153</v>
      </c>
      <c r="BA128" s="10" t="n">
        <f aca="false">BA$123-BA$127</f>
        <v>742062.551523509</v>
      </c>
      <c r="BB128" s="10" t="n">
        <f aca="false">BB$123-BB$127</f>
        <v>791565.146132666</v>
      </c>
      <c r="BC128" s="10" t="n">
        <f aca="false">BC$123-BC$127</f>
        <v>879220.527482878</v>
      </c>
      <c r="BD128" s="10" t="n">
        <f aca="false">BD$123-BD$127</f>
        <v>966919.47216105</v>
      </c>
      <c r="BE128" s="10" t="n">
        <f aca="false">BE$123-BE$127</f>
        <v>249708.92851122</v>
      </c>
      <c r="BF128" s="10" t="n">
        <f aca="false">BF$123-BF$127</f>
        <v>337495.982470628</v>
      </c>
      <c r="BG128" s="10" t="n">
        <f aca="false">BG$123-BG$127</f>
        <v>425327.587302565</v>
      </c>
      <c r="BH128" s="10" t="n">
        <f aca="false">BH$123-BH$127</f>
        <v>513204.077138576</v>
      </c>
      <c r="BI128" s="10" t="n">
        <f aca="false">BI$123-BI$127</f>
        <v>601125.788616189</v>
      </c>
      <c r="BJ128" s="10" t="n">
        <f aca="false">BJ$123-BJ$127</f>
        <v>689093.060897719</v>
      </c>
      <c r="BK128" s="10" t="n">
        <f aca="false">BK$123-BK$127</f>
        <v>777106.235689193</v>
      </c>
      <c r="BL128" s="10" t="n">
        <f aca="false">BL$123-BL$127</f>
        <v>865165.657259436</v>
      </c>
      <c r="BM128" s="10" t="n">
        <f aca="false">BM$123-BM$127</f>
        <v>953271.672459288</v>
      </c>
      <c r="BN128" s="10" t="n">
        <f aca="false">BN$123-BN$127</f>
        <v>1070847.25778852</v>
      </c>
      <c r="BO128" s="10" t="n">
        <f aca="false">BO$123-BO$127</f>
        <v>1226147.69958634</v>
      </c>
      <c r="BP128" s="10" t="n">
        <f aca="false">BP$123-BP$127</f>
        <v>1381448.14138417</v>
      </c>
      <c r="BQ128" s="10" t="n">
        <f aca="false">BQ$123-BQ$127</f>
        <v>72822.0388137782</v>
      </c>
      <c r="BR128" s="10" t="n">
        <f aca="false">BR$123-BR$127</f>
        <v>228122.480611604</v>
      </c>
      <c r="BS128" s="10" t="n">
        <f aca="false">BS$123-BS$127</f>
        <v>383422.92240943</v>
      </c>
      <c r="BT128" s="10" t="n">
        <f aca="false">BT$123-BT$127</f>
        <v>538723.364207257</v>
      </c>
      <c r="BU128" s="10" t="n">
        <f aca="false">BU$123-BU$127</f>
        <v>694023.806005083</v>
      </c>
      <c r="BV128" s="10" t="n">
        <f aca="false">BV$123-BV$127</f>
        <v>849324.247802909</v>
      </c>
      <c r="BW128" s="10" t="n">
        <f aca="false">BW$123-BW$127</f>
        <v>1004624.68960073</v>
      </c>
      <c r="BX128" s="10" t="n">
        <f aca="false">BX$123-BX$127</f>
        <v>1159925.13139856</v>
      </c>
      <c r="BY128" s="10" t="n">
        <f aca="false">BY$123-BY$127</f>
        <v>1315225.57319639</v>
      </c>
      <c r="BZ128" s="10" t="n">
        <f aca="false">BZ$123-BZ$127</f>
        <v>1436551.70246101</v>
      </c>
      <c r="CA128" s="10" t="n">
        <f aca="false">CA$123-CA$127</f>
        <v>1595967.72495041</v>
      </c>
      <c r="CB128" s="10" t="n">
        <f aca="false">CB$123-CB$127</f>
        <v>1755383.74743981</v>
      </c>
      <c r="CC128" s="10" t="n">
        <f aca="false">CC$123-CC$127</f>
        <v>120611.077355291</v>
      </c>
      <c r="CD128" s="10" t="n">
        <f aca="false">CD$123-CD$127</f>
        <v>280027.099844691</v>
      </c>
      <c r="CE128" s="10" t="n">
        <f aca="false">CE$123-CE$127</f>
        <v>439443.122334091</v>
      </c>
      <c r="CF128" s="10" t="n">
        <f aca="false">CF$123-CF$127</f>
        <v>598859.144823491</v>
      </c>
      <c r="CG128" s="10" t="n">
        <f aca="false">CG$123-CG$127</f>
        <v>758275.167312891</v>
      </c>
      <c r="CH128" s="10" t="n">
        <f aca="false">CH$123-CH$127</f>
        <v>917691.18980229</v>
      </c>
      <c r="CI128" s="10" t="n">
        <f aca="false">CI$123-CI$127</f>
        <v>1077107.21229169</v>
      </c>
      <c r="CJ128" s="10" t="n">
        <f aca="false">CJ$123-CJ$127</f>
        <v>1236523.23478109</v>
      </c>
      <c r="CK128" s="10" t="n">
        <f aca="false">CK$123-CK$127</f>
        <v>1395939.25727049</v>
      </c>
      <c r="CL128" s="10" t="n">
        <f aca="false">CL$123-CL$127</f>
        <v>1521040.85812226</v>
      </c>
      <c r="CM128" s="10" t="n">
        <f aca="false">CM$123-CM$127</f>
        <v>1684600.67666855</v>
      </c>
      <c r="CN128" s="10" t="n">
        <f aca="false">CN$123-CN$127</f>
        <v>1848160.49521483</v>
      </c>
      <c r="CO128" s="10" t="n">
        <f aca="false">CO$123-CO$127</f>
        <v>168144.652888323</v>
      </c>
      <c r="CP128" s="10" t="n">
        <f aca="false">CP$123-CP$127</f>
        <v>331704.47143461</v>
      </c>
      <c r="CQ128" s="10" t="n">
        <f aca="false">CQ$123-CQ$127</f>
        <v>495264.289980898</v>
      </c>
      <c r="CR128" s="10" t="n">
        <f aca="false">CR$123-CR$127</f>
        <v>658824.108527185</v>
      </c>
      <c r="CS128" s="10" t="n">
        <f aca="false">CS$123-CS$127</f>
        <v>822383.927073473</v>
      </c>
      <c r="CT128" s="10" t="n">
        <f aca="false">CT$123-CT$127</f>
        <v>985943.74561976</v>
      </c>
      <c r="CU128" s="10" t="n">
        <f aca="false">CU$123-CU$127</f>
        <v>1149503.56416605</v>
      </c>
      <c r="CV128" s="10" t="n">
        <f aca="false">CV$123-CV$127</f>
        <v>1313063.38271234</v>
      </c>
      <c r="CW128" s="10" t="n">
        <f aca="false">CW$123-CW$127</f>
        <v>1476623.20125862</v>
      </c>
      <c r="CX128" s="10" t="n">
        <f aca="false">CX$123-CX$127</f>
        <v>1605525.07895819</v>
      </c>
      <c r="CY128" s="10" t="n">
        <f aca="false">CY$123-CY$127</f>
        <v>1773256.8086071</v>
      </c>
      <c r="CZ128" s="10" t="n">
        <f aca="false">CZ$123-CZ$127</f>
        <v>1940988.53825601</v>
      </c>
      <c r="DA128" s="10" t="n">
        <f aca="false">DA$123-DA$127</f>
        <v>215419.054349467</v>
      </c>
      <c r="DB128" s="10" t="n">
        <f aca="false">DB$123-DB$127</f>
        <v>383150.783998375</v>
      </c>
      <c r="DC128" s="10" t="n">
        <f aca="false">DC$123-DC$127</f>
        <v>550882.513647283</v>
      </c>
      <c r="DD128" s="10" t="n">
        <f aca="false">DD$123-DD$127</f>
        <v>718614.24329619</v>
      </c>
      <c r="DE128" s="10" t="n">
        <f aca="false">DE$123-DE$127</f>
        <v>886345.972945098</v>
      </c>
      <c r="DF128" s="10" t="n">
        <f aca="false">DF$123-DF$127</f>
        <v>1054077.70259401</v>
      </c>
      <c r="DG128" s="10" t="n">
        <f aca="false">DG$123-DG$127</f>
        <v>1221809.43224291</v>
      </c>
      <c r="DH128" s="10" t="n">
        <f aca="false">DH$123-DH$127</f>
        <v>1389541.16189182</v>
      </c>
      <c r="DI128" s="10" t="n">
        <f aca="false">DI$123-DI$127</f>
        <v>1557272.89154073</v>
      </c>
      <c r="DJ128" s="10" t="n">
        <f aca="false">DJ$123-DJ$127</f>
        <v>1689999.71669704</v>
      </c>
      <c r="DK128" s="10" t="n">
        <f aca="false">DK$123-DK$127</f>
        <v>1861931.35981212</v>
      </c>
      <c r="DL128" s="10" t="n">
        <f aca="false">DL$123-DL$127</f>
        <v>2033863.00292721</v>
      </c>
      <c r="DM128" s="10" t="n">
        <f aca="false">DM$123-DM$127</f>
        <v>262430.499255404</v>
      </c>
      <c r="DN128" s="10" t="n">
        <f aca="false">DN$123-DN$127</f>
        <v>434362.142370491</v>
      </c>
      <c r="DO128" s="10" t="n">
        <f aca="false">DO$123-DO$127</f>
        <v>606293.785485577</v>
      </c>
      <c r="DP128" s="10" t="n">
        <f aca="false">DP$123-DP$127</f>
        <v>778225.428600663</v>
      </c>
      <c r="DQ128" s="10" t="n">
        <f aca="false">DQ$123-DQ$127</f>
        <v>950157.071715749</v>
      </c>
      <c r="DR128" s="10" t="n">
        <f aca="false">DR$123-DR$127</f>
        <v>1122088.71483084</v>
      </c>
      <c r="DS128" s="10" t="n">
        <f aca="false">DS$123-DS$127</f>
        <v>1294020.35794592</v>
      </c>
      <c r="DT128" s="10" t="n">
        <f aca="false">DT$123-DT$127</f>
        <v>1465952.00106101</v>
      </c>
      <c r="DU128" s="10" t="n">
        <f aca="false">DU$123-DU$127</f>
        <v>1637883.64417609</v>
      </c>
      <c r="DV128" s="10" t="n">
        <f aca="false">DV$123-DV$127</f>
        <v>1637883.64417609</v>
      </c>
      <c r="DW128" s="10" t="n">
        <f aca="false">DW$123-DW$127</f>
        <v>1637883.64417609</v>
      </c>
      <c r="DX128" s="10" t="n">
        <f aca="false">DX$123-DX$127</f>
        <v>1637883.64417609</v>
      </c>
      <c r="DY128" s="10" t="n">
        <f aca="false">DY$123-DY$127</f>
        <v>1637883.64417609</v>
      </c>
      <c r="DZ128" s="10" t="n">
        <f aca="false">DZ$123-DZ$127</f>
        <v>1637883.64417609</v>
      </c>
      <c r="EA128" s="10" t="n">
        <f aca="false">EA$123-EA$127</f>
        <v>1637883.64417609</v>
      </c>
      <c r="EB128" s="10" t="n">
        <f aca="false">EB$123-EB$127</f>
        <v>1637883.64417609</v>
      </c>
      <c r="EC128" s="10" t="n">
        <f aca="false">EC$123-EC$127</f>
        <v>1637883.64417609</v>
      </c>
      <c r="ED128" s="10" t="n">
        <f aca="false">ED$123-ED$127</f>
        <v>1637883.64417609</v>
      </c>
      <c r="EE128" s="10" t="n">
        <f aca="false">EE$123-EE$127</f>
        <v>1637883.64417609</v>
      </c>
      <c r="EF128" s="10" t="n">
        <f aca="false">EF$123-EF$127</f>
        <v>1637883.64417609</v>
      </c>
      <c r="EG128" s="10" t="n">
        <f aca="false">EG$123-EG$127</f>
        <v>1637883.64417609</v>
      </c>
      <c r="EH128" s="10" t="n">
        <f aca="false">EH$123-EH$127</f>
        <v>1637883.64417609</v>
      </c>
      <c r="EI128" s="10" t="n">
        <f aca="false">EI$123-EI$127</f>
        <v>1637883.64417609</v>
      </c>
      <c r="EJ128" s="10" t="n">
        <f aca="false">EJ$123-EJ$127</f>
        <v>1637883.64417609</v>
      </c>
      <c r="EK128" s="10" t="n">
        <f aca="false">EK$123-EK$127</f>
        <v>1637883.64417609</v>
      </c>
      <c r="EL128" s="10" t="n">
        <f aca="false">EL$123-EL$127</f>
        <v>1637883.64417609</v>
      </c>
      <c r="EM128" s="10" t="n">
        <f aca="false">EM$123-EM$127</f>
        <v>1637883.64417609</v>
      </c>
      <c r="EN128" s="10" t="n">
        <f aca="false">EN$123-EN$127</f>
        <v>1637883.64417609</v>
      </c>
      <c r="EO128" s="10" t="n">
        <f aca="false">EO$123-EO$127</f>
        <v>1637883.64417609</v>
      </c>
      <c r="EP128" s="10" t="n">
        <f aca="false">EP$123-EP$127</f>
        <v>1637883.64417609</v>
      </c>
      <c r="EQ128" s="10" t="n">
        <f aca="false">EQ$123-EQ$127</f>
        <v>1637883.64417609</v>
      </c>
      <c r="ER128" s="10" t="n">
        <f aca="false">ER$123-ER$127</f>
        <v>1637883.64417609</v>
      </c>
      <c r="ES128" s="10" t="n">
        <f aca="false">ES$123-ES$127</f>
        <v>1637883.64417609</v>
      </c>
    </row>
    <row r="129" customFormat="false" ht="15" hidden="false" customHeight="false" outlineLevel="0" collapsed="false">
      <c r="A129" s="2" t="s">
        <v>739</v>
      </c>
      <c r="B129" s="6" t="s">
        <v>740</v>
      </c>
      <c r="C129" s="6" t="s">
        <v>250</v>
      </c>
      <c r="E129" s="40" t="n">
        <f aca="false">SUM(F129:ES129)</f>
        <v>0</v>
      </c>
      <c r="F129" s="34" t="n">
        <f aca="false">F$128-(F$123-F$127)</f>
        <v>0</v>
      </c>
      <c r="G129" s="34" t="n">
        <f aca="false">G$128-(G$123-G$127)</f>
        <v>0</v>
      </c>
      <c r="H129" s="34" t="n">
        <f aca="false">H$128-(H$123-H$127)</f>
        <v>0</v>
      </c>
      <c r="I129" s="34" t="n">
        <f aca="false">I$128-(I$123-I$127)</f>
        <v>0</v>
      </c>
      <c r="J129" s="34" t="n">
        <f aca="false">J$128-(J$123-J$127)</f>
        <v>0</v>
      </c>
      <c r="K129" s="34" t="n">
        <f aca="false">K$128-(K$123-K$127)</f>
        <v>0</v>
      </c>
      <c r="L129" s="34" t="n">
        <f aca="false">L$128-(L$123-L$127)</f>
        <v>0</v>
      </c>
      <c r="M129" s="34" t="n">
        <f aca="false">M$128-(M$123-M$127)</f>
        <v>0</v>
      </c>
      <c r="N129" s="34" t="n">
        <f aca="false">N$128-(N$123-N$127)</f>
        <v>0</v>
      </c>
      <c r="O129" s="34" t="n">
        <f aca="false">O$128-(O$123-O$127)</f>
        <v>0</v>
      </c>
      <c r="P129" s="34" t="n">
        <f aca="false">P$128-(P$123-P$127)</f>
        <v>0</v>
      </c>
      <c r="Q129" s="34" t="n">
        <f aca="false">Q$128-(Q$123-Q$127)</f>
        <v>0</v>
      </c>
      <c r="R129" s="34" t="n">
        <f aca="false">R$128-(R$123-R$127)</f>
        <v>0</v>
      </c>
      <c r="S129" s="34" t="n">
        <f aca="false">S$128-(S$123-S$127)</f>
        <v>0</v>
      </c>
      <c r="T129" s="34" t="n">
        <f aca="false">T$128-(T$123-T$127)</f>
        <v>0</v>
      </c>
      <c r="U129" s="34" t="n">
        <f aca="false">U$128-(U$123-U$127)</f>
        <v>0</v>
      </c>
      <c r="V129" s="34" t="n">
        <f aca="false">V$128-(V$123-V$127)</f>
        <v>0</v>
      </c>
      <c r="W129" s="34" t="n">
        <f aca="false">W$128-(W$123-W$127)</f>
        <v>0</v>
      </c>
      <c r="X129" s="34" t="n">
        <f aca="false">X$128-(X$123-X$127)</f>
        <v>0</v>
      </c>
      <c r="Y129" s="34" t="n">
        <f aca="false">Y$128-(Y$123-Y$127)</f>
        <v>0</v>
      </c>
      <c r="Z129" s="34" t="n">
        <f aca="false">Z$128-(Z$123-Z$127)</f>
        <v>0</v>
      </c>
      <c r="AA129" s="34" t="n">
        <f aca="false">AA$128-(AA$123-AA$127)</f>
        <v>0</v>
      </c>
      <c r="AB129" s="34" t="n">
        <f aca="false">AB$128-(AB$123-AB$127)</f>
        <v>0</v>
      </c>
      <c r="AC129" s="34" t="n">
        <f aca="false">AC$128-(AC$123-AC$127)</f>
        <v>0</v>
      </c>
      <c r="AD129" s="34" t="n">
        <f aca="false">AD$128-(AD$123-AD$127)</f>
        <v>0</v>
      </c>
      <c r="AE129" s="34" t="n">
        <f aca="false">AE$128-(AE$123-AE$127)</f>
        <v>0</v>
      </c>
      <c r="AF129" s="34" t="n">
        <f aca="false">AF$128-(AF$123-AF$127)</f>
        <v>0</v>
      </c>
      <c r="AG129" s="34" t="n">
        <f aca="false">AG$128-(AG$123-AG$127)</f>
        <v>0</v>
      </c>
      <c r="AH129" s="34" t="n">
        <f aca="false">AH$128-(AH$123-AH$127)</f>
        <v>0</v>
      </c>
      <c r="AI129" s="34" t="n">
        <f aca="false">AI$128-(AI$123-AI$127)</f>
        <v>0</v>
      </c>
      <c r="AJ129" s="34" t="n">
        <f aca="false">AJ$128-(AJ$123-AJ$127)</f>
        <v>0</v>
      </c>
      <c r="AK129" s="34" t="n">
        <f aca="false">AK$128-(AK$123-AK$127)</f>
        <v>0</v>
      </c>
      <c r="AL129" s="34" t="n">
        <f aca="false">AL$128-(AL$123-AL$127)</f>
        <v>0</v>
      </c>
      <c r="AM129" s="34" t="n">
        <f aca="false">AM$128-(AM$123-AM$127)</f>
        <v>0</v>
      </c>
      <c r="AN129" s="34" t="n">
        <f aca="false">AN$128-(AN$123-AN$127)</f>
        <v>0</v>
      </c>
      <c r="AO129" s="34" t="n">
        <f aca="false">AO$128-(AO$123-AO$127)</f>
        <v>0</v>
      </c>
      <c r="AP129" s="34" t="n">
        <f aca="false">AP$128-(AP$123-AP$127)</f>
        <v>0</v>
      </c>
      <c r="AQ129" s="34" t="n">
        <f aca="false">AQ$128-(AQ$123-AQ$127)</f>
        <v>0</v>
      </c>
      <c r="AR129" s="34" t="n">
        <f aca="false">AR$128-(AR$123-AR$127)</f>
        <v>0</v>
      </c>
      <c r="AS129" s="34" t="n">
        <f aca="false">AS$128-(AS$123-AS$127)</f>
        <v>0</v>
      </c>
      <c r="AT129" s="34" t="n">
        <f aca="false">AT$128-(AT$123-AT$127)</f>
        <v>0</v>
      </c>
      <c r="AU129" s="34" t="n">
        <f aca="false">AU$128-(AU$123-AU$127)</f>
        <v>0</v>
      </c>
      <c r="AV129" s="34" t="n">
        <f aca="false">AV$128-(AV$123-AV$127)</f>
        <v>0</v>
      </c>
      <c r="AW129" s="34" t="n">
        <f aca="false">AW$128-(AW$123-AW$127)</f>
        <v>0</v>
      </c>
      <c r="AX129" s="34" t="n">
        <f aca="false">AX$128-(AX$123-AX$127)</f>
        <v>0</v>
      </c>
      <c r="AY129" s="34" t="n">
        <f aca="false">AY$128-(AY$123-AY$127)</f>
        <v>0</v>
      </c>
      <c r="AZ129" s="34" t="n">
        <f aca="false">AZ$128-(AZ$123-AZ$127)</f>
        <v>0</v>
      </c>
      <c r="BA129" s="34" t="n">
        <f aca="false">BA$128-(BA$123-BA$127)</f>
        <v>0</v>
      </c>
      <c r="BB129" s="34" t="n">
        <f aca="false">BB$128-(BB$123-BB$127)</f>
        <v>0</v>
      </c>
      <c r="BC129" s="34" t="n">
        <f aca="false">BC$128-(BC$123-BC$127)</f>
        <v>0</v>
      </c>
      <c r="BD129" s="34" t="n">
        <f aca="false">BD$128-(BD$123-BD$127)</f>
        <v>0</v>
      </c>
      <c r="BE129" s="34" t="n">
        <f aca="false">BE$128-(BE$123-BE$127)</f>
        <v>0</v>
      </c>
      <c r="BF129" s="34" t="n">
        <f aca="false">BF$128-(BF$123-BF$127)</f>
        <v>0</v>
      </c>
      <c r="BG129" s="34" t="n">
        <f aca="false">BG$128-(BG$123-BG$127)</f>
        <v>0</v>
      </c>
      <c r="BH129" s="34" t="n">
        <f aca="false">BH$128-(BH$123-BH$127)</f>
        <v>0</v>
      </c>
      <c r="BI129" s="34" t="n">
        <f aca="false">BI$128-(BI$123-BI$127)</f>
        <v>0</v>
      </c>
      <c r="BJ129" s="34" t="n">
        <f aca="false">BJ$128-(BJ$123-BJ$127)</f>
        <v>0</v>
      </c>
      <c r="BK129" s="34" t="n">
        <f aca="false">BK$128-(BK$123-BK$127)</f>
        <v>0</v>
      </c>
      <c r="BL129" s="34" t="n">
        <f aca="false">BL$128-(BL$123-BL$127)</f>
        <v>0</v>
      </c>
      <c r="BM129" s="34" t="n">
        <f aca="false">BM$128-(BM$123-BM$127)</f>
        <v>0</v>
      </c>
      <c r="BN129" s="34" t="n">
        <f aca="false">BN$128-(BN$123-BN$127)</f>
        <v>0</v>
      </c>
      <c r="BO129" s="34" t="n">
        <f aca="false">BO$128-(BO$123-BO$127)</f>
        <v>0</v>
      </c>
      <c r="BP129" s="34" t="n">
        <f aca="false">BP$128-(BP$123-BP$127)</f>
        <v>0</v>
      </c>
      <c r="BQ129" s="34" t="n">
        <f aca="false">BQ$128-(BQ$123-BQ$127)</f>
        <v>0</v>
      </c>
      <c r="BR129" s="34" t="n">
        <f aca="false">BR$128-(BR$123-BR$127)</f>
        <v>0</v>
      </c>
      <c r="BS129" s="34" t="n">
        <f aca="false">BS$128-(BS$123-BS$127)</f>
        <v>0</v>
      </c>
      <c r="BT129" s="34" t="n">
        <f aca="false">BT$128-(BT$123-BT$127)</f>
        <v>0</v>
      </c>
      <c r="BU129" s="34" t="n">
        <f aca="false">BU$128-(BU$123-BU$127)</f>
        <v>0</v>
      </c>
      <c r="BV129" s="34" t="n">
        <f aca="false">BV$128-(BV$123-BV$127)</f>
        <v>0</v>
      </c>
      <c r="BW129" s="34" t="n">
        <f aca="false">BW$128-(BW$123-BW$127)</f>
        <v>0</v>
      </c>
      <c r="BX129" s="34" t="n">
        <f aca="false">BX$128-(BX$123-BX$127)</f>
        <v>0</v>
      </c>
      <c r="BY129" s="34" t="n">
        <f aca="false">BY$128-(BY$123-BY$127)</f>
        <v>0</v>
      </c>
      <c r="BZ129" s="34" t="n">
        <f aca="false">BZ$128-(BZ$123-BZ$127)</f>
        <v>0</v>
      </c>
      <c r="CA129" s="34" t="n">
        <f aca="false">CA$128-(CA$123-CA$127)</f>
        <v>0</v>
      </c>
      <c r="CB129" s="34" t="n">
        <f aca="false">CB$128-(CB$123-CB$127)</f>
        <v>0</v>
      </c>
      <c r="CC129" s="34" t="n">
        <f aca="false">CC$128-(CC$123-CC$127)</f>
        <v>0</v>
      </c>
      <c r="CD129" s="34" t="n">
        <f aca="false">CD$128-(CD$123-CD$127)</f>
        <v>0</v>
      </c>
      <c r="CE129" s="34" t="n">
        <f aca="false">CE$128-(CE$123-CE$127)</f>
        <v>0</v>
      </c>
      <c r="CF129" s="34" t="n">
        <f aca="false">CF$128-(CF$123-CF$127)</f>
        <v>0</v>
      </c>
      <c r="CG129" s="34" t="n">
        <f aca="false">CG$128-(CG$123-CG$127)</f>
        <v>0</v>
      </c>
      <c r="CH129" s="34" t="n">
        <f aca="false">CH$128-(CH$123-CH$127)</f>
        <v>0</v>
      </c>
      <c r="CI129" s="34" t="n">
        <f aca="false">CI$128-(CI$123-CI$127)</f>
        <v>0</v>
      </c>
      <c r="CJ129" s="34" t="n">
        <f aca="false">CJ$128-(CJ$123-CJ$127)</f>
        <v>0</v>
      </c>
      <c r="CK129" s="34" t="n">
        <f aca="false">CK$128-(CK$123-CK$127)</f>
        <v>0</v>
      </c>
      <c r="CL129" s="34" t="n">
        <f aca="false">CL$128-(CL$123-CL$127)</f>
        <v>0</v>
      </c>
      <c r="CM129" s="34" t="n">
        <f aca="false">CM$128-(CM$123-CM$127)</f>
        <v>0</v>
      </c>
      <c r="CN129" s="34" t="n">
        <f aca="false">CN$128-(CN$123-CN$127)</f>
        <v>0</v>
      </c>
      <c r="CO129" s="34" t="n">
        <f aca="false">CO$128-(CO$123-CO$127)</f>
        <v>0</v>
      </c>
      <c r="CP129" s="34" t="n">
        <f aca="false">CP$128-(CP$123-CP$127)</f>
        <v>0</v>
      </c>
      <c r="CQ129" s="34" t="n">
        <f aca="false">CQ$128-(CQ$123-CQ$127)</f>
        <v>0</v>
      </c>
      <c r="CR129" s="34" t="n">
        <f aca="false">CR$128-(CR$123-CR$127)</f>
        <v>0</v>
      </c>
      <c r="CS129" s="34" t="n">
        <f aca="false">CS$128-(CS$123-CS$127)</f>
        <v>0</v>
      </c>
      <c r="CT129" s="34" t="n">
        <f aca="false">CT$128-(CT$123-CT$127)</f>
        <v>0</v>
      </c>
      <c r="CU129" s="34" t="n">
        <f aca="false">CU$128-(CU$123-CU$127)</f>
        <v>0</v>
      </c>
      <c r="CV129" s="34" t="n">
        <f aca="false">CV$128-(CV$123-CV$127)</f>
        <v>0</v>
      </c>
      <c r="CW129" s="34" t="n">
        <f aca="false">CW$128-(CW$123-CW$127)</f>
        <v>0</v>
      </c>
      <c r="CX129" s="34" t="n">
        <f aca="false">CX$128-(CX$123-CX$127)</f>
        <v>0</v>
      </c>
      <c r="CY129" s="34" t="n">
        <f aca="false">CY$128-(CY$123-CY$127)</f>
        <v>0</v>
      </c>
      <c r="CZ129" s="34" t="n">
        <f aca="false">CZ$128-(CZ$123-CZ$127)</f>
        <v>0</v>
      </c>
      <c r="DA129" s="34" t="n">
        <f aca="false">DA$128-(DA$123-DA$127)</f>
        <v>0</v>
      </c>
      <c r="DB129" s="34" t="n">
        <f aca="false">DB$128-(DB$123-DB$127)</f>
        <v>0</v>
      </c>
      <c r="DC129" s="34" t="n">
        <f aca="false">DC$128-(DC$123-DC$127)</f>
        <v>0</v>
      </c>
      <c r="DD129" s="34" t="n">
        <f aca="false">DD$128-(DD$123-DD$127)</f>
        <v>0</v>
      </c>
      <c r="DE129" s="34" t="n">
        <f aca="false">DE$128-(DE$123-DE$127)</f>
        <v>0</v>
      </c>
      <c r="DF129" s="34" t="n">
        <f aca="false">DF$128-(DF$123-DF$127)</f>
        <v>0</v>
      </c>
      <c r="DG129" s="34" t="n">
        <f aca="false">DG$128-(DG$123-DG$127)</f>
        <v>0</v>
      </c>
      <c r="DH129" s="34" t="n">
        <f aca="false">DH$128-(DH$123-DH$127)</f>
        <v>0</v>
      </c>
      <c r="DI129" s="34" t="n">
        <f aca="false">DI$128-(DI$123-DI$127)</f>
        <v>0</v>
      </c>
      <c r="DJ129" s="34" t="n">
        <f aca="false">DJ$128-(DJ$123-DJ$127)</f>
        <v>0</v>
      </c>
      <c r="DK129" s="34" t="n">
        <f aca="false">DK$128-(DK$123-DK$127)</f>
        <v>0</v>
      </c>
      <c r="DL129" s="34" t="n">
        <f aca="false">DL$128-(DL$123-DL$127)</f>
        <v>0</v>
      </c>
      <c r="DM129" s="34" t="n">
        <f aca="false">DM$128-(DM$123-DM$127)</f>
        <v>0</v>
      </c>
      <c r="DN129" s="34" t="n">
        <f aca="false">DN$128-(DN$123-DN$127)</f>
        <v>0</v>
      </c>
      <c r="DO129" s="34" t="n">
        <f aca="false">DO$128-(DO$123-DO$127)</f>
        <v>0</v>
      </c>
      <c r="DP129" s="34" t="n">
        <f aca="false">DP$128-(DP$123-DP$127)</f>
        <v>0</v>
      </c>
      <c r="DQ129" s="34" t="n">
        <f aca="false">DQ$128-(DQ$123-DQ$127)</f>
        <v>0</v>
      </c>
      <c r="DR129" s="34" t="n">
        <f aca="false">DR$128-(DR$123-DR$127)</f>
        <v>0</v>
      </c>
      <c r="DS129" s="34" t="n">
        <f aca="false">DS$128-(DS$123-DS$127)</f>
        <v>0</v>
      </c>
      <c r="DT129" s="34" t="n">
        <f aca="false">DT$128-(DT$123-DT$127)</f>
        <v>0</v>
      </c>
      <c r="DU129" s="34" t="n">
        <f aca="false">DU$128-(DU$123-DU$127)</f>
        <v>0</v>
      </c>
      <c r="DV129" s="34" t="n">
        <f aca="false">DV$128-(DV$123-DV$127)</f>
        <v>0</v>
      </c>
      <c r="DW129" s="34" t="n">
        <f aca="false">DW$128-(DW$123-DW$127)</f>
        <v>0</v>
      </c>
      <c r="DX129" s="34" t="n">
        <f aca="false">DX$128-(DX$123-DX$127)</f>
        <v>0</v>
      </c>
      <c r="DY129" s="34" t="n">
        <f aca="false">DY$128-(DY$123-DY$127)</f>
        <v>0</v>
      </c>
      <c r="DZ129" s="34" t="n">
        <f aca="false">DZ$128-(DZ$123-DZ$127)</f>
        <v>0</v>
      </c>
      <c r="EA129" s="34" t="n">
        <f aca="false">EA$128-(EA$123-EA$127)</f>
        <v>0</v>
      </c>
      <c r="EB129" s="34" t="n">
        <f aca="false">EB$128-(EB$123-EB$127)</f>
        <v>0</v>
      </c>
      <c r="EC129" s="34" t="n">
        <f aca="false">EC$128-(EC$123-EC$127)</f>
        <v>0</v>
      </c>
      <c r="ED129" s="34" t="n">
        <f aca="false">ED$128-(ED$123-ED$127)</f>
        <v>0</v>
      </c>
      <c r="EE129" s="34" t="n">
        <f aca="false">EE$128-(EE$123-EE$127)</f>
        <v>0</v>
      </c>
      <c r="EF129" s="34" t="n">
        <f aca="false">EF$128-(EF$123-EF$127)</f>
        <v>0</v>
      </c>
      <c r="EG129" s="34" t="n">
        <f aca="false">EG$128-(EG$123-EG$127)</f>
        <v>0</v>
      </c>
      <c r="EH129" s="34" t="n">
        <f aca="false">EH$128-(EH$123-EH$127)</f>
        <v>0</v>
      </c>
      <c r="EI129" s="34" t="n">
        <f aca="false">EI$128-(EI$123-EI$127)</f>
        <v>0</v>
      </c>
      <c r="EJ129" s="34" t="n">
        <f aca="false">EJ$128-(EJ$123-EJ$127)</f>
        <v>0</v>
      </c>
      <c r="EK129" s="34" t="n">
        <f aca="false">EK$128-(EK$123-EK$127)</f>
        <v>0</v>
      </c>
      <c r="EL129" s="34" t="n">
        <f aca="false">EL$128-(EL$123-EL$127)</f>
        <v>0</v>
      </c>
      <c r="EM129" s="34" t="n">
        <f aca="false">EM$128-(EM$123-EM$127)</f>
        <v>0</v>
      </c>
      <c r="EN129" s="34" t="n">
        <f aca="false">EN$128-(EN$123-EN$127)</f>
        <v>0</v>
      </c>
      <c r="EO129" s="34" t="n">
        <f aca="false">EO$128-(EO$123-EO$127)</f>
        <v>0</v>
      </c>
      <c r="EP129" s="34" t="n">
        <f aca="false">EP$128-(EP$123-EP$127)</f>
        <v>0</v>
      </c>
      <c r="EQ129" s="34" t="n">
        <f aca="false">EQ$128-(EQ$123-EQ$127)</f>
        <v>0</v>
      </c>
      <c r="ER129" s="34" t="n">
        <f aca="false">ER$128-(ER$123-ER$127)</f>
        <v>0</v>
      </c>
      <c r="ES129" s="34" t="n">
        <f aca="false">ES$128-(ES$123-ES$127)</f>
        <v>0</v>
      </c>
    </row>
    <row r="130" customFormat="false" ht="15" hidden="false" customHeight="false" outlineLevel="0" collapsed="false">
      <c r="A130" s="2" t="s">
        <v>741</v>
      </c>
      <c r="B130" s="52" t="s">
        <v>742</v>
      </c>
      <c r="C130" s="6" t="s">
        <v>250</v>
      </c>
      <c r="E130" s="40" t="n">
        <f aca="false">MAX(F130:ES130)</f>
        <v>373700.713193166</v>
      </c>
      <c r="F130" s="10" t="n">
        <f aca="false">MAX(0,F$116-F$128)*F$9</f>
        <v>0</v>
      </c>
      <c r="G130" s="10" t="n">
        <f aca="false">MAX(0,G$116-G$128)*G$9</f>
        <v>0</v>
      </c>
      <c r="H130" s="10" t="n">
        <f aca="false">MAX(0,H$116-H$128)*H$9</f>
        <v>0</v>
      </c>
      <c r="I130" s="10" t="n">
        <f aca="false">MAX(0,I$116-I$128)*I$9</f>
        <v>0</v>
      </c>
      <c r="J130" s="10" t="n">
        <f aca="false">MAX(0,J$116-J$128)*J$9</f>
        <v>0</v>
      </c>
      <c r="K130" s="10" t="n">
        <f aca="false">MAX(0,K$116-K$128)*K$9</f>
        <v>0</v>
      </c>
      <c r="L130" s="10" t="n">
        <f aca="false">MAX(0,L$116-L$128)*L$9</f>
        <v>0</v>
      </c>
      <c r="M130" s="10" t="n">
        <f aca="false">MAX(0,M$116-M$128)*M$9</f>
        <v>0</v>
      </c>
      <c r="N130" s="10" t="n">
        <f aca="false">MAX(0,N$116-N$128)*N$9</f>
        <v>0</v>
      </c>
      <c r="O130" s="10" t="n">
        <f aca="false">MAX(0,O$116-O$128)*O$9</f>
        <v>0</v>
      </c>
      <c r="P130" s="10" t="n">
        <f aca="false">MAX(0,P$116-P$128)*P$9</f>
        <v>0</v>
      </c>
      <c r="Q130" s="10" t="n">
        <f aca="false">MAX(0,Q$116-Q$128)*Q$9</f>
        <v>0</v>
      </c>
      <c r="R130" s="10" t="n">
        <f aca="false">MAX(0,R$116-R$128)*R$9</f>
        <v>0</v>
      </c>
      <c r="S130" s="10" t="n">
        <f aca="false">MAX(0,S$116-S$128)*S$9</f>
        <v>0</v>
      </c>
      <c r="T130" s="10" t="n">
        <f aca="false">MAX(0,T$116-T$128)*T$9</f>
        <v>0</v>
      </c>
      <c r="U130" s="10" t="n">
        <f aca="false">MAX(0,U$116-U$128)*U$9</f>
        <v>0</v>
      </c>
      <c r="V130" s="10" t="n">
        <f aca="false">MAX(0,V$116-V$128)*V$9</f>
        <v>0</v>
      </c>
      <c r="W130" s="10" t="n">
        <f aca="false">MAX(0,W$116-W$128)*W$9</f>
        <v>0</v>
      </c>
      <c r="X130" s="10" t="n">
        <f aca="false">MAX(0,X$116-X$128)*X$9</f>
        <v>0</v>
      </c>
      <c r="Y130" s="10" t="n">
        <f aca="false">MAX(0,Y$116-Y$128)*Y$9</f>
        <v>0</v>
      </c>
      <c r="Z130" s="10" t="n">
        <f aca="false">MAX(0,Z$116-Z$128)*Z$9</f>
        <v>0</v>
      </c>
      <c r="AA130" s="10" t="n">
        <f aca="false">MAX(0,AA$116-AA$128)*AA$9</f>
        <v>0</v>
      </c>
      <c r="AB130" s="10" t="n">
        <f aca="false">MAX(0,AB$116-AB$128)*AB$9</f>
        <v>0</v>
      </c>
      <c r="AC130" s="10" t="n">
        <f aca="false">MAX(0,AC$116-AC$128)*AC$9</f>
        <v>0</v>
      </c>
      <c r="AD130" s="10" t="n">
        <f aca="false">MAX(0,AD$116-AD$128)*AD$9</f>
        <v>373700.713193166</v>
      </c>
      <c r="AE130" s="10" t="n">
        <f aca="false">MAX(0,AE$116-AE$128)*AE$9</f>
        <v>321127.029906151</v>
      </c>
      <c r="AF130" s="10" t="n">
        <f aca="false">MAX(0,AF$116-AF$128)*AF$9</f>
        <v>268516.935021566</v>
      </c>
      <c r="AG130" s="10" t="n">
        <f aca="false">MAX(0,AG$116-AG$128)*AG$9</f>
        <v>215870.15545243</v>
      </c>
      <c r="AH130" s="10" t="n">
        <f aca="false">MAX(0,AH$116-AH$128)*AH$9</f>
        <v>163186.416063606</v>
      </c>
      <c r="AI130" s="10" t="n">
        <f aca="false">MAX(0,AI$116-AI$128)*AI$9</f>
        <v>110465.439656449</v>
      </c>
      <c r="AJ130" s="10" t="n">
        <f aca="false">MAX(0,AJ$116-AJ$128)*AJ$9</f>
        <v>57706.9469533206</v>
      </c>
      <c r="AK130" s="10" t="n">
        <f aca="false">MAX(0,AK$116-AK$128)*AK$9</f>
        <v>4910.65658200088</v>
      </c>
      <c r="AL130" s="10" t="n">
        <f aca="false">MAX(0,AL$116-AL$128)*AL$9</f>
        <v>0</v>
      </c>
      <c r="AM130" s="10" t="n">
        <f aca="false">MAX(0,AM$116-AM$128)*AM$9</f>
        <v>0</v>
      </c>
      <c r="AN130" s="10" t="n">
        <f aca="false">MAX(0,AN$116-AN$128)*AN$9</f>
        <v>0</v>
      </c>
      <c r="AO130" s="10" t="n">
        <f aca="false">MAX(0,AO$116-AO$128)*AO$9</f>
        <v>0</v>
      </c>
      <c r="AP130" s="10" t="n">
        <f aca="false">MAX(0,AP$116-AP$128)*AP$9</f>
        <v>275779.326421708</v>
      </c>
      <c r="AQ130" s="10" t="n">
        <f aca="false">MAX(0,AQ$116-AQ$128)*AQ$9</f>
        <v>189941.672918985</v>
      </c>
      <c r="AR130" s="10" t="n">
        <f aca="false">MAX(0,AR$116-AR$128)*AR$9</f>
        <v>104064.192159683</v>
      </c>
      <c r="AS130" s="10" t="n">
        <f aca="false">MAX(0,AS$116-AS$128)*AS$9</f>
        <v>18146.5854393793</v>
      </c>
      <c r="AT130" s="10" t="n">
        <f aca="false">MAX(0,AT$116-AT$128)*AT$9</f>
        <v>0</v>
      </c>
      <c r="AU130" s="10" t="n">
        <f aca="false">MAX(0,AU$116-AU$128)*AU$9</f>
        <v>0</v>
      </c>
      <c r="AV130" s="10" t="n">
        <f aca="false">MAX(0,AV$116-AV$128)*AV$9</f>
        <v>0</v>
      </c>
      <c r="AW130" s="10" t="n">
        <f aca="false">MAX(0,AW$116-AW$128)*AW$9</f>
        <v>0</v>
      </c>
      <c r="AX130" s="10" t="n">
        <f aca="false">MAX(0,AX$116-AX$128)*AX$9</f>
        <v>0</v>
      </c>
      <c r="AY130" s="10" t="n">
        <f aca="false">MAX(0,AY$116-AY$128)*AY$9</f>
        <v>0</v>
      </c>
      <c r="AZ130" s="10" t="n">
        <f aca="false">MAX(0,AZ$116-AZ$128)*AZ$9</f>
        <v>0</v>
      </c>
      <c r="BA130" s="10" t="n">
        <f aca="false">MAX(0,BA$116-BA$128)*BA$9</f>
        <v>0</v>
      </c>
      <c r="BB130" s="10" t="n">
        <f aca="false">MAX(0,BB$116-BB$128)*BB$9</f>
        <v>0</v>
      </c>
      <c r="BC130" s="10" t="n">
        <f aca="false">MAX(0,BC$116-BC$128)*BC$9</f>
        <v>0</v>
      </c>
      <c r="BD130" s="10" t="n">
        <f aca="false">MAX(0,BD$116-BD$128)*BD$9</f>
        <v>0</v>
      </c>
      <c r="BE130" s="10" t="n">
        <f aca="false">MAX(0,BE$116-BE$128)*BE$9</f>
        <v>0</v>
      </c>
      <c r="BF130" s="10" t="n">
        <f aca="false">MAX(0,BF$116-BF$128)*BF$9</f>
        <v>0</v>
      </c>
      <c r="BG130" s="10" t="n">
        <f aca="false">MAX(0,BG$116-BG$128)*BG$9</f>
        <v>0</v>
      </c>
      <c r="BH130" s="10" t="n">
        <f aca="false">MAX(0,BH$116-BH$128)*BH$9</f>
        <v>0</v>
      </c>
      <c r="BI130" s="10" t="n">
        <f aca="false">MAX(0,BI$116-BI$128)*BI$9</f>
        <v>0</v>
      </c>
      <c r="BJ130" s="10" t="n">
        <f aca="false">MAX(0,BJ$116-BJ$128)*BJ$9</f>
        <v>0</v>
      </c>
      <c r="BK130" s="10" t="n">
        <f aca="false">MAX(0,BK$116-BK$128)*BK$9</f>
        <v>0</v>
      </c>
      <c r="BL130" s="10" t="n">
        <f aca="false">MAX(0,BL$116-BL$128)*BL$9</f>
        <v>0</v>
      </c>
      <c r="BM130" s="10" t="n">
        <f aca="false">MAX(0,BM$116-BM$128)*BM$9</f>
        <v>0</v>
      </c>
      <c r="BN130" s="10" t="n">
        <f aca="false">MAX(0,BN$116-BN$128)*BN$9</f>
        <v>0</v>
      </c>
      <c r="BO130" s="10" t="n">
        <f aca="false">MAX(0,BO$116-BO$128)*BO$9</f>
        <v>0</v>
      </c>
      <c r="BP130" s="10" t="n">
        <f aca="false">MAX(0,BP$116-BP$128)*BP$9</f>
        <v>0</v>
      </c>
      <c r="BQ130" s="10" t="n">
        <f aca="false">MAX(0,BQ$116-BQ$128)*BQ$9</f>
        <v>0</v>
      </c>
      <c r="BR130" s="10" t="n">
        <f aca="false">MAX(0,BR$116-BR$128)*BR$9</f>
        <v>0</v>
      </c>
      <c r="BS130" s="10" t="n">
        <f aca="false">MAX(0,BS$116-BS$128)*BS$9</f>
        <v>0</v>
      </c>
      <c r="BT130" s="10" t="n">
        <f aca="false">MAX(0,BT$116-BT$128)*BT$9</f>
        <v>0</v>
      </c>
      <c r="BU130" s="10" t="n">
        <f aca="false">MAX(0,BU$116-BU$128)*BU$9</f>
        <v>0</v>
      </c>
      <c r="BV130" s="10" t="n">
        <f aca="false">MAX(0,BV$116-BV$128)*BV$9</f>
        <v>0</v>
      </c>
      <c r="BW130" s="10" t="n">
        <f aca="false">MAX(0,BW$116-BW$128)*BW$9</f>
        <v>0</v>
      </c>
      <c r="BX130" s="10" t="n">
        <f aca="false">MAX(0,BX$116-BX$128)*BX$9</f>
        <v>0</v>
      </c>
      <c r="BY130" s="10" t="n">
        <f aca="false">MAX(0,BY$116-BY$128)*BY$9</f>
        <v>0</v>
      </c>
      <c r="BZ130" s="10" t="n">
        <f aca="false">MAX(0,BZ$116-BZ$128)*BZ$9</f>
        <v>0</v>
      </c>
      <c r="CA130" s="10" t="n">
        <f aca="false">MAX(0,CA$116-CA$128)*CA$9</f>
        <v>0</v>
      </c>
      <c r="CB130" s="10" t="n">
        <f aca="false">MAX(0,CB$116-CB$128)*CB$9</f>
        <v>0</v>
      </c>
      <c r="CC130" s="10" t="n">
        <f aca="false">MAX(0,CC$116-CC$128)*CC$9</f>
        <v>0</v>
      </c>
      <c r="CD130" s="10" t="n">
        <f aca="false">MAX(0,CD$116-CD$128)*CD$9</f>
        <v>0</v>
      </c>
      <c r="CE130" s="10" t="n">
        <f aca="false">MAX(0,CE$116-CE$128)*CE$9</f>
        <v>0</v>
      </c>
      <c r="CF130" s="10" t="n">
        <f aca="false">MAX(0,CF$116-CF$128)*CF$9</f>
        <v>0</v>
      </c>
      <c r="CG130" s="10" t="n">
        <f aca="false">MAX(0,CG$116-CG$128)*CG$9</f>
        <v>0</v>
      </c>
      <c r="CH130" s="10" t="n">
        <f aca="false">MAX(0,CH$116-CH$128)*CH$9</f>
        <v>0</v>
      </c>
      <c r="CI130" s="10" t="n">
        <f aca="false">MAX(0,CI$116-CI$128)*CI$9</f>
        <v>0</v>
      </c>
      <c r="CJ130" s="10" t="n">
        <f aca="false">MAX(0,CJ$116-CJ$128)*CJ$9</f>
        <v>0</v>
      </c>
      <c r="CK130" s="10" t="n">
        <f aca="false">MAX(0,CK$116-CK$128)*CK$9</f>
        <v>0</v>
      </c>
      <c r="CL130" s="10" t="n">
        <f aca="false">MAX(0,CL$116-CL$128)*CL$9</f>
        <v>0</v>
      </c>
      <c r="CM130" s="10" t="n">
        <f aca="false">MAX(0,CM$116-CM$128)*CM$9</f>
        <v>0</v>
      </c>
      <c r="CN130" s="10" t="n">
        <f aca="false">MAX(0,CN$116-CN$128)*CN$9</f>
        <v>0</v>
      </c>
      <c r="CO130" s="10" t="n">
        <f aca="false">MAX(0,CO$116-CO$128)*CO$9</f>
        <v>0</v>
      </c>
      <c r="CP130" s="10" t="n">
        <f aca="false">MAX(0,CP$116-CP$128)*CP$9</f>
        <v>0</v>
      </c>
      <c r="CQ130" s="10" t="n">
        <f aca="false">MAX(0,CQ$116-CQ$128)*CQ$9</f>
        <v>0</v>
      </c>
      <c r="CR130" s="10" t="n">
        <f aca="false">MAX(0,CR$116-CR$128)*CR$9</f>
        <v>0</v>
      </c>
      <c r="CS130" s="10" t="n">
        <f aca="false">MAX(0,CS$116-CS$128)*CS$9</f>
        <v>0</v>
      </c>
      <c r="CT130" s="10" t="n">
        <f aca="false">MAX(0,CT$116-CT$128)*CT$9</f>
        <v>0</v>
      </c>
      <c r="CU130" s="10" t="n">
        <f aca="false">MAX(0,CU$116-CU$128)*CU$9</f>
        <v>0</v>
      </c>
      <c r="CV130" s="10" t="n">
        <f aca="false">MAX(0,CV$116-CV$128)*CV$9</f>
        <v>0</v>
      </c>
      <c r="CW130" s="10" t="n">
        <f aca="false">MAX(0,CW$116-CW$128)*CW$9</f>
        <v>0</v>
      </c>
      <c r="CX130" s="10" t="n">
        <f aca="false">MAX(0,CX$116-CX$128)*CX$9</f>
        <v>0</v>
      </c>
      <c r="CY130" s="10" t="n">
        <f aca="false">MAX(0,CY$116-CY$128)*CY$9</f>
        <v>0</v>
      </c>
      <c r="CZ130" s="10" t="n">
        <f aca="false">MAX(0,CZ$116-CZ$128)*CZ$9</f>
        <v>0</v>
      </c>
      <c r="DA130" s="10" t="n">
        <f aca="false">MAX(0,DA$116-DA$128)*DA$9</f>
        <v>0</v>
      </c>
      <c r="DB130" s="10" t="n">
        <f aca="false">MAX(0,DB$116-DB$128)*DB$9</f>
        <v>0</v>
      </c>
      <c r="DC130" s="10" t="n">
        <f aca="false">MAX(0,DC$116-DC$128)*DC$9</f>
        <v>0</v>
      </c>
      <c r="DD130" s="10" t="n">
        <f aca="false">MAX(0,DD$116-DD$128)*DD$9</f>
        <v>0</v>
      </c>
      <c r="DE130" s="10" t="n">
        <f aca="false">MAX(0,DE$116-DE$128)*DE$9</f>
        <v>0</v>
      </c>
      <c r="DF130" s="10" t="n">
        <f aca="false">MAX(0,DF$116-DF$128)*DF$9</f>
        <v>0</v>
      </c>
      <c r="DG130" s="10" t="n">
        <f aca="false">MAX(0,DG$116-DG$128)*DG$9</f>
        <v>0</v>
      </c>
      <c r="DH130" s="10" t="n">
        <f aca="false">MAX(0,DH$116-DH$128)*DH$9</f>
        <v>0</v>
      </c>
      <c r="DI130" s="10" t="n">
        <f aca="false">MAX(0,DI$116-DI$128)*DI$9</f>
        <v>0</v>
      </c>
      <c r="DJ130" s="10" t="n">
        <f aca="false">MAX(0,DJ$116-DJ$128)*DJ$9</f>
        <v>0</v>
      </c>
      <c r="DK130" s="10" t="n">
        <f aca="false">MAX(0,DK$116-DK$128)*DK$9</f>
        <v>0</v>
      </c>
      <c r="DL130" s="10" t="n">
        <f aca="false">MAX(0,DL$116-DL$128)*DL$9</f>
        <v>0</v>
      </c>
      <c r="DM130" s="10" t="n">
        <f aca="false">MAX(0,DM$116-DM$128)*DM$9</f>
        <v>0</v>
      </c>
      <c r="DN130" s="10" t="n">
        <f aca="false">MAX(0,DN$116-DN$128)*DN$9</f>
        <v>0</v>
      </c>
      <c r="DO130" s="10" t="n">
        <f aca="false">MAX(0,DO$116-DO$128)*DO$9</f>
        <v>0</v>
      </c>
      <c r="DP130" s="10" t="n">
        <f aca="false">MAX(0,DP$116-DP$128)*DP$9</f>
        <v>0</v>
      </c>
      <c r="DQ130" s="10" t="n">
        <f aca="false">MAX(0,DQ$116-DQ$128)*DQ$9</f>
        <v>0</v>
      </c>
      <c r="DR130" s="10" t="n">
        <f aca="false">MAX(0,DR$116-DR$128)*DR$9</f>
        <v>0</v>
      </c>
      <c r="DS130" s="10" t="n">
        <f aca="false">MAX(0,DS$116-DS$128)*DS$9</f>
        <v>0</v>
      </c>
      <c r="DT130" s="10" t="n">
        <f aca="false">MAX(0,DT$116-DT$128)*DT$9</f>
        <v>0</v>
      </c>
      <c r="DU130" s="10" t="n">
        <f aca="false">MAX(0,DU$116-DU$128)*DU$9</f>
        <v>0</v>
      </c>
      <c r="DV130" s="10" t="n">
        <f aca="false">MAX(0,DV$116-DV$128)*DV$9</f>
        <v>0</v>
      </c>
      <c r="DW130" s="10" t="n">
        <f aca="false">MAX(0,DW$116-DW$128)*DW$9</f>
        <v>0</v>
      </c>
      <c r="DX130" s="10" t="n">
        <f aca="false">MAX(0,DX$116-DX$128)*DX$9</f>
        <v>0</v>
      </c>
      <c r="DY130" s="10" t="n">
        <f aca="false">MAX(0,DY$116-DY$128)*DY$9</f>
        <v>0</v>
      </c>
      <c r="DZ130" s="10" t="n">
        <f aca="false">MAX(0,DZ$116-DZ$128)*DZ$9</f>
        <v>0</v>
      </c>
      <c r="EA130" s="10" t="n">
        <f aca="false">MAX(0,EA$116-EA$128)*EA$9</f>
        <v>0</v>
      </c>
      <c r="EB130" s="10" t="n">
        <f aca="false">MAX(0,EB$116-EB$128)*EB$9</f>
        <v>0</v>
      </c>
      <c r="EC130" s="10" t="n">
        <f aca="false">MAX(0,EC$116-EC$128)*EC$9</f>
        <v>0</v>
      </c>
      <c r="ED130" s="10" t="n">
        <f aca="false">MAX(0,ED$116-ED$128)*ED$9</f>
        <v>0</v>
      </c>
      <c r="EE130" s="10" t="n">
        <f aca="false">MAX(0,EE$116-EE$128)*EE$9</f>
        <v>0</v>
      </c>
      <c r="EF130" s="10" t="n">
        <f aca="false">MAX(0,EF$116-EF$128)*EF$9</f>
        <v>0</v>
      </c>
      <c r="EG130" s="10" t="n">
        <f aca="false">MAX(0,EG$116-EG$128)*EG$9</f>
        <v>0</v>
      </c>
      <c r="EH130" s="10" t="n">
        <f aca="false">MAX(0,EH$116-EH$128)*EH$9</f>
        <v>0</v>
      </c>
      <c r="EI130" s="10" t="n">
        <f aca="false">MAX(0,EI$116-EI$128)*EI$9</f>
        <v>0</v>
      </c>
      <c r="EJ130" s="10" t="n">
        <f aca="false">MAX(0,EJ$116-EJ$128)*EJ$9</f>
        <v>0</v>
      </c>
      <c r="EK130" s="10" t="n">
        <f aca="false">MAX(0,EK$116-EK$128)*EK$9</f>
        <v>0</v>
      </c>
      <c r="EL130" s="10" t="n">
        <f aca="false">MAX(0,EL$116-EL$128)*EL$9</f>
        <v>0</v>
      </c>
      <c r="EM130" s="10" t="n">
        <f aca="false">MAX(0,EM$116-EM$128)*EM$9</f>
        <v>0</v>
      </c>
      <c r="EN130" s="10" t="n">
        <f aca="false">MAX(0,EN$116-EN$128)*EN$9</f>
        <v>0</v>
      </c>
      <c r="EO130" s="10" t="n">
        <f aca="false">MAX(0,EO$116-EO$128)*EO$9</f>
        <v>0</v>
      </c>
      <c r="EP130" s="10" t="n">
        <f aca="false">MAX(0,EP$116-EP$128)*EP$9</f>
        <v>0</v>
      </c>
      <c r="EQ130" s="10" t="n">
        <f aca="false">MAX(0,EQ$116-EQ$128)*EQ$9</f>
        <v>0</v>
      </c>
      <c r="ER130" s="10" t="n">
        <f aca="false">MAX(0,ER$116-ER$128)*ER$9</f>
        <v>0</v>
      </c>
      <c r="ES130" s="10" t="n">
        <f aca="false">MAX(0,ES$116-ES$128)*ES$9</f>
        <v>0</v>
      </c>
    </row>
    <row r="131" customFormat="false" ht="15" hidden="false" customHeight="false" outlineLevel="0" collapsed="false">
      <c r="A131" s="2" t="s">
        <v>743</v>
      </c>
      <c r="B131" s="6" t="s">
        <v>744</v>
      </c>
      <c r="C131" s="6" t="s">
        <v>250</v>
      </c>
      <c r="E131" s="40" t="n">
        <f aca="false">MAX(F131:ES131)</f>
        <v>311740.118672618</v>
      </c>
      <c r="F131" s="34" t="n">
        <f aca="false">MAX(0,-F$128)</f>
        <v>0</v>
      </c>
      <c r="G131" s="34" t="n">
        <f aca="false">MAX(0,-G$128)</f>
        <v>0</v>
      </c>
      <c r="H131" s="34" t="n">
        <f aca="false">MAX(0,-H$128)</f>
        <v>0</v>
      </c>
      <c r="I131" s="34" t="n">
        <f aca="false">MAX(0,-I$128)</f>
        <v>0</v>
      </c>
      <c r="J131" s="34" t="n">
        <f aca="false">MAX(0,-J$128)</f>
        <v>0</v>
      </c>
      <c r="K131" s="34" t="n">
        <f aca="false">MAX(0,-K$128)</f>
        <v>0</v>
      </c>
      <c r="L131" s="34" t="n">
        <f aca="false">MAX(0,-L$128)</f>
        <v>0</v>
      </c>
      <c r="M131" s="34" t="n">
        <f aca="false">MAX(0,-M$128)</f>
        <v>0</v>
      </c>
      <c r="N131" s="34" t="n">
        <f aca="false">MAX(0,-N$128)</f>
        <v>0</v>
      </c>
      <c r="O131" s="34" t="n">
        <f aca="false">MAX(0,-O$128)</f>
        <v>0</v>
      </c>
      <c r="P131" s="34" t="n">
        <f aca="false">MAX(0,-P$128)</f>
        <v>0</v>
      </c>
      <c r="Q131" s="34" t="n">
        <f aca="false">MAX(0,-Q$128)</f>
        <v>0</v>
      </c>
      <c r="R131" s="34" t="n">
        <f aca="false">MAX(0,-R$128)</f>
        <v>0</v>
      </c>
      <c r="S131" s="34" t="n">
        <f aca="false">MAX(0,-S$128)</f>
        <v>0</v>
      </c>
      <c r="T131" s="34" t="n">
        <f aca="false">MAX(0,-T$128)</f>
        <v>0</v>
      </c>
      <c r="U131" s="34" t="n">
        <f aca="false">MAX(0,-U$128)</f>
        <v>0</v>
      </c>
      <c r="V131" s="34" t="n">
        <f aca="false">MAX(0,-V$128)</f>
        <v>0</v>
      </c>
      <c r="W131" s="34" t="n">
        <f aca="false">MAX(0,-W$128)</f>
        <v>0</v>
      </c>
      <c r="X131" s="34" t="n">
        <f aca="false">MAX(0,-X$128)</f>
        <v>0</v>
      </c>
      <c r="Y131" s="34" t="n">
        <f aca="false">MAX(0,-Y$128)</f>
        <v>0</v>
      </c>
      <c r="Z131" s="34" t="n">
        <f aca="false">MAX(0,-Z$128)</f>
        <v>0</v>
      </c>
      <c r="AA131" s="34" t="n">
        <f aca="false">MAX(0,-AA$128)</f>
        <v>0</v>
      </c>
      <c r="AB131" s="34" t="n">
        <f aca="false">MAX(0,-AB$128)</f>
        <v>0</v>
      </c>
      <c r="AC131" s="34" t="n">
        <f aca="false">MAX(0,-AC$128)</f>
        <v>0</v>
      </c>
      <c r="AD131" s="34" t="n">
        <f aca="false">MAX(0,-AD$128)</f>
        <v>311740.118672618</v>
      </c>
      <c r="AE131" s="34" t="n">
        <f aca="false">MAX(0,-AE$128)</f>
        <v>259166.435385603</v>
      </c>
      <c r="AF131" s="34" t="n">
        <f aca="false">MAX(0,-AF$128)</f>
        <v>206556.340501018</v>
      </c>
      <c r="AG131" s="34" t="n">
        <f aca="false">MAX(0,-AG$128)</f>
        <v>153909.560931882</v>
      </c>
      <c r="AH131" s="34" t="n">
        <f aca="false">MAX(0,-AH$128)</f>
        <v>101225.821543058</v>
      </c>
      <c r="AI131" s="34" t="n">
        <f aca="false">MAX(0,-AI$128)</f>
        <v>48504.8451359012</v>
      </c>
      <c r="AJ131" s="34" t="n">
        <f aca="false">MAX(0,-AJ$128)</f>
        <v>0</v>
      </c>
      <c r="AK131" s="34" t="n">
        <f aca="false">MAX(0,-AK$128)</f>
        <v>0</v>
      </c>
      <c r="AL131" s="34" t="n">
        <f aca="false">MAX(0,-AL$128)</f>
        <v>0</v>
      </c>
      <c r="AM131" s="34" t="n">
        <f aca="false">MAX(0,-AM$128)</f>
        <v>0</v>
      </c>
      <c r="AN131" s="34" t="n">
        <f aca="false">MAX(0,-AN$128)</f>
        <v>0</v>
      </c>
      <c r="AO131" s="34" t="n">
        <f aca="false">MAX(0,-AO$128)</f>
        <v>0</v>
      </c>
      <c r="AP131" s="34" t="n">
        <f aca="false">MAX(0,-AP$128)</f>
        <v>204392.169462804</v>
      </c>
      <c r="AQ131" s="34" t="n">
        <f aca="false">MAX(0,-AQ$128)</f>
        <v>118554.51596008</v>
      </c>
      <c r="AR131" s="34" t="n">
        <f aca="false">MAX(0,-AR$128)</f>
        <v>32677.0352007788</v>
      </c>
      <c r="AS131" s="34" t="n">
        <f aca="false">MAX(0,-AS$128)</f>
        <v>0</v>
      </c>
      <c r="AT131" s="34" t="n">
        <f aca="false">MAX(0,-AT$128)</f>
        <v>0</v>
      </c>
      <c r="AU131" s="34" t="n">
        <f aca="false">MAX(0,-AU$128)</f>
        <v>0</v>
      </c>
      <c r="AV131" s="34" t="n">
        <f aca="false">MAX(0,-AV$128)</f>
        <v>0</v>
      </c>
      <c r="AW131" s="34" t="n">
        <f aca="false">MAX(0,-AW$128)</f>
        <v>0</v>
      </c>
      <c r="AX131" s="34" t="n">
        <f aca="false">MAX(0,-AX$128)</f>
        <v>0</v>
      </c>
      <c r="AY131" s="34" t="n">
        <f aca="false">MAX(0,-AY$128)</f>
        <v>0</v>
      </c>
      <c r="AZ131" s="34" t="n">
        <f aca="false">MAX(0,-AZ$128)</f>
        <v>0</v>
      </c>
      <c r="BA131" s="34" t="n">
        <f aca="false">MAX(0,-BA$128)</f>
        <v>0</v>
      </c>
      <c r="BB131" s="34" t="n">
        <f aca="false">MAX(0,-BB$128)</f>
        <v>0</v>
      </c>
      <c r="BC131" s="34" t="n">
        <f aca="false">MAX(0,-BC$128)</f>
        <v>0</v>
      </c>
      <c r="BD131" s="34" t="n">
        <f aca="false">MAX(0,-BD$128)</f>
        <v>0</v>
      </c>
      <c r="BE131" s="34" t="n">
        <f aca="false">MAX(0,-BE$128)</f>
        <v>0</v>
      </c>
      <c r="BF131" s="34" t="n">
        <f aca="false">MAX(0,-BF$128)</f>
        <v>0</v>
      </c>
      <c r="BG131" s="34" t="n">
        <f aca="false">MAX(0,-BG$128)</f>
        <v>0</v>
      </c>
      <c r="BH131" s="34" t="n">
        <f aca="false">MAX(0,-BH$128)</f>
        <v>0</v>
      </c>
      <c r="BI131" s="34" t="n">
        <f aca="false">MAX(0,-BI$128)</f>
        <v>0</v>
      </c>
      <c r="BJ131" s="34" t="n">
        <f aca="false">MAX(0,-BJ$128)</f>
        <v>0</v>
      </c>
      <c r="BK131" s="34" t="n">
        <f aca="false">MAX(0,-BK$128)</f>
        <v>0</v>
      </c>
      <c r="BL131" s="34" t="n">
        <f aca="false">MAX(0,-BL$128)</f>
        <v>0</v>
      </c>
      <c r="BM131" s="34" t="n">
        <f aca="false">MAX(0,-BM$128)</f>
        <v>0</v>
      </c>
      <c r="BN131" s="34" t="n">
        <f aca="false">MAX(0,-BN$128)</f>
        <v>0</v>
      </c>
      <c r="BO131" s="34" t="n">
        <f aca="false">MAX(0,-BO$128)</f>
        <v>0</v>
      </c>
      <c r="BP131" s="34" t="n">
        <f aca="false">MAX(0,-BP$128)</f>
        <v>0</v>
      </c>
      <c r="BQ131" s="34" t="n">
        <f aca="false">MAX(0,-BQ$128)</f>
        <v>0</v>
      </c>
      <c r="BR131" s="34" t="n">
        <f aca="false">MAX(0,-BR$128)</f>
        <v>0</v>
      </c>
      <c r="BS131" s="34" t="n">
        <f aca="false">MAX(0,-BS$128)</f>
        <v>0</v>
      </c>
      <c r="BT131" s="34" t="n">
        <f aca="false">MAX(0,-BT$128)</f>
        <v>0</v>
      </c>
      <c r="BU131" s="34" t="n">
        <f aca="false">MAX(0,-BU$128)</f>
        <v>0</v>
      </c>
      <c r="BV131" s="34" t="n">
        <f aca="false">MAX(0,-BV$128)</f>
        <v>0</v>
      </c>
      <c r="BW131" s="34" t="n">
        <f aca="false">MAX(0,-BW$128)</f>
        <v>0</v>
      </c>
      <c r="BX131" s="34" t="n">
        <f aca="false">MAX(0,-BX$128)</f>
        <v>0</v>
      </c>
      <c r="BY131" s="34" t="n">
        <f aca="false">MAX(0,-BY$128)</f>
        <v>0</v>
      </c>
      <c r="BZ131" s="34" t="n">
        <f aca="false">MAX(0,-BZ$128)</f>
        <v>0</v>
      </c>
      <c r="CA131" s="34" t="n">
        <f aca="false">MAX(0,-CA$128)</f>
        <v>0</v>
      </c>
      <c r="CB131" s="34" t="n">
        <f aca="false">MAX(0,-CB$128)</f>
        <v>0</v>
      </c>
      <c r="CC131" s="34" t="n">
        <f aca="false">MAX(0,-CC$128)</f>
        <v>0</v>
      </c>
      <c r="CD131" s="34" t="n">
        <f aca="false">MAX(0,-CD$128)</f>
        <v>0</v>
      </c>
      <c r="CE131" s="34" t="n">
        <f aca="false">MAX(0,-CE$128)</f>
        <v>0</v>
      </c>
      <c r="CF131" s="34" t="n">
        <f aca="false">MAX(0,-CF$128)</f>
        <v>0</v>
      </c>
      <c r="CG131" s="34" t="n">
        <f aca="false">MAX(0,-CG$128)</f>
        <v>0</v>
      </c>
      <c r="CH131" s="34" t="n">
        <f aca="false">MAX(0,-CH$128)</f>
        <v>0</v>
      </c>
      <c r="CI131" s="34" t="n">
        <f aca="false">MAX(0,-CI$128)</f>
        <v>0</v>
      </c>
      <c r="CJ131" s="34" t="n">
        <f aca="false">MAX(0,-CJ$128)</f>
        <v>0</v>
      </c>
      <c r="CK131" s="34" t="n">
        <f aca="false">MAX(0,-CK$128)</f>
        <v>0</v>
      </c>
      <c r="CL131" s="34" t="n">
        <f aca="false">MAX(0,-CL$128)</f>
        <v>0</v>
      </c>
      <c r="CM131" s="34" t="n">
        <f aca="false">MAX(0,-CM$128)</f>
        <v>0</v>
      </c>
      <c r="CN131" s="34" t="n">
        <f aca="false">MAX(0,-CN$128)</f>
        <v>0</v>
      </c>
      <c r="CO131" s="34" t="n">
        <f aca="false">MAX(0,-CO$128)</f>
        <v>0</v>
      </c>
      <c r="CP131" s="34" t="n">
        <f aca="false">MAX(0,-CP$128)</f>
        <v>0</v>
      </c>
      <c r="CQ131" s="34" t="n">
        <f aca="false">MAX(0,-CQ$128)</f>
        <v>0</v>
      </c>
      <c r="CR131" s="34" t="n">
        <f aca="false">MAX(0,-CR$128)</f>
        <v>0</v>
      </c>
      <c r="CS131" s="34" t="n">
        <f aca="false">MAX(0,-CS$128)</f>
        <v>0</v>
      </c>
      <c r="CT131" s="34" t="n">
        <f aca="false">MAX(0,-CT$128)</f>
        <v>0</v>
      </c>
      <c r="CU131" s="34" t="n">
        <f aca="false">MAX(0,-CU$128)</f>
        <v>0</v>
      </c>
      <c r="CV131" s="34" t="n">
        <f aca="false">MAX(0,-CV$128)</f>
        <v>0</v>
      </c>
      <c r="CW131" s="34" t="n">
        <f aca="false">MAX(0,-CW$128)</f>
        <v>0</v>
      </c>
      <c r="CX131" s="34" t="n">
        <f aca="false">MAX(0,-CX$128)</f>
        <v>0</v>
      </c>
      <c r="CY131" s="34" t="n">
        <f aca="false">MAX(0,-CY$128)</f>
        <v>0</v>
      </c>
      <c r="CZ131" s="34" t="n">
        <f aca="false">MAX(0,-CZ$128)</f>
        <v>0</v>
      </c>
      <c r="DA131" s="34" t="n">
        <f aca="false">MAX(0,-DA$128)</f>
        <v>0</v>
      </c>
      <c r="DB131" s="34" t="n">
        <f aca="false">MAX(0,-DB$128)</f>
        <v>0</v>
      </c>
      <c r="DC131" s="34" t="n">
        <f aca="false">MAX(0,-DC$128)</f>
        <v>0</v>
      </c>
      <c r="DD131" s="34" t="n">
        <f aca="false">MAX(0,-DD$128)</f>
        <v>0</v>
      </c>
      <c r="DE131" s="34" t="n">
        <f aca="false">MAX(0,-DE$128)</f>
        <v>0</v>
      </c>
      <c r="DF131" s="34" t="n">
        <f aca="false">MAX(0,-DF$128)</f>
        <v>0</v>
      </c>
      <c r="DG131" s="34" t="n">
        <f aca="false">MAX(0,-DG$128)</f>
        <v>0</v>
      </c>
      <c r="DH131" s="34" t="n">
        <f aca="false">MAX(0,-DH$128)</f>
        <v>0</v>
      </c>
      <c r="DI131" s="34" t="n">
        <f aca="false">MAX(0,-DI$128)</f>
        <v>0</v>
      </c>
      <c r="DJ131" s="34" t="n">
        <f aca="false">MAX(0,-DJ$128)</f>
        <v>0</v>
      </c>
      <c r="DK131" s="34" t="n">
        <f aca="false">MAX(0,-DK$128)</f>
        <v>0</v>
      </c>
      <c r="DL131" s="34" t="n">
        <f aca="false">MAX(0,-DL$128)</f>
        <v>0</v>
      </c>
      <c r="DM131" s="34" t="n">
        <f aca="false">MAX(0,-DM$128)</f>
        <v>0</v>
      </c>
      <c r="DN131" s="34" t="n">
        <f aca="false">MAX(0,-DN$128)</f>
        <v>0</v>
      </c>
      <c r="DO131" s="34" t="n">
        <f aca="false">MAX(0,-DO$128)</f>
        <v>0</v>
      </c>
      <c r="DP131" s="34" t="n">
        <f aca="false">MAX(0,-DP$128)</f>
        <v>0</v>
      </c>
      <c r="DQ131" s="34" t="n">
        <f aca="false">MAX(0,-DQ$128)</f>
        <v>0</v>
      </c>
      <c r="DR131" s="34" t="n">
        <f aca="false">MAX(0,-DR$128)</f>
        <v>0</v>
      </c>
      <c r="DS131" s="34" t="n">
        <f aca="false">MAX(0,-DS$128)</f>
        <v>0</v>
      </c>
      <c r="DT131" s="34" t="n">
        <f aca="false">MAX(0,-DT$128)</f>
        <v>0</v>
      </c>
      <c r="DU131" s="34" t="n">
        <f aca="false">MAX(0,-DU$128)</f>
        <v>0</v>
      </c>
      <c r="DV131" s="34" t="n">
        <f aca="false">MAX(0,-DV$128)</f>
        <v>0</v>
      </c>
      <c r="DW131" s="34" t="n">
        <f aca="false">MAX(0,-DW$128)</f>
        <v>0</v>
      </c>
      <c r="DX131" s="34" t="n">
        <f aca="false">MAX(0,-DX$128)</f>
        <v>0</v>
      </c>
      <c r="DY131" s="34" t="n">
        <f aca="false">MAX(0,-DY$128)</f>
        <v>0</v>
      </c>
      <c r="DZ131" s="34" t="n">
        <f aca="false">MAX(0,-DZ$128)</f>
        <v>0</v>
      </c>
      <c r="EA131" s="34" t="n">
        <f aca="false">MAX(0,-EA$128)</f>
        <v>0</v>
      </c>
      <c r="EB131" s="34" t="n">
        <f aca="false">MAX(0,-EB$128)</f>
        <v>0</v>
      </c>
      <c r="EC131" s="34" t="n">
        <f aca="false">MAX(0,-EC$128)</f>
        <v>0</v>
      </c>
      <c r="ED131" s="34" t="n">
        <f aca="false">MAX(0,-ED$128)</f>
        <v>0</v>
      </c>
      <c r="EE131" s="34" t="n">
        <f aca="false">MAX(0,-EE$128)</f>
        <v>0</v>
      </c>
      <c r="EF131" s="34" t="n">
        <f aca="false">MAX(0,-EF$128)</f>
        <v>0</v>
      </c>
      <c r="EG131" s="34" t="n">
        <f aca="false">MAX(0,-EG$128)</f>
        <v>0</v>
      </c>
      <c r="EH131" s="34" t="n">
        <f aca="false">MAX(0,-EH$128)</f>
        <v>0</v>
      </c>
      <c r="EI131" s="34" t="n">
        <f aca="false">MAX(0,-EI$128)</f>
        <v>0</v>
      </c>
      <c r="EJ131" s="34" t="n">
        <f aca="false">MAX(0,-EJ$128)</f>
        <v>0</v>
      </c>
      <c r="EK131" s="34" t="n">
        <f aca="false">MAX(0,-EK$128)</f>
        <v>0</v>
      </c>
      <c r="EL131" s="34" t="n">
        <f aca="false">MAX(0,-EL$128)</f>
        <v>0</v>
      </c>
      <c r="EM131" s="34" t="n">
        <f aca="false">MAX(0,-EM$128)</f>
        <v>0</v>
      </c>
      <c r="EN131" s="34" t="n">
        <f aca="false">MAX(0,-EN$128)</f>
        <v>0</v>
      </c>
      <c r="EO131" s="34" t="n">
        <f aca="false">MAX(0,-EO$128)</f>
        <v>0</v>
      </c>
      <c r="EP131" s="34" t="n">
        <f aca="false">MAX(0,-EP$128)</f>
        <v>0</v>
      </c>
      <c r="EQ131" s="34" t="n">
        <f aca="false">MAX(0,-EQ$128)</f>
        <v>0</v>
      </c>
      <c r="ER131" s="34" t="n">
        <f aca="false">MAX(0,-ER$128)</f>
        <v>0</v>
      </c>
      <c r="ES131" s="34" t="n">
        <f aca="false">MAX(0,-ES$128)</f>
        <v>0</v>
      </c>
    </row>
    <row r="132" customFormat="false" ht="15" hidden="false" customHeight="false" outlineLevel="0" collapsed="false">
      <c r="A132" s="4"/>
      <c r="B132" s="3" t="s">
        <v>745</v>
      </c>
      <c r="C132" s="4"/>
      <c r="D132" s="4"/>
      <c r="E132" s="4"/>
    </row>
    <row r="133" customFormat="false" ht="15" hidden="false" customHeight="false" outlineLevel="0" collapsed="false">
      <c r="A133" s="2" t="s">
        <v>746</v>
      </c>
      <c r="B133" s="6" t="s">
        <v>747</v>
      </c>
      <c r="C133" s="6"/>
      <c r="F133" s="27" t="n">
        <f aca="false">1/(1+P_WACC)^((1-1)/12)</f>
        <v>1</v>
      </c>
      <c r="G133" s="27" t="n">
        <f aca="false">1/(1+P_WACC)^((2-1)/12)</f>
        <v>0.99247369216101</v>
      </c>
      <c r="H133" s="27" t="n">
        <f aca="false">1/(1+P_WACC)^((3-1)/12)</f>
        <v>0.985004029631707</v>
      </c>
      <c r="I133" s="27" t="n">
        <f aca="false">1/(1+P_WACC)^((4-1)/12)</f>
        <v>0.977590586082053</v>
      </c>
      <c r="J133" s="27" t="n">
        <f aca="false">1/(1+P_WACC)^((5-1)/12)</f>
        <v>0.970232938390701</v>
      </c>
      <c r="K133" s="27" t="n">
        <f aca="false">1/(1+P_WACC)^((6-1)/12)</f>
        <v>0.962930666620845</v>
      </c>
      <c r="L133" s="27" t="n">
        <f aca="false">1/(1+P_WACC)^((7-1)/12)</f>
        <v>0.955683353996252</v>
      </c>
      <c r="M133" s="27" t="n">
        <f aca="false">1/(1+P_WACC)^((8-1)/12)</f>
        <v>0.948490586877478</v>
      </c>
      <c r="N133" s="27" t="n">
        <f aca="false">1/(1+P_WACC)^((9-1)/12)</f>
        <v>0.941351954738254</v>
      </c>
      <c r="O133" s="27" t="n">
        <f aca="false">1/(1+P_WACC)^((10-1)/12)</f>
        <v>0.934267050142059</v>
      </c>
      <c r="P133" s="27" t="n">
        <f aca="false">1/(1+P_WACC)^((11-1)/12)</f>
        <v>0.927235468718864</v>
      </c>
      <c r="Q133" s="27" t="n">
        <f aca="false">1/(1+P_WACC)^((12-1)/12)</f>
        <v>0.920256809142056</v>
      </c>
      <c r="R133" s="27" t="n">
        <f aca="false">1/(1+P_WACC)^((13-1)/12)</f>
        <v>0.913330673105526</v>
      </c>
      <c r="S133" s="27" t="n">
        <f aca="false">1/(1+P_WACC)^((14-1)/12)</f>
        <v>0.906456665300942</v>
      </c>
      <c r="T133" s="27" t="n">
        <f aca="false">1/(1+P_WACC)^((15-1)/12)</f>
        <v>0.899634393395183</v>
      </c>
      <c r="U133" s="27" t="n">
        <f aca="false">1/(1+P_WACC)^((16-1)/12)</f>
        <v>0.892863468007947</v>
      </c>
      <c r="V133" s="27" t="n">
        <f aca="false">1/(1+P_WACC)^((17-1)/12)</f>
        <v>0.886143502689531</v>
      </c>
      <c r="W133" s="27" t="n">
        <f aca="false">1/(1+P_WACC)^((18-1)/12)</f>
        <v>0.879474113898769</v>
      </c>
      <c r="X133" s="27" t="n">
        <f aca="false">1/(1+P_WACC)^((19-1)/12)</f>
        <v>0.872854920981144</v>
      </c>
      <c r="Y133" s="27" t="n">
        <f aca="false">1/(1+P_WACC)^((20-1)/12)</f>
        <v>0.866285546147062</v>
      </c>
      <c r="Z133" s="27" t="n">
        <f aca="false">1/(1+P_WACC)^((21-1)/12)</f>
        <v>0.859765614450292</v>
      </c>
      <c r="AA133" s="27" t="n">
        <f aca="false">1/(1+P_WACC)^((22-1)/12)</f>
        <v>0.853294753766561</v>
      </c>
      <c r="AB133" s="27" t="n">
        <f aca="false">1/(1+P_WACC)^((23-1)/12)</f>
        <v>0.846872594772318</v>
      </c>
      <c r="AC133" s="27" t="n">
        <f aca="false">1/(1+P_WACC)^((24-1)/12)</f>
        <v>0.840498770923658</v>
      </c>
      <c r="AD133" s="27" t="n">
        <f aca="false">1/(1+P_WACC)^((25-1)/12)</f>
        <v>0.834172918435393</v>
      </c>
      <c r="AE133" s="27" t="n">
        <f aca="false">1/(1+P_WACC)^((26-1)/12)</f>
        <v>0.8278946762603</v>
      </c>
      <c r="AF133" s="27" t="n">
        <f aca="false">1/(1+P_WACC)^((27-1)/12)</f>
        <v>0.821663686068504</v>
      </c>
      <c r="AG133" s="27" t="n">
        <f aca="false">1/(1+P_WACC)^((28-1)/12)</f>
        <v>0.815479592227033</v>
      </c>
      <c r="AH133" s="27" t="n">
        <f aca="false">1/(1+P_WACC)^((29-1)/12)</f>
        <v>0.809342041779518</v>
      </c>
      <c r="AI133" s="27" t="n">
        <f aca="false">1/(1+P_WACC)^((30-1)/12)</f>
        <v>0.803250684426049</v>
      </c>
      <c r="AJ133" s="27" t="n">
        <f aca="false">1/(1+P_WACC)^((31-1)/12)</f>
        <v>0.797205172503179</v>
      </c>
      <c r="AK133" s="27" t="n">
        <f aca="false">1/(1+P_WACC)^((32-1)/12)</f>
        <v>0.791205160964085</v>
      </c>
      <c r="AL133" s="27" t="n">
        <f aca="false">1/(1+P_WACC)^((33-1)/12)</f>
        <v>0.785250307358871</v>
      </c>
      <c r="AM133" s="27" t="n">
        <f aca="false">1/(1+P_WACC)^((34-1)/12)</f>
        <v>0.779340271815027</v>
      </c>
      <c r="AN133" s="27" t="n">
        <f aca="false">1/(1+P_WACC)^((35-1)/12)</f>
        <v>0.773474717018025</v>
      </c>
      <c r="AO133" s="27" t="n">
        <f aca="false">1/(1+P_WACC)^((36-1)/12)</f>
        <v>0.767653308192072</v>
      </c>
      <c r="AP133" s="27" t="n">
        <f aca="false">1/(1+P_WACC)^((37-1)/12)</f>
        <v>0.761875713080999</v>
      </c>
      <c r="AQ133" s="27" t="n">
        <f aca="false">1/(1+P_WACC)^((38-1)/12)</f>
        <v>0.756141601929301</v>
      </c>
      <c r="AR133" s="27" t="n">
        <f aca="false">1/(1+P_WACC)^((39-1)/12)</f>
        <v>0.750450647463314</v>
      </c>
      <c r="AS133" s="27" t="n">
        <f aca="false">1/(1+P_WACC)^((40-1)/12)</f>
        <v>0.744802524872536</v>
      </c>
      <c r="AT133" s="27" t="n">
        <f aca="false">1/(1+P_WACC)^((41-1)/12)</f>
        <v>0.739196911791088</v>
      </c>
      <c r="AU133" s="27" t="n">
        <f aca="false">1/(1+P_WACC)^((42-1)/12)</f>
        <v>0.733633488279318</v>
      </c>
      <c r="AV133" s="27" t="n">
        <f aca="false">1/(1+P_WACC)^((43-1)/12)</f>
        <v>0.728111936805535</v>
      </c>
      <c r="AW133" s="27" t="n">
        <f aca="false">1/(1+P_WACC)^((44-1)/12)</f>
        <v>0.722631942227894</v>
      </c>
      <c r="AX133" s="27" t="n">
        <f aca="false">1/(1+P_WACC)^((45-1)/12)</f>
        <v>0.717193191776399</v>
      </c>
      <c r="AY133" s="27" t="n">
        <f aca="false">1/(1+P_WACC)^((46-1)/12)</f>
        <v>0.711795375035062</v>
      </c>
      <c r="AZ133" s="27" t="n">
        <f aca="false">1/(1+P_WACC)^((47-1)/12)</f>
        <v>0.706438183924179</v>
      </c>
      <c r="BA133" s="27" t="n">
        <f aca="false">1/(1+P_WACC)^((48-1)/12)</f>
        <v>0.701121312682749</v>
      </c>
      <c r="BB133" s="27" t="n">
        <f aca="false">1/(1+P_WACC)^((49-1)/12)</f>
        <v>0.695844457851021</v>
      </c>
      <c r="BC133" s="27" t="n">
        <f aca="false">1/(1+P_WACC)^((50-1)/12)</f>
        <v>0.690607318253179</v>
      </c>
      <c r="BD133" s="27" t="n">
        <f aca="false">1/(1+P_WACC)^((51-1)/12)</f>
        <v>0.685409594980147</v>
      </c>
      <c r="BE133" s="27" t="n">
        <f aca="false">1/(1+P_WACC)^((52-1)/12)</f>
        <v>0.680250991372529</v>
      </c>
      <c r="BF133" s="27" t="n">
        <f aca="false">1/(1+P_WACC)^((53-1)/12)</f>
        <v>0.675131213003681</v>
      </c>
      <c r="BG133" s="27" t="n">
        <f aca="false">1/(1+P_WACC)^((54-1)/12)</f>
        <v>0.670049967662904</v>
      </c>
      <c r="BH133" s="27" t="n">
        <f aca="false">1/(1+P_WACC)^((55-1)/12)</f>
        <v>0.665006965338768</v>
      </c>
      <c r="BI133" s="27" t="n">
        <f aca="false">1/(1+P_WACC)^((56-1)/12)</f>
        <v>0.660001918202556</v>
      </c>
      <c r="BJ133" s="27" t="n">
        <f aca="false">1/(1+P_WACC)^((57-1)/12)</f>
        <v>0.655034540591839</v>
      </c>
      <c r="BK133" s="27" t="n">
        <f aca="false">1/(1+P_WACC)^((58-1)/12)</f>
        <v>0.650104548994174</v>
      </c>
      <c r="BL133" s="27" t="n">
        <f aca="false">1/(1+P_WACC)^((59-1)/12)</f>
        <v>0.645211662030916</v>
      </c>
      <c r="BM133" s="27" t="n">
        <f aca="false">1/(1+P_WACC)^((60-1)/12)</f>
        <v>0.640355600441165</v>
      </c>
      <c r="BN133" s="27" t="n">
        <f aca="false">1/(1+P_WACC)^((61-1)/12)</f>
        <v>0.635536087065823</v>
      </c>
      <c r="BO133" s="27" t="n">
        <f aca="false">1/(1+P_WACC)^((62-1)/12)</f>
        <v>0.630752846831779</v>
      </c>
      <c r="BP133" s="27" t="n">
        <f aca="false">1/(1+P_WACC)^((63-1)/12)</f>
        <v>0.626005606736203</v>
      </c>
      <c r="BQ133" s="27" t="n">
        <f aca="false">1/(1+P_WACC)^((64-1)/12)</f>
        <v>0.621294095830973</v>
      </c>
      <c r="BR133" s="27" t="n">
        <f aca="false">1/(1+P_WACC)^((65-1)/12)</f>
        <v>0.616618045207202</v>
      </c>
      <c r="BS133" s="27" t="n">
        <f aca="false">1/(1+P_WACC)^((66-1)/12)</f>
        <v>0.611977187979896</v>
      </c>
      <c r="BT133" s="27" t="n">
        <f aca="false">1/(1+P_WACC)^((67-1)/12)</f>
        <v>0.60737125927272</v>
      </c>
      <c r="BU133" s="27" t="n">
        <f aca="false">1/(1+P_WACC)^((68-1)/12)</f>
        <v>0.602799996202879</v>
      </c>
      <c r="BV133" s="27" t="n">
        <f aca="false">1/(1+P_WACC)^((69-1)/12)</f>
        <v>0.598263137866114</v>
      </c>
      <c r="BW133" s="27" t="n">
        <f aca="false">1/(1+P_WACC)^((70-1)/12)</f>
        <v>0.593760425321813</v>
      </c>
      <c r="BX133" s="27" t="n">
        <f aca="false">1/(1+P_WACC)^((71-1)/12)</f>
        <v>0.589291601578232</v>
      </c>
      <c r="BY133" s="27" t="n">
        <f aca="false">1/(1+P_WACC)^((72-1)/12)</f>
        <v>0.584856411577822</v>
      </c>
      <c r="BZ133" s="27" t="n">
        <f aca="false">1/(1+P_WACC)^((73-1)/12)</f>
        <v>0.580454602182681</v>
      </c>
      <c r="CA133" s="27" t="n">
        <f aca="false">1/(1+P_WACC)^((74-1)/12)</f>
        <v>0.576085922160095</v>
      </c>
      <c r="CB133" s="27" t="n">
        <f aca="false">1/(1+P_WACC)^((75-1)/12)</f>
        <v>0.57175012216821</v>
      </c>
      <c r="CC133" s="27" t="n">
        <f aca="false">1/(1+P_WACC)^((76-1)/12)</f>
        <v>0.567446954741792</v>
      </c>
      <c r="CD133" s="27" t="n">
        <f aca="false">1/(1+P_WACC)^((77-1)/12)</f>
        <v>0.563176174278108</v>
      </c>
      <c r="CE133" s="27" t="n">
        <f aca="false">1/(1+P_WACC)^((78-1)/12)</f>
        <v>0.558937537022906</v>
      </c>
      <c r="CF133" s="27" t="n">
        <f aca="false">1/(1+P_WACC)^((79-1)/12)</f>
        <v>0.554730801056504</v>
      </c>
      <c r="CG133" s="27" t="n">
        <f aca="false">1/(1+P_WACC)^((80-1)/12)</f>
        <v>0.550555726279984</v>
      </c>
      <c r="CH133" s="27" t="n">
        <f aca="false">1/(1+P_WACC)^((81-1)/12)</f>
        <v>0.546412074401482</v>
      </c>
      <c r="CI133" s="27" t="n">
        <f aca="false">1/(1+P_WACC)^((82-1)/12)</f>
        <v>0.542299608922595</v>
      </c>
      <c r="CJ133" s="27" t="n">
        <f aca="false">1/(1+P_WACC)^((83-1)/12)</f>
        <v>0.53821809512488</v>
      </c>
      <c r="CK133" s="27" t="n">
        <f aca="false">1/(1+P_WACC)^((84-1)/12)</f>
        <v>0.534167300056455</v>
      </c>
      <c r="CL133" s="27" t="n">
        <f aca="false">1/(1+P_WACC)^((85-1)/12)</f>
        <v>0.530146992518708</v>
      </c>
      <c r="CM133" s="27" t="n">
        <f aca="false">1/(1+P_WACC)^((86-1)/12)</f>
        <v>0.526156943053098</v>
      </c>
      <c r="CN133" s="27" t="n">
        <f aca="false">1/(1+P_WACC)^((87-1)/12)</f>
        <v>0.522196923928058</v>
      </c>
      <c r="CO133" s="27" t="n">
        <f aca="false">1/(1+P_WACC)^((88-1)/12)</f>
        <v>0.518266709126002</v>
      </c>
      <c r="CP133" s="27" t="n">
        <f aca="false">1/(1+P_WACC)^((89-1)/12)</f>
        <v>0.514366074330419</v>
      </c>
      <c r="CQ133" s="27" t="n">
        <f aca="false">1/(1+P_WACC)^((90-1)/12)</f>
        <v>0.510494796913075</v>
      </c>
      <c r="CR133" s="27" t="n">
        <f aca="false">1/(1+P_WACC)^((91-1)/12)</f>
        <v>0.506652655921305</v>
      </c>
      <c r="CS133" s="27" t="n">
        <f aca="false">1/(1+P_WACC)^((92-1)/12)</f>
        <v>0.502839432065399</v>
      </c>
      <c r="CT133" s="27" t="n">
        <f aca="false">1/(1+P_WACC)^((93-1)/12)</f>
        <v>0.499054907706092</v>
      </c>
      <c r="CU133" s="27" t="n">
        <f aca="false">1/(1+P_WACC)^((94-1)/12)</f>
        <v>0.495298866842137</v>
      </c>
      <c r="CV133" s="27" t="n">
        <f aca="false">1/(1+P_WACC)^((95-1)/12)</f>
        <v>0.49157109509798</v>
      </c>
      <c r="CW133" s="27" t="n">
        <f aca="false">1/(1+P_WACC)^((96-1)/12)</f>
        <v>0.487871379711524</v>
      </c>
      <c r="CX133" s="27" t="n">
        <f aca="false">1/(1+P_WACC)^((97-1)/12)</f>
        <v>0.484199509521982</v>
      </c>
      <c r="CY133" s="27" t="n">
        <f aca="false">1/(1+P_WACC)^((98-1)/12)</f>
        <v>0.480555274957831</v>
      </c>
      <c r="CZ133" s="27" t="n">
        <f aca="false">1/(1+P_WACC)^((99-1)/12)</f>
        <v>0.476938468024848</v>
      </c>
      <c r="DA133" s="27" t="n">
        <f aca="false">1/(1+P_WACC)^((100-1)/12)</f>
        <v>0.473348882294237</v>
      </c>
      <c r="DB133" s="27" t="n">
        <f aca="false">1/(1+P_WACC)^((101-1)/12)</f>
        <v>0.469786312890849</v>
      </c>
      <c r="DC133" s="27" t="n">
        <f aca="false">1/(1+P_WACC)^((102-1)/12)</f>
        <v>0.466250556481488</v>
      </c>
      <c r="DD133" s="27" t="n">
        <f aca="false">1/(1+P_WACC)^((103-1)/12)</f>
        <v>0.462741411263308</v>
      </c>
      <c r="DE133" s="27" t="n">
        <f aca="false">1/(1+P_WACC)^((104-1)/12)</f>
        <v>0.459258676952292</v>
      </c>
      <c r="DF133" s="27" t="n">
        <f aca="false">1/(1+P_WACC)^((105-1)/12)</f>
        <v>0.455802154771821</v>
      </c>
      <c r="DG133" s="27" t="n">
        <f aca="false">1/(1+P_WACC)^((106-1)/12)</f>
        <v>0.452371647441334</v>
      </c>
      <c r="DH133" s="27" t="n">
        <f aca="false">1/(1+P_WACC)^((107-1)/12)</f>
        <v>0.448966959165059</v>
      </c>
      <c r="DI133" s="27" t="n">
        <f aca="false">1/(1+P_WACC)^((108-1)/12)</f>
        <v>0.445587895620848</v>
      </c>
      <c r="DJ133" s="27" t="n">
        <f aca="false">1/(1+P_WACC)^((109-1)/12)</f>
        <v>0.442234263949077</v>
      </c>
      <c r="DK133" s="27" t="n">
        <f aca="false">1/(1+P_WACC)^((110-1)/12)</f>
        <v>0.438905872741647</v>
      </c>
      <c r="DL133" s="27" t="n">
        <f aca="false">1/(1+P_WACC)^((111-1)/12)</f>
        <v>0.435602532031053</v>
      </c>
      <c r="DM133" s="27" t="n">
        <f aca="false">1/(1+P_WACC)^((112-1)/12)</f>
        <v>0.432324053279544</v>
      </c>
      <c r="DN133" s="27" t="n">
        <f aca="false">1/(1+P_WACC)^((113-1)/12)</f>
        <v>0.429070249368362</v>
      </c>
      <c r="DO133" s="27" t="n">
        <f aca="false">1/(1+P_WACC)^((114-1)/12)</f>
        <v>0.425840934587064</v>
      </c>
      <c r="DP133" s="27" t="n">
        <f aca="false">1/(1+P_WACC)^((115-1)/12)</f>
        <v>0.422635924622918</v>
      </c>
      <c r="DQ133" s="27" t="n">
        <f aca="false">1/(1+P_WACC)^((116-1)/12)</f>
        <v>0.41945503655039</v>
      </c>
      <c r="DR133" s="27" t="n">
        <f aca="false">1/(1+P_WACC)^((117-1)/12)</f>
        <v>0.416298088820697</v>
      </c>
      <c r="DS133" s="27" t="n">
        <f aca="false">1/(1+P_WACC)^((118-1)/12)</f>
        <v>0.413164901251449</v>
      </c>
      <c r="DT133" s="27" t="n">
        <f aca="false">1/(1+P_WACC)^((119-1)/12)</f>
        <v>0.410055295016365</v>
      </c>
      <c r="DU133" s="27" t="n">
        <f aca="false">1/(1+P_WACC)^((120-1)/12)</f>
        <v>0.406969092635064</v>
      </c>
      <c r="DV133" s="27" t="n">
        <f aca="false">1/(1+P_WACC)^((121-1)/12)</f>
        <v>0.403906117962938</v>
      </c>
      <c r="DW133" s="27" t="n">
        <f aca="false">1/(1+P_WACC)^((122-1)/12)</f>
        <v>0.400866196181097</v>
      </c>
      <c r="DX133" s="27" t="n">
        <f aca="false">1/(1+P_WACC)^((123-1)/12)</f>
        <v>0.397849153786393</v>
      </c>
      <c r="DY133" s="27" t="n">
        <f aca="false">1/(1+P_WACC)^((124-1)/12)</f>
        <v>0.394854818581515</v>
      </c>
      <c r="DZ133" s="27" t="n">
        <f aca="false">1/(1+P_WACC)^((125-1)/12)</f>
        <v>0.391883019665162</v>
      </c>
      <c r="EA133" s="27" t="n">
        <f aca="false">1/(1+P_WACC)^((126-1)/12)</f>
        <v>0.388933587422289</v>
      </c>
      <c r="EB133" s="27" t="n">
        <f aca="false">1/(1+P_WACC)^((127-1)/12)</f>
        <v>0.386006353514426</v>
      </c>
      <c r="EC133" s="27" t="n">
        <f aca="false">1/(1+P_WACC)^((128-1)/12)</f>
        <v>0.383101150870071</v>
      </c>
      <c r="ED133" s="27" t="n">
        <f aca="false">1/(1+P_WACC)^((129-1)/12)</f>
        <v>0.380217813675151</v>
      </c>
      <c r="EE133" s="27" t="n">
        <f aca="false">1/(1+P_WACC)^((130-1)/12)</f>
        <v>0.377356177363564</v>
      </c>
      <c r="EF133" s="27" t="n">
        <f aca="false">1/(1+P_WACC)^((131-1)/12)</f>
        <v>0.374516078607781</v>
      </c>
      <c r="EG133" s="27" t="n">
        <f aca="false">1/(1+P_WACC)^((132-1)/12)</f>
        <v>0.371697355309528</v>
      </c>
      <c r="EH133" s="27" t="n">
        <f aca="false">1/(1+P_WACC)^((133-1)/12)</f>
        <v>0.36889984659053</v>
      </c>
      <c r="EI133" s="27" t="n">
        <f aca="false">1/(1+P_WACC)^((134-1)/12)</f>
        <v>0.366123392783333</v>
      </c>
      <c r="EJ133" s="27" t="n">
        <f aca="false">1/(1+P_WACC)^((135-1)/12)</f>
        <v>0.36336783542219</v>
      </c>
      <c r="EK133" s="27" t="n">
        <f aca="false">1/(1+P_WACC)^((136-1)/12)</f>
        <v>0.360633017234016</v>
      </c>
      <c r="EL133" s="27" t="n">
        <f aca="false">1/(1+P_WACC)^((137-1)/12)</f>
        <v>0.357918782129409</v>
      </c>
      <c r="EM133" s="27" t="n">
        <f aca="false">1/(1+P_WACC)^((138-1)/12)</f>
        <v>0.355224975193746</v>
      </c>
      <c r="EN133" s="27" t="n">
        <f aca="false">1/(1+P_WACC)^((139-1)/12)</f>
        <v>0.352551442678341</v>
      </c>
      <c r="EO133" s="27" t="n">
        <f aca="false">1/(1+P_WACC)^((140-1)/12)</f>
        <v>0.349898031991663</v>
      </c>
      <c r="EP133" s="27" t="n">
        <f aca="false">1/(1+P_WACC)^((141-1)/12)</f>
        <v>0.347264591690637</v>
      </c>
      <c r="EQ133" s="27" t="n">
        <f aca="false">1/(1+P_WACC)^((142-1)/12)</f>
        <v>0.344650971471992</v>
      </c>
      <c r="ER133" s="27" t="n">
        <f aca="false">1/(1+P_WACC)^((143-1)/12)</f>
        <v>0.342057022163687</v>
      </c>
      <c r="ES133" s="27" t="n">
        <f aca="false">1/(1+P_WACC)^((144-1)/12)</f>
        <v>0.339482595716395</v>
      </c>
    </row>
    <row r="134" customFormat="false" ht="15" hidden="false" customHeight="false" outlineLevel="0" collapsed="false">
      <c r="A134" s="2" t="s">
        <v>748</v>
      </c>
      <c r="B134" s="6" t="s">
        <v>749</v>
      </c>
      <c r="C134" s="6"/>
      <c r="F134" s="27" t="n">
        <f aca="false">1/(1+P_Ke)^((1-1)/12)</f>
        <v>1</v>
      </c>
      <c r="G134" s="27" t="n">
        <f aca="false">1/(1+P_Ke)^((2-1)/12)</f>
        <v>0.987481119072306</v>
      </c>
      <c r="H134" s="27" t="n">
        <f aca="false">1/(1+P_Ke)^((3-1)/12)</f>
        <v>0.975118960524295</v>
      </c>
      <c r="I134" s="27" t="n">
        <f aca="false">1/(1+P_Ke)^((4-1)/12)</f>
        <v>0.962911562367155</v>
      </c>
      <c r="J134" s="27" t="n">
        <f aca="false">1/(1+P_Ke)^((5-1)/12)</f>
        <v>0.950856987173981</v>
      </c>
      <c r="K134" s="27" t="n">
        <f aca="false">1/(1+P_Ke)^((6-1)/12)</f>
        <v>0.938953321772285</v>
      </c>
      <c r="L134" s="27" t="n">
        <f aca="false">1/(1+P_Ke)^((7-1)/12)</f>
        <v>0.927198676940355</v>
      </c>
      <c r="M134" s="27" t="n">
        <f aca="false">1/(1+P_Ke)^((8-1)/12)</f>
        <v>0.915591187107424</v>
      </c>
      <c r="N134" s="27" t="n">
        <f aca="false">1/(1+P_Ke)^((9-1)/12)</f>
        <v>0.90412901005758</v>
      </c>
      <c r="O134" s="27" t="n">
        <f aca="false">1/(1+P_Ke)^((10-1)/12)</f>
        <v>0.892810326637396</v>
      </c>
      <c r="P134" s="27" t="n">
        <f aca="false">1/(1+P_Ke)^((11-1)/12)</f>
        <v>0.881633340467207</v>
      </c>
      <c r="Q134" s="27" t="n">
        <f aca="false">1/(1+P_Ke)^((12-1)/12)</f>
        <v>0.870596277656014</v>
      </c>
      <c r="R134" s="27" t="n">
        <f aca="false">1/(1+P_Ke)^((13-1)/12)</f>
        <v>0.859697386519945</v>
      </c>
      <c r="S134" s="27" t="n">
        <f aca="false">1/(1+P_Ke)^((14-1)/12)</f>
        <v>0.848934937304252</v>
      </c>
      <c r="T134" s="27" t="n">
        <f aca="false">1/(1+P_Ke)^((15-1)/12)</f>
        <v>0.838307221908782</v>
      </c>
      <c r="U134" s="27" t="n">
        <f aca="false">1/(1+P_Ke)^((16-1)/12)</f>
        <v>0.82781255361688</v>
      </c>
      <c r="V134" s="27" t="n">
        <f aca="false">1/(1+P_Ke)^((17-1)/12)</f>
        <v>0.8174492668277</v>
      </c>
      <c r="W134" s="27" t="n">
        <f aca="false">1/(1+P_Ke)^((18-1)/12)</f>
        <v>0.807215716791854</v>
      </c>
      <c r="X134" s="27" t="n">
        <f aca="false">1/(1+P_Ke)^((19-1)/12)</f>
        <v>0.797110279350374</v>
      </c>
      <c r="Y134" s="27" t="n">
        <f aca="false">1/(1+P_Ke)^((20-1)/12)</f>
        <v>0.787131350676946</v>
      </c>
      <c r="Z134" s="27" t="n">
        <f aca="false">1/(1+P_Ke)^((21-1)/12)</f>
        <v>0.777277347023367</v>
      </c>
      <c r="AA134" s="27" t="n">
        <f aca="false">1/(1+P_Ke)^((22-1)/12)</f>
        <v>0.767546704468188</v>
      </c>
      <c r="AB134" s="27" t="n">
        <f aca="false">1/(1+P_Ke)^((23-1)/12)</f>
        <v>0.757937878668507</v>
      </c>
      <c r="AC134" s="27" t="n">
        <f aca="false">1/(1+P_Ke)^((24-1)/12)</f>
        <v>0.748449344614867</v>
      </c>
      <c r="AD134" s="27" t="n">
        <f aca="false">1/(1+P_Ke)^((25-1)/12)</f>
        <v>0.739079596389224</v>
      </c>
      <c r="AE134" s="27" t="n">
        <f aca="false">1/(1+P_Ke)^((26-1)/12)</f>
        <v>0.729827146925939</v>
      </c>
      <c r="AF134" s="27" t="n">
        <f aca="false">1/(1+P_Ke)^((27-1)/12)</f>
        <v>0.720690527775775</v>
      </c>
      <c r="AG134" s="27" t="n">
        <f aca="false">1/(1+P_Ke)^((28-1)/12)</f>
        <v>0.711668288872834</v>
      </c>
      <c r="AH134" s="27" t="n">
        <f aca="false">1/(1+P_Ke)^((29-1)/12)</f>
        <v>0.702758998304419</v>
      </c>
      <c r="AI134" s="27" t="n">
        <f aca="false">1/(1+P_Ke)^((30-1)/12)</f>
        <v>0.693961242083781</v>
      </c>
      <c r="AJ134" s="27" t="n">
        <f aca="false">1/(1+P_Ke)^((31-1)/12)</f>
        <v>0.6852736239257</v>
      </c>
      <c r="AK134" s="27" t="n">
        <f aca="false">1/(1+P_Ke)^((32-1)/12)</f>
        <v>0.676694765024885</v>
      </c>
      <c r="AL134" s="27" t="n">
        <f aca="false">1/(1+P_Ke)^((33-1)/12)</f>
        <v>0.668223303837145</v>
      </c>
      <c r="AM134" s="27" t="n">
        <f aca="false">1/(1+P_Ke)^((34-1)/12)</f>
        <v>0.659857895863298</v>
      </c>
      <c r="AN134" s="27" t="n">
        <f aca="false">1/(1+P_Ke)^((35-1)/12)</f>
        <v>0.651597213435787</v>
      </c>
      <c r="AO134" s="27" t="n">
        <f aca="false">1/(1+P_Ke)^((36-1)/12)</f>
        <v>0.643439945507967</v>
      </c>
      <c r="AP134" s="27" t="n">
        <f aca="false">1/(1+P_Ke)^((37-1)/12)</f>
        <v>0.635384797446031</v>
      </c>
      <c r="AQ134" s="27" t="n">
        <f aca="false">1/(1+P_Ke)^((38-1)/12)</f>
        <v>0.627430490823538</v>
      </c>
      <c r="AR134" s="27" t="n">
        <f aca="false">1/(1+P_Ke)^((39-1)/12)</f>
        <v>0.619575763218514</v>
      </c>
      <c r="AS134" s="27" t="n">
        <f aca="false">1/(1+P_Ke)^((40-1)/12)</f>
        <v>0.611819368013096</v>
      </c>
      <c r="AT134" s="27" t="n">
        <f aca="false">1/(1+P_Ke)^((41-1)/12)</f>
        <v>0.604160074195684</v>
      </c>
      <c r="AU134" s="27" t="n">
        <f aca="false">1/(1+P_Ke)^((42-1)/12)</f>
        <v>0.596596666165561</v>
      </c>
      <c r="AV134" s="27" t="n">
        <f aca="false">1/(1+P_Ke)^((43-1)/12)</f>
        <v>0.589127943539976</v>
      </c>
      <c r="AW134" s="27" t="n">
        <f aca="false">1/(1+P_Ke)^((44-1)/12)</f>
        <v>0.581752720963622</v>
      </c>
      <c r="AX134" s="27" t="n">
        <f aca="false">1/(1+P_Ke)^((45-1)/12)</f>
        <v>0.574469827920517</v>
      </c>
      <c r="AY134" s="27" t="n">
        <f aca="false">1/(1+P_Ke)^((46-1)/12)</f>
        <v>0.567278108548227</v>
      </c>
      <c r="AZ134" s="27" t="n">
        <f aca="false">1/(1+P_Ke)^((47-1)/12)</f>
        <v>0.560176421454425</v>
      </c>
      <c r="BA134" s="27" t="n">
        <f aca="false">1/(1+P_Ke)^((48-1)/12)</f>
        <v>0.553163639535735</v>
      </c>
      <c r="BB134" s="27" t="n">
        <f aca="false">1/(1+P_Ke)^((49-1)/12)</f>
        <v>0.546238649798858</v>
      </c>
      <c r="BC134" s="27" t="n">
        <f aca="false">1/(1+P_Ke)^((50-1)/12)</f>
        <v>0.539400353183922</v>
      </c>
      <c r="BD134" s="27" t="n">
        <f aca="false">1/(1+P_Ke)^((51-1)/12)</f>
        <v>0.532647664390056</v>
      </c>
      <c r="BE134" s="27" t="n">
        <f aca="false">1/(1+P_Ke)^((52-1)/12)</f>
        <v>0.525979511703143</v>
      </c>
      <c r="BF134" s="27" t="n">
        <f aca="false">1/(1+P_Ke)^((53-1)/12)</f>
        <v>0.519394836825725</v>
      </c>
      <c r="BG134" s="27" t="n">
        <f aca="false">1/(1+P_Ke)^((54-1)/12)</f>
        <v>0.512892594709045</v>
      </c>
      <c r="BH134" s="27" t="n">
        <f aca="false">1/(1+P_Ke)^((55-1)/12)</f>
        <v>0.506471753387187</v>
      </c>
      <c r="BI134" s="27" t="n">
        <f aca="false">1/(1+P_Ke)^((56-1)/12)</f>
        <v>0.500131293813293</v>
      </c>
      <c r="BJ134" s="27" t="n">
        <f aca="false">1/(1+P_Ke)^((57-1)/12)</f>
        <v>0.493870209697831</v>
      </c>
      <c r="BK134" s="27" t="n">
        <f aca="false">1/(1+P_Ke)^((58-1)/12)</f>
        <v>0.487687507348888</v>
      </c>
      <c r="BL134" s="27" t="n">
        <f aca="false">1/(1+P_Ke)^((59-1)/12)</f>
        <v>0.481582205514464</v>
      </c>
      <c r="BM134" s="27" t="n">
        <f aca="false">1/(1+P_Ke)^((60-1)/12)</f>
        <v>0.475553335226732</v>
      </c>
      <c r="BN134" s="27" t="n">
        <f aca="false">1/(1+P_Ke)^((61-1)/12)</f>
        <v>0.469599939648261</v>
      </c>
      <c r="BO134" s="27" t="n">
        <f aca="false">1/(1+P_Ke)^((62-1)/12)</f>
        <v>0.463721073920153</v>
      </c>
      <c r="BP134" s="27" t="n">
        <f aca="false">1/(1+P_Ke)^((63-1)/12)</f>
        <v>0.457915805012084</v>
      </c>
      <c r="BQ134" s="27" t="n">
        <f aca="false">1/(1+P_Ke)^((64-1)/12)</f>
        <v>0.452183211574229</v>
      </c>
      <c r="BR134" s="27" t="n">
        <f aca="false">1/(1+P_Ke)^((65-1)/12)</f>
        <v>0.446522383791029</v>
      </c>
      <c r="BS134" s="27" t="n">
        <f aca="false">1/(1+P_Ke)^((66-1)/12)</f>
        <v>0.4409324232368</v>
      </c>
      <c r="BT134" s="27" t="n">
        <f aca="false">1/(1+P_Ke)^((67-1)/12)</f>
        <v>0.435412442733139</v>
      </c>
      <c r="BU134" s="27" t="n">
        <f aca="false">1/(1+P_Ke)^((68-1)/12)</f>
        <v>0.429961566208126</v>
      </c>
      <c r="BV134" s="27" t="n">
        <f aca="false">1/(1+P_Ke)^((69-1)/12)</f>
        <v>0.424578928557282</v>
      </c>
      <c r="BW134" s="27" t="n">
        <f aca="false">1/(1+P_Ke)^((70-1)/12)</f>
        <v>0.419263675506266</v>
      </c>
      <c r="BX134" s="27" t="n">
        <f aca="false">1/(1+P_Ke)^((71-1)/12)</f>
        <v>0.414014963475296</v>
      </c>
      <c r="BY134" s="27" t="n">
        <f aca="false">1/(1+P_Ke)^((72-1)/12)</f>
        <v>0.408831959445265</v>
      </c>
      <c r="BZ134" s="27" t="n">
        <f aca="false">1/(1+P_Ke)^((73-1)/12)</f>
        <v>0.403713840825534</v>
      </c>
      <c r="CA134" s="27" t="n">
        <f aca="false">1/(1+P_Ke)^((74-1)/12)</f>
        <v>0.398659795323378</v>
      </c>
      <c r="CB134" s="27" t="n">
        <f aca="false">1/(1+P_Ke)^((75-1)/12)</f>
        <v>0.393669020815066</v>
      </c>
      <c r="CC134" s="27" t="n">
        <f aca="false">1/(1+P_Ke)^((76-1)/12)</f>
        <v>0.38874072521856</v>
      </c>
      <c r="CD134" s="27" t="n">
        <f aca="false">1/(1+P_Ke)^((77-1)/12)</f>
        <v>0.383874126367804</v>
      </c>
      <c r="CE134" s="27" t="n">
        <f aca="false">1/(1+P_Ke)^((78-1)/12)</f>
        <v>0.379068451888583</v>
      </c>
      <c r="CF134" s="27" t="n">
        <f aca="false">1/(1+P_Ke)^((79-1)/12)</f>
        <v>0.374322939075945</v>
      </c>
      <c r="CG134" s="27" t="n">
        <f aca="false">1/(1+P_Ke)^((80-1)/12)</f>
        <v>0.369636834773149</v>
      </c>
      <c r="CH134" s="27" t="n">
        <f aca="false">1/(1+P_Ke)^((81-1)/12)</f>
        <v>0.365009395252134</v>
      </c>
      <c r="CI134" s="27" t="n">
        <f aca="false">1/(1+P_Ke)^((82-1)/12)</f>
        <v>0.360439886095483</v>
      </c>
      <c r="CJ134" s="27" t="n">
        <f aca="false">1/(1+P_Ke)^((83-1)/12)</f>
        <v>0.355927582079862</v>
      </c>
      <c r="CK134" s="27" t="n">
        <f aca="false">1/(1+P_Ke)^((84-1)/12)</f>
        <v>0.351471767060923</v>
      </c>
      <c r="CL134" s="27" t="n">
        <f aca="false">1/(1+P_Ke)^((85-1)/12)</f>
        <v>0.347071733859641</v>
      </c>
      <c r="CM134" s="27" t="n">
        <f aca="false">1/(1+P_Ke)^((86-1)/12)</f>
        <v>0.342726784150084</v>
      </c>
      <c r="CN134" s="27" t="n">
        <f aca="false">1/(1+P_Ke)^((87-1)/12)</f>
        <v>0.338436228348578</v>
      </c>
      <c r="CO134" s="27" t="n">
        <f aca="false">1/(1+P_Ke)^((88-1)/12)</f>
        <v>0.334199385504264</v>
      </c>
      <c r="CP134" s="27" t="n">
        <f aca="false">1/(1+P_Ke)^((89-1)/12)</f>
        <v>0.330015583191028</v>
      </c>
      <c r="CQ134" s="27" t="n">
        <f aca="false">1/(1+P_Ke)^((90-1)/12)</f>
        <v>0.325884157400776</v>
      </c>
      <c r="CR134" s="27" t="n">
        <f aca="false">1/(1+P_Ke)^((91-1)/12)</f>
        <v>0.321804452438054</v>
      </c>
      <c r="CS134" s="27" t="n">
        <f aca="false">1/(1+P_Ke)^((92-1)/12)</f>
        <v>0.31777582081598</v>
      </c>
      <c r="CT134" s="27" t="n">
        <f aca="false">1/(1+P_Ke)^((93-1)/12)</f>
        <v>0.313797623153485</v>
      </c>
      <c r="CU134" s="27" t="n">
        <f aca="false">1/(1+P_Ke)^((94-1)/12)</f>
        <v>0.309869228073833</v>
      </c>
      <c r="CV134" s="27" t="n">
        <f aca="false">1/(1+P_Ke)^((95-1)/12)</f>
        <v>0.305990012104421</v>
      </c>
      <c r="CW134" s="27" t="n">
        <f aca="false">1/(1+P_Ke)^((96-1)/12)</f>
        <v>0.302159359577822</v>
      </c>
      <c r="CX134" s="27" t="n">
        <f aca="false">1/(1+P_Ke)^((97-1)/12)</f>
        <v>0.298376662534079</v>
      </c>
      <c r="CY134" s="27" t="n">
        <f aca="false">1/(1+P_Ke)^((98-1)/12)</f>
        <v>0.294641320624212</v>
      </c>
      <c r="CZ134" s="27" t="n">
        <f aca="false">1/(1+P_Ke)^((99-1)/12)</f>
        <v>0.29095274101494</v>
      </c>
      <c r="DA134" s="27" t="n">
        <f aca="false">1/(1+P_Ke)^((100-1)/12)</f>
        <v>0.287310338294587</v>
      </c>
      <c r="DB134" s="27" t="n">
        <f aca="false">1/(1+P_Ke)^((101-1)/12)</f>
        <v>0.283713534380182</v>
      </c>
      <c r="DC134" s="27" t="n">
        <f aca="false">1/(1+P_Ke)^((102-1)/12)</f>
        <v>0.280161758425702</v>
      </c>
      <c r="DD134" s="27" t="n">
        <f aca="false">1/(1+P_Ke)^((103-1)/12)</f>
        <v>0.276654446731477</v>
      </c>
      <c r="DE134" s="27" t="n">
        <f aca="false">1/(1+P_Ke)^((104-1)/12)</f>
        <v>0.273191042654729</v>
      </c>
      <c r="DF134" s="27" t="n">
        <f aca="false">1/(1+P_Ke)^((105-1)/12)</f>
        <v>0.269770996521222</v>
      </c>
      <c r="DG134" s="27" t="n">
        <f aca="false">1/(1+P_Ke)^((106-1)/12)</f>
        <v>0.266393765538027</v>
      </c>
      <c r="DH134" s="27" t="n">
        <f aca="false">1/(1+P_Ke)^((107-1)/12)</f>
        <v>0.263058813707377</v>
      </c>
      <c r="DI134" s="27" t="n">
        <f aca="false">1/(1+P_Ke)^((108-1)/12)</f>
        <v>0.259765611741594</v>
      </c>
      <c r="DJ134" s="27" t="n">
        <f aca="false">1/(1+P_Ke)^((109-1)/12)</f>
        <v>0.256513636979091</v>
      </c>
      <c r="DK134" s="27" t="n">
        <f aca="false">1/(1+P_Ke)^((110-1)/12)</f>
        <v>0.253302373301421</v>
      </c>
      <c r="DL134" s="27" t="n">
        <f aca="false">1/(1+P_Ke)^((111-1)/12)</f>
        <v>0.250131311051358</v>
      </c>
      <c r="DM134" s="27" t="n">
        <f aca="false">1/(1+P_Ke)^((112-1)/12)</f>
        <v>0.246999946952018</v>
      </c>
      <c r="DN134" s="27" t="n">
        <f aca="false">1/(1+P_Ke)^((113-1)/12)</f>
        <v>0.243907784026979</v>
      </c>
      <c r="DO134" s="27" t="n">
        <f aca="false">1/(1+P_Ke)^((114-1)/12)</f>
        <v>0.240854331521408</v>
      </c>
      <c r="DP134" s="27" t="n">
        <f aca="false">1/(1+P_Ke)^((115-1)/12)</f>
        <v>0.237839104824172</v>
      </c>
      <c r="DQ134" s="27" t="n">
        <f aca="false">1/(1+P_Ke)^((116-1)/12)</f>
        <v>0.234861625390929</v>
      </c>
      <c r="DR134" s="27" t="n">
        <f aca="false">1/(1+P_Ke)^((117-1)/12)</f>
        <v>0.231921420668176</v>
      </c>
      <c r="DS134" s="27" t="n">
        <f aca="false">1/(1+P_Ke)^((118-1)/12)</f>
        <v>0.229018024018249</v>
      </c>
      <c r="DT134" s="27" t="n">
        <f aca="false">1/(1+P_Ke)^((119-1)/12)</f>
        <v>0.226150974645269</v>
      </c>
      <c r="DU134" s="27" t="n">
        <f aca="false">1/(1+P_Ke)^((120-1)/12)</f>
        <v>0.223319817522003</v>
      </c>
      <c r="DV134" s="27" t="n">
        <f aca="false">1/(1+P_Ke)^((121-1)/12)</f>
        <v>0.220524103317651</v>
      </c>
      <c r="DW134" s="27" t="n">
        <f aca="false">1/(1+P_Ke)^((122-1)/12)</f>
        <v>0.217763388326531</v>
      </c>
      <c r="DX134" s="27" t="n">
        <f aca="false">1/(1+P_Ke)^((123-1)/12)</f>
        <v>0.21503723439766</v>
      </c>
      <c r="DY134" s="27" t="n">
        <f aca="false">1/(1+P_Ke)^((124-1)/12)</f>
        <v>0.212345208865215</v>
      </c>
      <c r="DZ134" s="27" t="n">
        <f aca="false">1/(1+P_Ke)^((125-1)/12)</f>
        <v>0.209686884479865</v>
      </c>
      <c r="EA134" s="27" t="n">
        <f aca="false">1/(1+P_Ke)^((126-1)/12)</f>
        <v>0.207061839340963</v>
      </c>
      <c r="EB134" s="27" t="n">
        <f aca="false">1/(1+P_Ke)^((127-1)/12)</f>
        <v>0.204469656829584</v>
      </c>
      <c r="EC134" s="27" t="n">
        <f aca="false">1/(1+P_Ke)^((128-1)/12)</f>
        <v>0.201909925542408</v>
      </c>
      <c r="ED134" s="27" t="n">
        <f aca="false">1/(1+P_Ke)^((129-1)/12)</f>
        <v>0.199382239226423</v>
      </c>
      <c r="EE134" s="27" t="n">
        <f aca="false">1/(1+P_Ke)^((130-1)/12)</f>
        <v>0.196886196714451</v>
      </c>
      <c r="EF134" s="27" t="n">
        <f aca="false">1/(1+P_Ke)^((131-1)/12)</f>
        <v>0.194421401861476</v>
      </c>
      <c r="EG134" s="27" t="n">
        <f aca="false">1/(1+P_Ke)^((132-1)/12)</f>
        <v>0.191987463481777</v>
      </c>
      <c r="EH134" s="27" t="n">
        <f aca="false">1/(1+P_Ke)^((133-1)/12)</f>
        <v>0.189583995286839</v>
      </c>
      <c r="EI134" s="27" t="n">
        <f aca="false">1/(1+P_Ke)^((134-1)/12)</f>
        <v>0.187210615824046</v>
      </c>
      <c r="EJ134" s="27" t="n">
        <f aca="false">1/(1+P_Ke)^((135-1)/12)</f>
        <v>0.184866948416145</v>
      </c>
      <c r="EK134" s="27" t="n">
        <f aca="false">1/(1+P_Ke)^((136-1)/12)</f>
        <v>0.182552621101457</v>
      </c>
      <c r="EL134" s="27" t="n">
        <f aca="false">1/(1+P_Ke)^((137-1)/12)</f>
        <v>0.18026726657485</v>
      </c>
      <c r="EM134" s="27" t="n">
        <f aca="false">1/(1+P_Ke)^((138-1)/12)</f>
        <v>0.178010522129438</v>
      </c>
      <c r="EN134" s="27" t="n">
        <f aca="false">1/(1+P_Ke)^((139-1)/12)</f>
        <v>0.175782029599023</v>
      </c>
      <c r="EO134" s="27" t="n">
        <f aca="false">1/(1+P_Ke)^((140-1)/12)</f>
        <v>0.173581435301245</v>
      </c>
      <c r="EP134" s="27" t="n">
        <f aca="false">1/(1+P_Ke)^((141-1)/12)</f>
        <v>0.171408389981451</v>
      </c>
      <c r="EQ134" s="27" t="n">
        <f aca="false">1/(1+P_Ke)^((142-1)/12)</f>
        <v>0.169262548757265</v>
      </c>
      <c r="ER134" s="27" t="n">
        <f aca="false">1/(1+P_Ke)^((143-1)/12)</f>
        <v>0.167143571063855</v>
      </c>
      <c r="ES134" s="27" t="n">
        <f aca="false">1/(1+P_Ke)^((144-1)/12)</f>
        <v>0.165051120599877</v>
      </c>
    </row>
    <row r="135" customFormat="false" ht="15" hidden="false" customHeight="false" outlineLevel="0" collapsed="false">
      <c r="A135" s="2" t="s">
        <v>750</v>
      </c>
      <c r="B135" s="6" t="s">
        <v>751</v>
      </c>
      <c r="C135" s="6" t="s">
        <v>250</v>
      </c>
      <c r="E135" s="40" t="n">
        <f aca="false">SUM(F135:ES135)</f>
        <v>14751245.7980366</v>
      </c>
      <c r="F135" s="34" t="n">
        <f aca="false">-F$112-(F$131-0)+F$127+IF(1=Fin,F$128+F$131+F$93-F$122,0)</f>
        <v>-767782</v>
      </c>
      <c r="G135" s="34" t="n">
        <f aca="false">-G$112-(G$131-F$131)+G$127+IF(2=Fin,G$128+G$131+G$93-G$122,0)</f>
        <v>0</v>
      </c>
      <c r="H135" s="34" t="n">
        <f aca="false">-H$112-(H$131-G$131)+H$127+IF(3=Fin,H$128+H$131+H$93-H$122,0)</f>
        <v>0</v>
      </c>
      <c r="I135" s="34" t="n">
        <f aca="false">-I$112-(I$131-H$131)+I$127+IF(4=Fin,I$128+I$131+I$93-I$122,0)</f>
        <v>0</v>
      </c>
      <c r="J135" s="34" t="n">
        <f aca="false">-J$112-(J$131-I$131)+J$127+IF(5=Fin,J$128+J$131+J$93-J$122,0)</f>
        <v>0</v>
      </c>
      <c r="K135" s="34" t="n">
        <f aca="false">-K$112-(K$131-J$131)+K$127+IF(6=Fin,K$128+K$131+K$93-K$122,0)</f>
        <v>0</v>
      </c>
      <c r="L135" s="34" t="n">
        <f aca="false">-L$112-(L$131-K$131)+L$127+IF(7=Fin,L$128+L$131+L$93-L$122,0)</f>
        <v>0</v>
      </c>
      <c r="M135" s="34" t="n">
        <f aca="false">-M$112-(M$131-L$131)+M$127+IF(8=Fin,M$128+M$131+M$93-M$122,0)</f>
        <v>0</v>
      </c>
      <c r="N135" s="34" t="n">
        <f aca="false">-N$112-(N$131-M$131)+N$127+IF(9=Fin,N$128+N$131+N$93-N$122,0)</f>
        <v>0</v>
      </c>
      <c r="O135" s="34" t="n">
        <f aca="false">-O$112-(O$131-N$131)+O$127+IF(10=Fin,O$128+O$131+O$93-O$122,0)</f>
        <v>0</v>
      </c>
      <c r="P135" s="34" t="n">
        <f aca="false">-P$112-(P$131-O$131)+P$127+IF(11=Fin,P$128+P$131+P$93-P$122,0)</f>
        <v>0</v>
      </c>
      <c r="Q135" s="34" t="n">
        <f aca="false">-Q$112-(Q$131-P$131)+Q$127+IF(12=Fin,Q$128+Q$131+Q$93-Q$122,0)</f>
        <v>0</v>
      </c>
      <c r="R135" s="34" t="n">
        <f aca="false">-R$112-(R$131-Q$131)+R$127+IF(13=Fin,R$128+R$131+R$93-R$122,0)</f>
        <v>-371928</v>
      </c>
      <c r="S135" s="34" t="n">
        <f aca="false">-S$112-(S$131-R$131)+S$127+IF(14=Fin,S$128+S$131+S$93-S$122,0)</f>
        <v>0</v>
      </c>
      <c r="T135" s="34" t="n">
        <f aca="false">-T$112-(T$131-S$131)+T$127+IF(15=Fin,T$128+T$131+T$93-T$122,0)</f>
        <v>0</v>
      </c>
      <c r="U135" s="34" t="n">
        <f aca="false">-U$112-(U$131-T$131)+U$127+IF(16=Fin,U$128+U$131+U$93-U$122,0)</f>
        <v>0</v>
      </c>
      <c r="V135" s="34" t="n">
        <f aca="false">-V$112-(V$131-U$131)+V$127+IF(17=Fin,V$128+V$131+V$93-V$122,0)</f>
        <v>0</v>
      </c>
      <c r="W135" s="34" t="n">
        <f aca="false">-W$112-(W$131-V$131)+W$127+IF(18=Fin,W$128+W$131+W$93-W$122,0)</f>
        <v>0</v>
      </c>
      <c r="X135" s="34" t="n">
        <f aca="false">-X$112-(X$131-W$131)+X$127+IF(19=Fin,X$128+X$131+X$93-X$122,0)</f>
        <v>0</v>
      </c>
      <c r="Y135" s="34" t="n">
        <f aca="false">-Y$112-(Y$131-X$131)+Y$127+IF(20=Fin,Y$128+Y$131+Y$93-Y$122,0)</f>
        <v>0</v>
      </c>
      <c r="Z135" s="34" t="n">
        <f aca="false">-Z$112-(Z$131-Y$131)+Z$127+IF(21=Fin,Z$128+Z$131+Z$93-Z$122,0)</f>
        <v>0</v>
      </c>
      <c r="AA135" s="34" t="n">
        <f aca="false">-AA$112-(AA$131-Z$131)+AA$127+IF(22=Fin,AA$128+AA$131+AA$93-AA$122,0)</f>
        <v>0</v>
      </c>
      <c r="AB135" s="34" t="n">
        <f aca="false">-AB$112-(AB$131-AA$131)+AB$127+IF(23=Fin,AB$128+AB$131+AB$93-AB$122,0)</f>
        <v>0</v>
      </c>
      <c r="AC135" s="34" t="n">
        <f aca="false">-AC$112-(AC$131-AB$131)+AC$127+IF(24=Fin,AC$128+AC$131+AC$93-AC$122,0)</f>
        <v>0</v>
      </c>
      <c r="AD135" s="34" t="n">
        <f aca="false">-AD$112-(AD$131-AC$131)+AD$127+IF(25=Fin,AD$128+AD$131+AD$93-AD$122,0)</f>
        <v>-311740.118672618</v>
      </c>
      <c r="AE135" s="34" t="n">
        <f aca="false">-AE$112-(AE$131-AD$131)+AE$127+IF(26=Fin,AE$128+AE$131+AE$93-AE$122,0)</f>
        <v>52573.6832870145</v>
      </c>
      <c r="AF135" s="34" t="n">
        <f aca="false">-AF$112-(AF$131-AE$131)+AF$127+IF(27=Fin,AF$128+AF$131+AF$93-AF$122,0)</f>
        <v>52610.0948845848</v>
      </c>
      <c r="AG135" s="34" t="n">
        <f aca="false">-AG$112-(AG$131-AF$131)+AG$127+IF(28=Fin,AG$128+AG$131+AG$93-AG$122,0)</f>
        <v>52646.7795691369</v>
      </c>
      <c r="AH135" s="34" t="n">
        <f aca="false">-AH$112-(AH$131-AG$131)+AH$127+IF(29=Fin,AH$128+AH$131+AH$93-AH$122,0)</f>
        <v>52683.7393888232</v>
      </c>
      <c r="AI135" s="34" t="n">
        <f aca="false">-AI$112-(AI$131-AH$131)+AI$127+IF(30=Fin,AI$128+AI$131+AI$93-AI$122,0)</f>
        <v>52720.9764071571</v>
      </c>
      <c r="AJ135" s="34" t="n">
        <f aca="false">-AJ$112-(AJ$131-AI$131)+AJ$127+IF(31=Fin,AJ$128+AJ$131+AJ$93-AJ$122,0)</f>
        <v>48504.8451359012</v>
      </c>
      <c r="AK135" s="34" t="n">
        <f aca="false">-AK$112-(AK$131-AJ$131)+AK$127+IF(32=Fin,AK$128+AK$131+AK$93-AK$122,0)</f>
        <v>0</v>
      </c>
      <c r="AL135" s="34" t="n">
        <f aca="false">-AL$112-(AL$131-AK$131)+AL$127+IF(33=Fin,AL$128+AL$131+AL$93-AL$122,0)</f>
        <v>0</v>
      </c>
      <c r="AM135" s="34" t="n">
        <f aca="false">-AM$112-(AM$131-AL$131)+AM$127+IF(34=Fin,AM$128+AM$131+AM$93-AM$122,0)</f>
        <v>0</v>
      </c>
      <c r="AN135" s="34" t="n">
        <f aca="false">-AN$112-(AN$131-AM$131)+AN$127+IF(35=Fin,AN$128+AN$131+AN$93-AN$122,0)</f>
        <v>0</v>
      </c>
      <c r="AO135" s="34" t="n">
        <f aca="false">-AO$112-(AO$131-AN$131)+AO$127+IF(36=Fin,AO$128+AO$131+AO$93-AO$122,0)</f>
        <v>0</v>
      </c>
      <c r="AP135" s="34" t="n">
        <f aca="false">-AP$112-(AP$131-AO$131)+AP$127+IF(37=Fin,AP$128+AP$131+AP$93-AP$122,0)</f>
        <v>-204392.169462804</v>
      </c>
      <c r="AQ135" s="34" t="n">
        <f aca="false">-AQ$112-(AQ$131-AP$131)+AQ$127+IF(38=Fin,AQ$128+AQ$131+AQ$93-AQ$122,0)</f>
        <v>85837.6535027239</v>
      </c>
      <c r="AR135" s="34" t="n">
        <f aca="false">-AR$112-(AR$131-AQ$131)+AR$127+IF(39=Fin,AR$128+AR$131+AR$93-AR$122,0)</f>
        <v>85877.4807593016</v>
      </c>
      <c r="AS135" s="34" t="n">
        <f aca="false">-AS$112-(AS$131-AR$131)+AS$127+IF(40=Fin,AS$128+AS$131+AS$93-AS$122,0)</f>
        <v>32677.0352007788</v>
      </c>
      <c r="AT135" s="34" t="n">
        <f aca="false">-AT$112-(AT$131-AS$131)+AT$127+IF(41=Fin,AT$128+AT$131+AT$93-AT$122,0)</f>
        <v>0</v>
      </c>
      <c r="AU135" s="34" t="n">
        <f aca="false">-AU$112-(AU$131-AT$131)+AU$127+IF(42=Fin,AU$128+AU$131+AU$93-AU$122,0)</f>
        <v>0</v>
      </c>
      <c r="AV135" s="34" t="n">
        <f aca="false">-AV$112-(AV$131-AU$131)+AV$127+IF(43=Fin,AV$128+AV$131+AV$93-AV$122,0)</f>
        <v>0</v>
      </c>
      <c r="AW135" s="34" t="n">
        <f aca="false">-AW$112-(AW$131-AV$131)+AW$127+IF(44=Fin,AW$128+AW$131+AW$93-AW$122,0)</f>
        <v>0</v>
      </c>
      <c r="AX135" s="34" t="n">
        <f aca="false">-AX$112-(AX$131-AW$131)+AX$127+IF(45=Fin,AX$128+AX$131+AX$93-AX$122,0)</f>
        <v>0</v>
      </c>
      <c r="AY135" s="34" t="n">
        <f aca="false">-AY$112-(AY$131-AX$131)+AY$127+IF(46=Fin,AY$128+AY$131+AY$93-AY$122,0)</f>
        <v>0</v>
      </c>
      <c r="AZ135" s="34" t="n">
        <f aca="false">-AZ$112-(AZ$131-AY$131)+AZ$127+IF(47=Fin,AZ$128+AZ$131+AZ$93-AZ$122,0)</f>
        <v>0</v>
      </c>
      <c r="BA135" s="34" t="n">
        <f aca="false">-BA$112-(BA$131-AZ$131)+BA$127+IF(48=Fin,BA$128+BA$131+BA$93-BA$122,0)</f>
        <v>0</v>
      </c>
      <c r="BB135" s="34" t="n">
        <f aca="false">-BB$112-(BB$131-BA$131)+BB$127+IF(49=Fin,BB$128+BB$131+BB$93-BB$122,0)</f>
        <v>0</v>
      </c>
      <c r="BC135" s="34" t="n">
        <f aca="false">-BC$112-(BC$131-BB$131)+BC$127+IF(50=Fin,BC$128+BC$131+BC$93-BC$122,0)</f>
        <v>0</v>
      </c>
      <c r="BD135" s="34" t="n">
        <f aca="false">-BD$112-(BD$131-BC$131)+BD$127+IF(51=Fin,BD$128+BD$131+BD$93-BD$122,0)</f>
        <v>0</v>
      </c>
      <c r="BE135" s="34" t="n">
        <f aca="false">-BE$112-(BE$131-BD$131)+BE$127+IF(52=Fin,BE$128+BE$131+BE$93-BE$122,0)</f>
        <v>804953.378380922</v>
      </c>
      <c r="BF135" s="34" t="n">
        <f aca="false">-BF$112-(BF$131-BE$131)+BF$127+IF(53=Fin,BF$128+BF$131+BF$93-BF$122,0)</f>
        <v>0</v>
      </c>
      <c r="BG135" s="34" t="n">
        <f aca="false">-BG$112-(BG$131-BF$131)+BG$127+IF(54=Fin,BG$128+BG$131+BG$93-BG$122,0)</f>
        <v>0</v>
      </c>
      <c r="BH135" s="34" t="n">
        <f aca="false">-BH$112-(BH$131-BG$131)+BH$127+IF(55=Fin,BH$128+BH$131+BH$93-BH$122,0)</f>
        <v>0</v>
      </c>
      <c r="BI135" s="34" t="n">
        <f aca="false">-BI$112-(BI$131-BH$131)+BI$127+IF(56=Fin,BI$128+BI$131+BI$93-BI$122,0)</f>
        <v>0</v>
      </c>
      <c r="BJ135" s="34" t="n">
        <f aca="false">-BJ$112-(BJ$131-BI$131)+BJ$127+IF(57=Fin,BJ$128+BJ$131+BJ$93-BJ$122,0)</f>
        <v>0</v>
      </c>
      <c r="BK135" s="34" t="n">
        <f aca="false">-BK$112-(BK$131-BJ$131)+BK$127+IF(58=Fin,BK$128+BK$131+BK$93-BK$122,0)</f>
        <v>0</v>
      </c>
      <c r="BL135" s="34" t="n">
        <f aca="false">-BL$112-(BL$131-BK$131)+BL$127+IF(59=Fin,BL$128+BL$131+BL$93-BL$122,0)</f>
        <v>0</v>
      </c>
      <c r="BM135" s="34" t="n">
        <f aca="false">-BM$112-(BM$131-BL$131)+BM$127+IF(60=Fin,BM$128+BM$131+BM$93-BM$122,0)</f>
        <v>0</v>
      </c>
      <c r="BN135" s="34" t="n">
        <f aca="false">-BN$112-(BN$131-BM$131)+BN$127+IF(61=Fin,BN$128+BN$131+BN$93-BN$122,0)</f>
        <v>0</v>
      </c>
      <c r="BO135" s="34" t="n">
        <f aca="false">-BO$112-(BO$131-BN$131)+BO$127+IF(62=Fin,BO$128+BO$131+BO$93-BO$122,0)</f>
        <v>0</v>
      </c>
      <c r="BP135" s="34" t="n">
        <f aca="false">-BP$112-(BP$131-BO$131)+BP$127+IF(63=Fin,BP$128+BP$131+BP$93-BP$122,0)</f>
        <v>0</v>
      </c>
      <c r="BQ135" s="34" t="n">
        <f aca="false">-BQ$112-(BQ$131-BP$131)+BQ$127+IF(64=Fin,BQ$128+BQ$131+BQ$93-BQ$122,0)</f>
        <v>1463926.54436822</v>
      </c>
      <c r="BR135" s="34" t="n">
        <f aca="false">-BR$112-(BR$131-BQ$131)+BR$127+IF(65=Fin,BR$128+BR$131+BR$93-BR$122,0)</f>
        <v>0</v>
      </c>
      <c r="BS135" s="34" t="n">
        <f aca="false">-BS$112-(BS$131-BR$131)+BS$127+IF(66=Fin,BS$128+BS$131+BS$93-BS$122,0)</f>
        <v>0</v>
      </c>
      <c r="BT135" s="34" t="n">
        <f aca="false">-BT$112-(BT$131-BS$131)+BT$127+IF(67=Fin,BT$128+BT$131+BT$93-BT$122,0)</f>
        <v>0</v>
      </c>
      <c r="BU135" s="34" t="n">
        <f aca="false">-BU$112-(BU$131-BT$131)+BU$127+IF(68=Fin,BU$128+BU$131+BU$93-BU$122,0)</f>
        <v>0</v>
      </c>
      <c r="BV135" s="34" t="n">
        <f aca="false">-BV$112-(BV$131-BU$131)+BV$127+IF(69=Fin,BV$128+BV$131+BV$93-BV$122,0)</f>
        <v>0</v>
      </c>
      <c r="BW135" s="34" t="n">
        <f aca="false">-BW$112-(BW$131-BV$131)+BW$127+IF(70=Fin,BW$128+BW$131+BW$93-BW$122,0)</f>
        <v>0</v>
      </c>
      <c r="BX135" s="34" t="n">
        <f aca="false">-BX$112-(BX$131-BW$131)+BX$127+IF(71=Fin,BX$128+BX$131+BX$93-BX$122,0)</f>
        <v>0</v>
      </c>
      <c r="BY135" s="34" t="n">
        <f aca="false">-BY$112-(BY$131-BX$131)+BY$127+IF(72=Fin,BY$128+BY$131+BY$93-BY$122,0)</f>
        <v>0</v>
      </c>
      <c r="BZ135" s="34" t="n">
        <f aca="false">-BZ$112-(BZ$131-BY$131)+BZ$127+IF(73=Fin,BZ$128+BZ$131+BZ$93-BZ$122,0)</f>
        <v>0</v>
      </c>
      <c r="CA135" s="34" t="n">
        <f aca="false">-CA$112-(CA$131-BZ$131)+CA$127+IF(74=Fin,CA$128+CA$131+CA$93-CA$122,0)</f>
        <v>0</v>
      </c>
      <c r="CB135" s="34" t="n">
        <f aca="false">-CB$112-(CB$131-CA$131)+CB$127+IF(75=Fin,CB$128+CB$131+CB$93-CB$122,0)</f>
        <v>0</v>
      </c>
      <c r="CC135" s="34" t="n">
        <f aca="false">-CC$112-(CC$131-CB$131)+CC$127+IF(76=Fin,CC$128+CC$131+CC$93-CC$122,0)</f>
        <v>1794188.69257391</v>
      </c>
      <c r="CD135" s="34" t="n">
        <f aca="false">-CD$112-(CD$131-CC$131)+CD$127+IF(77=Fin,CD$128+CD$131+CD$93-CD$122,0)</f>
        <v>0</v>
      </c>
      <c r="CE135" s="34" t="n">
        <f aca="false">-CE$112-(CE$131-CD$131)+CE$127+IF(78=Fin,CE$128+CE$131+CE$93-CE$122,0)</f>
        <v>0</v>
      </c>
      <c r="CF135" s="34" t="n">
        <f aca="false">-CF$112-(CF$131-CE$131)+CF$127+IF(79=Fin,CF$128+CF$131+CF$93-CF$122,0)</f>
        <v>0</v>
      </c>
      <c r="CG135" s="34" t="n">
        <f aca="false">-CG$112-(CG$131-CF$131)+CG$127+IF(80=Fin,CG$128+CG$131+CG$93-CG$122,0)</f>
        <v>0</v>
      </c>
      <c r="CH135" s="34" t="n">
        <f aca="false">-CH$112-(CH$131-CG$131)+CH$127+IF(81=Fin,CH$128+CH$131+CH$93-CH$122,0)</f>
        <v>0</v>
      </c>
      <c r="CI135" s="34" t="n">
        <f aca="false">-CI$112-(CI$131-CH$131)+CI$127+IF(82=Fin,CI$128+CI$131+CI$93-CI$122,0)</f>
        <v>0</v>
      </c>
      <c r="CJ135" s="34" t="n">
        <f aca="false">-CJ$112-(CJ$131-CI$131)+CJ$127+IF(83=Fin,CJ$128+CJ$131+CJ$93-CJ$122,0)</f>
        <v>0</v>
      </c>
      <c r="CK135" s="34" t="n">
        <f aca="false">-CK$112-(CK$131-CJ$131)+CK$127+IF(84=Fin,CK$128+CK$131+CK$93-CK$122,0)</f>
        <v>0</v>
      </c>
      <c r="CL135" s="34" t="n">
        <f aca="false">-CL$112-(CL$131-CK$131)+CL$127+IF(85=Fin,CL$128+CL$131+CL$93-CL$122,0)</f>
        <v>0</v>
      </c>
      <c r="CM135" s="34" t="n">
        <f aca="false">-CM$112-(CM$131-CL$131)+CM$127+IF(86=Fin,CM$128+CM$131+CM$93-CM$122,0)</f>
        <v>0</v>
      </c>
      <c r="CN135" s="34" t="n">
        <f aca="false">-CN$112-(CN$131-CM$131)+CN$127+IF(87=Fin,CN$128+CN$131+CN$93-CN$122,0)</f>
        <v>0</v>
      </c>
      <c r="CO135" s="34" t="n">
        <f aca="false">-CO$112-(CO$131-CN$131)+CO$127+IF(88=Fin,CO$128+CO$131+CO$93-CO$122,0)</f>
        <v>1843575.6608728</v>
      </c>
      <c r="CP135" s="34" t="n">
        <f aca="false">-CP$112-(CP$131-CO$131)+CP$127+IF(89=Fin,CP$128+CP$131+CP$93-CP$122,0)</f>
        <v>0</v>
      </c>
      <c r="CQ135" s="34" t="n">
        <f aca="false">-CQ$112-(CQ$131-CP$131)+CQ$127+IF(90=Fin,CQ$128+CQ$131+CQ$93-CQ$122,0)</f>
        <v>0</v>
      </c>
      <c r="CR135" s="34" t="n">
        <f aca="false">-CR$112-(CR$131-CQ$131)+CR$127+IF(91=Fin,CR$128+CR$131+CR$93-CR$122,0)</f>
        <v>0</v>
      </c>
      <c r="CS135" s="34" t="n">
        <f aca="false">-CS$112-(CS$131-CR$131)+CS$127+IF(92=Fin,CS$128+CS$131+CS$93-CS$122,0)</f>
        <v>0</v>
      </c>
      <c r="CT135" s="34" t="n">
        <f aca="false">-CT$112-(CT$131-CS$131)+CT$127+IF(93=Fin,CT$128+CT$131+CT$93-CT$122,0)</f>
        <v>0</v>
      </c>
      <c r="CU135" s="34" t="n">
        <f aca="false">-CU$112-(CU$131-CT$131)+CU$127+IF(94=Fin,CU$128+CU$131+CU$93-CU$122,0)</f>
        <v>0</v>
      </c>
      <c r="CV135" s="34" t="n">
        <f aca="false">-CV$112-(CV$131-CU$131)+CV$127+IF(95=Fin,CV$128+CV$131+CV$93-CV$122,0)</f>
        <v>0</v>
      </c>
      <c r="CW135" s="34" t="n">
        <f aca="false">-CW$112-(CW$131-CV$131)+CW$127+IF(96=Fin,CW$128+CW$131+CW$93-CW$122,0)</f>
        <v>0</v>
      </c>
      <c r="CX135" s="34" t="n">
        <f aca="false">-CX$112-(CX$131-CW$131)+CX$127+IF(97=Fin,CX$128+CX$131+CX$93-CX$122,0)</f>
        <v>0</v>
      </c>
      <c r="CY135" s="34" t="n">
        <f aca="false">-CY$112-(CY$131-CX$131)+CY$127+IF(98=Fin,CY$128+CY$131+CY$93-CY$122,0)</f>
        <v>0</v>
      </c>
      <c r="CZ135" s="34" t="n">
        <f aca="false">-CZ$112-(CZ$131-CY$131)+CZ$127+IF(99=Fin,CZ$128+CZ$131+CZ$93-CZ$122,0)</f>
        <v>0</v>
      </c>
      <c r="DA135" s="34" t="n">
        <f aca="false">-DA$112-(DA$131-CZ$131)+DA$127+IF(100=Fin,DA$128+DA$131+DA$93-DA$122,0)</f>
        <v>1893301.21355545</v>
      </c>
      <c r="DB135" s="34" t="n">
        <f aca="false">-DB$112-(DB$131-DA$131)+DB$127+IF(101=Fin,DB$128+DB$131+DB$93-DB$122,0)</f>
        <v>0</v>
      </c>
      <c r="DC135" s="34" t="n">
        <f aca="false">-DC$112-(DC$131-DB$131)+DC$127+IF(102=Fin,DC$128+DC$131+DC$93-DC$122,0)</f>
        <v>0</v>
      </c>
      <c r="DD135" s="34" t="n">
        <f aca="false">-DD$112-(DD$131-DC$131)+DD$127+IF(103=Fin,DD$128+DD$131+DD$93-DD$122,0)</f>
        <v>0</v>
      </c>
      <c r="DE135" s="34" t="n">
        <f aca="false">-DE$112-(DE$131-DD$131)+DE$127+IF(104=Fin,DE$128+DE$131+DE$93-DE$122,0)</f>
        <v>0</v>
      </c>
      <c r="DF135" s="34" t="n">
        <f aca="false">-DF$112-(DF$131-DE$131)+DF$127+IF(105=Fin,DF$128+DF$131+DF$93-DF$122,0)</f>
        <v>0</v>
      </c>
      <c r="DG135" s="34" t="n">
        <f aca="false">-DG$112-(DG$131-DF$131)+DG$127+IF(106=Fin,DG$128+DG$131+DG$93-DG$122,0)</f>
        <v>0</v>
      </c>
      <c r="DH135" s="34" t="n">
        <f aca="false">-DH$112-(DH$131-DG$131)+DH$127+IF(107=Fin,DH$128+DH$131+DH$93-DH$122,0)</f>
        <v>0</v>
      </c>
      <c r="DI135" s="34" t="n">
        <f aca="false">-DI$112-(DI$131-DH$131)+DI$127+IF(108=Fin,DI$128+DI$131+DI$93-DI$122,0)</f>
        <v>0</v>
      </c>
      <c r="DJ135" s="34" t="n">
        <f aca="false">-DJ$112-(DJ$131-DI$131)+DJ$127+IF(109=Fin,DJ$128+DJ$131+DJ$93-DJ$122,0)</f>
        <v>0</v>
      </c>
      <c r="DK135" s="34" t="n">
        <f aca="false">-DK$112-(DK$131-DJ$131)+DK$127+IF(110=Fin,DK$128+DK$131+DK$93-DK$122,0)</f>
        <v>0</v>
      </c>
      <c r="DL135" s="34" t="n">
        <f aca="false">-DL$112-(DL$131-DK$131)+DL$127+IF(111=Fin,DL$128+DL$131+DL$93-DL$122,0)</f>
        <v>0</v>
      </c>
      <c r="DM135" s="34" t="n">
        <f aca="false">-DM$112-(DM$131-DL$131)+DM$127+IF(112=Fin,DM$128+DM$131+DM$93-DM$122,0)</f>
        <v>1943364.14678689</v>
      </c>
      <c r="DN135" s="34" t="n">
        <f aca="false">-DN$112-(DN$131-DM$131)+DN$127+IF(113=Fin,DN$128+DN$131+DN$93-DN$122,0)</f>
        <v>0</v>
      </c>
      <c r="DO135" s="34" t="n">
        <f aca="false">-DO$112-(DO$131-DN$131)+DO$127+IF(114=Fin,DO$128+DO$131+DO$93-DO$122,0)</f>
        <v>0</v>
      </c>
      <c r="DP135" s="34" t="n">
        <f aca="false">-DP$112-(DP$131-DO$131)+DP$127+IF(115=Fin,DP$128+DP$131+DP$93-DP$122,0)</f>
        <v>0</v>
      </c>
      <c r="DQ135" s="34" t="n">
        <f aca="false">-DQ$112-(DQ$131-DP$131)+DQ$127+IF(116=Fin,DQ$128+DQ$131+DQ$93-DQ$122,0)</f>
        <v>0</v>
      </c>
      <c r="DR135" s="34" t="n">
        <f aca="false">-DR$112-(DR$131-DQ$131)+DR$127+IF(117=Fin,DR$128+DR$131+DR$93-DR$122,0)</f>
        <v>0</v>
      </c>
      <c r="DS135" s="34" t="n">
        <f aca="false">-DS$112-(DS$131-DR$131)+DS$127+IF(118=Fin,DS$128+DS$131+DS$93-DS$122,0)</f>
        <v>0</v>
      </c>
      <c r="DT135" s="34" t="n">
        <f aca="false">-DT$112-(DT$131-DS$131)+DT$127+IF(119=Fin,DT$128+DT$131+DT$93-DT$122,0)</f>
        <v>0</v>
      </c>
      <c r="DU135" s="34" t="n">
        <f aca="false">-DU$112-(DU$131-DT$131)+DU$127+IF(120=Fin,DU$128+DU$131+DU$93-DU$122,0)</f>
        <v>6147646.16149837</v>
      </c>
      <c r="DV135" s="34" t="n">
        <f aca="false">-DV$112-(DV$131-DU$131)+DV$127+IF(121=Fin,DV$128+DV$131+DV$93-DV$122,0)</f>
        <v>0</v>
      </c>
      <c r="DW135" s="34" t="n">
        <f aca="false">-DW$112-(DW$131-DV$131)+DW$127+IF(122=Fin,DW$128+DW$131+DW$93-DW$122,0)</f>
        <v>0</v>
      </c>
      <c r="DX135" s="34" t="n">
        <f aca="false">-DX$112-(DX$131-DW$131)+DX$127+IF(123=Fin,DX$128+DX$131+DX$93-DX$122,0)</f>
        <v>0</v>
      </c>
      <c r="DY135" s="34" t="n">
        <f aca="false">-DY$112-(DY$131-DX$131)+DY$127+IF(124=Fin,DY$128+DY$131+DY$93-DY$122,0)</f>
        <v>0</v>
      </c>
      <c r="DZ135" s="34" t="n">
        <f aca="false">-DZ$112-(DZ$131-DY$131)+DZ$127+IF(125=Fin,DZ$128+DZ$131+DZ$93-DZ$122,0)</f>
        <v>0</v>
      </c>
      <c r="EA135" s="34" t="n">
        <f aca="false">-EA$112-(EA$131-DZ$131)+EA$127+IF(126=Fin,EA$128+EA$131+EA$93-EA$122,0)</f>
        <v>0</v>
      </c>
      <c r="EB135" s="34" t="n">
        <f aca="false">-EB$112-(EB$131-EA$131)+EB$127+IF(127=Fin,EB$128+EB$131+EB$93-EB$122,0)</f>
        <v>0</v>
      </c>
      <c r="EC135" s="34" t="n">
        <f aca="false">-EC$112-(EC$131-EB$131)+EC$127+IF(128=Fin,EC$128+EC$131+EC$93-EC$122,0)</f>
        <v>0</v>
      </c>
      <c r="ED135" s="34" t="n">
        <f aca="false">-ED$112-(ED$131-EC$131)+ED$127+IF(129=Fin,ED$128+ED$131+ED$93-ED$122,0)</f>
        <v>0</v>
      </c>
      <c r="EE135" s="34" t="n">
        <f aca="false">-EE$112-(EE$131-ED$131)+EE$127+IF(130=Fin,EE$128+EE$131+EE$93-EE$122,0)</f>
        <v>0</v>
      </c>
      <c r="EF135" s="34" t="n">
        <f aca="false">-EF$112-(EF$131-EE$131)+EF$127+IF(131=Fin,EF$128+EF$131+EF$93-EF$122,0)</f>
        <v>0</v>
      </c>
      <c r="EG135" s="34" t="n">
        <f aca="false">-EG$112-(EG$131-EF$131)+EG$127+IF(132=Fin,EG$128+EG$131+EG$93-EG$122,0)</f>
        <v>0</v>
      </c>
      <c r="EH135" s="34" t="n">
        <f aca="false">-EH$112-(EH$131-EG$131)+EH$127+IF(133=Fin,EH$128+EH$131+EH$93-EH$122,0)</f>
        <v>0</v>
      </c>
      <c r="EI135" s="34" t="n">
        <f aca="false">-EI$112-(EI$131-EH$131)+EI$127+IF(134=Fin,EI$128+EI$131+EI$93-EI$122,0)</f>
        <v>0</v>
      </c>
      <c r="EJ135" s="34" t="n">
        <f aca="false">-EJ$112-(EJ$131-EI$131)+EJ$127+IF(135=Fin,EJ$128+EJ$131+EJ$93-EJ$122,0)</f>
        <v>0</v>
      </c>
      <c r="EK135" s="34" t="n">
        <f aca="false">-EK$112-(EK$131-EJ$131)+EK$127+IF(136=Fin,EK$128+EK$131+EK$93-EK$122,0)</f>
        <v>0</v>
      </c>
      <c r="EL135" s="34" t="n">
        <f aca="false">-EL$112-(EL$131-EK$131)+EL$127+IF(137=Fin,EL$128+EL$131+EL$93-EL$122,0)</f>
        <v>0</v>
      </c>
      <c r="EM135" s="34" t="n">
        <f aca="false">-EM$112-(EM$131-EL$131)+EM$127+IF(138=Fin,EM$128+EM$131+EM$93-EM$122,0)</f>
        <v>0</v>
      </c>
      <c r="EN135" s="34" t="n">
        <f aca="false">-EN$112-(EN$131-EM$131)+EN$127+IF(139=Fin,EN$128+EN$131+EN$93-EN$122,0)</f>
        <v>0</v>
      </c>
      <c r="EO135" s="34" t="n">
        <f aca="false">-EO$112-(EO$131-EN$131)+EO$127+IF(140=Fin,EO$128+EO$131+EO$93-EO$122,0)</f>
        <v>0</v>
      </c>
      <c r="EP135" s="34" t="n">
        <f aca="false">-EP$112-(EP$131-EO$131)+EP$127+IF(141=Fin,EP$128+EP$131+EP$93-EP$122,0)</f>
        <v>0</v>
      </c>
      <c r="EQ135" s="34" t="n">
        <f aca="false">-EQ$112-(EQ$131-EP$131)+EQ$127+IF(142=Fin,EQ$128+EQ$131+EQ$93-EQ$122,0)</f>
        <v>0</v>
      </c>
      <c r="ER135" s="34" t="n">
        <f aca="false">-ER$112-(ER$131-EQ$131)+ER$127+IF(143=Fin,ER$128+ER$131+ER$93-ER$122,0)</f>
        <v>0</v>
      </c>
      <c r="ES135" s="34" t="n">
        <f aca="false">-ES$112-(ES$131-ER$131)+ES$127+IF(144=Fin,ES$128+ES$131+ES$93-ES$122,0)</f>
        <v>0</v>
      </c>
    </row>
    <row r="136" customFormat="false" ht="15" hidden="false" customHeight="false" outlineLevel="0" collapsed="false">
      <c r="A136" s="2" t="s">
        <v>752</v>
      </c>
      <c r="B136" s="6" t="s">
        <v>753</v>
      </c>
      <c r="C136" s="6" t="s">
        <v>250</v>
      </c>
      <c r="E136" s="40" t="n">
        <f aca="false">INDEX(F136:ES136,1,MIN(144,Fin))</f>
        <v>15564459.926261</v>
      </c>
      <c r="F136" s="34" t="n">
        <f aca="false">0+F$94</f>
        <v>-3000610.47688344</v>
      </c>
      <c r="G136" s="34" t="n">
        <f aca="false">F$136+G$94</f>
        <v>-2958112.97640785</v>
      </c>
      <c r="H136" s="34" t="n">
        <f aca="false">G$136+H$94</f>
        <v>-2915615.47593226</v>
      </c>
      <c r="I136" s="34" t="n">
        <f aca="false">H$136+I$94</f>
        <v>-2873117.97545667</v>
      </c>
      <c r="J136" s="34" t="n">
        <f aca="false">I$136+J$94</f>
        <v>-2830620.47498108</v>
      </c>
      <c r="K136" s="34" t="n">
        <f aca="false">J$136+K$94</f>
        <v>-2788122.97450549</v>
      </c>
      <c r="L136" s="34" t="n">
        <f aca="false">K$136+L$94</f>
        <v>-2745625.4740299</v>
      </c>
      <c r="M136" s="34" t="n">
        <f aca="false">L$136+M$94</f>
        <v>-2703127.97355431</v>
      </c>
      <c r="N136" s="34" t="n">
        <f aca="false">M$136+N$94</f>
        <v>-2660630.47307872</v>
      </c>
      <c r="O136" s="34" t="n">
        <f aca="false">N$136+O$94</f>
        <v>-2618132.97260313</v>
      </c>
      <c r="P136" s="34" t="n">
        <f aca="false">O$136+P$94</f>
        <v>-2575635.47212754</v>
      </c>
      <c r="Q136" s="34" t="n">
        <f aca="false">P$136+Q$94</f>
        <v>-2533137.97165195</v>
      </c>
      <c r="R136" s="34" t="n">
        <f aca="false">Q$136+R$94</f>
        <v>-3207787.01305363</v>
      </c>
      <c r="S136" s="34" t="n">
        <f aca="false">R$136+S$94</f>
        <v>-3127290.61005967</v>
      </c>
      <c r="T136" s="34" t="n">
        <f aca="false">S$136+T$94</f>
        <v>-3046794.2070657</v>
      </c>
      <c r="U136" s="34" t="n">
        <f aca="false">T$136+U$94</f>
        <v>-2966297.80407174</v>
      </c>
      <c r="V136" s="34" t="n">
        <f aca="false">U$136+V$94</f>
        <v>-2885801.40107777</v>
      </c>
      <c r="W136" s="34" t="n">
        <f aca="false">V$136+W$94</f>
        <v>-2805304.99808381</v>
      </c>
      <c r="X136" s="34" t="n">
        <f aca="false">W$136+X$94</f>
        <v>-2724808.59508984</v>
      </c>
      <c r="Y136" s="34" t="n">
        <f aca="false">X$136+Y$94</f>
        <v>-2644312.19209588</v>
      </c>
      <c r="Z136" s="34" t="n">
        <f aca="false">Y$136+Z$94</f>
        <v>-2563815.78910191</v>
      </c>
      <c r="AA136" s="34" t="n">
        <f aca="false">Z$136+AA$94</f>
        <v>-2483319.38610795</v>
      </c>
      <c r="AB136" s="34" t="n">
        <f aca="false">AA$136+AB$94</f>
        <v>-2402822.98311398</v>
      </c>
      <c r="AC136" s="34" t="n">
        <f aca="false">AB$136+AC$94</f>
        <v>-2322326.58012002</v>
      </c>
      <c r="AD136" s="34" t="n">
        <f aca="false">AC$136+AD$94</f>
        <v>-2872568.47988732</v>
      </c>
      <c r="AE136" s="34" t="n">
        <f aca="false">AD$136+AE$94</f>
        <v>-2755483.44902219</v>
      </c>
      <c r="AF136" s="34" t="n">
        <f aca="false">AE$136+AF$94</f>
        <v>-2638398.41815707</v>
      </c>
      <c r="AG136" s="34" t="n">
        <f aca="false">AF$136+AG$94</f>
        <v>-2521313.38729194</v>
      </c>
      <c r="AH136" s="34" t="n">
        <f aca="false">AG$136+AH$94</f>
        <v>-2404228.35642682</v>
      </c>
      <c r="AI136" s="34" t="n">
        <f aca="false">AH$136+AI$94</f>
        <v>-2287143.32556169</v>
      </c>
      <c r="AJ136" s="34" t="n">
        <f aca="false">AI$136+AJ$94</f>
        <v>-2170058.29469657</v>
      </c>
      <c r="AK136" s="34" t="n">
        <f aca="false">AJ$136+AK$94</f>
        <v>-2052973.26383144</v>
      </c>
      <c r="AL136" s="34" t="n">
        <f aca="false">AK$136+AL$94</f>
        <v>-1935888.23296632</v>
      </c>
      <c r="AM136" s="34" t="n">
        <f aca="false">AL$136+AM$94</f>
        <v>-1818803.20210119</v>
      </c>
      <c r="AN136" s="34" t="n">
        <f aca="false">AM$136+AN$94</f>
        <v>-1701718.17123607</v>
      </c>
      <c r="AO136" s="34" t="n">
        <f aca="false">AN$136+AO$94</f>
        <v>-1584633.14037094</v>
      </c>
      <c r="AP136" s="34" t="n">
        <f aca="false">AO$136+AP$94</f>
        <v>-1993548.6304244</v>
      </c>
      <c r="AQ136" s="34" t="n">
        <f aca="false">AP$136+AQ$94</f>
        <v>-1843655.05054454</v>
      </c>
      <c r="AR136" s="34" t="n">
        <f aca="false">AQ$136+AR$94</f>
        <v>-1693761.47066468</v>
      </c>
      <c r="AS136" s="34" t="n">
        <f aca="false">AR$136+AS$94</f>
        <v>-1543867.89078482</v>
      </c>
      <c r="AT136" s="34" t="n">
        <f aca="false">AS$136+AT$94</f>
        <v>-1393974.31090497</v>
      </c>
      <c r="AU136" s="34" t="n">
        <f aca="false">AT$136+AU$94</f>
        <v>-1244080.73102511</v>
      </c>
      <c r="AV136" s="34" t="n">
        <f aca="false">AU$136+AV$94</f>
        <v>-1094187.15114525</v>
      </c>
      <c r="AW136" s="34" t="n">
        <f aca="false">AV$136+AW$94</f>
        <v>-944293.571265391</v>
      </c>
      <c r="AX136" s="34" t="n">
        <f aca="false">AW$136+AX$94</f>
        <v>-794399.991385533</v>
      </c>
      <c r="AY136" s="34" t="n">
        <f aca="false">AX$136+AY$94</f>
        <v>-644506.411505674</v>
      </c>
      <c r="AZ136" s="34" t="n">
        <f aca="false">AY$136+AZ$94</f>
        <v>-494612.831625816</v>
      </c>
      <c r="BA136" s="34" t="n">
        <f aca="false">AZ$136+BA$94</f>
        <v>-344719.251745958</v>
      </c>
      <c r="BB136" s="34" t="n">
        <f aca="false">BA$136+BB$94</f>
        <v>-231615.634575444</v>
      </c>
      <c r="BC136" s="34" t="n">
        <f aca="false">BB$136+BC$94</f>
        <v>-80402.4696990702</v>
      </c>
      <c r="BD136" s="34" t="n">
        <f aca="false">BC$136+BD$94</f>
        <v>70810.6951773035</v>
      </c>
      <c r="BE136" s="34" t="n">
        <f aca="false">BD$136+BE$94</f>
        <v>222023.860053677</v>
      </c>
      <c r="BF136" s="34" t="n">
        <f aca="false">BE$136+BF$94</f>
        <v>373237.024930051</v>
      </c>
      <c r="BG136" s="34" t="n">
        <f aca="false">BF$136+BG$94</f>
        <v>524450.189806425</v>
      </c>
      <c r="BH136" s="34" t="n">
        <f aca="false">BG$136+BH$94</f>
        <v>675663.354682798</v>
      </c>
      <c r="BI136" s="34" t="n">
        <f aca="false">BH$136+BI$94</f>
        <v>826876.519559172</v>
      </c>
      <c r="BJ136" s="34" t="n">
        <f aca="false">BI$136+BJ$94</f>
        <v>978089.684435546</v>
      </c>
      <c r="BK136" s="34" t="n">
        <f aca="false">BJ$136+BK$94</f>
        <v>1129302.84931192</v>
      </c>
      <c r="BL136" s="34" t="n">
        <f aca="false">BK$136+BL$94</f>
        <v>1280516.01418829</v>
      </c>
      <c r="BM136" s="34" t="n">
        <f aca="false">BL$136+BM$94</f>
        <v>1431729.17906467</v>
      </c>
      <c r="BN136" s="34" t="n">
        <f aca="false">BM$136+BN$94</f>
        <v>1549304.7643939</v>
      </c>
      <c r="BO136" s="34" t="n">
        <f aca="false">BN$136+BO$94</f>
        <v>1704605.20619172</v>
      </c>
      <c r="BP136" s="34" t="n">
        <f aca="false">BO$136+BP$94</f>
        <v>1859905.64798955</v>
      </c>
      <c r="BQ136" s="34" t="n">
        <f aca="false">BP$136+BQ$94</f>
        <v>2015206.08978738</v>
      </c>
      <c r="BR136" s="34" t="n">
        <f aca="false">BQ$136+BR$94</f>
        <v>2170506.5315852</v>
      </c>
      <c r="BS136" s="34" t="n">
        <f aca="false">BR$136+BS$94</f>
        <v>2325806.97338303</v>
      </c>
      <c r="BT136" s="34" t="n">
        <f aca="false">BS$136+BT$94</f>
        <v>2481107.41518085</v>
      </c>
      <c r="BU136" s="34" t="n">
        <f aca="false">BT$136+BU$94</f>
        <v>2636407.85697868</v>
      </c>
      <c r="BV136" s="34" t="n">
        <f aca="false">BU$136+BV$94</f>
        <v>2791708.29877651</v>
      </c>
      <c r="BW136" s="34" t="n">
        <f aca="false">BV$136+BW$94</f>
        <v>2947008.74057433</v>
      </c>
      <c r="BX136" s="34" t="n">
        <f aca="false">BW$136+BX$94</f>
        <v>3102309.18237216</v>
      </c>
      <c r="BY136" s="34" t="n">
        <f aca="false">BX$136+BY$94</f>
        <v>3257609.62416998</v>
      </c>
      <c r="BZ136" s="34" t="n">
        <f aca="false">BY$136+BZ$94</f>
        <v>3378935.7534346</v>
      </c>
      <c r="CA136" s="34" t="n">
        <f aca="false">BZ$136+CA$94</f>
        <v>3538351.775924</v>
      </c>
      <c r="CB136" s="34" t="n">
        <f aca="false">CA$136+CB$94</f>
        <v>3697767.7984134</v>
      </c>
      <c r="CC136" s="34" t="n">
        <f aca="false">CB$136+CC$94</f>
        <v>3857183.8209028</v>
      </c>
      <c r="CD136" s="34" t="n">
        <f aca="false">CC$136+CD$94</f>
        <v>4016599.8433922</v>
      </c>
      <c r="CE136" s="34" t="n">
        <f aca="false">CD$136+CE$94</f>
        <v>4176015.8658816</v>
      </c>
      <c r="CF136" s="34" t="n">
        <f aca="false">CE$136+CF$94</f>
        <v>4335431.888371</v>
      </c>
      <c r="CG136" s="34" t="n">
        <f aca="false">CF$136+CG$94</f>
        <v>4494847.9108604</v>
      </c>
      <c r="CH136" s="34" t="n">
        <f aca="false">CG$136+CH$94</f>
        <v>4654263.9333498</v>
      </c>
      <c r="CI136" s="34" t="n">
        <f aca="false">CH$136+CI$94</f>
        <v>4813679.9558392</v>
      </c>
      <c r="CJ136" s="34" t="n">
        <f aca="false">CI$136+CJ$94</f>
        <v>4973095.9783286</v>
      </c>
      <c r="CK136" s="34" t="n">
        <f aca="false">CJ$136+CK$94</f>
        <v>5132512.000818</v>
      </c>
      <c r="CL136" s="34" t="n">
        <f aca="false">CK$136+CL$94</f>
        <v>5257613.60166977</v>
      </c>
      <c r="CM136" s="34" t="n">
        <f aca="false">CL$136+CM$94</f>
        <v>5421173.42021606</v>
      </c>
      <c r="CN136" s="34" t="n">
        <f aca="false">CM$136+CN$94</f>
        <v>5584733.23876234</v>
      </c>
      <c r="CO136" s="34" t="n">
        <f aca="false">CN$136+CO$94</f>
        <v>5748293.05730863</v>
      </c>
      <c r="CP136" s="34" t="n">
        <f aca="false">CO$136+CP$94</f>
        <v>5911852.87585492</v>
      </c>
      <c r="CQ136" s="34" t="n">
        <f aca="false">CP$136+CQ$94</f>
        <v>6075412.69440121</v>
      </c>
      <c r="CR136" s="34" t="n">
        <f aca="false">CQ$136+CR$94</f>
        <v>6238972.51294749</v>
      </c>
      <c r="CS136" s="34" t="n">
        <f aca="false">CR$136+CS$94</f>
        <v>6402532.33149378</v>
      </c>
      <c r="CT136" s="34" t="n">
        <f aca="false">CS$136+CT$94</f>
        <v>6566092.15004007</v>
      </c>
      <c r="CU136" s="34" t="n">
        <f aca="false">CT$136+CU$94</f>
        <v>6729651.96858636</v>
      </c>
      <c r="CV136" s="34" t="n">
        <f aca="false">CU$136+CV$94</f>
        <v>6893211.78713264</v>
      </c>
      <c r="CW136" s="34" t="n">
        <f aca="false">CV$136+CW$94</f>
        <v>7056771.60567893</v>
      </c>
      <c r="CX136" s="34" t="n">
        <f aca="false">CW$136+CX$94</f>
        <v>7185673.4833785</v>
      </c>
      <c r="CY136" s="34" t="n">
        <f aca="false">CX$136+CY$94</f>
        <v>7353405.21302741</v>
      </c>
      <c r="CZ136" s="34" t="n">
        <f aca="false">CY$136+CZ$94</f>
        <v>7521136.94267632</v>
      </c>
      <c r="DA136" s="34" t="n">
        <f aca="false">CZ$136+DA$94</f>
        <v>7688868.67232523</v>
      </c>
      <c r="DB136" s="34" t="n">
        <f aca="false">DA$136+DB$94</f>
        <v>7856600.40197413</v>
      </c>
      <c r="DC136" s="34" t="n">
        <f aca="false">DB$136+DC$94</f>
        <v>8024332.13162304</v>
      </c>
      <c r="DD136" s="34" t="n">
        <f aca="false">DC$136+DD$94</f>
        <v>8192063.86127195</v>
      </c>
      <c r="DE136" s="34" t="n">
        <f aca="false">DD$136+DE$94</f>
        <v>8359795.59092086</v>
      </c>
      <c r="DF136" s="34" t="n">
        <f aca="false">DE$136+DF$94</f>
        <v>8527527.32056977</v>
      </c>
      <c r="DG136" s="34" t="n">
        <f aca="false">DF$136+DG$94</f>
        <v>8695259.05021867</v>
      </c>
      <c r="DH136" s="34" t="n">
        <f aca="false">DG$136+DH$94</f>
        <v>8862990.77986758</v>
      </c>
      <c r="DI136" s="34" t="n">
        <f aca="false">DH$136+DI$94</f>
        <v>9030722.50951649</v>
      </c>
      <c r="DJ136" s="34" t="n">
        <f aca="false">DI$136+DJ$94</f>
        <v>9163449.33467279</v>
      </c>
      <c r="DK136" s="34" t="n">
        <f aca="false">DJ$136+DK$94</f>
        <v>9335380.97778788</v>
      </c>
      <c r="DL136" s="34" t="n">
        <f aca="false">DK$136+DL$94</f>
        <v>9507312.62090297</v>
      </c>
      <c r="DM136" s="34" t="n">
        <f aca="false">DL$136+DM$94</f>
        <v>9679244.26401805</v>
      </c>
      <c r="DN136" s="34" t="n">
        <f aca="false">DM$136+DN$94</f>
        <v>9851175.90713314</v>
      </c>
      <c r="DO136" s="34" t="n">
        <f aca="false">DN$136+DO$94</f>
        <v>10023107.5502482</v>
      </c>
      <c r="DP136" s="34" t="n">
        <f aca="false">DO$136+DP$94</f>
        <v>10195039.1933633</v>
      </c>
      <c r="DQ136" s="34" t="n">
        <f aca="false">DP$136+DQ$94</f>
        <v>10366970.8364784</v>
      </c>
      <c r="DR136" s="34" t="n">
        <f aca="false">DQ$136+DR$94</f>
        <v>10538902.4795935</v>
      </c>
      <c r="DS136" s="34" t="n">
        <f aca="false">DR$136+DS$94</f>
        <v>10710834.1227086</v>
      </c>
      <c r="DT136" s="34" t="n">
        <f aca="false">DS$136+DT$94</f>
        <v>10882765.7658237</v>
      </c>
      <c r="DU136" s="34" t="n">
        <f aca="false">DT$136+DU$94</f>
        <v>15564459.926261</v>
      </c>
      <c r="DV136" s="34" t="n">
        <f aca="false">DU$136+DV$94</f>
        <v>15564459.926261</v>
      </c>
      <c r="DW136" s="34" t="n">
        <f aca="false">DV$136+DW$94</f>
        <v>15564459.926261</v>
      </c>
      <c r="DX136" s="34" t="n">
        <f aca="false">DW$136+DX$94</f>
        <v>15564459.926261</v>
      </c>
      <c r="DY136" s="34" t="n">
        <f aca="false">DX$136+DY$94</f>
        <v>15564459.926261</v>
      </c>
      <c r="DZ136" s="34" t="n">
        <f aca="false">DY$136+DZ$94</f>
        <v>15564459.926261</v>
      </c>
      <c r="EA136" s="34" t="n">
        <f aca="false">DZ$136+EA$94</f>
        <v>15564459.926261</v>
      </c>
      <c r="EB136" s="34" t="n">
        <f aca="false">EA$136+EB$94</f>
        <v>15564459.926261</v>
      </c>
      <c r="EC136" s="34" t="n">
        <f aca="false">EB$136+EC$94</f>
        <v>15564459.926261</v>
      </c>
      <c r="ED136" s="34" t="n">
        <f aca="false">EC$136+ED$94</f>
        <v>15564459.926261</v>
      </c>
      <c r="EE136" s="34" t="n">
        <f aca="false">ED$136+EE$94</f>
        <v>15564459.926261</v>
      </c>
      <c r="EF136" s="34" t="n">
        <f aca="false">EE$136+EF$94</f>
        <v>15564459.926261</v>
      </c>
      <c r="EG136" s="34" t="n">
        <f aca="false">EF$136+EG$94</f>
        <v>15564459.926261</v>
      </c>
      <c r="EH136" s="34" t="n">
        <f aca="false">EG$136+EH$94</f>
        <v>15564459.926261</v>
      </c>
      <c r="EI136" s="34" t="n">
        <f aca="false">EH$136+EI$94</f>
        <v>15564459.926261</v>
      </c>
      <c r="EJ136" s="34" t="n">
        <f aca="false">EI$136+EJ$94</f>
        <v>15564459.926261</v>
      </c>
      <c r="EK136" s="34" t="n">
        <f aca="false">EJ$136+EK$94</f>
        <v>15564459.926261</v>
      </c>
      <c r="EL136" s="34" t="n">
        <f aca="false">EK$136+EL$94</f>
        <v>15564459.926261</v>
      </c>
      <c r="EM136" s="34" t="n">
        <f aca="false">EL$136+EM$94</f>
        <v>15564459.926261</v>
      </c>
      <c r="EN136" s="34" t="n">
        <f aca="false">EM$136+EN$94</f>
        <v>15564459.926261</v>
      </c>
      <c r="EO136" s="34" t="n">
        <f aca="false">EN$136+EO$94</f>
        <v>15564459.926261</v>
      </c>
      <c r="EP136" s="34" t="n">
        <f aca="false">EO$136+EP$94</f>
        <v>15564459.926261</v>
      </c>
      <c r="EQ136" s="34" t="n">
        <f aca="false">EP$136+EQ$94</f>
        <v>15564459.926261</v>
      </c>
      <c r="ER136" s="34" t="n">
        <f aca="false">EQ$136+ER$94</f>
        <v>15564459.926261</v>
      </c>
      <c r="ES136" s="34" t="n">
        <f aca="false">ER$136+ES$94</f>
        <v>15564459.926261</v>
      </c>
    </row>
    <row r="137" customFormat="false" ht="15" hidden="false" customHeight="false" outlineLevel="0" collapsed="false">
      <c r="A137" s="2" t="s">
        <v>754</v>
      </c>
      <c r="B137" s="6" t="s">
        <v>755</v>
      </c>
      <c r="C137" s="6" t="s">
        <v>101</v>
      </c>
      <c r="E137" s="53" t="n">
        <f aca="false">MAX(F137:ES137)</f>
        <v>49.5317160695949</v>
      </c>
      <c r="F137" s="36" t="n">
        <f aca="false">0</f>
        <v>0</v>
      </c>
      <c r="G137" s="36" t="n">
        <f aca="false">IF(AND(F$136&lt;0,G$136&gt;=0),0+(-F$136)/G$94,0)</f>
        <v>0</v>
      </c>
      <c r="H137" s="36" t="n">
        <f aca="false">IF(AND(G$136&lt;0,H$136&gt;=0),1+(-G$136)/H$94,0)</f>
        <v>0</v>
      </c>
      <c r="I137" s="36" t="n">
        <f aca="false">IF(AND(H$136&lt;0,I$136&gt;=0),2+(-H$136)/I$94,0)</f>
        <v>0</v>
      </c>
      <c r="J137" s="36" t="n">
        <f aca="false">IF(AND(I$136&lt;0,J$136&gt;=0),3+(-I$136)/J$94,0)</f>
        <v>0</v>
      </c>
      <c r="K137" s="36" t="n">
        <f aca="false">IF(AND(J$136&lt;0,K$136&gt;=0),4+(-J$136)/K$94,0)</f>
        <v>0</v>
      </c>
      <c r="L137" s="36" t="n">
        <f aca="false">IF(AND(K$136&lt;0,L$136&gt;=0),5+(-K$136)/L$94,0)</f>
        <v>0</v>
      </c>
      <c r="M137" s="36" t="n">
        <f aca="false">IF(AND(L$136&lt;0,M$136&gt;=0),6+(-L$136)/M$94,0)</f>
        <v>0</v>
      </c>
      <c r="N137" s="36" t="n">
        <f aca="false">IF(AND(M$136&lt;0,N$136&gt;=0),7+(-M$136)/N$94,0)</f>
        <v>0</v>
      </c>
      <c r="O137" s="36" t="n">
        <f aca="false">IF(AND(N$136&lt;0,O$136&gt;=0),8+(-N$136)/O$94,0)</f>
        <v>0</v>
      </c>
      <c r="P137" s="36" t="n">
        <f aca="false">IF(AND(O$136&lt;0,P$136&gt;=0),9+(-O$136)/P$94,0)</f>
        <v>0</v>
      </c>
      <c r="Q137" s="36" t="n">
        <f aca="false">IF(AND(P$136&lt;0,Q$136&gt;=0),10+(-P$136)/Q$94,0)</f>
        <v>0</v>
      </c>
      <c r="R137" s="36" t="n">
        <f aca="false">IF(AND(Q$136&lt;0,R$136&gt;=0),11+(-Q$136)/R$94,0)</f>
        <v>0</v>
      </c>
      <c r="S137" s="36" t="n">
        <f aca="false">IF(AND(R$136&lt;0,S$136&gt;=0),12+(-R$136)/S$94,0)</f>
        <v>0</v>
      </c>
      <c r="T137" s="36" t="n">
        <f aca="false">IF(AND(S$136&lt;0,T$136&gt;=0),13+(-S$136)/T$94,0)</f>
        <v>0</v>
      </c>
      <c r="U137" s="36" t="n">
        <f aca="false">IF(AND(T$136&lt;0,U$136&gt;=0),14+(-T$136)/U$94,0)</f>
        <v>0</v>
      </c>
      <c r="V137" s="36" t="n">
        <f aca="false">IF(AND(U$136&lt;0,V$136&gt;=0),15+(-U$136)/V$94,0)</f>
        <v>0</v>
      </c>
      <c r="W137" s="36" t="n">
        <f aca="false">IF(AND(V$136&lt;0,W$136&gt;=0),16+(-V$136)/W$94,0)</f>
        <v>0</v>
      </c>
      <c r="X137" s="36" t="n">
        <f aca="false">IF(AND(W$136&lt;0,X$136&gt;=0),17+(-W$136)/X$94,0)</f>
        <v>0</v>
      </c>
      <c r="Y137" s="36" t="n">
        <f aca="false">IF(AND(X$136&lt;0,Y$136&gt;=0),18+(-X$136)/Y$94,0)</f>
        <v>0</v>
      </c>
      <c r="Z137" s="36" t="n">
        <f aca="false">IF(AND(Y$136&lt;0,Z$136&gt;=0),19+(-Y$136)/Z$94,0)</f>
        <v>0</v>
      </c>
      <c r="AA137" s="36" t="n">
        <f aca="false">IF(AND(Z$136&lt;0,AA$136&gt;=0),20+(-Z$136)/AA$94,0)</f>
        <v>0</v>
      </c>
      <c r="AB137" s="36" t="n">
        <f aca="false">IF(AND(AA$136&lt;0,AB$136&gt;=0),21+(-AA$136)/AB$94,0)</f>
        <v>0</v>
      </c>
      <c r="AC137" s="36" t="n">
        <f aca="false">IF(AND(AB$136&lt;0,AC$136&gt;=0),22+(-AB$136)/AC$94,0)</f>
        <v>0</v>
      </c>
      <c r="AD137" s="36" t="n">
        <f aca="false">IF(AND(AC$136&lt;0,AD$136&gt;=0),23+(-AC$136)/AD$94,0)</f>
        <v>0</v>
      </c>
      <c r="AE137" s="36" t="n">
        <f aca="false">IF(AND(AD$136&lt;0,AE$136&gt;=0),24+(-AD$136)/AE$94,0)</f>
        <v>0</v>
      </c>
      <c r="AF137" s="36" t="n">
        <f aca="false">IF(AND(AE$136&lt;0,AF$136&gt;=0),25+(-AE$136)/AF$94,0)</f>
        <v>0</v>
      </c>
      <c r="AG137" s="36" t="n">
        <f aca="false">IF(AND(AF$136&lt;0,AG$136&gt;=0),26+(-AF$136)/AG$94,0)</f>
        <v>0</v>
      </c>
      <c r="AH137" s="36" t="n">
        <f aca="false">IF(AND(AG$136&lt;0,AH$136&gt;=0),27+(-AG$136)/AH$94,0)</f>
        <v>0</v>
      </c>
      <c r="AI137" s="36" t="n">
        <f aca="false">IF(AND(AH$136&lt;0,AI$136&gt;=0),28+(-AH$136)/AI$94,0)</f>
        <v>0</v>
      </c>
      <c r="AJ137" s="36" t="n">
        <f aca="false">IF(AND(AI$136&lt;0,AJ$136&gt;=0),29+(-AI$136)/AJ$94,0)</f>
        <v>0</v>
      </c>
      <c r="AK137" s="36" t="n">
        <f aca="false">IF(AND(AJ$136&lt;0,AK$136&gt;=0),30+(-AJ$136)/AK$94,0)</f>
        <v>0</v>
      </c>
      <c r="AL137" s="36" t="n">
        <f aca="false">IF(AND(AK$136&lt;0,AL$136&gt;=0),31+(-AK$136)/AL$94,0)</f>
        <v>0</v>
      </c>
      <c r="AM137" s="36" t="n">
        <f aca="false">IF(AND(AL$136&lt;0,AM$136&gt;=0),32+(-AL$136)/AM$94,0)</f>
        <v>0</v>
      </c>
      <c r="AN137" s="36" t="n">
        <f aca="false">IF(AND(AM$136&lt;0,AN$136&gt;=0),33+(-AM$136)/AN$94,0)</f>
        <v>0</v>
      </c>
      <c r="AO137" s="36" t="n">
        <f aca="false">IF(AND(AN$136&lt;0,AO$136&gt;=0),34+(-AN$136)/AO$94,0)</f>
        <v>0</v>
      </c>
      <c r="AP137" s="36" t="n">
        <f aca="false">IF(AND(AO$136&lt;0,AP$136&gt;=0),35+(-AO$136)/AP$94,0)</f>
        <v>0</v>
      </c>
      <c r="AQ137" s="36" t="n">
        <f aca="false">IF(AND(AP$136&lt;0,AQ$136&gt;=0),36+(-AP$136)/AQ$94,0)</f>
        <v>0</v>
      </c>
      <c r="AR137" s="36" t="n">
        <f aca="false">IF(AND(AQ$136&lt;0,AR$136&gt;=0),37+(-AQ$136)/AR$94,0)</f>
        <v>0</v>
      </c>
      <c r="AS137" s="36" t="n">
        <f aca="false">IF(AND(AR$136&lt;0,AS$136&gt;=0),38+(-AR$136)/AS$94,0)</f>
        <v>0</v>
      </c>
      <c r="AT137" s="36" t="n">
        <f aca="false">IF(AND(AS$136&lt;0,AT$136&gt;=0),39+(-AS$136)/AT$94,0)</f>
        <v>0</v>
      </c>
      <c r="AU137" s="36" t="n">
        <f aca="false">IF(AND(AT$136&lt;0,AU$136&gt;=0),40+(-AT$136)/AU$94,0)</f>
        <v>0</v>
      </c>
      <c r="AV137" s="36" t="n">
        <f aca="false">IF(AND(AU$136&lt;0,AV$136&gt;=0),41+(-AU$136)/AV$94,0)</f>
        <v>0</v>
      </c>
      <c r="AW137" s="36" t="n">
        <f aca="false">IF(AND(AV$136&lt;0,AW$136&gt;=0),42+(-AV$136)/AW$94,0)</f>
        <v>0</v>
      </c>
      <c r="AX137" s="36" t="n">
        <f aca="false">IF(AND(AW$136&lt;0,AX$136&gt;=0),43+(-AW$136)/AX$94,0)</f>
        <v>0</v>
      </c>
      <c r="AY137" s="36" t="n">
        <f aca="false">IF(AND(AX$136&lt;0,AY$136&gt;=0),44+(-AX$136)/AY$94,0)</f>
        <v>0</v>
      </c>
      <c r="AZ137" s="36" t="n">
        <f aca="false">IF(AND(AY$136&lt;0,AZ$136&gt;=0),45+(-AY$136)/AZ$94,0)</f>
        <v>0</v>
      </c>
      <c r="BA137" s="36" t="n">
        <f aca="false">IF(AND(AZ$136&lt;0,BA$136&gt;=0),46+(-AZ$136)/BA$94,0)</f>
        <v>0</v>
      </c>
      <c r="BB137" s="36" t="n">
        <f aca="false">IF(AND(BA$136&lt;0,BB$136&gt;=0),47+(-BA$136)/BB$94,0)</f>
        <v>0</v>
      </c>
      <c r="BC137" s="36" t="n">
        <f aca="false">IF(AND(BB$136&lt;0,BC$136&gt;=0),48+(-BB$136)/BC$94,0)</f>
        <v>0</v>
      </c>
      <c r="BD137" s="36" t="n">
        <f aca="false">IF(AND(BC$136&lt;0,BD$136&gt;=0),49+(-BC$136)/BD$94,0)</f>
        <v>49.5317160695949</v>
      </c>
      <c r="BE137" s="36" t="n">
        <f aca="false">IF(AND(BD$136&lt;0,BE$136&gt;=0),50+(-BD$136)/BE$94,0)</f>
        <v>0</v>
      </c>
      <c r="BF137" s="36" t="n">
        <f aca="false">IF(AND(BE$136&lt;0,BF$136&gt;=0),51+(-BE$136)/BF$94,0)</f>
        <v>0</v>
      </c>
      <c r="BG137" s="36" t="n">
        <f aca="false">IF(AND(BF$136&lt;0,BG$136&gt;=0),52+(-BF$136)/BG$94,0)</f>
        <v>0</v>
      </c>
      <c r="BH137" s="36" t="n">
        <f aca="false">IF(AND(BG$136&lt;0,BH$136&gt;=0),53+(-BG$136)/BH$94,0)</f>
        <v>0</v>
      </c>
      <c r="BI137" s="36" t="n">
        <f aca="false">IF(AND(BH$136&lt;0,BI$136&gt;=0),54+(-BH$136)/BI$94,0)</f>
        <v>0</v>
      </c>
      <c r="BJ137" s="36" t="n">
        <f aca="false">IF(AND(BI$136&lt;0,BJ$136&gt;=0),55+(-BI$136)/BJ$94,0)</f>
        <v>0</v>
      </c>
      <c r="BK137" s="36" t="n">
        <f aca="false">IF(AND(BJ$136&lt;0,BK$136&gt;=0),56+(-BJ$136)/BK$94,0)</f>
        <v>0</v>
      </c>
      <c r="BL137" s="36" t="n">
        <f aca="false">IF(AND(BK$136&lt;0,BL$136&gt;=0),57+(-BK$136)/BL$94,0)</f>
        <v>0</v>
      </c>
      <c r="BM137" s="36" t="n">
        <f aca="false">IF(AND(BL$136&lt;0,BM$136&gt;=0),58+(-BL$136)/BM$94,0)</f>
        <v>0</v>
      </c>
      <c r="BN137" s="36" t="n">
        <f aca="false">IF(AND(BM$136&lt;0,BN$136&gt;=0),59+(-BM$136)/BN$94,0)</f>
        <v>0</v>
      </c>
      <c r="BO137" s="36" t="n">
        <f aca="false">IF(AND(BN$136&lt;0,BO$136&gt;=0),60+(-BN$136)/BO$94,0)</f>
        <v>0</v>
      </c>
      <c r="BP137" s="36" t="n">
        <f aca="false">IF(AND(BO$136&lt;0,BP$136&gt;=0),61+(-BO$136)/BP$94,0)</f>
        <v>0</v>
      </c>
      <c r="BQ137" s="36" t="n">
        <f aca="false">IF(AND(BP$136&lt;0,BQ$136&gt;=0),62+(-BP$136)/BQ$94,0)</f>
        <v>0</v>
      </c>
      <c r="BR137" s="36" t="n">
        <f aca="false">IF(AND(BQ$136&lt;0,BR$136&gt;=0),63+(-BQ$136)/BR$94,0)</f>
        <v>0</v>
      </c>
      <c r="BS137" s="36" t="n">
        <f aca="false">IF(AND(BR$136&lt;0,BS$136&gt;=0),64+(-BR$136)/BS$94,0)</f>
        <v>0</v>
      </c>
      <c r="BT137" s="36" t="n">
        <f aca="false">IF(AND(BS$136&lt;0,BT$136&gt;=0),65+(-BS$136)/BT$94,0)</f>
        <v>0</v>
      </c>
      <c r="BU137" s="36" t="n">
        <f aca="false">IF(AND(BT$136&lt;0,BU$136&gt;=0),66+(-BT$136)/BU$94,0)</f>
        <v>0</v>
      </c>
      <c r="BV137" s="36" t="n">
        <f aca="false">IF(AND(BU$136&lt;0,BV$136&gt;=0),67+(-BU$136)/BV$94,0)</f>
        <v>0</v>
      </c>
      <c r="BW137" s="36" t="n">
        <f aca="false">IF(AND(BV$136&lt;0,BW$136&gt;=0),68+(-BV$136)/BW$94,0)</f>
        <v>0</v>
      </c>
      <c r="BX137" s="36" t="n">
        <f aca="false">IF(AND(BW$136&lt;0,BX$136&gt;=0),69+(-BW$136)/BX$94,0)</f>
        <v>0</v>
      </c>
      <c r="BY137" s="36" t="n">
        <f aca="false">IF(AND(BX$136&lt;0,BY$136&gt;=0),70+(-BX$136)/BY$94,0)</f>
        <v>0</v>
      </c>
      <c r="BZ137" s="36" t="n">
        <f aca="false">IF(AND(BY$136&lt;0,BZ$136&gt;=0),71+(-BY$136)/BZ$94,0)</f>
        <v>0</v>
      </c>
      <c r="CA137" s="36" t="n">
        <f aca="false">IF(AND(BZ$136&lt;0,CA$136&gt;=0),72+(-BZ$136)/CA$94,0)</f>
        <v>0</v>
      </c>
      <c r="CB137" s="36" t="n">
        <f aca="false">IF(AND(CA$136&lt;0,CB$136&gt;=0),73+(-CA$136)/CB$94,0)</f>
        <v>0</v>
      </c>
      <c r="CC137" s="36" t="n">
        <f aca="false">IF(AND(CB$136&lt;0,CC$136&gt;=0),74+(-CB$136)/CC$94,0)</f>
        <v>0</v>
      </c>
      <c r="CD137" s="36" t="n">
        <f aca="false">IF(AND(CC$136&lt;0,CD$136&gt;=0),75+(-CC$136)/CD$94,0)</f>
        <v>0</v>
      </c>
      <c r="CE137" s="36" t="n">
        <f aca="false">IF(AND(CD$136&lt;0,CE$136&gt;=0),76+(-CD$136)/CE$94,0)</f>
        <v>0</v>
      </c>
      <c r="CF137" s="36" t="n">
        <f aca="false">IF(AND(CE$136&lt;0,CF$136&gt;=0),77+(-CE$136)/CF$94,0)</f>
        <v>0</v>
      </c>
      <c r="CG137" s="36" t="n">
        <f aca="false">IF(AND(CF$136&lt;0,CG$136&gt;=0),78+(-CF$136)/CG$94,0)</f>
        <v>0</v>
      </c>
      <c r="CH137" s="36" t="n">
        <f aca="false">IF(AND(CG$136&lt;0,CH$136&gt;=0),79+(-CG$136)/CH$94,0)</f>
        <v>0</v>
      </c>
      <c r="CI137" s="36" t="n">
        <f aca="false">IF(AND(CH$136&lt;0,CI$136&gt;=0),80+(-CH$136)/CI$94,0)</f>
        <v>0</v>
      </c>
      <c r="CJ137" s="36" t="n">
        <f aca="false">IF(AND(CI$136&lt;0,CJ$136&gt;=0),81+(-CI$136)/CJ$94,0)</f>
        <v>0</v>
      </c>
      <c r="CK137" s="36" t="n">
        <f aca="false">IF(AND(CJ$136&lt;0,CK$136&gt;=0),82+(-CJ$136)/CK$94,0)</f>
        <v>0</v>
      </c>
      <c r="CL137" s="36" t="n">
        <f aca="false">IF(AND(CK$136&lt;0,CL$136&gt;=0),83+(-CK$136)/CL$94,0)</f>
        <v>0</v>
      </c>
      <c r="CM137" s="36" t="n">
        <f aca="false">IF(AND(CL$136&lt;0,CM$136&gt;=0),84+(-CL$136)/CM$94,0)</f>
        <v>0</v>
      </c>
      <c r="CN137" s="36" t="n">
        <f aca="false">IF(AND(CM$136&lt;0,CN$136&gt;=0),85+(-CM$136)/CN$94,0)</f>
        <v>0</v>
      </c>
      <c r="CO137" s="36" t="n">
        <f aca="false">IF(AND(CN$136&lt;0,CO$136&gt;=0),86+(-CN$136)/CO$94,0)</f>
        <v>0</v>
      </c>
      <c r="CP137" s="36" t="n">
        <f aca="false">IF(AND(CO$136&lt;0,CP$136&gt;=0),87+(-CO$136)/CP$94,0)</f>
        <v>0</v>
      </c>
      <c r="CQ137" s="36" t="n">
        <f aca="false">IF(AND(CP$136&lt;0,CQ$136&gt;=0),88+(-CP$136)/CQ$94,0)</f>
        <v>0</v>
      </c>
      <c r="CR137" s="36" t="n">
        <f aca="false">IF(AND(CQ$136&lt;0,CR$136&gt;=0),89+(-CQ$136)/CR$94,0)</f>
        <v>0</v>
      </c>
      <c r="CS137" s="36" t="n">
        <f aca="false">IF(AND(CR$136&lt;0,CS$136&gt;=0),90+(-CR$136)/CS$94,0)</f>
        <v>0</v>
      </c>
      <c r="CT137" s="36" t="n">
        <f aca="false">IF(AND(CS$136&lt;0,CT$136&gt;=0),91+(-CS$136)/CT$94,0)</f>
        <v>0</v>
      </c>
      <c r="CU137" s="36" t="n">
        <f aca="false">IF(AND(CT$136&lt;0,CU$136&gt;=0),92+(-CT$136)/CU$94,0)</f>
        <v>0</v>
      </c>
      <c r="CV137" s="36" t="n">
        <f aca="false">IF(AND(CU$136&lt;0,CV$136&gt;=0),93+(-CU$136)/CV$94,0)</f>
        <v>0</v>
      </c>
      <c r="CW137" s="36" t="n">
        <f aca="false">IF(AND(CV$136&lt;0,CW$136&gt;=0),94+(-CV$136)/CW$94,0)</f>
        <v>0</v>
      </c>
      <c r="CX137" s="36" t="n">
        <f aca="false">IF(AND(CW$136&lt;0,CX$136&gt;=0),95+(-CW$136)/CX$94,0)</f>
        <v>0</v>
      </c>
      <c r="CY137" s="36" t="n">
        <f aca="false">IF(AND(CX$136&lt;0,CY$136&gt;=0),96+(-CX$136)/CY$94,0)</f>
        <v>0</v>
      </c>
      <c r="CZ137" s="36" t="n">
        <f aca="false">IF(AND(CY$136&lt;0,CZ$136&gt;=0),97+(-CY$136)/CZ$94,0)</f>
        <v>0</v>
      </c>
      <c r="DA137" s="36" t="n">
        <f aca="false">IF(AND(CZ$136&lt;0,DA$136&gt;=0),98+(-CZ$136)/DA$94,0)</f>
        <v>0</v>
      </c>
      <c r="DB137" s="36" t="n">
        <f aca="false">IF(AND(DA$136&lt;0,DB$136&gt;=0),99+(-DA$136)/DB$94,0)</f>
        <v>0</v>
      </c>
      <c r="DC137" s="36" t="n">
        <f aca="false">IF(AND(DB$136&lt;0,DC$136&gt;=0),100+(-DB$136)/DC$94,0)</f>
        <v>0</v>
      </c>
      <c r="DD137" s="36" t="n">
        <f aca="false">IF(AND(DC$136&lt;0,DD$136&gt;=0),101+(-DC$136)/DD$94,0)</f>
        <v>0</v>
      </c>
      <c r="DE137" s="36" t="n">
        <f aca="false">IF(AND(DD$136&lt;0,DE$136&gt;=0),102+(-DD$136)/DE$94,0)</f>
        <v>0</v>
      </c>
      <c r="DF137" s="36" t="n">
        <f aca="false">IF(AND(DE$136&lt;0,DF$136&gt;=0),103+(-DE$136)/DF$94,0)</f>
        <v>0</v>
      </c>
      <c r="DG137" s="36" t="n">
        <f aca="false">IF(AND(DF$136&lt;0,DG$136&gt;=0),104+(-DF$136)/DG$94,0)</f>
        <v>0</v>
      </c>
      <c r="DH137" s="36" t="n">
        <f aca="false">IF(AND(DG$136&lt;0,DH$136&gt;=0),105+(-DG$136)/DH$94,0)</f>
        <v>0</v>
      </c>
      <c r="DI137" s="36" t="n">
        <f aca="false">IF(AND(DH$136&lt;0,DI$136&gt;=0),106+(-DH$136)/DI$94,0)</f>
        <v>0</v>
      </c>
      <c r="DJ137" s="36" t="n">
        <f aca="false">IF(AND(DI$136&lt;0,DJ$136&gt;=0),107+(-DI$136)/DJ$94,0)</f>
        <v>0</v>
      </c>
      <c r="DK137" s="36" t="n">
        <f aca="false">IF(AND(DJ$136&lt;0,DK$136&gt;=0),108+(-DJ$136)/DK$94,0)</f>
        <v>0</v>
      </c>
      <c r="DL137" s="36" t="n">
        <f aca="false">IF(AND(DK$136&lt;0,DL$136&gt;=0),109+(-DK$136)/DL$94,0)</f>
        <v>0</v>
      </c>
      <c r="DM137" s="36" t="n">
        <f aca="false">IF(AND(DL$136&lt;0,DM$136&gt;=0),110+(-DL$136)/DM$94,0)</f>
        <v>0</v>
      </c>
      <c r="DN137" s="36" t="n">
        <f aca="false">IF(AND(DM$136&lt;0,DN$136&gt;=0),111+(-DM$136)/DN$94,0)</f>
        <v>0</v>
      </c>
      <c r="DO137" s="36" t="n">
        <f aca="false">IF(AND(DN$136&lt;0,DO$136&gt;=0),112+(-DN$136)/DO$94,0)</f>
        <v>0</v>
      </c>
      <c r="DP137" s="36" t="n">
        <f aca="false">IF(AND(DO$136&lt;0,DP$136&gt;=0),113+(-DO$136)/DP$94,0)</f>
        <v>0</v>
      </c>
      <c r="DQ137" s="36" t="n">
        <f aca="false">IF(AND(DP$136&lt;0,DQ$136&gt;=0),114+(-DP$136)/DQ$94,0)</f>
        <v>0</v>
      </c>
      <c r="DR137" s="36" t="n">
        <f aca="false">IF(AND(DQ$136&lt;0,DR$136&gt;=0),115+(-DQ$136)/DR$94,0)</f>
        <v>0</v>
      </c>
      <c r="DS137" s="36" t="n">
        <f aca="false">IF(AND(DR$136&lt;0,DS$136&gt;=0),116+(-DR$136)/DS$94,0)</f>
        <v>0</v>
      </c>
      <c r="DT137" s="36" t="n">
        <f aca="false">IF(AND(DS$136&lt;0,DT$136&gt;=0),117+(-DS$136)/DT$94,0)</f>
        <v>0</v>
      </c>
      <c r="DU137" s="36" t="n">
        <f aca="false">IF(AND(DT$136&lt;0,DU$136&gt;=0),118+(-DT$136)/DU$94,0)</f>
        <v>0</v>
      </c>
      <c r="DV137" s="36" t="n">
        <f aca="false">IF(AND(DU$136&lt;0,DV$136&gt;=0),119+(-DU$136)/DV$94,0)</f>
        <v>0</v>
      </c>
      <c r="DW137" s="36" t="n">
        <f aca="false">IF(AND(DV$136&lt;0,DW$136&gt;=0),120+(-DV$136)/DW$94,0)</f>
        <v>0</v>
      </c>
      <c r="DX137" s="36" t="n">
        <f aca="false">IF(AND(DW$136&lt;0,DX$136&gt;=0),121+(-DW$136)/DX$94,0)</f>
        <v>0</v>
      </c>
      <c r="DY137" s="36" t="n">
        <f aca="false">IF(AND(DX$136&lt;0,DY$136&gt;=0),122+(-DX$136)/DY$94,0)</f>
        <v>0</v>
      </c>
      <c r="DZ137" s="36" t="n">
        <f aca="false">IF(AND(DY$136&lt;0,DZ$136&gt;=0),123+(-DY$136)/DZ$94,0)</f>
        <v>0</v>
      </c>
      <c r="EA137" s="36" t="n">
        <f aca="false">IF(AND(DZ$136&lt;0,EA$136&gt;=0),124+(-DZ$136)/EA$94,0)</f>
        <v>0</v>
      </c>
      <c r="EB137" s="36" t="n">
        <f aca="false">IF(AND(EA$136&lt;0,EB$136&gt;=0),125+(-EA$136)/EB$94,0)</f>
        <v>0</v>
      </c>
      <c r="EC137" s="36" t="n">
        <f aca="false">IF(AND(EB$136&lt;0,EC$136&gt;=0),126+(-EB$136)/EC$94,0)</f>
        <v>0</v>
      </c>
      <c r="ED137" s="36" t="n">
        <f aca="false">IF(AND(EC$136&lt;0,ED$136&gt;=0),127+(-EC$136)/ED$94,0)</f>
        <v>0</v>
      </c>
      <c r="EE137" s="36" t="n">
        <f aca="false">IF(AND(ED$136&lt;0,EE$136&gt;=0),128+(-ED$136)/EE$94,0)</f>
        <v>0</v>
      </c>
      <c r="EF137" s="36" t="n">
        <f aca="false">IF(AND(EE$136&lt;0,EF$136&gt;=0),129+(-EE$136)/EF$94,0)</f>
        <v>0</v>
      </c>
      <c r="EG137" s="36" t="n">
        <f aca="false">IF(AND(EF$136&lt;0,EG$136&gt;=0),130+(-EF$136)/EG$94,0)</f>
        <v>0</v>
      </c>
      <c r="EH137" s="36" t="n">
        <f aca="false">IF(AND(EG$136&lt;0,EH$136&gt;=0),131+(-EG$136)/EH$94,0)</f>
        <v>0</v>
      </c>
      <c r="EI137" s="36" t="n">
        <f aca="false">IF(AND(EH$136&lt;0,EI$136&gt;=0),132+(-EH$136)/EI$94,0)</f>
        <v>0</v>
      </c>
      <c r="EJ137" s="36" t="n">
        <f aca="false">IF(AND(EI$136&lt;0,EJ$136&gt;=0),133+(-EI$136)/EJ$94,0)</f>
        <v>0</v>
      </c>
      <c r="EK137" s="36" t="n">
        <f aca="false">IF(AND(EJ$136&lt;0,EK$136&gt;=0),134+(-EJ$136)/EK$94,0)</f>
        <v>0</v>
      </c>
      <c r="EL137" s="36" t="n">
        <f aca="false">IF(AND(EK$136&lt;0,EL$136&gt;=0),135+(-EK$136)/EL$94,0)</f>
        <v>0</v>
      </c>
      <c r="EM137" s="36" t="n">
        <f aca="false">IF(AND(EL$136&lt;0,EM$136&gt;=0),136+(-EL$136)/EM$94,0)</f>
        <v>0</v>
      </c>
      <c r="EN137" s="36" t="n">
        <f aca="false">IF(AND(EM$136&lt;0,EN$136&gt;=0),137+(-EM$136)/EN$94,0)</f>
        <v>0</v>
      </c>
      <c r="EO137" s="36" t="n">
        <f aca="false">IF(AND(EN$136&lt;0,EO$136&gt;=0),138+(-EN$136)/EO$94,0)</f>
        <v>0</v>
      </c>
      <c r="EP137" s="36" t="n">
        <f aca="false">IF(AND(EO$136&lt;0,EP$136&gt;=0),139+(-EO$136)/EP$94,0)</f>
        <v>0</v>
      </c>
      <c r="EQ137" s="36" t="n">
        <f aca="false">IF(AND(EP$136&lt;0,EQ$136&gt;=0),140+(-EP$136)/EQ$94,0)</f>
        <v>0</v>
      </c>
      <c r="ER137" s="36" t="n">
        <f aca="false">IF(AND(EQ$136&lt;0,ER$136&gt;=0),141+(-EQ$136)/ER$94,0)</f>
        <v>0</v>
      </c>
      <c r="ES137" s="36" t="n">
        <f aca="false">IF(AND(ER$136&lt;0,ES$136&gt;=0),142+(-ER$136)/ES$94,0)</f>
        <v>0</v>
      </c>
    </row>
    <row r="138" customFormat="false" ht="15" hidden="false" customHeight="false" outlineLevel="0" collapsed="false">
      <c r="A138" s="2" t="s">
        <v>756</v>
      </c>
      <c r="B138" s="6" t="s">
        <v>757</v>
      </c>
      <c r="C138" s="6" t="s">
        <v>250</v>
      </c>
      <c r="E138" s="40" t="n">
        <f aca="false">INDEX(F138:ES138,1,MIN(144,Fin))</f>
        <v>6147646.16149838</v>
      </c>
      <c r="F138" s="34" t="n">
        <f aca="false">0+F$112+F$81-F$127+F$129</f>
        <v>781282.890308923</v>
      </c>
      <c r="G138" s="34" t="n">
        <f aca="false">F$138+G$112+G$81-G$127+G$129</f>
        <v>794783.780617846</v>
      </c>
      <c r="H138" s="34" t="n">
        <f aca="false">G$138+H$112+H$81-H$127+H$129</f>
        <v>808284.670926769</v>
      </c>
      <c r="I138" s="34" t="n">
        <f aca="false">H$138+I$112+I$81-I$127+I$129</f>
        <v>821785.561235692</v>
      </c>
      <c r="J138" s="34" t="n">
        <f aca="false">I$138+J$112+J$81-J$127+J$129</f>
        <v>835286.451544615</v>
      </c>
      <c r="K138" s="34" t="n">
        <f aca="false">J$138+K$112+K$81-K$127+K$129</f>
        <v>848787.341853539</v>
      </c>
      <c r="L138" s="34" t="n">
        <f aca="false">K$138+L$112+L$81-L$127+L$129</f>
        <v>862288.232162462</v>
      </c>
      <c r="M138" s="34" t="n">
        <f aca="false">L$138+M$112+M$81-M$127+M$129</f>
        <v>876136.639730166</v>
      </c>
      <c r="N138" s="34" t="n">
        <f aca="false">M$138+N$112+N$81-N$127+N$129</f>
        <v>890335.170936092</v>
      </c>
      <c r="O138" s="34" t="n">
        <f aca="false">N$138+O$112+O$81-O$127+O$129</f>
        <v>904886.451707527</v>
      </c>
      <c r="P138" s="34" t="n">
        <f aca="false">O$138+P$112+P$81-P$127+P$129</f>
        <v>919793.127666212</v>
      </c>
      <c r="Q138" s="34" t="n">
        <f aca="false">P$138+Q$112+Q$81-Q$127+Q$129</f>
        <v>935057.864276052</v>
      </c>
      <c r="R138" s="34" t="n">
        <f aca="false">Q$138+R$112+R$81-R$127+R$129</f>
        <v>1359776.91617697</v>
      </c>
      <c r="S138" s="34" t="n">
        <f aca="false">R$138+S$112+S$81-S$127+S$129</f>
        <v>1412931.41977972</v>
      </c>
      <c r="T138" s="34" t="n">
        <f aca="false">S$138+T$112+T$81-T$127+T$129</f>
        <v>1466452.10097207</v>
      </c>
      <c r="U138" s="34" t="n">
        <f aca="false">T$138+U$112+U$81-U$127+U$129</f>
        <v>1520341.70608594</v>
      </c>
      <c r="V138" s="34" t="n">
        <f aca="false">U$138+V$112+V$81-V$127+V$129</f>
        <v>1574603.00205074</v>
      </c>
      <c r="W138" s="34" t="n">
        <f aca="false">V$138+W$112+W$81-W$127+W$129</f>
        <v>1629238.77654785</v>
      </c>
      <c r="X138" s="34" t="n">
        <f aca="false">W$138+X$112+X$81-X$127+X$129</f>
        <v>1684251.83816627</v>
      </c>
      <c r="Y138" s="34" t="n">
        <f aca="false">X$138+Y$112+Y$81-Y$127+Y$129</f>
        <v>1739645.0165594</v>
      </c>
      <c r="Z138" s="34" t="n">
        <f aca="false">Y$138+Z$112+Z$81-Z$127+Z$129</f>
        <v>1795421.16260306</v>
      </c>
      <c r="AA138" s="34" t="n">
        <f aca="false">Z$138+AA$112+AA$81-AA$127+AA$129</f>
        <v>1851583.14855461</v>
      </c>
      <c r="AB138" s="34" t="n">
        <f aca="false">AA$138+AB$112+AB$81-AB$127+AB$129</f>
        <v>1908133.86821339</v>
      </c>
      <c r="AC138" s="34" t="n">
        <f aca="false">AB$138+AC$112+AC$81-AC$127+AC$129</f>
        <v>1965076.23708218</v>
      </c>
      <c r="AD138" s="34" t="n">
        <f aca="false">AC$138+AD$112+AD$81-AD$127+AD$129</f>
        <v>2059001.82040122</v>
      </c>
      <c r="AE138" s="34" t="n">
        <f aca="false">AD$138+AE$112+AE$81-AE$127+AE$129</f>
        <v>2153324.9496987</v>
      </c>
      <c r="AF138" s="34" t="n">
        <f aca="false">AE$138+AF$112+AF$81-AF$127+AF$129</f>
        <v>2248048.60656945</v>
      </c>
      <c r="AG138" s="34" t="n">
        <f aca="false">AF$138+AG$112+AG$81-AG$127+AG$129</f>
        <v>2343175.79497027</v>
      </c>
      <c r="AH138" s="34" t="n">
        <f aca="false">AG$138+AH$112+AH$81-AH$127+AH$129</f>
        <v>2438709.54138765</v>
      </c>
      <c r="AI138" s="34" t="n">
        <f aca="false">AH$138+AI$112+AI$81-AI$127+AI$129</f>
        <v>2534652.89500669</v>
      </c>
      <c r="AJ138" s="34" t="n">
        <f aca="false">AI$138+AJ$112+AJ$81-AJ$127+AJ$129</f>
        <v>2631008.92788143</v>
      </c>
      <c r="AK138" s="34" t="n">
        <f aca="false">AJ$138+AK$112+AK$81-AK$127+AK$129</f>
        <v>2727780.73510626</v>
      </c>
      <c r="AL138" s="34" t="n">
        <f aca="false">AK$138+AL$112+AL$81-AL$127+AL$129</f>
        <v>2824971.43498883</v>
      </c>
      <c r="AM138" s="34" t="n">
        <f aca="false">AL$138+AM$112+AM$81-AM$127+AM$129</f>
        <v>2922584.16922405</v>
      </c>
      <c r="AN138" s="34" t="n">
        <f aca="false">AM$138+AN$112+AN$81-AN$127+AN$129</f>
        <v>3020622.10306959</v>
      </c>
      <c r="AO138" s="34" t="n">
        <f aca="false">AN$138+AO$112+AO$81-AO$127+AO$129</f>
        <v>3119088.42552251</v>
      </c>
      <c r="AP138" s="34" t="n">
        <f aca="false">AO$138+AP$112+AP$81-AP$127+AP$129</f>
        <v>3250794.8985121</v>
      </c>
      <c r="AQ138" s="34" t="n">
        <f aca="false">AP$138+AQ$112+AQ$81-AQ$127+AQ$129</f>
        <v>3382936.21003504</v>
      </c>
      <c r="AR138" s="34" t="n">
        <f aca="false">AQ$138+AR$112+AR$81-AR$127+AR$129</f>
        <v>3515515.62138034</v>
      </c>
      <c r="AS138" s="34" t="n">
        <f aca="false">AR$138+AS$112+AS$81-AS$127+AS$129</f>
        <v>3648536.41829666</v>
      </c>
      <c r="AT138" s="34" t="n">
        <f aca="false">AS$138+AT$112+AT$81-AT$127+AT$129</f>
        <v>3782001.91117579</v>
      </c>
      <c r="AU138" s="34" t="n">
        <f aca="false">AT$138+AU$112+AU$81-AU$127+AU$129</f>
        <v>3915915.43523744</v>
      </c>
      <c r="AV138" s="34" t="n">
        <f aca="false">AU$138+AV$112+AV$81-AV$127+AV$129</f>
        <v>4050280.35071549</v>
      </c>
      <c r="AW138" s="34" t="n">
        <f aca="false">AV$138+AW$112+AW$81-AW$127+AW$129</f>
        <v>4185100.04304555</v>
      </c>
      <c r="AX138" s="34" t="n">
        <f aca="false">AW$138+AX$112+AX$81-AX$127+AX$129</f>
        <v>4320377.92305403</v>
      </c>
      <c r="AY138" s="34" t="n">
        <f aca="false">AX$138+AY$112+AY$81-AY$127+AY$129</f>
        <v>4456117.42714849</v>
      </c>
      <c r="AZ138" s="34" t="n">
        <f aca="false">AY$138+AZ$112+AZ$81-AZ$127+AZ$129</f>
        <v>4592322.0175096</v>
      </c>
      <c r="BA138" s="34" t="n">
        <f aca="false">AZ$138+BA$112+BA$81-BA$127+BA$129</f>
        <v>4728995.18228435</v>
      </c>
      <c r="BB138" s="34" t="n">
        <f aca="false">BA$138+BB$112+BB$81-BB$127+BB$129</f>
        <v>4867460.02077736</v>
      </c>
      <c r="BC138" s="34" t="n">
        <f aca="false">BB$138+BC$112+BC$81-BC$127+BC$129</f>
        <v>5006400.48865752</v>
      </c>
      <c r="BD138" s="34" t="n">
        <f aca="false">BC$138+BD$112+BD$81-BD$127+BD$129</f>
        <v>5145820.15314524</v>
      </c>
      <c r="BE138" s="34" t="n">
        <f aca="false">BD$138+BE$112+BE$81-BE$127+BE$129</f>
        <v>4480769.22983416</v>
      </c>
      <c r="BF138" s="34" t="n">
        <f aca="false">BE$138+BF$112+BF$81-BF$127+BF$129</f>
        <v>4621158.09641548</v>
      </c>
      <c r="BG138" s="34" t="n">
        <f aca="false">BF$138+BG$112+BG$81-BG$127+BG$129</f>
        <v>4762037.02259462</v>
      </c>
      <c r="BH138" s="34" t="n">
        <f aca="false">BG$138+BH$112+BH$81-BH$127+BH$129</f>
        <v>4903409.68381856</v>
      </c>
      <c r="BI138" s="34" t="n">
        <f aca="false">BH$138+BI$112+BI$81-BI$127+BI$129</f>
        <v>5045279.78310014</v>
      </c>
      <c r="BJ138" s="34" t="n">
        <f aca="false">BI$138+BJ$112+BJ$81-BJ$127+BJ$129</f>
        <v>5187651.05122479</v>
      </c>
      <c r="BK138" s="34" t="n">
        <f aca="false">BJ$138+BK$112+BK$81-BK$127+BK$129</f>
        <v>5330527.24695883</v>
      </c>
      <c r="BL138" s="34" t="n">
        <f aca="false">BK$138+BL$112+BL$81-BL$127+BL$129</f>
        <v>5473912.15725934</v>
      </c>
      <c r="BM138" s="34" t="n">
        <f aca="false">BL$138+BM$112+BM$81-BM$127+BM$129</f>
        <v>5617809.59748556</v>
      </c>
      <c r="BN138" s="34" t="n">
        <f aca="false">BM$138+BN$112+BN$81-BN$127+BN$129</f>
        <v>5767325.32186672</v>
      </c>
      <c r="BO138" s="34" t="n">
        <f aca="false">BN$138+BO$112+BO$81-BO$127+BO$129</f>
        <v>5916841.04624788</v>
      </c>
      <c r="BP138" s="34" t="n">
        <f aca="false">BO$138+BP$112+BP$81-BP$127+BP$129</f>
        <v>6066356.77062904</v>
      </c>
      <c r="BQ138" s="34" t="n">
        <f aca="false">BP$138+BQ$112+BQ$81-BQ$127+BQ$129</f>
        <v>4751945.95064198</v>
      </c>
      <c r="BR138" s="34" t="n">
        <f aca="false">BQ$138+BR$112+BR$81-BR$127+BR$129</f>
        <v>4901461.67502314</v>
      </c>
      <c r="BS138" s="34" t="n">
        <f aca="false">BR$138+BS$112+BS$81-BS$127+BS$129</f>
        <v>5050977.3994043</v>
      </c>
      <c r="BT138" s="34" t="n">
        <f aca="false">BS$138+BT$112+BT$81-BT$127+BT$129</f>
        <v>5200493.12378545</v>
      </c>
      <c r="BU138" s="34" t="n">
        <f aca="false">BT$138+BU$112+BU$81-BU$127+BU$129</f>
        <v>5350008.84816661</v>
      </c>
      <c r="BV138" s="34" t="n">
        <f aca="false">BU$138+BV$112+BV$81-BV$127+BV$129</f>
        <v>5499524.57254777</v>
      </c>
      <c r="BW138" s="34" t="n">
        <f aca="false">BV$138+BW$112+BW$81-BW$127+BW$129</f>
        <v>5649040.29692893</v>
      </c>
      <c r="BX138" s="34" t="n">
        <f aca="false">BW$138+BX$112+BX$81-BX$127+BX$129</f>
        <v>5798556.02131009</v>
      </c>
      <c r="BY138" s="34" t="n">
        <f aca="false">BX$138+BY$112+BY$81-BY$127+BY$129</f>
        <v>5948071.74569125</v>
      </c>
      <c r="BZ138" s="34" t="n">
        <f aca="false">BY$138+BZ$112+BZ$81-BZ$127+BZ$129</f>
        <v>6101703.05076398</v>
      </c>
      <c r="CA138" s="34" t="n">
        <f aca="false">BZ$138+CA$112+CA$81-CA$127+CA$129</f>
        <v>6255334.35583672</v>
      </c>
      <c r="CB138" s="34" t="n">
        <f aca="false">CA$138+CB$112+CB$81-CB$127+CB$129</f>
        <v>6408965.66090945</v>
      </c>
      <c r="CC138" s="34" t="n">
        <f aca="false">CB$138+CC$112+CC$81-CC$127+CC$129</f>
        <v>4768408.27340827</v>
      </c>
      <c r="CD138" s="34" t="n">
        <f aca="false">CC$138+CD$112+CD$81-CD$127+CD$129</f>
        <v>4922039.578481</v>
      </c>
      <c r="CE138" s="34" t="n">
        <f aca="false">CD$138+CE$112+CE$81-CE$127+CE$129</f>
        <v>5075670.88355373</v>
      </c>
      <c r="CF138" s="34" t="n">
        <f aca="false">CE$138+CF$112+CF$81-CF$127+CF$129</f>
        <v>5229302.18862647</v>
      </c>
      <c r="CG138" s="34" t="n">
        <f aca="false">CF$138+CG$112+CG$81-CG$127+CG$129</f>
        <v>5382933.4936992</v>
      </c>
      <c r="CH138" s="34" t="n">
        <f aca="false">CG$138+CH$112+CH$81-CH$127+CH$129</f>
        <v>5536564.79877193</v>
      </c>
      <c r="CI138" s="34" t="n">
        <f aca="false">CH$138+CI$112+CI$81-CI$127+CI$129</f>
        <v>5690196.10384467</v>
      </c>
      <c r="CJ138" s="34" t="n">
        <f aca="false">CI$138+CJ$112+CJ$81-CJ$127+CJ$129</f>
        <v>5843827.4089174</v>
      </c>
      <c r="CK138" s="34" t="n">
        <f aca="false">CJ$138+CK$112+CK$81-CK$127+CK$129</f>
        <v>5997458.71399013</v>
      </c>
      <c r="CL138" s="34" t="n">
        <f aca="false">CK$138+CL$112+CL$81-CL$127+CL$129</f>
        <v>6155233.81511975</v>
      </c>
      <c r="CM138" s="34" t="n">
        <f aca="false">CL$138+CM$112+CM$81-CM$127+CM$129</f>
        <v>6313008.91624938</v>
      </c>
      <c r="CN138" s="34" t="n">
        <f aca="false">CM$138+CN$112+CN$81-CN$127+CN$129</f>
        <v>6470784.017379</v>
      </c>
      <c r="CO138" s="34" t="n">
        <f aca="false">CN$138+CO$112+CO$81-CO$127+CO$129</f>
        <v>4784983.45763582</v>
      </c>
      <c r="CP138" s="34" t="n">
        <f aca="false">CO$138+CP$112+CP$81-CP$127+CP$129</f>
        <v>4942758.55876544</v>
      </c>
      <c r="CQ138" s="34" t="n">
        <f aca="false">CP$138+CQ$112+CQ$81-CQ$127+CQ$129</f>
        <v>5100533.65989506</v>
      </c>
      <c r="CR138" s="34" t="n">
        <f aca="false">CQ$138+CR$112+CR$81-CR$127+CR$129</f>
        <v>5258308.76102469</v>
      </c>
      <c r="CS138" s="34" t="n">
        <f aca="false">CR$138+CS$112+CS$81-CS$127+CS$129</f>
        <v>5416083.86215431</v>
      </c>
      <c r="CT138" s="34" t="n">
        <f aca="false">CS$138+CT$112+CT$81-CT$127+CT$129</f>
        <v>5573858.96328393</v>
      </c>
      <c r="CU138" s="34" t="n">
        <f aca="false">CT$138+CU$112+CU$81-CU$127+CU$129</f>
        <v>5731634.06441355</v>
      </c>
      <c r="CV138" s="34" t="n">
        <f aca="false">CU$138+CV$112+CV$81-CV$127+CV$129</f>
        <v>5889409.16554317</v>
      </c>
      <c r="CW138" s="34" t="n">
        <f aca="false">CV$138+CW$112+CW$81-CW$127+CW$129</f>
        <v>6047184.26667279</v>
      </c>
      <c r="CX138" s="34" t="n">
        <f aca="false">CW$138+CX$112+CX$81-CX$127+CX$129</f>
        <v>6209131.27890503</v>
      </c>
      <c r="CY138" s="34" t="n">
        <f aca="false">CX$138+CY$112+CY$81-CY$127+CY$129</f>
        <v>6371078.29113727</v>
      </c>
      <c r="CZ138" s="34" t="n">
        <f aca="false">CY$138+CZ$112+CZ$81-CZ$127+CZ$129</f>
        <v>6533025.30336952</v>
      </c>
      <c r="DA138" s="34" t="n">
        <f aca="false">CZ$138+DA$112+DA$81-DA$127+DA$129</f>
        <v>4801671.10204631</v>
      </c>
      <c r="DB138" s="34" t="n">
        <f aca="false">DA$138+DB$112+DB$81-DB$127+DB$129</f>
        <v>4963618.11427855</v>
      </c>
      <c r="DC138" s="34" t="n">
        <f aca="false">DB$138+DC$112+DC$81-DC$127+DC$129</f>
        <v>5125565.12651079</v>
      </c>
      <c r="DD138" s="34" t="n">
        <f aca="false">DC$138+DD$112+DD$81-DD$127+DD$129</f>
        <v>5287512.13874303</v>
      </c>
      <c r="DE138" s="34" t="n">
        <f aca="false">DD$138+DE$112+DE$81-DE$127+DE$129</f>
        <v>5449459.15097527</v>
      </c>
      <c r="DF138" s="34" t="n">
        <f aca="false">DE$138+DF$112+DF$81-DF$127+DF$129</f>
        <v>5611406.16320751</v>
      </c>
      <c r="DG138" s="34" t="n">
        <f aca="false">DF$138+DG$112+DG$81-DG$127+DG$129</f>
        <v>5773353.17543975</v>
      </c>
      <c r="DH138" s="34" t="n">
        <f aca="false">DG$138+DH$112+DH$81-DH$127+DH$129</f>
        <v>5935300.187672</v>
      </c>
      <c r="DI138" s="34" t="n">
        <f aca="false">DH$138+DI$112+DI$81-DI$127+DI$129</f>
        <v>6097247.19990424</v>
      </c>
      <c r="DJ138" s="34" t="n">
        <f aca="false">DI$138+DJ$112+DJ$81-DJ$127+DJ$129</f>
        <v>6263394.12560266</v>
      </c>
      <c r="DK138" s="34" t="n">
        <f aca="false">DJ$138+DK$112+DK$81-DK$127+DK$129</f>
        <v>6429541.05130107</v>
      </c>
      <c r="DL138" s="34" t="n">
        <f aca="false">DK$138+DL$112+DL$81-DL$127+DL$129</f>
        <v>6595687.97699949</v>
      </c>
      <c r="DM138" s="34" t="n">
        <f aca="false">DL$138+DM$112+DM$81-DM$127+DM$129</f>
        <v>4818470.75591102</v>
      </c>
      <c r="DN138" s="34" t="n">
        <f aca="false">DM$138+DN$112+DN$81-DN$127+DN$129</f>
        <v>4984617.68160944</v>
      </c>
      <c r="DO138" s="34" t="n">
        <f aca="false">DN$138+DO$112+DO$81-DO$127+DO$129</f>
        <v>5150764.60730786</v>
      </c>
      <c r="DP138" s="34" t="n">
        <f aca="false">DO$138+DP$112+DP$81-DP$127+DP$129</f>
        <v>5316911.53300628</v>
      </c>
      <c r="DQ138" s="34" t="n">
        <f aca="false">DP$138+DQ$112+DQ$81-DQ$127+DQ$129</f>
        <v>5483058.4587047</v>
      </c>
      <c r="DR138" s="34" t="n">
        <f aca="false">DQ$138+DR$112+DR$81-DR$127+DR$129</f>
        <v>5649205.38440312</v>
      </c>
      <c r="DS138" s="34" t="n">
        <f aca="false">DR$138+DS$112+DS$81-DS$127+DS$129</f>
        <v>5815352.31010154</v>
      </c>
      <c r="DT138" s="34" t="n">
        <f aca="false">DS$138+DT$112+DT$81-DT$127+DT$129</f>
        <v>5981499.23579996</v>
      </c>
      <c r="DU138" s="34" t="n">
        <f aca="false">DT$138+DU$112+DU$81-DU$127+DU$129</f>
        <v>6147646.16149838</v>
      </c>
      <c r="DV138" s="34" t="n">
        <f aca="false">DU$138+DV$112+DV$81-DV$127+DV$129</f>
        <v>6147646.16149838</v>
      </c>
      <c r="DW138" s="34" t="n">
        <f aca="false">DV$138+DW$112+DW$81-DW$127+DW$129</f>
        <v>6147646.16149838</v>
      </c>
      <c r="DX138" s="34" t="n">
        <f aca="false">DW$138+DX$112+DX$81-DX$127+DX$129</f>
        <v>6147646.16149838</v>
      </c>
      <c r="DY138" s="34" t="n">
        <f aca="false">DX$138+DY$112+DY$81-DY$127+DY$129</f>
        <v>6147646.16149838</v>
      </c>
      <c r="DZ138" s="34" t="n">
        <f aca="false">DY$138+DZ$112+DZ$81-DZ$127+DZ$129</f>
        <v>6147646.16149838</v>
      </c>
      <c r="EA138" s="34" t="n">
        <f aca="false">DZ$138+EA$112+EA$81-EA$127+EA$129</f>
        <v>6147646.16149838</v>
      </c>
      <c r="EB138" s="34" t="n">
        <f aca="false">EA$138+EB$112+EB$81-EB$127+EB$129</f>
        <v>6147646.16149838</v>
      </c>
      <c r="EC138" s="34" t="n">
        <f aca="false">EB$138+EC$112+EC$81-EC$127+EC$129</f>
        <v>6147646.16149838</v>
      </c>
      <c r="ED138" s="34" t="n">
        <f aca="false">EC$138+ED$112+ED$81-ED$127+ED$129</f>
        <v>6147646.16149838</v>
      </c>
      <c r="EE138" s="34" t="n">
        <f aca="false">ED$138+EE$112+EE$81-EE$127+EE$129</f>
        <v>6147646.16149838</v>
      </c>
      <c r="EF138" s="34" t="n">
        <f aca="false">EE$138+EF$112+EF$81-EF$127+EF$129</f>
        <v>6147646.16149838</v>
      </c>
      <c r="EG138" s="34" t="n">
        <f aca="false">EF$138+EG$112+EG$81-EG$127+EG$129</f>
        <v>6147646.16149838</v>
      </c>
      <c r="EH138" s="34" t="n">
        <f aca="false">EG$138+EH$112+EH$81-EH$127+EH$129</f>
        <v>6147646.16149838</v>
      </c>
      <c r="EI138" s="34" t="n">
        <f aca="false">EH$138+EI$112+EI$81-EI$127+EI$129</f>
        <v>6147646.16149838</v>
      </c>
      <c r="EJ138" s="34" t="n">
        <f aca="false">EI$138+EJ$112+EJ$81-EJ$127+EJ$129</f>
        <v>6147646.16149838</v>
      </c>
      <c r="EK138" s="34" t="n">
        <f aca="false">EJ$138+EK$112+EK$81-EK$127+EK$129</f>
        <v>6147646.16149838</v>
      </c>
      <c r="EL138" s="34" t="n">
        <f aca="false">EK$138+EL$112+EL$81-EL$127+EL$129</f>
        <v>6147646.16149838</v>
      </c>
      <c r="EM138" s="34" t="n">
        <f aca="false">EL$138+EM$112+EM$81-EM$127+EM$129</f>
        <v>6147646.16149838</v>
      </c>
      <c r="EN138" s="34" t="n">
        <f aca="false">EM$138+EN$112+EN$81-EN$127+EN$129</f>
        <v>6147646.16149838</v>
      </c>
      <c r="EO138" s="34" t="n">
        <f aca="false">EN$138+EO$112+EO$81-EO$127+EO$129</f>
        <v>6147646.16149838</v>
      </c>
      <c r="EP138" s="34" t="n">
        <f aca="false">EO$138+EP$112+EP$81-EP$127+EP$129</f>
        <v>6147646.16149838</v>
      </c>
      <c r="EQ138" s="34" t="n">
        <f aca="false">EP$138+EQ$112+EQ$81-EQ$127+EQ$129</f>
        <v>6147646.16149838</v>
      </c>
      <c r="ER138" s="34" t="n">
        <f aca="false">EQ$138+ER$112+ER$81-ER$127+ER$129</f>
        <v>6147646.16149838</v>
      </c>
      <c r="ES138" s="34" t="n">
        <f aca="false">ER$138+ES$112+ES$81-ES$127+ES$129</f>
        <v>6147646.16149838</v>
      </c>
    </row>
    <row r="139" customFormat="false" ht="15" hidden="false" customHeight="false" outlineLevel="0" collapsed="false">
      <c r="A139" s="2" t="s">
        <v>758</v>
      </c>
      <c r="B139" s="52" t="s">
        <v>759</v>
      </c>
      <c r="C139" s="6" t="s">
        <v>250</v>
      </c>
      <c r="E139" s="53" t="n">
        <f aca="false">MAX(ABS(MAX(F139:ES139)),ABS(MIN(F139:ES139)))</f>
        <v>0</v>
      </c>
      <c r="F139" s="54" t="n">
        <f aca="false">ROUND(F$128+F$83+F$84+F$85+F$92-F$86-F$122-F$138,2)</f>
        <v>0</v>
      </c>
      <c r="G139" s="54" t="n">
        <f aca="false">ROUND(G$128+G$83+G$84+G$85+G$92-G$86-G$122-G$138,2)</f>
        <v>0</v>
      </c>
      <c r="H139" s="54" t="n">
        <f aca="false">ROUND(H$128+H$83+H$84+H$85+H$92-H$86-H$122-H$138,2)</f>
        <v>0</v>
      </c>
      <c r="I139" s="54" t="n">
        <f aca="false">ROUND(I$128+I$83+I$84+I$85+I$92-I$86-I$122-I$138,2)</f>
        <v>0</v>
      </c>
      <c r="J139" s="54" t="n">
        <f aca="false">ROUND(J$128+J$83+J$84+J$85+J$92-J$86-J$122-J$138,2)</f>
        <v>0</v>
      </c>
      <c r="K139" s="54" t="n">
        <f aca="false">ROUND(K$128+K$83+K$84+K$85+K$92-K$86-K$122-K$138,2)</f>
        <v>0</v>
      </c>
      <c r="L139" s="54" t="n">
        <f aca="false">ROUND(L$128+L$83+L$84+L$85+L$92-L$86-L$122-L$138,2)</f>
        <v>0</v>
      </c>
      <c r="M139" s="54" t="n">
        <f aca="false">ROUND(M$128+M$83+M$84+M$85+M$92-M$86-M$122-M$138,2)</f>
        <v>0</v>
      </c>
      <c r="N139" s="54" t="n">
        <f aca="false">ROUND(N$128+N$83+N$84+N$85+N$92-N$86-N$122-N$138,2)</f>
        <v>0</v>
      </c>
      <c r="O139" s="54" t="n">
        <f aca="false">ROUND(O$128+O$83+O$84+O$85+O$92-O$86-O$122-O$138,2)</f>
        <v>0</v>
      </c>
      <c r="P139" s="54" t="n">
        <f aca="false">ROUND(P$128+P$83+P$84+P$85+P$92-P$86-P$122-P$138,2)</f>
        <v>0</v>
      </c>
      <c r="Q139" s="54" t="n">
        <f aca="false">ROUND(Q$128+Q$83+Q$84+Q$85+Q$92-Q$86-Q$122-Q$138,2)</f>
        <v>0</v>
      </c>
      <c r="R139" s="54" t="n">
        <f aca="false">ROUND(R$128+R$83+R$84+R$85+R$92-R$86-R$122-R$138,2)</f>
        <v>0</v>
      </c>
      <c r="S139" s="54" t="n">
        <f aca="false">ROUND(S$128+S$83+S$84+S$85+S$92-S$86-S$122-S$138,2)</f>
        <v>0</v>
      </c>
      <c r="T139" s="54" t="n">
        <f aca="false">ROUND(T$128+T$83+T$84+T$85+T$92-T$86-T$122-T$138,2)</f>
        <v>0</v>
      </c>
      <c r="U139" s="54" t="n">
        <f aca="false">ROUND(U$128+U$83+U$84+U$85+U$92-U$86-U$122-U$138,2)</f>
        <v>0</v>
      </c>
      <c r="V139" s="54" t="n">
        <f aca="false">ROUND(V$128+V$83+V$84+V$85+V$92-V$86-V$122-V$138,2)</f>
        <v>0</v>
      </c>
      <c r="W139" s="54" t="n">
        <f aca="false">ROUND(W$128+W$83+W$84+W$85+W$92-W$86-W$122-W$138,2)</f>
        <v>0</v>
      </c>
      <c r="X139" s="54" t="n">
        <f aca="false">ROUND(X$128+X$83+X$84+X$85+X$92-X$86-X$122-X$138,2)</f>
        <v>0</v>
      </c>
      <c r="Y139" s="54" t="n">
        <f aca="false">ROUND(Y$128+Y$83+Y$84+Y$85+Y$92-Y$86-Y$122-Y$138,2)</f>
        <v>0</v>
      </c>
      <c r="Z139" s="54" t="n">
        <f aca="false">ROUND(Z$128+Z$83+Z$84+Z$85+Z$92-Z$86-Z$122-Z$138,2)</f>
        <v>0</v>
      </c>
      <c r="AA139" s="54" t="n">
        <f aca="false">ROUND(AA$128+AA$83+AA$84+AA$85+AA$92-AA$86-AA$122-AA$138,2)</f>
        <v>0</v>
      </c>
      <c r="AB139" s="54" t="n">
        <f aca="false">ROUND(AB$128+AB$83+AB$84+AB$85+AB$92-AB$86-AB$122-AB$138,2)</f>
        <v>0</v>
      </c>
      <c r="AC139" s="54" t="n">
        <f aca="false">ROUND(AC$128+AC$83+AC$84+AC$85+AC$92-AC$86-AC$122-AC$138,2)</f>
        <v>0</v>
      </c>
      <c r="AD139" s="54" t="n">
        <f aca="false">ROUND(AD$128+AD$83+AD$84+AD$85+AD$92-AD$86-AD$122-AD$138,2)</f>
        <v>0</v>
      </c>
      <c r="AE139" s="54" t="n">
        <f aca="false">ROUND(AE$128+AE$83+AE$84+AE$85+AE$92-AE$86-AE$122-AE$138,2)</f>
        <v>0</v>
      </c>
      <c r="AF139" s="54" t="n">
        <f aca="false">ROUND(AF$128+AF$83+AF$84+AF$85+AF$92-AF$86-AF$122-AF$138,2)</f>
        <v>0</v>
      </c>
      <c r="AG139" s="54" t="n">
        <f aca="false">ROUND(AG$128+AG$83+AG$84+AG$85+AG$92-AG$86-AG$122-AG$138,2)</f>
        <v>0</v>
      </c>
      <c r="AH139" s="54" t="n">
        <f aca="false">ROUND(AH$128+AH$83+AH$84+AH$85+AH$92-AH$86-AH$122-AH$138,2)</f>
        <v>0</v>
      </c>
      <c r="AI139" s="54" t="n">
        <f aca="false">ROUND(AI$128+AI$83+AI$84+AI$85+AI$92-AI$86-AI$122-AI$138,2)</f>
        <v>0</v>
      </c>
      <c r="AJ139" s="54" t="n">
        <f aca="false">ROUND(AJ$128+AJ$83+AJ$84+AJ$85+AJ$92-AJ$86-AJ$122-AJ$138,2)</f>
        <v>0</v>
      </c>
      <c r="AK139" s="54" t="n">
        <f aca="false">ROUND(AK$128+AK$83+AK$84+AK$85+AK$92-AK$86-AK$122-AK$138,2)</f>
        <v>0</v>
      </c>
      <c r="AL139" s="54" t="n">
        <f aca="false">ROUND(AL$128+AL$83+AL$84+AL$85+AL$92-AL$86-AL$122-AL$138,2)</f>
        <v>0</v>
      </c>
      <c r="AM139" s="54" t="n">
        <f aca="false">ROUND(AM$128+AM$83+AM$84+AM$85+AM$92-AM$86-AM$122-AM$138,2)</f>
        <v>0</v>
      </c>
      <c r="AN139" s="54" t="n">
        <f aca="false">ROUND(AN$128+AN$83+AN$84+AN$85+AN$92-AN$86-AN$122-AN$138,2)</f>
        <v>0</v>
      </c>
      <c r="AO139" s="54" t="n">
        <f aca="false">ROUND(AO$128+AO$83+AO$84+AO$85+AO$92-AO$86-AO$122-AO$138,2)</f>
        <v>0</v>
      </c>
      <c r="AP139" s="54" t="n">
        <f aca="false">ROUND(AP$128+AP$83+AP$84+AP$85+AP$92-AP$86-AP$122-AP$138,2)</f>
        <v>0</v>
      </c>
      <c r="AQ139" s="54" t="n">
        <f aca="false">ROUND(AQ$128+AQ$83+AQ$84+AQ$85+AQ$92-AQ$86-AQ$122-AQ$138,2)</f>
        <v>0</v>
      </c>
      <c r="AR139" s="54" t="n">
        <f aca="false">ROUND(AR$128+AR$83+AR$84+AR$85+AR$92-AR$86-AR$122-AR$138,2)</f>
        <v>0</v>
      </c>
      <c r="AS139" s="54" t="n">
        <f aca="false">ROUND(AS$128+AS$83+AS$84+AS$85+AS$92-AS$86-AS$122-AS$138,2)</f>
        <v>0</v>
      </c>
      <c r="AT139" s="54" t="n">
        <f aca="false">ROUND(AT$128+AT$83+AT$84+AT$85+AT$92-AT$86-AT$122-AT$138,2)</f>
        <v>0</v>
      </c>
      <c r="AU139" s="54" t="n">
        <f aca="false">ROUND(AU$128+AU$83+AU$84+AU$85+AU$92-AU$86-AU$122-AU$138,2)</f>
        <v>0</v>
      </c>
      <c r="AV139" s="54" t="n">
        <f aca="false">ROUND(AV$128+AV$83+AV$84+AV$85+AV$92-AV$86-AV$122-AV$138,2)</f>
        <v>0</v>
      </c>
      <c r="AW139" s="54" t="n">
        <f aca="false">ROUND(AW$128+AW$83+AW$84+AW$85+AW$92-AW$86-AW$122-AW$138,2)</f>
        <v>0</v>
      </c>
      <c r="AX139" s="54" t="n">
        <f aca="false">ROUND(AX$128+AX$83+AX$84+AX$85+AX$92-AX$86-AX$122-AX$138,2)</f>
        <v>0</v>
      </c>
      <c r="AY139" s="54" t="n">
        <f aca="false">ROUND(AY$128+AY$83+AY$84+AY$85+AY$92-AY$86-AY$122-AY$138,2)</f>
        <v>0</v>
      </c>
      <c r="AZ139" s="54" t="n">
        <f aca="false">ROUND(AZ$128+AZ$83+AZ$84+AZ$85+AZ$92-AZ$86-AZ$122-AZ$138,2)</f>
        <v>0</v>
      </c>
      <c r="BA139" s="54" t="n">
        <f aca="false">ROUND(BA$128+BA$83+BA$84+BA$85+BA$92-BA$86-BA$122-BA$138,2)</f>
        <v>0</v>
      </c>
      <c r="BB139" s="54" t="n">
        <f aca="false">ROUND(BB$128+BB$83+BB$84+BB$85+BB$92-BB$86-BB$122-BB$138,2)</f>
        <v>0</v>
      </c>
      <c r="BC139" s="54" t="n">
        <f aca="false">ROUND(BC$128+BC$83+BC$84+BC$85+BC$92-BC$86-BC$122-BC$138,2)</f>
        <v>0</v>
      </c>
      <c r="BD139" s="54" t="n">
        <f aca="false">ROUND(BD$128+BD$83+BD$84+BD$85+BD$92-BD$86-BD$122-BD$138,2)</f>
        <v>0</v>
      </c>
      <c r="BE139" s="54" t="n">
        <f aca="false">ROUND(BE$128+BE$83+BE$84+BE$85+BE$92-BE$86-BE$122-BE$138,2)</f>
        <v>0</v>
      </c>
      <c r="BF139" s="54" t="n">
        <f aca="false">ROUND(BF$128+BF$83+BF$84+BF$85+BF$92-BF$86-BF$122-BF$138,2)</f>
        <v>0</v>
      </c>
      <c r="BG139" s="54" t="n">
        <f aca="false">ROUND(BG$128+BG$83+BG$84+BG$85+BG$92-BG$86-BG$122-BG$138,2)</f>
        <v>0</v>
      </c>
      <c r="BH139" s="54" t="n">
        <f aca="false">ROUND(BH$128+BH$83+BH$84+BH$85+BH$92-BH$86-BH$122-BH$138,2)</f>
        <v>0</v>
      </c>
      <c r="BI139" s="54" t="n">
        <f aca="false">ROUND(BI$128+BI$83+BI$84+BI$85+BI$92-BI$86-BI$122-BI$138,2)</f>
        <v>0</v>
      </c>
      <c r="BJ139" s="54" t="n">
        <f aca="false">ROUND(BJ$128+BJ$83+BJ$84+BJ$85+BJ$92-BJ$86-BJ$122-BJ$138,2)</f>
        <v>0</v>
      </c>
      <c r="BK139" s="54" t="n">
        <f aca="false">ROUND(BK$128+BK$83+BK$84+BK$85+BK$92-BK$86-BK$122-BK$138,2)</f>
        <v>0</v>
      </c>
      <c r="BL139" s="54" t="n">
        <f aca="false">ROUND(BL$128+BL$83+BL$84+BL$85+BL$92-BL$86-BL$122-BL$138,2)</f>
        <v>0</v>
      </c>
      <c r="BM139" s="54" t="n">
        <f aca="false">ROUND(BM$128+BM$83+BM$84+BM$85+BM$92-BM$86-BM$122-BM$138,2)</f>
        <v>0</v>
      </c>
      <c r="BN139" s="54" t="n">
        <f aca="false">ROUND(BN$128+BN$83+BN$84+BN$85+BN$92-BN$86-BN$122-BN$138,2)</f>
        <v>0</v>
      </c>
      <c r="BO139" s="54" t="n">
        <f aca="false">ROUND(BO$128+BO$83+BO$84+BO$85+BO$92-BO$86-BO$122-BO$138,2)</f>
        <v>0</v>
      </c>
      <c r="BP139" s="54" t="n">
        <f aca="false">ROUND(BP$128+BP$83+BP$84+BP$85+BP$92-BP$86-BP$122-BP$138,2)</f>
        <v>0</v>
      </c>
      <c r="BQ139" s="54" t="n">
        <f aca="false">ROUND(BQ$128+BQ$83+BQ$84+BQ$85+BQ$92-BQ$86-BQ$122-BQ$138,2)</f>
        <v>0</v>
      </c>
      <c r="BR139" s="54" t="n">
        <f aca="false">ROUND(BR$128+BR$83+BR$84+BR$85+BR$92-BR$86-BR$122-BR$138,2)</f>
        <v>0</v>
      </c>
      <c r="BS139" s="54" t="n">
        <f aca="false">ROUND(BS$128+BS$83+BS$84+BS$85+BS$92-BS$86-BS$122-BS$138,2)</f>
        <v>0</v>
      </c>
      <c r="BT139" s="54" t="n">
        <f aca="false">ROUND(BT$128+BT$83+BT$84+BT$85+BT$92-BT$86-BT$122-BT$138,2)</f>
        <v>0</v>
      </c>
      <c r="BU139" s="54" t="n">
        <f aca="false">ROUND(BU$128+BU$83+BU$84+BU$85+BU$92-BU$86-BU$122-BU$138,2)</f>
        <v>0</v>
      </c>
      <c r="BV139" s="54" t="n">
        <f aca="false">ROUND(BV$128+BV$83+BV$84+BV$85+BV$92-BV$86-BV$122-BV$138,2)</f>
        <v>0</v>
      </c>
      <c r="BW139" s="54" t="n">
        <f aca="false">ROUND(BW$128+BW$83+BW$84+BW$85+BW$92-BW$86-BW$122-BW$138,2)</f>
        <v>0</v>
      </c>
      <c r="BX139" s="54" t="n">
        <f aca="false">ROUND(BX$128+BX$83+BX$84+BX$85+BX$92-BX$86-BX$122-BX$138,2)</f>
        <v>0</v>
      </c>
      <c r="BY139" s="54" t="n">
        <f aca="false">ROUND(BY$128+BY$83+BY$84+BY$85+BY$92-BY$86-BY$122-BY$138,2)</f>
        <v>0</v>
      </c>
      <c r="BZ139" s="54" t="n">
        <f aca="false">ROUND(BZ$128+BZ$83+BZ$84+BZ$85+BZ$92-BZ$86-BZ$122-BZ$138,2)</f>
        <v>0</v>
      </c>
      <c r="CA139" s="54" t="n">
        <f aca="false">ROUND(CA$128+CA$83+CA$84+CA$85+CA$92-CA$86-CA$122-CA$138,2)</f>
        <v>0</v>
      </c>
      <c r="CB139" s="54" t="n">
        <f aca="false">ROUND(CB$128+CB$83+CB$84+CB$85+CB$92-CB$86-CB$122-CB$138,2)</f>
        <v>0</v>
      </c>
      <c r="CC139" s="54" t="n">
        <f aca="false">ROUND(CC$128+CC$83+CC$84+CC$85+CC$92-CC$86-CC$122-CC$138,2)</f>
        <v>0</v>
      </c>
      <c r="CD139" s="54" t="n">
        <f aca="false">ROUND(CD$128+CD$83+CD$84+CD$85+CD$92-CD$86-CD$122-CD$138,2)</f>
        <v>0</v>
      </c>
      <c r="CE139" s="54" t="n">
        <f aca="false">ROUND(CE$128+CE$83+CE$84+CE$85+CE$92-CE$86-CE$122-CE$138,2)</f>
        <v>0</v>
      </c>
      <c r="CF139" s="54" t="n">
        <f aca="false">ROUND(CF$128+CF$83+CF$84+CF$85+CF$92-CF$86-CF$122-CF$138,2)</f>
        <v>0</v>
      </c>
      <c r="CG139" s="54" t="n">
        <f aca="false">ROUND(CG$128+CG$83+CG$84+CG$85+CG$92-CG$86-CG$122-CG$138,2)</f>
        <v>0</v>
      </c>
      <c r="CH139" s="54" t="n">
        <f aca="false">ROUND(CH$128+CH$83+CH$84+CH$85+CH$92-CH$86-CH$122-CH$138,2)</f>
        <v>0</v>
      </c>
      <c r="CI139" s="54" t="n">
        <f aca="false">ROUND(CI$128+CI$83+CI$84+CI$85+CI$92-CI$86-CI$122-CI$138,2)</f>
        <v>0</v>
      </c>
      <c r="CJ139" s="54" t="n">
        <f aca="false">ROUND(CJ$128+CJ$83+CJ$84+CJ$85+CJ$92-CJ$86-CJ$122-CJ$138,2)</f>
        <v>0</v>
      </c>
      <c r="CK139" s="54" t="n">
        <f aca="false">ROUND(CK$128+CK$83+CK$84+CK$85+CK$92-CK$86-CK$122-CK$138,2)</f>
        <v>0</v>
      </c>
      <c r="CL139" s="54" t="n">
        <f aca="false">ROUND(CL$128+CL$83+CL$84+CL$85+CL$92-CL$86-CL$122-CL$138,2)</f>
        <v>0</v>
      </c>
      <c r="CM139" s="54" t="n">
        <f aca="false">ROUND(CM$128+CM$83+CM$84+CM$85+CM$92-CM$86-CM$122-CM$138,2)</f>
        <v>0</v>
      </c>
      <c r="CN139" s="54" t="n">
        <f aca="false">ROUND(CN$128+CN$83+CN$84+CN$85+CN$92-CN$86-CN$122-CN$138,2)</f>
        <v>0</v>
      </c>
      <c r="CO139" s="54" t="n">
        <f aca="false">ROUND(CO$128+CO$83+CO$84+CO$85+CO$92-CO$86-CO$122-CO$138,2)</f>
        <v>0</v>
      </c>
      <c r="CP139" s="54" t="n">
        <f aca="false">ROUND(CP$128+CP$83+CP$84+CP$85+CP$92-CP$86-CP$122-CP$138,2)</f>
        <v>0</v>
      </c>
      <c r="CQ139" s="54" t="n">
        <f aca="false">ROUND(CQ$128+CQ$83+CQ$84+CQ$85+CQ$92-CQ$86-CQ$122-CQ$138,2)</f>
        <v>0</v>
      </c>
      <c r="CR139" s="54" t="n">
        <f aca="false">ROUND(CR$128+CR$83+CR$84+CR$85+CR$92-CR$86-CR$122-CR$138,2)</f>
        <v>0</v>
      </c>
      <c r="CS139" s="54" t="n">
        <f aca="false">ROUND(CS$128+CS$83+CS$84+CS$85+CS$92-CS$86-CS$122-CS$138,2)</f>
        <v>0</v>
      </c>
      <c r="CT139" s="54" t="n">
        <f aca="false">ROUND(CT$128+CT$83+CT$84+CT$85+CT$92-CT$86-CT$122-CT$138,2)</f>
        <v>0</v>
      </c>
      <c r="CU139" s="54" t="n">
        <f aca="false">ROUND(CU$128+CU$83+CU$84+CU$85+CU$92-CU$86-CU$122-CU$138,2)</f>
        <v>0</v>
      </c>
      <c r="CV139" s="54" t="n">
        <f aca="false">ROUND(CV$128+CV$83+CV$84+CV$85+CV$92-CV$86-CV$122-CV$138,2)</f>
        <v>0</v>
      </c>
      <c r="CW139" s="54" t="n">
        <f aca="false">ROUND(CW$128+CW$83+CW$84+CW$85+CW$92-CW$86-CW$122-CW$138,2)</f>
        <v>0</v>
      </c>
      <c r="CX139" s="54" t="n">
        <f aca="false">ROUND(CX$128+CX$83+CX$84+CX$85+CX$92-CX$86-CX$122-CX$138,2)</f>
        <v>0</v>
      </c>
      <c r="CY139" s="54" t="n">
        <f aca="false">ROUND(CY$128+CY$83+CY$84+CY$85+CY$92-CY$86-CY$122-CY$138,2)</f>
        <v>0</v>
      </c>
      <c r="CZ139" s="54" t="n">
        <f aca="false">ROUND(CZ$128+CZ$83+CZ$84+CZ$85+CZ$92-CZ$86-CZ$122-CZ$138,2)</f>
        <v>0</v>
      </c>
      <c r="DA139" s="54" t="n">
        <f aca="false">ROUND(DA$128+DA$83+DA$84+DA$85+DA$92-DA$86-DA$122-DA$138,2)</f>
        <v>0</v>
      </c>
      <c r="DB139" s="54" t="n">
        <f aca="false">ROUND(DB$128+DB$83+DB$84+DB$85+DB$92-DB$86-DB$122-DB$138,2)</f>
        <v>0</v>
      </c>
      <c r="DC139" s="54" t="n">
        <f aca="false">ROUND(DC$128+DC$83+DC$84+DC$85+DC$92-DC$86-DC$122-DC$138,2)</f>
        <v>0</v>
      </c>
      <c r="DD139" s="54" t="n">
        <f aca="false">ROUND(DD$128+DD$83+DD$84+DD$85+DD$92-DD$86-DD$122-DD$138,2)</f>
        <v>0</v>
      </c>
      <c r="DE139" s="54" t="n">
        <f aca="false">ROUND(DE$128+DE$83+DE$84+DE$85+DE$92-DE$86-DE$122-DE$138,2)</f>
        <v>0</v>
      </c>
      <c r="DF139" s="54" t="n">
        <f aca="false">ROUND(DF$128+DF$83+DF$84+DF$85+DF$92-DF$86-DF$122-DF$138,2)</f>
        <v>0</v>
      </c>
      <c r="DG139" s="54" t="n">
        <f aca="false">ROUND(DG$128+DG$83+DG$84+DG$85+DG$92-DG$86-DG$122-DG$138,2)</f>
        <v>0</v>
      </c>
      <c r="DH139" s="54" t="n">
        <f aca="false">ROUND(DH$128+DH$83+DH$84+DH$85+DH$92-DH$86-DH$122-DH$138,2)</f>
        <v>0</v>
      </c>
      <c r="DI139" s="54" t="n">
        <f aca="false">ROUND(DI$128+DI$83+DI$84+DI$85+DI$92-DI$86-DI$122-DI$138,2)</f>
        <v>0</v>
      </c>
      <c r="DJ139" s="54" t="n">
        <f aca="false">ROUND(DJ$128+DJ$83+DJ$84+DJ$85+DJ$92-DJ$86-DJ$122-DJ$138,2)</f>
        <v>0</v>
      </c>
      <c r="DK139" s="54" t="n">
        <f aca="false">ROUND(DK$128+DK$83+DK$84+DK$85+DK$92-DK$86-DK$122-DK$138,2)</f>
        <v>0</v>
      </c>
      <c r="DL139" s="54" t="n">
        <f aca="false">ROUND(DL$128+DL$83+DL$84+DL$85+DL$92-DL$86-DL$122-DL$138,2)</f>
        <v>0</v>
      </c>
      <c r="DM139" s="54" t="n">
        <f aca="false">ROUND(DM$128+DM$83+DM$84+DM$85+DM$92-DM$86-DM$122-DM$138,2)</f>
        <v>0</v>
      </c>
      <c r="DN139" s="54" t="n">
        <f aca="false">ROUND(DN$128+DN$83+DN$84+DN$85+DN$92-DN$86-DN$122-DN$138,2)</f>
        <v>0</v>
      </c>
      <c r="DO139" s="54" t="n">
        <f aca="false">ROUND(DO$128+DO$83+DO$84+DO$85+DO$92-DO$86-DO$122-DO$138,2)</f>
        <v>0</v>
      </c>
      <c r="DP139" s="54" t="n">
        <f aca="false">ROUND(DP$128+DP$83+DP$84+DP$85+DP$92-DP$86-DP$122-DP$138,2)</f>
        <v>0</v>
      </c>
      <c r="DQ139" s="54" t="n">
        <f aca="false">ROUND(DQ$128+DQ$83+DQ$84+DQ$85+DQ$92-DQ$86-DQ$122-DQ$138,2)</f>
        <v>0</v>
      </c>
      <c r="DR139" s="54" t="n">
        <f aca="false">ROUND(DR$128+DR$83+DR$84+DR$85+DR$92-DR$86-DR$122-DR$138,2)</f>
        <v>0</v>
      </c>
      <c r="DS139" s="54" t="n">
        <f aca="false">ROUND(DS$128+DS$83+DS$84+DS$85+DS$92-DS$86-DS$122-DS$138,2)</f>
        <v>0</v>
      </c>
      <c r="DT139" s="54" t="n">
        <f aca="false">ROUND(DT$128+DT$83+DT$84+DT$85+DT$92-DT$86-DT$122-DT$138,2)</f>
        <v>0</v>
      </c>
      <c r="DU139" s="54" t="n">
        <f aca="false">ROUND(DU$128+DU$83+DU$84+DU$85+DU$92-DU$86-DU$122-DU$138,2)</f>
        <v>0</v>
      </c>
      <c r="DV139" s="54" t="n">
        <f aca="false">ROUND(DV$128+DV$83+DV$84+DV$85+DV$92-DV$86-DV$122-DV$138,2)</f>
        <v>0</v>
      </c>
      <c r="DW139" s="54" t="n">
        <f aca="false">ROUND(DW$128+DW$83+DW$84+DW$85+DW$92-DW$86-DW$122-DW$138,2)</f>
        <v>0</v>
      </c>
      <c r="DX139" s="54" t="n">
        <f aca="false">ROUND(DX$128+DX$83+DX$84+DX$85+DX$92-DX$86-DX$122-DX$138,2)</f>
        <v>0</v>
      </c>
      <c r="DY139" s="54" t="n">
        <f aca="false">ROUND(DY$128+DY$83+DY$84+DY$85+DY$92-DY$86-DY$122-DY$138,2)</f>
        <v>0</v>
      </c>
      <c r="DZ139" s="54" t="n">
        <f aca="false">ROUND(DZ$128+DZ$83+DZ$84+DZ$85+DZ$92-DZ$86-DZ$122-DZ$138,2)</f>
        <v>0</v>
      </c>
      <c r="EA139" s="54" t="n">
        <f aca="false">ROUND(EA$128+EA$83+EA$84+EA$85+EA$92-EA$86-EA$122-EA$138,2)</f>
        <v>0</v>
      </c>
      <c r="EB139" s="54" t="n">
        <f aca="false">ROUND(EB$128+EB$83+EB$84+EB$85+EB$92-EB$86-EB$122-EB$138,2)</f>
        <v>0</v>
      </c>
      <c r="EC139" s="54" t="n">
        <f aca="false">ROUND(EC$128+EC$83+EC$84+EC$85+EC$92-EC$86-EC$122-EC$138,2)</f>
        <v>0</v>
      </c>
      <c r="ED139" s="54" t="n">
        <f aca="false">ROUND(ED$128+ED$83+ED$84+ED$85+ED$92-ED$86-ED$122-ED$138,2)</f>
        <v>0</v>
      </c>
      <c r="EE139" s="54" t="n">
        <f aca="false">ROUND(EE$128+EE$83+EE$84+EE$85+EE$92-EE$86-EE$122-EE$138,2)</f>
        <v>0</v>
      </c>
      <c r="EF139" s="54" t="n">
        <f aca="false">ROUND(EF$128+EF$83+EF$84+EF$85+EF$92-EF$86-EF$122-EF$138,2)</f>
        <v>0</v>
      </c>
      <c r="EG139" s="54" t="n">
        <f aca="false">ROUND(EG$128+EG$83+EG$84+EG$85+EG$92-EG$86-EG$122-EG$138,2)</f>
        <v>0</v>
      </c>
      <c r="EH139" s="54" t="n">
        <f aca="false">ROUND(EH$128+EH$83+EH$84+EH$85+EH$92-EH$86-EH$122-EH$138,2)</f>
        <v>0</v>
      </c>
      <c r="EI139" s="54" t="n">
        <f aca="false">ROUND(EI$128+EI$83+EI$84+EI$85+EI$92-EI$86-EI$122-EI$138,2)</f>
        <v>0</v>
      </c>
      <c r="EJ139" s="54" t="n">
        <f aca="false">ROUND(EJ$128+EJ$83+EJ$84+EJ$85+EJ$92-EJ$86-EJ$122-EJ$138,2)</f>
        <v>0</v>
      </c>
      <c r="EK139" s="54" t="n">
        <f aca="false">ROUND(EK$128+EK$83+EK$84+EK$85+EK$92-EK$86-EK$122-EK$138,2)</f>
        <v>0</v>
      </c>
      <c r="EL139" s="54" t="n">
        <f aca="false">ROUND(EL$128+EL$83+EL$84+EL$85+EL$92-EL$86-EL$122-EL$138,2)</f>
        <v>0</v>
      </c>
      <c r="EM139" s="54" t="n">
        <f aca="false">ROUND(EM$128+EM$83+EM$84+EM$85+EM$92-EM$86-EM$122-EM$138,2)</f>
        <v>0</v>
      </c>
      <c r="EN139" s="54" t="n">
        <f aca="false">ROUND(EN$128+EN$83+EN$84+EN$85+EN$92-EN$86-EN$122-EN$138,2)</f>
        <v>0</v>
      </c>
      <c r="EO139" s="54" t="n">
        <f aca="false">ROUND(EO$128+EO$83+EO$84+EO$85+EO$92-EO$86-EO$122-EO$138,2)</f>
        <v>0</v>
      </c>
      <c r="EP139" s="54" t="n">
        <f aca="false">ROUND(EP$128+EP$83+EP$84+EP$85+EP$92-EP$86-EP$122-EP$138,2)</f>
        <v>0</v>
      </c>
      <c r="EQ139" s="54" t="n">
        <f aca="false">ROUND(EQ$128+EQ$83+EQ$84+EQ$85+EQ$92-EQ$86-EQ$122-EQ$138,2)</f>
        <v>0</v>
      </c>
      <c r="ER139" s="54" t="n">
        <f aca="false">ROUND(ER$128+ER$83+ER$84+ER$85+ER$92-ER$86-ER$122-ER$138,2)</f>
        <v>0</v>
      </c>
      <c r="ES139" s="54" t="n">
        <f aca="false">ROUND(ES$128+ES$83+ES$84+ES$85+ES$92-ES$86-ES$122-ES$138,2)</f>
        <v>0</v>
      </c>
    </row>
    <row r="142" customFormat="false" ht="15" hidden="false" customHeight="false" outlineLevel="0" collapsed="false">
      <c r="A142" s="55"/>
      <c r="B142" s="56" t="s">
        <v>760</v>
      </c>
      <c r="C142" s="55"/>
      <c r="D142" s="55"/>
      <c r="E142" s="55"/>
    </row>
    <row r="143" customFormat="false" ht="15" hidden="false" customHeight="false" outlineLevel="0" collapsed="false">
      <c r="A143" s="4"/>
      <c r="B143" s="3" t="s">
        <v>543</v>
      </c>
      <c r="C143" s="4"/>
      <c r="D143" s="4"/>
      <c r="E143" s="4"/>
    </row>
    <row r="144" customFormat="false" ht="15" hidden="false" customHeight="false" outlineLevel="0" collapsed="false">
      <c r="A144" s="2" t="s">
        <v>761</v>
      </c>
      <c r="B144" s="6" t="s">
        <v>545</v>
      </c>
      <c r="C144" s="6" t="s">
        <v>546</v>
      </c>
      <c r="F144" s="19" t="n">
        <f aca="false">IF(AND(1&gt;=V_Inicio,1&lt;=Fin),INT((1-V_Inicio)/12)+1,0)</f>
        <v>1</v>
      </c>
      <c r="G144" s="19" t="n">
        <f aca="false">IF(AND(2&gt;=V_Inicio,2&lt;=Fin),INT((2-V_Inicio)/12)+1,0)</f>
        <v>1</v>
      </c>
      <c r="H144" s="19" t="n">
        <f aca="false">IF(AND(3&gt;=V_Inicio,3&lt;=Fin),INT((3-V_Inicio)/12)+1,0)</f>
        <v>1</v>
      </c>
      <c r="I144" s="19" t="n">
        <f aca="false">IF(AND(4&gt;=V_Inicio,4&lt;=Fin),INT((4-V_Inicio)/12)+1,0)</f>
        <v>1</v>
      </c>
      <c r="J144" s="19" t="n">
        <f aca="false">IF(AND(5&gt;=V_Inicio,5&lt;=Fin),INT((5-V_Inicio)/12)+1,0)</f>
        <v>1</v>
      </c>
      <c r="K144" s="19" t="n">
        <f aca="false">IF(AND(6&gt;=V_Inicio,6&lt;=Fin),INT((6-V_Inicio)/12)+1,0)</f>
        <v>1</v>
      </c>
      <c r="L144" s="19" t="n">
        <f aca="false">IF(AND(7&gt;=V_Inicio,7&lt;=Fin),INT((7-V_Inicio)/12)+1,0)</f>
        <v>1</v>
      </c>
      <c r="M144" s="19" t="n">
        <f aca="false">IF(AND(8&gt;=V_Inicio,8&lt;=Fin),INT((8-V_Inicio)/12)+1,0)</f>
        <v>1</v>
      </c>
      <c r="N144" s="19" t="n">
        <f aca="false">IF(AND(9&gt;=V_Inicio,9&lt;=Fin),INT((9-V_Inicio)/12)+1,0)</f>
        <v>1</v>
      </c>
      <c r="O144" s="19" t="n">
        <f aca="false">IF(AND(10&gt;=V_Inicio,10&lt;=Fin),INT((10-V_Inicio)/12)+1,0)</f>
        <v>1</v>
      </c>
      <c r="P144" s="19" t="n">
        <f aca="false">IF(AND(11&gt;=V_Inicio,11&lt;=Fin),INT((11-V_Inicio)/12)+1,0)</f>
        <v>1</v>
      </c>
      <c r="Q144" s="19" t="n">
        <f aca="false">IF(AND(12&gt;=V_Inicio,12&lt;=Fin),INT((12-V_Inicio)/12)+1,0)</f>
        <v>1</v>
      </c>
      <c r="R144" s="19" t="n">
        <f aca="false">IF(AND(13&gt;=V_Inicio,13&lt;=Fin),INT((13-V_Inicio)/12)+1,0)</f>
        <v>2</v>
      </c>
      <c r="S144" s="19" t="n">
        <f aca="false">IF(AND(14&gt;=V_Inicio,14&lt;=Fin),INT((14-V_Inicio)/12)+1,0)</f>
        <v>2</v>
      </c>
      <c r="T144" s="19" t="n">
        <f aca="false">IF(AND(15&gt;=V_Inicio,15&lt;=Fin),INT((15-V_Inicio)/12)+1,0)</f>
        <v>2</v>
      </c>
      <c r="U144" s="19" t="n">
        <f aca="false">IF(AND(16&gt;=V_Inicio,16&lt;=Fin),INT((16-V_Inicio)/12)+1,0)</f>
        <v>2</v>
      </c>
      <c r="V144" s="19" t="n">
        <f aca="false">IF(AND(17&gt;=V_Inicio,17&lt;=Fin),INT((17-V_Inicio)/12)+1,0)</f>
        <v>2</v>
      </c>
      <c r="W144" s="19" t="n">
        <f aca="false">IF(AND(18&gt;=V_Inicio,18&lt;=Fin),INT((18-V_Inicio)/12)+1,0)</f>
        <v>2</v>
      </c>
      <c r="X144" s="19" t="n">
        <f aca="false">IF(AND(19&gt;=V_Inicio,19&lt;=Fin),INT((19-V_Inicio)/12)+1,0)</f>
        <v>2</v>
      </c>
      <c r="Y144" s="19" t="n">
        <f aca="false">IF(AND(20&gt;=V_Inicio,20&lt;=Fin),INT((20-V_Inicio)/12)+1,0)</f>
        <v>2</v>
      </c>
      <c r="Z144" s="19" t="n">
        <f aca="false">IF(AND(21&gt;=V_Inicio,21&lt;=Fin),INT((21-V_Inicio)/12)+1,0)</f>
        <v>2</v>
      </c>
      <c r="AA144" s="19" t="n">
        <f aca="false">IF(AND(22&gt;=V_Inicio,22&lt;=Fin),INT((22-V_Inicio)/12)+1,0)</f>
        <v>2</v>
      </c>
      <c r="AB144" s="19" t="n">
        <f aca="false">IF(AND(23&gt;=V_Inicio,23&lt;=Fin),INT((23-V_Inicio)/12)+1,0)</f>
        <v>2</v>
      </c>
      <c r="AC144" s="19" t="n">
        <f aca="false">IF(AND(24&gt;=V_Inicio,24&lt;=Fin),INT((24-V_Inicio)/12)+1,0)</f>
        <v>2</v>
      </c>
      <c r="AD144" s="19" t="n">
        <f aca="false">IF(AND(25&gt;=V_Inicio,25&lt;=Fin),INT((25-V_Inicio)/12)+1,0)</f>
        <v>3</v>
      </c>
      <c r="AE144" s="19" t="n">
        <f aca="false">IF(AND(26&gt;=V_Inicio,26&lt;=Fin),INT((26-V_Inicio)/12)+1,0)</f>
        <v>3</v>
      </c>
      <c r="AF144" s="19" t="n">
        <f aca="false">IF(AND(27&gt;=V_Inicio,27&lt;=Fin),INT((27-V_Inicio)/12)+1,0)</f>
        <v>3</v>
      </c>
      <c r="AG144" s="19" t="n">
        <f aca="false">IF(AND(28&gt;=V_Inicio,28&lt;=Fin),INT((28-V_Inicio)/12)+1,0)</f>
        <v>3</v>
      </c>
      <c r="AH144" s="19" t="n">
        <f aca="false">IF(AND(29&gt;=V_Inicio,29&lt;=Fin),INT((29-V_Inicio)/12)+1,0)</f>
        <v>3</v>
      </c>
      <c r="AI144" s="19" t="n">
        <f aca="false">IF(AND(30&gt;=V_Inicio,30&lt;=Fin),INT((30-V_Inicio)/12)+1,0)</f>
        <v>3</v>
      </c>
      <c r="AJ144" s="19" t="n">
        <f aca="false">IF(AND(31&gt;=V_Inicio,31&lt;=Fin),INT((31-V_Inicio)/12)+1,0)</f>
        <v>3</v>
      </c>
      <c r="AK144" s="19" t="n">
        <f aca="false">IF(AND(32&gt;=V_Inicio,32&lt;=Fin),INT((32-V_Inicio)/12)+1,0)</f>
        <v>3</v>
      </c>
      <c r="AL144" s="19" t="n">
        <f aca="false">IF(AND(33&gt;=V_Inicio,33&lt;=Fin),INT((33-V_Inicio)/12)+1,0)</f>
        <v>3</v>
      </c>
      <c r="AM144" s="19" t="n">
        <f aca="false">IF(AND(34&gt;=V_Inicio,34&lt;=Fin),INT((34-V_Inicio)/12)+1,0)</f>
        <v>3</v>
      </c>
      <c r="AN144" s="19" t="n">
        <f aca="false">IF(AND(35&gt;=V_Inicio,35&lt;=Fin),INT((35-V_Inicio)/12)+1,0)</f>
        <v>3</v>
      </c>
      <c r="AO144" s="19" t="n">
        <f aca="false">IF(AND(36&gt;=V_Inicio,36&lt;=Fin),INT((36-V_Inicio)/12)+1,0)</f>
        <v>3</v>
      </c>
      <c r="AP144" s="19" t="n">
        <f aca="false">IF(AND(37&gt;=V_Inicio,37&lt;=Fin),INT((37-V_Inicio)/12)+1,0)</f>
        <v>4</v>
      </c>
      <c r="AQ144" s="19" t="n">
        <f aca="false">IF(AND(38&gt;=V_Inicio,38&lt;=Fin),INT((38-V_Inicio)/12)+1,0)</f>
        <v>4</v>
      </c>
      <c r="AR144" s="19" t="n">
        <f aca="false">IF(AND(39&gt;=V_Inicio,39&lt;=Fin),INT((39-V_Inicio)/12)+1,0)</f>
        <v>4</v>
      </c>
      <c r="AS144" s="19" t="n">
        <f aca="false">IF(AND(40&gt;=V_Inicio,40&lt;=Fin),INT((40-V_Inicio)/12)+1,0)</f>
        <v>4</v>
      </c>
      <c r="AT144" s="19" t="n">
        <f aca="false">IF(AND(41&gt;=V_Inicio,41&lt;=Fin),INT((41-V_Inicio)/12)+1,0)</f>
        <v>4</v>
      </c>
      <c r="AU144" s="19" t="n">
        <f aca="false">IF(AND(42&gt;=V_Inicio,42&lt;=Fin),INT((42-V_Inicio)/12)+1,0)</f>
        <v>4</v>
      </c>
      <c r="AV144" s="19" t="n">
        <f aca="false">IF(AND(43&gt;=V_Inicio,43&lt;=Fin),INT((43-V_Inicio)/12)+1,0)</f>
        <v>4</v>
      </c>
      <c r="AW144" s="19" t="n">
        <f aca="false">IF(AND(44&gt;=V_Inicio,44&lt;=Fin),INT((44-V_Inicio)/12)+1,0)</f>
        <v>4</v>
      </c>
      <c r="AX144" s="19" t="n">
        <f aca="false">IF(AND(45&gt;=V_Inicio,45&lt;=Fin),INT((45-V_Inicio)/12)+1,0)</f>
        <v>4</v>
      </c>
      <c r="AY144" s="19" t="n">
        <f aca="false">IF(AND(46&gt;=V_Inicio,46&lt;=Fin),INT((46-V_Inicio)/12)+1,0)</f>
        <v>4</v>
      </c>
      <c r="AZ144" s="19" t="n">
        <f aca="false">IF(AND(47&gt;=V_Inicio,47&lt;=Fin),INT((47-V_Inicio)/12)+1,0)</f>
        <v>4</v>
      </c>
      <c r="BA144" s="19" t="n">
        <f aca="false">IF(AND(48&gt;=V_Inicio,48&lt;=Fin),INT((48-V_Inicio)/12)+1,0)</f>
        <v>4</v>
      </c>
      <c r="BB144" s="19" t="n">
        <f aca="false">IF(AND(49&gt;=V_Inicio,49&lt;=Fin),INT((49-V_Inicio)/12)+1,0)</f>
        <v>5</v>
      </c>
      <c r="BC144" s="19" t="n">
        <f aca="false">IF(AND(50&gt;=V_Inicio,50&lt;=Fin),INT((50-V_Inicio)/12)+1,0)</f>
        <v>5</v>
      </c>
      <c r="BD144" s="19" t="n">
        <f aca="false">IF(AND(51&gt;=V_Inicio,51&lt;=Fin),INT((51-V_Inicio)/12)+1,0)</f>
        <v>5</v>
      </c>
      <c r="BE144" s="19" t="n">
        <f aca="false">IF(AND(52&gt;=V_Inicio,52&lt;=Fin),INT((52-V_Inicio)/12)+1,0)</f>
        <v>5</v>
      </c>
      <c r="BF144" s="19" t="n">
        <f aca="false">IF(AND(53&gt;=V_Inicio,53&lt;=Fin),INT((53-V_Inicio)/12)+1,0)</f>
        <v>5</v>
      </c>
      <c r="BG144" s="19" t="n">
        <f aca="false">IF(AND(54&gt;=V_Inicio,54&lt;=Fin),INT((54-V_Inicio)/12)+1,0)</f>
        <v>5</v>
      </c>
      <c r="BH144" s="19" t="n">
        <f aca="false">IF(AND(55&gt;=V_Inicio,55&lt;=Fin),INT((55-V_Inicio)/12)+1,0)</f>
        <v>5</v>
      </c>
      <c r="BI144" s="19" t="n">
        <f aca="false">IF(AND(56&gt;=V_Inicio,56&lt;=Fin),INT((56-V_Inicio)/12)+1,0)</f>
        <v>5</v>
      </c>
      <c r="BJ144" s="19" t="n">
        <f aca="false">IF(AND(57&gt;=V_Inicio,57&lt;=Fin),INT((57-V_Inicio)/12)+1,0)</f>
        <v>5</v>
      </c>
      <c r="BK144" s="19" t="n">
        <f aca="false">IF(AND(58&gt;=V_Inicio,58&lt;=Fin),INT((58-V_Inicio)/12)+1,0)</f>
        <v>5</v>
      </c>
      <c r="BL144" s="19" t="n">
        <f aca="false">IF(AND(59&gt;=V_Inicio,59&lt;=Fin),INT((59-V_Inicio)/12)+1,0)</f>
        <v>5</v>
      </c>
      <c r="BM144" s="19" t="n">
        <f aca="false">IF(AND(60&gt;=V_Inicio,60&lt;=Fin),INT((60-V_Inicio)/12)+1,0)</f>
        <v>5</v>
      </c>
      <c r="BN144" s="19" t="n">
        <f aca="false">IF(AND(61&gt;=V_Inicio,61&lt;=Fin),INT((61-V_Inicio)/12)+1,0)</f>
        <v>6</v>
      </c>
      <c r="BO144" s="19" t="n">
        <f aca="false">IF(AND(62&gt;=V_Inicio,62&lt;=Fin),INT((62-V_Inicio)/12)+1,0)</f>
        <v>6</v>
      </c>
      <c r="BP144" s="19" t="n">
        <f aca="false">IF(AND(63&gt;=V_Inicio,63&lt;=Fin),INT((63-V_Inicio)/12)+1,0)</f>
        <v>6</v>
      </c>
      <c r="BQ144" s="19" t="n">
        <f aca="false">IF(AND(64&gt;=V_Inicio,64&lt;=Fin),INT((64-V_Inicio)/12)+1,0)</f>
        <v>6</v>
      </c>
      <c r="BR144" s="19" t="n">
        <f aca="false">IF(AND(65&gt;=V_Inicio,65&lt;=Fin),INT((65-V_Inicio)/12)+1,0)</f>
        <v>6</v>
      </c>
      <c r="BS144" s="19" t="n">
        <f aca="false">IF(AND(66&gt;=V_Inicio,66&lt;=Fin),INT((66-V_Inicio)/12)+1,0)</f>
        <v>6</v>
      </c>
      <c r="BT144" s="19" t="n">
        <f aca="false">IF(AND(67&gt;=V_Inicio,67&lt;=Fin),INT((67-V_Inicio)/12)+1,0)</f>
        <v>6</v>
      </c>
      <c r="BU144" s="19" t="n">
        <f aca="false">IF(AND(68&gt;=V_Inicio,68&lt;=Fin),INT((68-V_Inicio)/12)+1,0)</f>
        <v>6</v>
      </c>
      <c r="BV144" s="19" t="n">
        <f aca="false">IF(AND(69&gt;=V_Inicio,69&lt;=Fin),INT((69-V_Inicio)/12)+1,0)</f>
        <v>6</v>
      </c>
      <c r="BW144" s="19" t="n">
        <f aca="false">IF(AND(70&gt;=V_Inicio,70&lt;=Fin),INT((70-V_Inicio)/12)+1,0)</f>
        <v>6</v>
      </c>
      <c r="BX144" s="19" t="n">
        <f aca="false">IF(AND(71&gt;=V_Inicio,71&lt;=Fin),INT((71-V_Inicio)/12)+1,0)</f>
        <v>6</v>
      </c>
      <c r="BY144" s="19" t="n">
        <f aca="false">IF(AND(72&gt;=V_Inicio,72&lt;=Fin),INT((72-V_Inicio)/12)+1,0)</f>
        <v>6</v>
      </c>
      <c r="BZ144" s="19" t="n">
        <f aca="false">IF(AND(73&gt;=V_Inicio,73&lt;=Fin),INT((73-V_Inicio)/12)+1,0)</f>
        <v>7</v>
      </c>
      <c r="CA144" s="19" t="n">
        <f aca="false">IF(AND(74&gt;=V_Inicio,74&lt;=Fin),INT((74-V_Inicio)/12)+1,0)</f>
        <v>7</v>
      </c>
      <c r="CB144" s="19" t="n">
        <f aca="false">IF(AND(75&gt;=V_Inicio,75&lt;=Fin),INT((75-V_Inicio)/12)+1,0)</f>
        <v>7</v>
      </c>
      <c r="CC144" s="19" t="n">
        <f aca="false">IF(AND(76&gt;=V_Inicio,76&lt;=Fin),INT((76-V_Inicio)/12)+1,0)</f>
        <v>7</v>
      </c>
      <c r="CD144" s="19" t="n">
        <f aca="false">IF(AND(77&gt;=V_Inicio,77&lt;=Fin),INT((77-V_Inicio)/12)+1,0)</f>
        <v>7</v>
      </c>
      <c r="CE144" s="19" t="n">
        <f aca="false">IF(AND(78&gt;=V_Inicio,78&lt;=Fin),INT((78-V_Inicio)/12)+1,0)</f>
        <v>7</v>
      </c>
      <c r="CF144" s="19" t="n">
        <f aca="false">IF(AND(79&gt;=V_Inicio,79&lt;=Fin),INT((79-V_Inicio)/12)+1,0)</f>
        <v>7</v>
      </c>
      <c r="CG144" s="19" t="n">
        <f aca="false">IF(AND(80&gt;=V_Inicio,80&lt;=Fin),INT((80-V_Inicio)/12)+1,0)</f>
        <v>7</v>
      </c>
      <c r="CH144" s="19" t="n">
        <f aca="false">IF(AND(81&gt;=V_Inicio,81&lt;=Fin),INT((81-V_Inicio)/12)+1,0)</f>
        <v>7</v>
      </c>
      <c r="CI144" s="19" t="n">
        <f aca="false">IF(AND(82&gt;=V_Inicio,82&lt;=Fin),INT((82-V_Inicio)/12)+1,0)</f>
        <v>7</v>
      </c>
      <c r="CJ144" s="19" t="n">
        <f aca="false">IF(AND(83&gt;=V_Inicio,83&lt;=Fin),INT((83-V_Inicio)/12)+1,0)</f>
        <v>7</v>
      </c>
      <c r="CK144" s="19" t="n">
        <f aca="false">IF(AND(84&gt;=V_Inicio,84&lt;=Fin),INT((84-V_Inicio)/12)+1,0)</f>
        <v>7</v>
      </c>
      <c r="CL144" s="19" t="n">
        <f aca="false">IF(AND(85&gt;=V_Inicio,85&lt;=Fin),INT((85-V_Inicio)/12)+1,0)</f>
        <v>8</v>
      </c>
      <c r="CM144" s="19" t="n">
        <f aca="false">IF(AND(86&gt;=V_Inicio,86&lt;=Fin),INT((86-V_Inicio)/12)+1,0)</f>
        <v>8</v>
      </c>
      <c r="CN144" s="19" t="n">
        <f aca="false">IF(AND(87&gt;=V_Inicio,87&lt;=Fin),INT((87-V_Inicio)/12)+1,0)</f>
        <v>8</v>
      </c>
      <c r="CO144" s="19" t="n">
        <f aca="false">IF(AND(88&gt;=V_Inicio,88&lt;=Fin),INT((88-V_Inicio)/12)+1,0)</f>
        <v>8</v>
      </c>
      <c r="CP144" s="19" t="n">
        <f aca="false">IF(AND(89&gt;=V_Inicio,89&lt;=Fin),INT((89-V_Inicio)/12)+1,0)</f>
        <v>8</v>
      </c>
      <c r="CQ144" s="19" t="n">
        <f aca="false">IF(AND(90&gt;=V_Inicio,90&lt;=Fin),INT((90-V_Inicio)/12)+1,0)</f>
        <v>8</v>
      </c>
      <c r="CR144" s="19" t="n">
        <f aca="false">IF(AND(91&gt;=V_Inicio,91&lt;=Fin),INT((91-V_Inicio)/12)+1,0)</f>
        <v>8</v>
      </c>
      <c r="CS144" s="19" t="n">
        <f aca="false">IF(AND(92&gt;=V_Inicio,92&lt;=Fin),INT((92-V_Inicio)/12)+1,0)</f>
        <v>8</v>
      </c>
      <c r="CT144" s="19" t="n">
        <f aca="false">IF(AND(93&gt;=V_Inicio,93&lt;=Fin),INT((93-V_Inicio)/12)+1,0)</f>
        <v>8</v>
      </c>
      <c r="CU144" s="19" t="n">
        <f aca="false">IF(AND(94&gt;=V_Inicio,94&lt;=Fin),INT((94-V_Inicio)/12)+1,0)</f>
        <v>8</v>
      </c>
      <c r="CV144" s="19" t="n">
        <f aca="false">IF(AND(95&gt;=V_Inicio,95&lt;=Fin),INT((95-V_Inicio)/12)+1,0)</f>
        <v>8</v>
      </c>
      <c r="CW144" s="19" t="n">
        <f aca="false">IF(AND(96&gt;=V_Inicio,96&lt;=Fin),INT((96-V_Inicio)/12)+1,0)</f>
        <v>8</v>
      </c>
      <c r="CX144" s="19" t="n">
        <f aca="false">IF(AND(97&gt;=V_Inicio,97&lt;=Fin),INT((97-V_Inicio)/12)+1,0)</f>
        <v>9</v>
      </c>
      <c r="CY144" s="19" t="n">
        <f aca="false">IF(AND(98&gt;=V_Inicio,98&lt;=Fin),INT((98-V_Inicio)/12)+1,0)</f>
        <v>9</v>
      </c>
      <c r="CZ144" s="19" t="n">
        <f aca="false">IF(AND(99&gt;=V_Inicio,99&lt;=Fin),INT((99-V_Inicio)/12)+1,0)</f>
        <v>9</v>
      </c>
      <c r="DA144" s="19" t="n">
        <f aca="false">IF(AND(100&gt;=V_Inicio,100&lt;=Fin),INT((100-V_Inicio)/12)+1,0)</f>
        <v>9</v>
      </c>
      <c r="DB144" s="19" t="n">
        <f aca="false">IF(AND(101&gt;=V_Inicio,101&lt;=Fin),INT((101-V_Inicio)/12)+1,0)</f>
        <v>9</v>
      </c>
      <c r="DC144" s="19" t="n">
        <f aca="false">IF(AND(102&gt;=V_Inicio,102&lt;=Fin),INT((102-V_Inicio)/12)+1,0)</f>
        <v>9</v>
      </c>
      <c r="DD144" s="19" t="n">
        <f aca="false">IF(AND(103&gt;=V_Inicio,103&lt;=Fin),INT((103-V_Inicio)/12)+1,0)</f>
        <v>9</v>
      </c>
      <c r="DE144" s="19" t="n">
        <f aca="false">IF(AND(104&gt;=V_Inicio,104&lt;=Fin),INT((104-V_Inicio)/12)+1,0)</f>
        <v>9</v>
      </c>
      <c r="DF144" s="19" t="n">
        <f aca="false">IF(AND(105&gt;=V_Inicio,105&lt;=Fin),INT((105-V_Inicio)/12)+1,0)</f>
        <v>9</v>
      </c>
      <c r="DG144" s="19" t="n">
        <f aca="false">IF(AND(106&gt;=V_Inicio,106&lt;=Fin),INT((106-V_Inicio)/12)+1,0)</f>
        <v>9</v>
      </c>
      <c r="DH144" s="19" t="n">
        <f aca="false">IF(AND(107&gt;=V_Inicio,107&lt;=Fin),INT((107-V_Inicio)/12)+1,0)</f>
        <v>9</v>
      </c>
      <c r="DI144" s="19" t="n">
        <f aca="false">IF(AND(108&gt;=V_Inicio,108&lt;=Fin),INT((108-V_Inicio)/12)+1,0)</f>
        <v>9</v>
      </c>
      <c r="DJ144" s="19" t="n">
        <f aca="false">IF(AND(109&gt;=V_Inicio,109&lt;=Fin),INT((109-V_Inicio)/12)+1,0)</f>
        <v>10</v>
      </c>
      <c r="DK144" s="19" t="n">
        <f aca="false">IF(AND(110&gt;=V_Inicio,110&lt;=Fin),INT((110-V_Inicio)/12)+1,0)</f>
        <v>10</v>
      </c>
      <c r="DL144" s="19" t="n">
        <f aca="false">IF(AND(111&gt;=V_Inicio,111&lt;=Fin),INT((111-V_Inicio)/12)+1,0)</f>
        <v>10</v>
      </c>
      <c r="DM144" s="19" t="n">
        <f aca="false">IF(AND(112&gt;=V_Inicio,112&lt;=Fin),INT((112-V_Inicio)/12)+1,0)</f>
        <v>10</v>
      </c>
      <c r="DN144" s="19" t="n">
        <f aca="false">IF(AND(113&gt;=V_Inicio,113&lt;=Fin),INT((113-V_Inicio)/12)+1,0)</f>
        <v>10</v>
      </c>
      <c r="DO144" s="19" t="n">
        <f aca="false">IF(AND(114&gt;=V_Inicio,114&lt;=Fin),INT((114-V_Inicio)/12)+1,0)</f>
        <v>10</v>
      </c>
      <c r="DP144" s="19" t="n">
        <f aca="false">IF(AND(115&gt;=V_Inicio,115&lt;=Fin),INT((115-V_Inicio)/12)+1,0)</f>
        <v>10</v>
      </c>
      <c r="DQ144" s="19" t="n">
        <f aca="false">IF(AND(116&gt;=V_Inicio,116&lt;=Fin),INT((116-V_Inicio)/12)+1,0)</f>
        <v>10</v>
      </c>
      <c r="DR144" s="19" t="n">
        <f aca="false">IF(AND(117&gt;=V_Inicio,117&lt;=Fin),INT((117-V_Inicio)/12)+1,0)</f>
        <v>10</v>
      </c>
      <c r="DS144" s="19" t="n">
        <f aca="false">IF(AND(118&gt;=V_Inicio,118&lt;=Fin),INT((118-V_Inicio)/12)+1,0)</f>
        <v>10</v>
      </c>
      <c r="DT144" s="19" t="n">
        <f aca="false">IF(AND(119&gt;=V_Inicio,119&lt;=Fin),INT((119-V_Inicio)/12)+1,0)</f>
        <v>10</v>
      </c>
      <c r="DU144" s="19" t="n">
        <f aca="false">IF(AND(120&gt;=V_Inicio,120&lt;=Fin),INT((120-V_Inicio)/12)+1,0)</f>
        <v>10</v>
      </c>
      <c r="DV144" s="19" t="n">
        <f aca="false">IF(AND(121&gt;=V_Inicio,121&lt;=Fin),INT((121-V_Inicio)/12)+1,0)</f>
        <v>0</v>
      </c>
      <c r="DW144" s="19" t="n">
        <f aca="false">IF(AND(122&gt;=V_Inicio,122&lt;=Fin),INT((122-V_Inicio)/12)+1,0)</f>
        <v>0</v>
      </c>
      <c r="DX144" s="19" t="n">
        <f aca="false">IF(AND(123&gt;=V_Inicio,123&lt;=Fin),INT((123-V_Inicio)/12)+1,0)</f>
        <v>0</v>
      </c>
      <c r="DY144" s="19" t="n">
        <f aca="false">IF(AND(124&gt;=V_Inicio,124&lt;=Fin),INT((124-V_Inicio)/12)+1,0)</f>
        <v>0</v>
      </c>
      <c r="DZ144" s="19" t="n">
        <f aca="false">IF(AND(125&gt;=V_Inicio,125&lt;=Fin),INT((125-V_Inicio)/12)+1,0)</f>
        <v>0</v>
      </c>
      <c r="EA144" s="19" t="n">
        <f aca="false">IF(AND(126&gt;=V_Inicio,126&lt;=Fin),INT((126-V_Inicio)/12)+1,0)</f>
        <v>0</v>
      </c>
      <c r="EB144" s="19" t="n">
        <f aca="false">IF(AND(127&gt;=V_Inicio,127&lt;=Fin),INT((127-V_Inicio)/12)+1,0)</f>
        <v>0</v>
      </c>
      <c r="EC144" s="19" t="n">
        <f aca="false">IF(AND(128&gt;=V_Inicio,128&lt;=Fin),INT((128-V_Inicio)/12)+1,0)</f>
        <v>0</v>
      </c>
      <c r="ED144" s="19" t="n">
        <f aca="false">IF(AND(129&gt;=V_Inicio,129&lt;=Fin),INT((129-V_Inicio)/12)+1,0)</f>
        <v>0</v>
      </c>
      <c r="EE144" s="19" t="n">
        <f aca="false">IF(AND(130&gt;=V_Inicio,130&lt;=Fin),INT((130-V_Inicio)/12)+1,0)</f>
        <v>0</v>
      </c>
      <c r="EF144" s="19" t="n">
        <f aca="false">IF(AND(131&gt;=V_Inicio,131&lt;=Fin),INT((131-V_Inicio)/12)+1,0)</f>
        <v>0</v>
      </c>
      <c r="EG144" s="19" t="n">
        <f aca="false">IF(AND(132&gt;=V_Inicio,132&lt;=Fin),INT((132-V_Inicio)/12)+1,0)</f>
        <v>0</v>
      </c>
      <c r="EH144" s="19" t="n">
        <f aca="false">IF(AND(133&gt;=V_Inicio,133&lt;=Fin),INT((133-V_Inicio)/12)+1,0)</f>
        <v>0</v>
      </c>
      <c r="EI144" s="19" t="n">
        <f aca="false">IF(AND(134&gt;=V_Inicio,134&lt;=Fin),INT((134-V_Inicio)/12)+1,0)</f>
        <v>0</v>
      </c>
      <c r="EJ144" s="19" t="n">
        <f aca="false">IF(AND(135&gt;=V_Inicio,135&lt;=Fin),INT((135-V_Inicio)/12)+1,0)</f>
        <v>0</v>
      </c>
      <c r="EK144" s="19" t="n">
        <f aca="false">IF(AND(136&gt;=V_Inicio,136&lt;=Fin),INT((136-V_Inicio)/12)+1,0)</f>
        <v>0</v>
      </c>
      <c r="EL144" s="19" t="n">
        <f aca="false">IF(AND(137&gt;=V_Inicio,137&lt;=Fin),INT((137-V_Inicio)/12)+1,0)</f>
        <v>0</v>
      </c>
      <c r="EM144" s="19" t="n">
        <f aca="false">IF(AND(138&gt;=V_Inicio,138&lt;=Fin),INT((138-V_Inicio)/12)+1,0)</f>
        <v>0</v>
      </c>
      <c r="EN144" s="19" t="n">
        <f aca="false">IF(AND(139&gt;=V_Inicio,139&lt;=Fin),INT((139-V_Inicio)/12)+1,0)</f>
        <v>0</v>
      </c>
      <c r="EO144" s="19" t="n">
        <f aca="false">IF(AND(140&gt;=V_Inicio,140&lt;=Fin),INT((140-V_Inicio)/12)+1,0)</f>
        <v>0</v>
      </c>
      <c r="EP144" s="19" t="n">
        <f aca="false">IF(AND(141&gt;=V_Inicio,141&lt;=Fin),INT((141-V_Inicio)/12)+1,0)</f>
        <v>0</v>
      </c>
      <c r="EQ144" s="19" t="n">
        <f aca="false">IF(AND(142&gt;=V_Inicio,142&lt;=Fin),INT((142-V_Inicio)/12)+1,0)</f>
        <v>0</v>
      </c>
      <c r="ER144" s="19" t="n">
        <f aca="false">IF(AND(143&gt;=V_Inicio,143&lt;=Fin),INT((143-V_Inicio)/12)+1,0)</f>
        <v>0</v>
      </c>
      <c r="ES144" s="19" t="n">
        <f aca="false">IF(AND(144&gt;=V_Inicio,144&lt;=Fin),INT((144-V_Inicio)/12)+1,0)</f>
        <v>0</v>
      </c>
    </row>
    <row r="145" customFormat="false" ht="15" hidden="false" customHeight="false" outlineLevel="0" collapsed="false">
      <c r="A145" s="2" t="s">
        <v>762</v>
      </c>
      <c r="B145" s="6" t="s">
        <v>548</v>
      </c>
      <c r="C145" s="6" t="s">
        <v>549</v>
      </c>
      <c r="E145" s="51" t="n">
        <f aca="false">SUM(F145:ES145)</f>
        <v>120</v>
      </c>
      <c r="F145" s="19" t="n">
        <f aca="false">IF(F$144&gt;0,1,0)</f>
        <v>1</v>
      </c>
      <c r="G145" s="19" t="n">
        <f aca="false">IF(G$144&gt;0,1,0)</f>
        <v>1</v>
      </c>
      <c r="H145" s="19" t="n">
        <f aca="false">IF(H$144&gt;0,1,0)</f>
        <v>1</v>
      </c>
      <c r="I145" s="19" t="n">
        <f aca="false">IF(I$144&gt;0,1,0)</f>
        <v>1</v>
      </c>
      <c r="J145" s="19" t="n">
        <f aca="false">IF(J$144&gt;0,1,0)</f>
        <v>1</v>
      </c>
      <c r="K145" s="19" t="n">
        <f aca="false">IF(K$144&gt;0,1,0)</f>
        <v>1</v>
      </c>
      <c r="L145" s="19" t="n">
        <f aca="false">IF(L$144&gt;0,1,0)</f>
        <v>1</v>
      </c>
      <c r="M145" s="19" t="n">
        <f aca="false">IF(M$144&gt;0,1,0)</f>
        <v>1</v>
      </c>
      <c r="N145" s="19" t="n">
        <f aca="false">IF(N$144&gt;0,1,0)</f>
        <v>1</v>
      </c>
      <c r="O145" s="19" t="n">
        <f aca="false">IF(O$144&gt;0,1,0)</f>
        <v>1</v>
      </c>
      <c r="P145" s="19" t="n">
        <f aca="false">IF(P$144&gt;0,1,0)</f>
        <v>1</v>
      </c>
      <c r="Q145" s="19" t="n">
        <f aca="false">IF(Q$144&gt;0,1,0)</f>
        <v>1</v>
      </c>
      <c r="R145" s="19" t="n">
        <f aca="false">IF(R$144&gt;0,1,0)</f>
        <v>1</v>
      </c>
      <c r="S145" s="19" t="n">
        <f aca="false">IF(S$144&gt;0,1,0)</f>
        <v>1</v>
      </c>
      <c r="T145" s="19" t="n">
        <f aca="false">IF(T$144&gt;0,1,0)</f>
        <v>1</v>
      </c>
      <c r="U145" s="19" t="n">
        <f aca="false">IF(U$144&gt;0,1,0)</f>
        <v>1</v>
      </c>
      <c r="V145" s="19" t="n">
        <f aca="false">IF(V$144&gt;0,1,0)</f>
        <v>1</v>
      </c>
      <c r="W145" s="19" t="n">
        <f aca="false">IF(W$144&gt;0,1,0)</f>
        <v>1</v>
      </c>
      <c r="X145" s="19" t="n">
        <f aca="false">IF(X$144&gt;0,1,0)</f>
        <v>1</v>
      </c>
      <c r="Y145" s="19" t="n">
        <f aca="false">IF(Y$144&gt;0,1,0)</f>
        <v>1</v>
      </c>
      <c r="Z145" s="19" t="n">
        <f aca="false">IF(Z$144&gt;0,1,0)</f>
        <v>1</v>
      </c>
      <c r="AA145" s="19" t="n">
        <f aca="false">IF(AA$144&gt;0,1,0)</f>
        <v>1</v>
      </c>
      <c r="AB145" s="19" t="n">
        <f aca="false">IF(AB$144&gt;0,1,0)</f>
        <v>1</v>
      </c>
      <c r="AC145" s="19" t="n">
        <f aca="false">IF(AC$144&gt;0,1,0)</f>
        <v>1</v>
      </c>
      <c r="AD145" s="19" t="n">
        <f aca="false">IF(AD$144&gt;0,1,0)</f>
        <v>1</v>
      </c>
      <c r="AE145" s="19" t="n">
        <f aca="false">IF(AE$144&gt;0,1,0)</f>
        <v>1</v>
      </c>
      <c r="AF145" s="19" t="n">
        <f aca="false">IF(AF$144&gt;0,1,0)</f>
        <v>1</v>
      </c>
      <c r="AG145" s="19" t="n">
        <f aca="false">IF(AG$144&gt;0,1,0)</f>
        <v>1</v>
      </c>
      <c r="AH145" s="19" t="n">
        <f aca="false">IF(AH$144&gt;0,1,0)</f>
        <v>1</v>
      </c>
      <c r="AI145" s="19" t="n">
        <f aca="false">IF(AI$144&gt;0,1,0)</f>
        <v>1</v>
      </c>
      <c r="AJ145" s="19" t="n">
        <f aca="false">IF(AJ$144&gt;0,1,0)</f>
        <v>1</v>
      </c>
      <c r="AK145" s="19" t="n">
        <f aca="false">IF(AK$144&gt;0,1,0)</f>
        <v>1</v>
      </c>
      <c r="AL145" s="19" t="n">
        <f aca="false">IF(AL$144&gt;0,1,0)</f>
        <v>1</v>
      </c>
      <c r="AM145" s="19" t="n">
        <f aca="false">IF(AM$144&gt;0,1,0)</f>
        <v>1</v>
      </c>
      <c r="AN145" s="19" t="n">
        <f aca="false">IF(AN$144&gt;0,1,0)</f>
        <v>1</v>
      </c>
      <c r="AO145" s="19" t="n">
        <f aca="false">IF(AO$144&gt;0,1,0)</f>
        <v>1</v>
      </c>
      <c r="AP145" s="19" t="n">
        <f aca="false">IF(AP$144&gt;0,1,0)</f>
        <v>1</v>
      </c>
      <c r="AQ145" s="19" t="n">
        <f aca="false">IF(AQ$144&gt;0,1,0)</f>
        <v>1</v>
      </c>
      <c r="AR145" s="19" t="n">
        <f aca="false">IF(AR$144&gt;0,1,0)</f>
        <v>1</v>
      </c>
      <c r="AS145" s="19" t="n">
        <f aca="false">IF(AS$144&gt;0,1,0)</f>
        <v>1</v>
      </c>
      <c r="AT145" s="19" t="n">
        <f aca="false">IF(AT$144&gt;0,1,0)</f>
        <v>1</v>
      </c>
      <c r="AU145" s="19" t="n">
        <f aca="false">IF(AU$144&gt;0,1,0)</f>
        <v>1</v>
      </c>
      <c r="AV145" s="19" t="n">
        <f aca="false">IF(AV$144&gt;0,1,0)</f>
        <v>1</v>
      </c>
      <c r="AW145" s="19" t="n">
        <f aca="false">IF(AW$144&gt;0,1,0)</f>
        <v>1</v>
      </c>
      <c r="AX145" s="19" t="n">
        <f aca="false">IF(AX$144&gt;0,1,0)</f>
        <v>1</v>
      </c>
      <c r="AY145" s="19" t="n">
        <f aca="false">IF(AY$144&gt;0,1,0)</f>
        <v>1</v>
      </c>
      <c r="AZ145" s="19" t="n">
        <f aca="false">IF(AZ$144&gt;0,1,0)</f>
        <v>1</v>
      </c>
      <c r="BA145" s="19" t="n">
        <f aca="false">IF(BA$144&gt;0,1,0)</f>
        <v>1</v>
      </c>
      <c r="BB145" s="19" t="n">
        <f aca="false">IF(BB$144&gt;0,1,0)</f>
        <v>1</v>
      </c>
      <c r="BC145" s="19" t="n">
        <f aca="false">IF(BC$144&gt;0,1,0)</f>
        <v>1</v>
      </c>
      <c r="BD145" s="19" t="n">
        <f aca="false">IF(BD$144&gt;0,1,0)</f>
        <v>1</v>
      </c>
      <c r="BE145" s="19" t="n">
        <f aca="false">IF(BE$144&gt;0,1,0)</f>
        <v>1</v>
      </c>
      <c r="BF145" s="19" t="n">
        <f aca="false">IF(BF$144&gt;0,1,0)</f>
        <v>1</v>
      </c>
      <c r="BG145" s="19" t="n">
        <f aca="false">IF(BG$144&gt;0,1,0)</f>
        <v>1</v>
      </c>
      <c r="BH145" s="19" t="n">
        <f aca="false">IF(BH$144&gt;0,1,0)</f>
        <v>1</v>
      </c>
      <c r="BI145" s="19" t="n">
        <f aca="false">IF(BI$144&gt;0,1,0)</f>
        <v>1</v>
      </c>
      <c r="BJ145" s="19" t="n">
        <f aca="false">IF(BJ$144&gt;0,1,0)</f>
        <v>1</v>
      </c>
      <c r="BK145" s="19" t="n">
        <f aca="false">IF(BK$144&gt;0,1,0)</f>
        <v>1</v>
      </c>
      <c r="BL145" s="19" t="n">
        <f aca="false">IF(BL$144&gt;0,1,0)</f>
        <v>1</v>
      </c>
      <c r="BM145" s="19" t="n">
        <f aca="false">IF(BM$144&gt;0,1,0)</f>
        <v>1</v>
      </c>
      <c r="BN145" s="19" t="n">
        <f aca="false">IF(BN$144&gt;0,1,0)</f>
        <v>1</v>
      </c>
      <c r="BO145" s="19" t="n">
        <f aca="false">IF(BO$144&gt;0,1,0)</f>
        <v>1</v>
      </c>
      <c r="BP145" s="19" t="n">
        <f aca="false">IF(BP$144&gt;0,1,0)</f>
        <v>1</v>
      </c>
      <c r="BQ145" s="19" t="n">
        <f aca="false">IF(BQ$144&gt;0,1,0)</f>
        <v>1</v>
      </c>
      <c r="BR145" s="19" t="n">
        <f aca="false">IF(BR$144&gt;0,1,0)</f>
        <v>1</v>
      </c>
      <c r="BS145" s="19" t="n">
        <f aca="false">IF(BS$144&gt;0,1,0)</f>
        <v>1</v>
      </c>
      <c r="BT145" s="19" t="n">
        <f aca="false">IF(BT$144&gt;0,1,0)</f>
        <v>1</v>
      </c>
      <c r="BU145" s="19" t="n">
        <f aca="false">IF(BU$144&gt;0,1,0)</f>
        <v>1</v>
      </c>
      <c r="BV145" s="19" t="n">
        <f aca="false">IF(BV$144&gt;0,1,0)</f>
        <v>1</v>
      </c>
      <c r="BW145" s="19" t="n">
        <f aca="false">IF(BW$144&gt;0,1,0)</f>
        <v>1</v>
      </c>
      <c r="BX145" s="19" t="n">
        <f aca="false">IF(BX$144&gt;0,1,0)</f>
        <v>1</v>
      </c>
      <c r="BY145" s="19" t="n">
        <f aca="false">IF(BY$144&gt;0,1,0)</f>
        <v>1</v>
      </c>
      <c r="BZ145" s="19" t="n">
        <f aca="false">IF(BZ$144&gt;0,1,0)</f>
        <v>1</v>
      </c>
      <c r="CA145" s="19" t="n">
        <f aca="false">IF(CA$144&gt;0,1,0)</f>
        <v>1</v>
      </c>
      <c r="CB145" s="19" t="n">
        <f aca="false">IF(CB$144&gt;0,1,0)</f>
        <v>1</v>
      </c>
      <c r="CC145" s="19" t="n">
        <f aca="false">IF(CC$144&gt;0,1,0)</f>
        <v>1</v>
      </c>
      <c r="CD145" s="19" t="n">
        <f aca="false">IF(CD$144&gt;0,1,0)</f>
        <v>1</v>
      </c>
      <c r="CE145" s="19" t="n">
        <f aca="false">IF(CE$144&gt;0,1,0)</f>
        <v>1</v>
      </c>
      <c r="CF145" s="19" t="n">
        <f aca="false">IF(CF$144&gt;0,1,0)</f>
        <v>1</v>
      </c>
      <c r="CG145" s="19" t="n">
        <f aca="false">IF(CG$144&gt;0,1,0)</f>
        <v>1</v>
      </c>
      <c r="CH145" s="19" t="n">
        <f aca="false">IF(CH$144&gt;0,1,0)</f>
        <v>1</v>
      </c>
      <c r="CI145" s="19" t="n">
        <f aca="false">IF(CI$144&gt;0,1,0)</f>
        <v>1</v>
      </c>
      <c r="CJ145" s="19" t="n">
        <f aca="false">IF(CJ$144&gt;0,1,0)</f>
        <v>1</v>
      </c>
      <c r="CK145" s="19" t="n">
        <f aca="false">IF(CK$144&gt;0,1,0)</f>
        <v>1</v>
      </c>
      <c r="CL145" s="19" t="n">
        <f aca="false">IF(CL$144&gt;0,1,0)</f>
        <v>1</v>
      </c>
      <c r="CM145" s="19" t="n">
        <f aca="false">IF(CM$144&gt;0,1,0)</f>
        <v>1</v>
      </c>
      <c r="CN145" s="19" t="n">
        <f aca="false">IF(CN$144&gt;0,1,0)</f>
        <v>1</v>
      </c>
      <c r="CO145" s="19" t="n">
        <f aca="false">IF(CO$144&gt;0,1,0)</f>
        <v>1</v>
      </c>
      <c r="CP145" s="19" t="n">
        <f aca="false">IF(CP$144&gt;0,1,0)</f>
        <v>1</v>
      </c>
      <c r="CQ145" s="19" t="n">
        <f aca="false">IF(CQ$144&gt;0,1,0)</f>
        <v>1</v>
      </c>
      <c r="CR145" s="19" t="n">
        <f aca="false">IF(CR$144&gt;0,1,0)</f>
        <v>1</v>
      </c>
      <c r="CS145" s="19" t="n">
        <f aca="false">IF(CS$144&gt;0,1,0)</f>
        <v>1</v>
      </c>
      <c r="CT145" s="19" t="n">
        <f aca="false">IF(CT$144&gt;0,1,0)</f>
        <v>1</v>
      </c>
      <c r="CU145" s="19" t="n">
        <f aca="false">IF(CU$144&gt;0,1,0)</f>
        <v>1</v>
      </c>
      <c r="CV145" s="19" t="n">
        <f aca="false">IF(CV$144&gt;0,1,0)</f>
        <v>1</v>
      </c>
      <c r="CW145" s="19" t="n">
        <f aca="false">IF(CW$144&gt;0,1,0)</f>
        <v>1</v>
      </c>
      <c r="CX145" s="19" t="n">
        <f aca="false">IF(CX$144&gt;0,1,0)</f>
        <v>1</v>
      </c>
      <c r="CY145" s="19" t="n">
        <f aca="false">IF(CY$144&gt;0,1,0)</f>
        <v>1</v>
      </c>
      <c r="CZ145" s="19" t="n">
        <f aca="false">IF(CZ$144&gt;0,1,0)</f>
        <v>1</v>
      </c>
      <c r="DA145" s="19" t="n">
        <f aca="false">IF(DA$144&gt;0,1,0)</f>
        <v>1</v>
      </c>
      <c r="DB145" s="19" t="n">
        <f aca="false">IF(DB$144&gt;0,1,0)</f>
        <v>1</v>
      </c>
      <c r="DC145" s="19" t="n">
        <f aca="false">IF(DC$144&gt;0,1,0)</f>
        <v>1</v>
      </c>
      <c r="DD145" s="19" t="n">
        <f aca="false">IF(DD$144&gt;0,1,0)</f>
        <v>1</v>
      </c>
      <c r="DE145" s="19" t="n">
        <f aca="false">IF(DE$144&gt;0,1,0)</f>
        <v>1</v>
      </c>
      <c r="DF145" s="19" t="n">
        <f aca="false">IF(DF$144&gt;0,1,0)</f>
        <v>1</v>
      </c>
      <c r="DG145" s="19" t="n">
        <f aca="false">IF(DG$144&gt;0,1,0)</f>
        <v>1</v>
      </c>
      <c r="DH145" s="19" t="n">
        <f aca="false">IF(DH$144&gt;0,1,0)</f>
        <v>1</v>
      </c>
      <c r="DI145" s="19" t="n">
        <f aca="false">IF(DI$144&gt;0,1,0)</f>
        <v>1</v>
      </c>
      <c r="DJ145" s="19" t="n">
        <f aca="false">IF(DJ$144&gt;0,1,0)</f>
        <v>1</v>
      </c>
      <c r="DK145" s="19" t="n">
        <f aca="false">IF(DK$144&gt;0,1,0)</f>
        <v>1</v>
      </c>
      <c r="DL145" s="19" t="n">
        <f aca="false">IF(DL$144&gt;0,1,0)</f>
        <v>1</v>
      </c>
      <c r="DM145" s="19" t="n">
        <f aca="false">IF(DM$144&gt;0,1,0)</f>
        <v>1</v>
      </c>
      <c r="DN145" s="19" t="n">
        <f aca="false">IF(DN$144&gt;0,1,0)</f>
        <v>1</v>
      </c>
      <c r="DO145" s="19" t="n">
        <f aca="false">IF(DO$144&gt;0,1,0)</f>
        <v>1</v>
      </c>
      <c r="DP145" s="19" t="n">
        <f aca="false">IF(DP$144&gt;0,1,0)</f>
        <v>1</v>
      </c>
      <c r="DQ145" s="19" t="n">
        <f aca="false">IF(DQ$144&gt;0,1,0)</f>
        <v>1</v>
      </c>
      <c r="DR145" s="19" t="n">
        <f aca="false">IF(DR$144&gt;0,1,0)</f>
        <v>1</v>
      </c>
      <c r="DS145" s="19" t="n">
        <f aca="false">IF(DS$144&gt;0,1,0)</f>
        <v>1</v>
      </c>
      <c r="DT145" s="19" t="n">
        <f aca="false">IF(DT$144&gt;0,1,0)</f>
        <v>1</v>
      </c>
      <c r="DU145" s="19" t="n">
        <f aca="false">IF(DU$144&gt;0,1,0)</f>
        <v>1</v>
      </c>
      <c r="DV145" s="19" t="n">
        <f aca="false">IF(DV$144&gt;0,1,0)</f>
        <v>0</v>
      </c>
      <c r="DW145" s="19" t="n">
        <f aca="false">IF(DW$144&gt;0,1,0)</f>
        <v>0</v>
      </c>
      <c r="DX145" s="19" t="n">
        <f aca="false">IF(DX$144&gt;0,1,0)</f>
        <v>0</v>
      </c>
      <c r="DY145" s="19" t="n">
        <f aca="false">IF(DY$144&gt;0,1,0)</f>
        <v>0</v>
      </c>
      <c r="DZ145" s="19" t="n">
        <f aca="false">IF(DZ$144&gt;0,1,0)</f>
        <v>0</v>
      </c>
      <c r="EA145" s="19" t="n">
        <f aca="false">IF(EA$144&gt;0,1,0)</f>
        <v>0</v>
      </c>
      <c r="EB145" s="19" t="n">
        <f aca="false">IF(EB$144&gt;0,1,0)</f>
        <v>0</v>
      </c>
      <c r="EC145" s="19" t="n">
        <f aca="false">IF(EC$144&gt;0,1,0)</f>
        <v>0</v>
      </c>
      <c r="ED145" s="19" t="n">
        <f aca="false">IF(ED$144&gt;0,1,0)</f>
        <v>0</v>
      </c>
      <c r="EE145" s="19" t="n">
        <f aca="false">IF(EE$144&gt;0,1,0)</f>
        <v>0</v>
      </c>
      <c r="EF145" s="19" t="n">
        <f aca="false">IF(EF$144&gt;0,1,0)</f>
        <v>0</v>
      </c>
      <c r="EG145" s="19" t="n">
        <f aca="false">IF(EG$144&gt;0,1,0)</f>
        <v>0</v>
      </c>
      <c r="EH145" s="19" t="n">
        <f aca="false">IF(EH$144&gt;0,1,0)</f>
        <v>0</v>
      </c>
      <c r="EI145" s="19" t="n">
        <f aca="false">IF(EI$144&gt;0,1,0)</f>
        <v>0</v>
      </c>
      <c r="EJ145" s="19" t="n">
        <f aca="false">IF(EJ$144&gt;0,1,0)</f>
        <v>0</v>
      </c>
      <c r="EK145" s="19" t="n">
        <f aca="false">IF(EK$144&gt;0,1,0)</f>
        <v>0</v>
      </c>
      <c r="EL145" s="19" t="n">
        <f aca="false">IF(EL$144&gt;0,1,0)</f>
        <v>0</v>
      </c>
      <c r="EM145" s="19" t="n">
        <f aca="false">IF(EM$144&gt;0,1,0)</f>
        <v>0</v>
      </c>
      <c r="EN145" s="19" t="n">
        <f aca="false">IF(EN$144&gt;0,1,0)</f>
        <v>0</v>
      </c>
      <c r="EO145" s="19" t="n">
        <f aca="false">IF(EO$144&gt;0,1,0)</f>
        <v>0</v>
      </c>
      <c r="EP145" s="19" t="n">
        <f aca="false">IF(EP$144&gt;0,1,0)</f>
        <v>0</v>
      </c>
      <c r="EQ145" s="19" t="n">
        <f aca="false">IF(EQ$144&gt;0,1,0)</f>
        <v>0</v>
      </c>
      <c r="ER145" s="19" t="n">
        <f aca="false">IF(ER$144&gt;0,1,0)</f>
        <v>0</v>
      </c>
      <c r="ES145" s="19" t="n">
        <f aca="false">IF(ES$144&gt;0,1,0)</f>
        <v>0</v>
      </c>
    </row>
    <row r="146" customFormat="false" ht="15" hidden="false" customHeight="false" outlineLevel="0" collapsed="false">
      <c r="A146" s="2" t="s">
        <v>763</v>
      </c>
      <c r="B146" s="6" t="s">
        <v>551</v>
      </c>
      <c r="C146" s="6" t="s">
        <v>549</v>
      </c>
      <c r="E146" s="51" t="n">
        <f aca="false">SUM(F146:ES146)</f>
        <v>0</v>
      </c>
      <c r="F146" s="19" t="n">
        <f aca="false">IF(AND(1&lt;V_Inicio,1&lt;=Fin),1,0)</f>
        <v>0</v>
      </c>
      <c r="G146" s="19" t="n">
        <f aca="false">IF(AND(2&lt;V_Inicio,2&lt;=Fin),1,0)</f>
        <v>0</v>
      </c>
      <c r="H146" s="19" t="n">
        <f aca="false">IF(AND(3&lt;V_Inicio,3&lt;=Fin),1,0)</f>
        <v>0</v>
      </c>
      <c r="I146" s="19" t="n">
        <f aca="false">IF(AND(4&lt;V_Inicio,4&lt;=Fin),1,0)</f>
        <v>0</v>
      </c>
      <c r="J146" s="19" t="n">
        <f aca="false">IF(AND(5&lt;V_Inicio,5&lt;=Fin),1,0)</f>
        <v>0</v>
      </c>
      <c r="K146" s="19" t="n">
        <f aca="false">IF(AND(6&lt;V_Inicio,6&lt;=Fin),1,0)</f>
        <v>0</v>
      </c>
      <c r="L146" s="19" t="n">
        <f aca="false">IF(AND(7&lt;V_Inicio,7&lt;=Fin),1,0)</f>
        <v>0</v>
      </c>
      <c r="M146" s="19" t="n">
        <f aca="false">IF(AND(8&lt;V_Inicio,8&lt;=Fin),1,0)</f>
        <v>0</v>
      </c>
      <c r="N146" s="19" t="n">
        <f aca="false">IF(AND(9&lt;V_Inicio,9&lt;=Fin),1,0)</f>
        <v>0</v>
      </c>
      <c r="O146" s="19" t="n">
        <f aca="false">IF(AND(10&lt;V_Inicio,10&lt;=Fin),1,0)</f>
        <v>0</v>
      </c>
      <c r="P146" s="19" t="n">
        <f aca="false">IF(AND(11&lt;V_Inicio,11&lt;=Fin),1,0)</f>
        <v>0</v>
      </c>
      <c r="Q146" s="19" t="n">
        <f aca="false">IF(AND(12&lt;V_Inicio,12&lt;=Fin),1,0)</f>
        <v>0</v>
      </c>
      <c r="R146" s="19" t="n">
        <f aca="false">IF(AND(13&lt;V_Inicio,13&lt;=Fin),1,0)</f>
        <v>0</v>
      </c>
      <c r="S146" s="19" t="n">
        <f aca="false">IF(AND(14&lt;V_Inicio,14&lt;=Fin),1,0)</f>
        <v>0</v>
      </c>
      <c r="T146" s="19" t="n">
        <f aca="false">IF(AND(15&lt;V_Inicio,15&lt;=Fin),1,0)</f>
        <v>0</v>
      </c>
      <c r="U146" s="19" t="n">
        <f aca="false">IF(AND(16&lt;V_Inicio,16&lt;=Fin),1,0)</f>
        <v>0</v>
      </c>
      <c r="V146" s="19" t="n">
        <f aca="false">IF(AND(17&lt;V_Inicio,17&lt;=Fin),1,0)</f>
        <v>0</v>
      </c>
      <c r="W146" s="19" t="n">
        <f aca="false">IF(AND(18&lt;V_Inicio,18&lt;=Fin),1,0)</f>
        <v>0</v>
      </c>
      <c r="X146" s="19" t="n">
        <f aca="false">IF(AND(19&lt;V_Inicio,19&lt;=Fin),1,0)</f>
        <v>0</v>
      </c>
      <c r="Y146" s="19" t="n">
        <f aca="false">IF(AND(20&lt;V_Inicio,20&lt;=Fin),1,0)</f>
        <v>0</v>
      </c>
      <c r="Z146" s="19" t="n">
        <f aca="false">IF(AND(21&lt;V_Inicio,21&lt;=Fin),1,0)</f>
        <v>0</v>
      </c>
      <c r="AA146" s="19" t="n">
        <f aca="false">IF(AND(22&lt;V_Inicio,22&lt;=Fin),1,0)</f>
        <v>0</v>
      </c>
      <c r="AB146" s="19" t="n">
        <f aca="false">IF(AND(23&lt;V_Inicio,23&lt;=Fin),1,0)</f>
        <v>0</v>
      </c>
      <c r="AC146" s="19" t="n">
        <f aca="false">IF(AND(24&lt;V_Inicio,24&lt;=Fin),1,0)</f>
        <v>0</v>
      </c>
      <c r="AD146" s="19" t="n">
        <f aca="false">IF(AND(25&lt;V_Inicio,25&lt;=Fin),1,0)</f>
        <v>0</v>
      </c>
      <c r="AE146" s="19" t="n">
        <f aca="false">IF(AND(26&lt;V_Inicio,26&lt;=Fin),1,0)</f>
        <v>0</v>
      </c>
      <c r="AF146" s="19" t="n">
        <f aca="false">IF(AND(27&lt;V_Inicio,27&lt;=Fin),1,0)</f>
        <v>0</v>
      </c>
      <c r="AG146" s="19" t="n">
        <f aca="false">IF(AND(28&lt;V_Inicio,28&lt;=Fin),1,0)</f>
        <v>0</v>
      </c>
      <c r="AH146" s="19" t="n">
        <f aca="false">IF(AND(29&lt;V_Inicio,29&lt;=Fin),1,0)</f>
        <v>0</v>
      </c>
      <c r="AI146" s="19" t="n">
        <f aca="false">IF(AND(30&lt;V_Inicio,30&lt;=Fin),1,0)</f>
        <v>0</v>
      </c>
      <c r="AJ146" s="19" t="n">
        <f aca="false">IF(AND(31&lt;V_Inicio,31&lt;=Fin),1,0)</f>
        <v>0</v>
      </c>
      <c r="AK146" s="19" t="n">
        <f aca="false">IF(AND(32&lt;V_Inicio,32&lt;=Fin),1,0)</f>
        <v>0</v>
      </c>
      <c r="AL146" s="19" t="n">
        <f aca="false">IF(AND(33&lt;V_Inicio,33&lt;=Fin),1,0)</f>
        <v>0</v>
      </c>
      <c r="AM146" s="19" t="n">
        <f aca="false">IF(AND(34&lt;V_Inicio,34&lt;=Fin),1,0)</f>
        <v>0</v>
      </c>
      <c r="AN146" s="19" t="n">
        <f aca="false">IF(AND(35&lt;V_Inicio,35&lt;=Fin),1,0)</f>
        <v>0</v>
      </c>
      <c r="AO146" s="19" t="n">
        <f aca="false">IF(AND(36&lt;V_Inicio,36&lt;=Fin),1,0)</f>
        <v>0</v>
      </c>
      <c r="AP146" s="19" t="n">
        <f aca="false">IF(AND(37&lt;V_Inicio,37&lt;=Fin),1,0)</f>
        <v>0</v>
      </c>
      <c r="AQ146" s="19" t="n">
        <f aca="false">IF(AND(38&lt;V_Inicio,38&lt;=Fin),1,0)</f>
        <v>0</v>
      </c>
      <c r="AR146" s="19" t="n">
        <f aca="false">IF(AND(39&lt;V_Inicio,39&lt;=Fin),1,0)</f>
        <v>0</v>
      </c>
      <c r="AS146" s="19" t="n">
        <f aca="false">IF(AND(40&lt;V_Inicio,40&lt;=Fin),1,0)</f>
        <v>0</v>
      </c>
      <c r="AT146" s="19" t="n">
        <f aca="false">IF(AND(41&lt;V_Inicio,41&lt;=Fin),1,0)</f>
        <v>0</v>
      </c>
      <c r="AU146" s="19" t="n">
        <f aca="false">IF(AND(42&lt;V_Inicio,42&lt;=Fin),1,0)</f>
        <v>0</v>
      </c>
      <c r="AV146" s="19" t="n">
        <f aca="false">IF(AND(43&lt;V_Inicio,43&lt;=Fin),1,0)</f>
        <v>0</v>
      </c>
      <c r="AW146" s="19" t="n">
        <f aca="false">IF(AND(44&lt;V_Inicio,44&lt;=Fin),1,0)</f>
        <v>0</v>
      </c>
      <c r="AX146" s="19" t="n">
        <f aca="false">IF(AND(45&lt;V_Inicio,45&lt;=Fin),1,0)</f>
        <v>0</v>
      </c>
      <c r="AY146" s="19" t="n">
        <f aca="false">IF(AND(46&lt;V_Inicio,46&lt;=Fin),1,0)</f>
        <v>0</v>
      </c>
      <c r="AZ146" s="19" t="n">
        <f aca="false">IF(AND(47&lt;V_Inicio,47&lt;=Fin),1,0)</f>
        <v>0</v>
      </c>
      <c r="BA146" s="19" t="n">
        <f aca="false">IF(AND(48&lt;V_Inicio,48&lt;=Fin),1,0)</f>
        <v>0</v>
      </c>
      <c r="BB146" s="19" t="n">
        <f aca="false">IF(AND(49&lt;V_Inicio,49&lt;=Fin),1,0)</f>
        <v>0</v>
      </c>
      <c r="BC146" s="19" t="n">
        <f aca="false">IF(AND(50&lt;V_Inicio,50&lt;=Fin),1,0)</f>
        <v>0</v>
      </c>
      <c r="BD146" s="19" t="n">
        <f aca="false">IF(AND(51&lt;V_Inicio,51&lt;=Fin),1,0)</f>
        <v>0</v>
      </c>
      <c r="BE146" s="19" t="n">
        <f aca="false">IF(AND(52&lt;V_Inicio,52&lt;=Fin),1,0)</f>
        <v>0</v>
      </c>
      <c r="BF146" s="19" t="n">
        <f aca="false">IF(AND(53&lt;V_Inicio,53&lt;=Fin),1,0)</f>
        <v>0</v>
      </c>
      <c r="BG146" s="19" t="n">
        <f aca="false">IF(AND(54&lt;V_Inicio,54&lt;=Fin),1,0)</f>
        <v>0</v>
      </c>
      <c r="BH146" s="19" t="n">
        <f aca="false">IF(AND(55&lt;V_Inicio,55&lt;=Fin),1,0)</f>
        <v>0</v>
      </c>
      <c r="BI146" s="19" t="n">
        <f aca="false">IF(AND(56&lt;V_Inicio,56&lt;=Fin),1,0)</f>
        <v>0</v>
      </c>
      <c r="BJ146" s="19" t="n">
        <f aca="false">IF(AND(57&lt;V_Inicio,57&lt;=Fin),1,0)</f>
        <v>0</v>
      </c>
      <c r="BK146" s="19" t="n">
        <f aca="false">IF(AND(58&lt;V_Inicio,58&lt;=Fin),1,0)</f>
        <v>0</v>
      </c>
      <c r="BL146" s="19" t="n">
        <f aca="false">IF(AND(59&lt;V_Inicio,59&lt;=Fin),1,0)</f>
        <v>0</v>
      </c>
      <c r="BM146" s="19" t="n">
        <f aca="false">IF(AND(60&lt;V_Inicio,60&lt;=Fin),1,0)</f>
        <v>0</v>
      </c>
      <c r="BN146" s="19" t="n">
        <f aca="false">IF(AND(61&lt;V_Inicio,61&lt;=Fin),1,0)</f>
        <v>0</v>
      </c>
      <c r="BO146" s="19" t="n">
        <f aca="false">IF(AND(62&lt;V_Inicio,62&lt;=Fin),1,0)</f>
        <v>0</v>
      </c>
      <c r="BP146" s="19" t="n">
        <f aca="false">IF(AND(63&lt;V_Inicio,63&lt;=Fin),1,0)</f>
        <v>0</v>
      </c>
      <c r="BQ146" s="19" t="n">
        <f aca="false">IF(AND(64&lt;V_Inicio,64&lt;=Fin),1,0)</f>
        <v>0</v>
      </c>
      <c r="BR146" s="19" t="n">
        <f aca="false">IF(AND(65&lt;V_Inicio,65&lt;=Fin),1,0)</f>
        <v>0</v>
      </c>
      <c r="BS146" s="19" t="n">
        <f aca="false">IF(AND(66&lt;V_Inicio,66&lt;=Fin),1,0)</f>
        <v>0</v>
      </c>
      <c r="BT146" s="19" t="n">
        <f aca="false">IF(AND(67&lt;V_Inicio,67&lt;=Fin),1,0)</f>
        <v>0</v>
      </c>
      <c r="BU146" s="19" t="n">
        <f aca="false">IF(AND(68&lt;V_Inicio,68&lt;=Fin),1,0)</f>
        <v>0</v>
      </c>
      <c r="BV146" s="19" t="n">
        <f aca="false">IF(AND(69&lt;V_Inicio,69&lt;=Fin),1,0)</f>
        <v>0</v>
      </c>
      <c r="BW146" s="19" t="n">
        <f aca="false">IF(AND(70&lt;V_Inicio,70&lt;=Fin),1,0)</f>
        <v>0</v>
      </c>
      <c r="BX146" s="19" t="n">
        <f aca="false">IF(AND(71&lt;V_Inicio,71&lt;=Fin),1,0)</f>
        <v>0</v>
      </c>
      <c r="BY146" s="19" t="n">
        <f aca="false">IF(AND(72&lt;V_Inicio,72&lt;=Fin),1,0)</f>
        <v>0</v>
      </c>
      <c r="BZ146" s="19" t="n">
        <f aca="false">IF(AND(73&lt;V_Inicio,73&lt;=Fin),1,0)</f>
        <v>0</v>
      </c>
      <c r="CA146" s="19" t="n">
        <f aca="false">IF(AND(74&lt;V_Inicio,74&lt;=Fin),1,0)</f>
        <v>0</v>
      </c>
      <c r="CB146" s="19" t="n">
        <f aca="false">IF(AND(75&lt;V_Inicio,75&lt;=Fin),1,0)</f>
        <v>0</v>
      </c>
      <c r="CC146" s="19" t="n">
        <f aca="false">IF(AND(76&lt;V_Inicio,76&lt;=Fin),1,0)</f>
        <v>0</v>
      </c>
      <c r="CD146" s="19" t="n">
        <f aca="false">IF(AND(77&lt;V_Inicio,77&lt;=Fin),1,0)</f>
        <v>0</v>
      </c>
      <c r="CE146" s="19" t="n">
        <f aca="false">IF(AND(78&lt;V_Inicio,78&lt;=Fin),1,0)</f>
        <v>0</v>
      </c>
      <c r="CF146" s="19" t="n">
        <f aca="false">IF(AND(79&lt;V_Inicio,79&lt;=Fin),1,0)</f>
        <v>0</v>
      </c>
      <c r="CG146" s="19" t="n">
        <f aca="false">IF(AND(80&lt;V_Inicio,80&lt;=Fin),1,0)</f>
        <v>0</v>
      </c>
      <c r="CH146" s="19" t="n">
        <f aca="false">IF(AND(81&lt;V_Inicio,81&lt;=Fin),1,0)</f>
        <v>0</v>
      </c>
      <c r="CI146" s="19" t="n">
        <f aca="false">IF(AND(82&lt;V_Inicio,82&lt;=Fin),1,0)</f>
        <v>0</v>
      </c>
      <c r="CJ146" s="19" t="n">
        <f aca="false">IF(AND(83&lt;V_Inicio,83&lt;=Fin),1,0)</f>
        <v>0</v>
      </c>
      <c r="CK146" s="19" t="n">
        <f aca="false">IF(AND(84&lt;V_Inicio,84&lt;=Fin),1,0)</f>
        <v>0</v>
      </c>
      <c r="CL146" s="19" t="n">
        <f aca="false">IF(AND(85&lt;V_Inicio,85&lt;=Fin),1,0)</f>
        <v>0</v>
      </c>
      <c r="CM146" s="19" t="n">
        <f aca="false">IF(AND(86&lt;V_Inicio,86&lt;=Fin),1,0)</f>
        <v>0</v>
      </c>
      <c r="CN146" s="19" t="n">
        <f aca="false">IF(AND(87&lt;V_Inicio,87&lt;=Fin),1,0)</f>
        <v>0</v>
      </c>
      <c r="CO146" s="19" t="n">
        <f aca="false">IF(AND(88&lt;V_Inicio,88&lt;=Fin),1,0)</f>
        <v>0</v>
      </c>
      <c r="CP146" s="19" t="n">
        <f aca="false">IF(AND(89&lt;V_Inicio,89&lt;=Fin),1,0)</f>
        <v>0</v>
      </c>
      <c r="CQ146" s="19" t="n">
        <f aca="false">IF(AND(90&lt;V_Inicio,90&lt;=Fin),1,0)</f>
        <v>0</v>
      </c>
      <c r="CR146" s="19" t="n">
        <f aca="false">IF(AND(91&lt;V_Inicio,91&lt;=Fin),1,0)</f>
        <v>0</v>
      </c>
      <c r="CS146" s="19" t="n">
        <f aca="false">IF(AND(92&lt;V_Inicio,92&lt;=Fin),1,0)</f>
        <v>0</v>
      </c>
      <c r="CT146" s="19" t="n">
        <f aca="false">IF(AND(93&lt;V_Inicio,93&lt;=Fin),1,0)</f>
        <v>0</v>
      </c>
      <c r="CU146" s="19" t="n">
        <f aca="false">IF(AND(94&lt;V_Inicio,94&lt;=Fin),1,0)</f>
        <v>0</v>
      </c>
      <c r="CV146" s="19" t="n">
        <f aca="false">IF(AND(95&lt;V_Inicio,95&lt;=Fin),1,0)</f>
        <v>0</v>
      </c>
      <c r="CW146" s="19" t="n">
        <f aca="false">IF(AND(96&lt;V_Inicio,96&lt;=Fin),1,0)</f>
        <v>0</v>
      </c>
      <c r="CX146" s="19" t="n">
        <f aca="false">IF(AND(97&lt;V_Inicio,97&lt;=Fin),1,0)</f>
        <v>0</v>
      </c>
      <c r="CY146" s="19" t="n">
        <f aca="false">IF(AND(98&lt;V_Inicio,98&lt;=Fin),1,0)</f>
        <v>0</v>
      </c>
      <c r="CZ146" s="19" t="n">
        <f aca="false">IF(AND(99&lt;V_Inicio,99&lt;=Fin),1,0)</f>
        <v>0</v>
      </c>
      <c r="DA146" s="19" t="n">
        <f aca="false">IF(AND(100&lt;V_Inicio,100&lt;=Fin),1,0)</f>
        <v>0</v>
      </c>
      <c r="DB146" s="19" t="n">
        <f aca="false">IF(AND(101&lt;V_Inicio,101&lt;=Fin),1,0)</f>
        <v>0</v>
      </c>
      <c r="DC146" s="19" t="n">
        <f aca="false">IF(AND(102&lt;V_Inicio,102&lt;=Fin),1,0)</f>
        <v>0</v>
      </c>
      <c r="DD146" s="19" t="n">
        <f aca="false">IF(AND(103&lt;V_Inicio,103&lt;=Fin),1,0)</f>
        <v>0</v>
      </c>
      <c r="DE146" s="19" t="n">
        <f aca="false">IF(AND(104&lt;V_Inicio,104&lt;=Fin),1,0)</f>
        <v>0</v>
      </c>
      <c r="DF146" s="19" t="n">
        <f aca="false">IF(AND(105&lt;V_Inicio,105&lt;=Fin),1,0)</f>
        <v>0</v>
      </c>
      <c r="DG146" s="19" t="n">
        <f aca="false">IF(AND(106&lt;V_Inicio,106&lt;=Fin),1,0)</f>
        <v>0</v>
      </c>
      <c r="DH146" s="19" t="n">
        <f aca="false">IF(AND(107&lt;V_Inicio,107&lt;=Fin),1,0)</f>
        <v>0</v>
      </c>
      <c r="DI146" s="19" t="n">
        <f aca="false">IF(AND(108&lt;V_Inicio,108&lt;=Fin),1,0)</f>
        <v>0</v>
      </c>
      <c r="DJ146" s="19" t="n">
        <f aca="false">IF(AND(109&lt;V_Inicio,109&lt;=Fin),1,0)</f>
        <v>0</v>
      </c>
      <c r="DK146" s="19" t="n">
        <f aca="false">IF(AND(110&lt;V_Inicio,110&lt;=Fin),1,0)</f>
        <v>0</v>
      </c>
      <c r="DL146" s="19" t="n">
        <f aca="false">IF(AND(111&lt;V_Inicio,111&lt;=Fin),1,0)</f>
        <v>0</v>
      </c>
      <c r="DM146" s="19" t="n">
        <f aca="false">IF(AND(112&lt;V_Inicio,112&lt;=Fin),1,0)</f>
        <v>0</v>
      </c>
      <c r="DN146" s="19" t="n">
        <f aca="false">IF(AND(113&lt;V_Inicio,113&lt;=Fin),1,0)</f>
        <v>0</v>
      </c>
      <c r="DO146" s="19" t="n">
        <f aca="false">IF(AND(114&lt;V_Inicio,114&lt;=Fin),1,0)</f>
        <v>0</v>
      </c>
      <c r="DP146" s="19" t="n">
        <f aca="false">IF(AND(115&lt;V_Inicio,115&lt;=Fin),1,0)</f>
        <v>0</v>
      </c>
      <c r="DQ146" s="19" t="n">
        <f aca="false">IF(AND(116&lt;V_Inicio,116&lt;=Fin),1,0)</f>
        <v>0</v>
      </c>
      <c r="DR146" s="19" t="n">
        <f aca="false">IF(AND(117&lt;V_Inicio,117&lt;=Fin),1,0)</f>
        <v>0</v>
      </c>
      <c r="DS146" s="19" t="n">
        <f aca="false">IF(AND(118&lt;V_Inicio,118&lt;=Fin),1,0)</f>
        <v>0</v>
      </c>
      <c r="DT146" s="19" t="n">
        <f aca="false">IF(AND(119&lt;V_Inicio,119&lt;=Fin),1,0)</f>
        <v>0</v>
      </c>
      <c r="DU146" s="19" t="n">
        <f aca="false">IF(AND(120&lt;V_Inicio,120&lt;=Fin),1,0)</f>
        <v>0</v>
      </c>
      <c r="DV146" s="19" t="n">
        <f aca="false">IF(AND(121&lt;V_Inicio,121&lt;=Fin),1,0)</f>
        <v>0</v>
      </c>
      <c r="DW146" s="19" t="n">
        <f aca="false">IF(AND(122&lt;V_Inicio,122&lt;=Fin),1,0)</f>
        <v>0</v>
      </c>
      <c r="DX146" s="19" t="n">
        <f aca="false">IF(AND(123&lt;V_Inicio,123&lt;=Fin),1,0)</f>
        <v>0</v>
      </c>
      <c r="DY146" s="19" t="n">
        <f aca="false">IF(AND(124&lt;V_Inicio,124&lt;=Fin),1,0)</f>
        <v>0</v>
      </c>
      <c r="DZ146" s="19" t="n">
        <f aca="false">IF(AND(125&lt;V_Inicio,125&lt;=Fin),1,0)</f>
        <v>0</v>
      </c>
      <c r="EA146" s="19" t="n">
        <f aca="false">IF(AND(126&lt;V_Inicio,126&lt;=Fin),1,0)</f>
        <v>0</v>
      </c>
      <c r="EB146" s="19" t="n">
        <f aca="false">IF(AND(127&lt;V_Inicio,127&lt;=Fin),1,0)</f>
        <v>0</v>
      </c>
      <c r="EC146" s="19" t="n">
        <f aca="false">IF(AND(128&lt;V_Inicio,128&lt;=Fin),1,0)</f>
        <v>0</v>
      </c>
      <c r="ED146" s="19" t="n">
        <f aca="false">IF(AND(129&lt;V_Inicio,129&lt;=Fin),1,0)</f>
        <v>0</v>
      </c>
      <c r="EE146" s="19" t="n">
        <f aca="false">IF(AND(130&lt;V_Inicio,130&lt;=Fin),1,0)</f>
        <v>0</v>
      </c>
      <c r="EF146" s="19" t="n">
        <f aca="false">IF(AND(131&lt;V_Inicio,131&lt;=Fin),1,0)</f>
        <v>0</v>
      </c>
      <c r="EG146" s="19" t="n">
        <f aca="false">IF(AND(132&lt;V_Inicio,132&lt;=Fin),1,0)</f>
        <v>0</v>
      </c>
      <c r="EH146" s="19" t="n">
        <f aca="false">IF(AND(133&lt;V_Inicio,133&lt;=Fin),1,0)</f>
        <v>0</v>
      </c>
      <c r="EI146" s="19" t="n">
        <f aca="false">IF(AND(134&lt;V_Inicio,134&lt;=Fin),1,0)</f>
        <v>0</v>
      </c>
      <c r="EJ146" s="19" t="n">
        <f aca="false">IF(AND(135&lt;V_Inicio,135&lt;=Fin),1,0)</f>
        <v>0</v>
      </c>
      <c r="EK146" s="19" t="n">
        <f aca="false">IF(AND(136&lt;V_Inicio,136&lt;=Fin),1,0)</f>
        <v>0</v>
      </c>
      <c r="EL146" s="19" t="n">
        <f aca="false">IF(AND(137&lt;V_Inicio,137&lt;=Fin),1,0)</f>
        <v>0</v>
      </c>
      <c r="EM146" s="19" t="n">
        <f aca="false">IF(AND(138&lt;V_Inicio,138&lt;=Fin),1,0)</f>
        <v>0</v>
      </c>
      <c r="EN146" s="19" t="n">
        <f aca="false">IF(AND(139&lt;V_Inicio,139&lt;=Fin),1,0)</f>
        <v>0</v>
      </c>
      <c r="EO146" s="19" t="n">
        <f aca="false">IF(AND(140&lt;V_Inicio,140&lt;=Fin),1,0)</f>
        <v>0</v>
      </c>
      <c r="EP146" s="19" t="n">
        <f aca="false">IF(AND(141&lt;V_Inicio,141&lt;=Fin),1,0)</f>
        <v>0</v>
      </c>
      <c r="EQ146" s="19" t="n">
        <f aca="false">IF(AND(142&lt;V_Inicio,142&lt;=Fin),1,0)</f>
        <v>0</v>
      </c>
      <c r="ER146" s="19" t="n">
        <f aca="false">IF(AND(143&lt;V_Inicio,143&lt;=Fin),1,0)</f>
        <v>0</v>
      </c>
      <c r="ES146" s="19" t="n">
        <f aca="false">IF(AND(144&lt;V_Inicio,144&lt;=Fin),1,0)</f>
        <v>0</v>
      </c>
    </row>
    <row r="147" customFormat="false" ht="15" hidden="false" customHeight="false" outlineLevel="0" collapsed="false">
      <c r="A147" s="2" t="s">
        <v>764</v>
      </c>
      <c r="B147" s="6" t="s">
        <v>553</v>
      </c>
      <c r="C147" s="6" t="s">
        <v>546</v>
      </c>
      <c r="F147" s="19" t="n">
        <f aca="false">MAX(1,F$144)</f>
        <v>1</v>
      </c>
      <c r="G147" s="19" t="n">
        <f aca="false">MAX(1,G$144)</f>
        <v>1</v>
      </c>
      <c r="H147" s="19" t="n">
        <f aca="false">MAX(1,H$144)</f>
        <v>1</v>
      </c>
      <c r="I147" s="19" t="n">
        <f aca="false">MAX(1,I$144)</f>
        <v>1</v>
      </c>
      <c r="J147" s="19" t="n">
        <f aca="false">MAX(1,J$144)</f>
        <v>1</v>
      </c>
      <c r="K147" s="19" t="n">
        <f aca="false">MAX(1,K$144)</f>
        <v>1</v>
      </c>
      <c r="L147" s="19" t="n">
        <f aca="false">MAX(1,L$144)</f>
        <v>1</v>
      </c>
      <c r="M147" s="19" t="n">
        <f aca="false">MAX(1,M$144)</f>
        <v>1</v>
      </c>
      <c r="N147" s="19" t="n">
        <f aca="false">MAX(1,N$144)</f>
        <v>1</v>
      </c>
      <c r="O147" s="19" t="n">
        <f aca="false">MAX(1,O$144)</f>
        <v>1</v>
      </c>
      <c r="P147" s="19" t="n">
        <f aca="false">MAX(1,P$144)</f>
        <v>1</v>
      </c>
      <c r="Q147" s="19" t="n">
        <f aca="false">MAX(1,Q$144)</f>
        <v>1</v>
      </c>
      <c r="R147" s="19" t="n">
        <f aca="false">MAX(1,R$144)</f>
        <v>2</v>
      </c>
      <c r="S147" s="19" t="n">
        <f aca="false">MAX(1,S$144)</f>
        <v>2</v>
      </c>
      <c r="T147" s="19" t="n">
        <f aca="false">MAX(1,T$144)</f>
        <v>2</v>
      </c>
      <c r="U147" s="19" t="n">
        <f aca="false">MAX(1,U$144)</f>
        <v>2</v>
      </c>
      <c r="V147" s="19" t="n">
        <f aca="false">MAX(1,V$144)</f>
        <v>2</v>
      </c>
      <c r="W147" s="19" t="n">
        <f aca="false">MAX(1,W$144)</f>
        <v>2</v>
      </c>
      <c r="X147" s="19" t="n">
        <f aca="false">MAX(1,X$144)</f>
        <v>2</v>
      </c>
      <c r="Y147" s="19" t="n">
        <f aca="false">MAX(1,Y$144)</f>
        <v>2</v>
      </c>
      <c r="Z147" s="19" t="n">
        <f aca="false">MAX(1,Z$144)</f>
        <v>2</v>
      </c>
      <c r="AA147" s="19" t="n">
        <f aca="false">MAX(1,AA$144)</f>
        <v>2</v>
      </c>
      <c r="AB147" s="19" t="n">
        <f aca="false">MAX(1,AB$144)</f>
        <v>2</v>
      </c>
      <c r="AC147" s="19" t="n">
        <f aca="false">MAX(1,AC$144)</f>
        <v>2</v>
      </c>
      <c r="AD147" s="19" t="n">
        <f aca="false">MAX(1,AD$144)</f>
        <v>3</v>
      </c>
      <c r="AE147" s="19" t="n">
        <f aca="false">MAX(1,AE$144)</f>
        <v>3</v>
      </c>
      <c r="AF147" s="19" t="n">
        <f aca="false">MAX(1,AF$144)</f>
        <v>3</v>
      </c>
      <c r="AG147" s="19" t="n">
        <f aca="false">MAX(1,AG$144)</f>
        <v>3</v>
      </c>
      <c r="AH147" s="19" t="n">
        <f aca="false">MAX(1,AH$144)</f>
        <v>3</v>
      </c>
      <c r="AI147" s="19" t="n">
        <f aca="false">MAX(1,AI$144)</f>
        <v>3</v>
      </c>
      <c r="AJ147" s="19" t="n">
        <f aca="false">MAX(1,AJ$144)</f>
        <v>3</v>
      </c>
      <c r="AK147" s="19" t="n">
        <f aca="false">MAX(1,AK$144)</f>
        <v>3</v>
      </c>
      <c r="AL147" s="19" t="n">
        <f aca="false">MAX(1,AL$144)</f>
        <v>3</v>
      </c>
      <c r="AM147" s="19" t="n">
        <f aca="false">MAX(1,AM$144)</f>
        <v>3</v>
      </c>
      <c r="AN147" s="19" t="n">
        <f aca="false">MAX(1,AN$144)</f>
        <v>3</v>
      </c>
      <c r="AO147" s="19" t="n">
        <f aca="false">MAX(1,AO$144)</f>
        <v>3</v>
      </c>
      <c r="AP147" s="19" t="n">
        <f aca="false">MAX(1,AP$144)</f>
        <v>4</v>
      </c>
      <c r="AQ147" s="19" t="n">
        <f aca="false">MAX(1,AQ$144)</f>
        <v>4</v>
      </c>
      <c r="AR147" s="19" t="n">
        <f aca="false">MAX(1,AR$144)</f>
        <v>4</v>
      </c>
      <c r="AS147" s="19" t="n">
        <f aca="false">MAX(1,AS$144)</f>
        <v>4</v>
      </c>
      <c r="AT147" s="19" t="n">
        <f aca="false">MAX(1,AT$144)</f>
        <v>4</v>
      </c>
      <c r="AU147" s="19" t="n">
        <f aca="false">MAX(1,AU$144)</f>
        <v>4</v>
      </c>
      <c r="AV147" s="19" t="n">
        <f aca="false">MAX(1,AV$144)</f>
        <v>4</v>
      </c>
      <c r="AW147" s="19" t="n">
        <f aca="false">MAX(1,AW$144)</f>
        <v>4</v>
      </c>
      <c r="AX147" s="19" t="n">
        <f aca="false">MAX(1,AX$144)</f>
        <v>4</v>
      </c>
      <c r="AY147" s="19" t="n">
        <f aca="false">MAX(1,AY$144)</f>
        <v>4</v>
      </c>
      <c r="AZ147" s="19" t="n">
        <f aca="false">MAX(1,AZ$144)</f>
        <v>4</v>
      </c>
      <c r="BA147" s="19" t="n">
        <f aca="false">MAX(1,BA$144)</f>
        <v>4</v>
      </c>
      <c r="BB147" s="19" t="n">
        <f aca="false">MAX(1,BB$144)</f>
        <v>5</v>
      </c>
      <c r="BC147" s="19" t="n">
        <f aca="false">MAX(1,BC$144)</f>
        <v>5</v>
      </c>
      <c r="BD147" s="19" t="n">
        <f aca="false">MAX(1,BD$144)</f>
        <v>5</v>
      </c>
      <c r="BE147" s="19" t="n">
        <f aca="false">MAX(1,BE$144)</f>
        <v>5</v>
      </c>
      <c r="BF147" s="19" t="n">
        <f aca="false">MAX(1,BF$144)</f>
        <v>5</v>
      </c>
      <c r="BG147" s="19" t="n">
        <f aca="false">MAX(1,BG$144)</f>
        <v>5</v>
      </c>
      <c r="BH147" s="19" t="n">
        <f aca="false">MAX(1,BH$144)</f>
        <v>5</v>
      </c>
      <c r="BI147" s="19" t="n">
        <f aca="false">MAX(1,BI$144)</f>
        <v>5</v>
      </c>
      <c r="BJ147" s="19" t="n">
        <f aca="false">MAX(1,BJ$144)</f>
        <v>5</v>
      </c>
      <c r="BK147" s="19" t="n">
        <f aca="false">MAX(1,BK$144)</f>
        <v>5</v>
      </c>
      <c r="BL147" s="19" t="n">
        <f aca="false">MAX(1,BL$144)</f>
        <v>5</v>
      </c>
      <c r="BM147" s="19" t="n">
        <f aca="false">MAX(1,BM$144)</f>
        <v>5</v>
      </c>
      <c r="BN147" s="19" t="n">
        <f aca="false">MAX(1,BN$144)</f>
        <v>6</v>
      </c>
      <c r="BO147" s="19" t="n">
        <f aca="false">MAX(1,BO$144)</f>
        <v>6</v>
      </c>
      <c r="BP147" s="19" t="n">
        <f aca="false">MAX(1,BP$144)</f>
        <v>6</v>
      </c>
      <c r="BQ147" s="19" t="n">
        <f aca="false">MAX(1,BQ$144)</f>
        <v>6</v>
      </c>
      <c r="BR147" s="19" t="n">
        <f aca="false">MAX(1,BR$144)</f>
        <v>6</v>
      </c>
      <c r="BS147" s="19" t="n">
        <f aca="false">MAX(1,BS$144)</f>
        <v>6</v>
      </c>
      <c r="BT147" s="19" t="n">
        <f aca="false">MAX(1,BT$144)</f>
        <v>6</v>
      </c>
      <c r="BU147" s="19" t="n">
        <f aca="false">MAX(1,BU$144)</f>
        <v>6</v>
      </c>
      <c r="BV147" s="19" t="n">
        <f aca="false">MAX(1,BV$144)</f>
        <v>6</v>
      </c>
      <c r="BW147" s="19" t="n">
        <f aca="false">MAX(1,BW$144)</f>
        <v>6</v>
      </c>
      <c r="BX147" s="19" t="n">
        <f aca="false">MAX(1,BX$144)</f>
        <v>6</v>
      </c>
      <c r="BY147" s="19" t="n">
        <f aca="false">MAX(1,BY$144)</f>
        <v>6</v>
      </c>
      <c r="BZ147" s="19" t="n">
        <f aca="false">MAX(1,BZ$144)</f>
        <v>7</v>
      </c>
      <c r="CA147" s="19" t="n">
        <f aca="false">MAX(1,CA$144)</f>
        <v>7</v>
      </c>
      <c r="CB147" s="19" t="n">
        <f aca="false">MAX(1,CB$144)</f>
        <v>7</v>
      </c>
      <c r="CC147" s="19" t="n">
        <f aca="false">MAX(1,CC$144)</f>
        <v>7</v>
      </c>
      <c r="CD147" s="19" t="n">
        <f aca="false">MAX(1,CD$144)</f>
        <v>7</v>
      </c>
      <c r="CE147" s="19" t="n">
        <f aca="false">MAX(1,CE$144)</f>
        <v>7</v>
      </c>
      <c r="CF147" s="19" t="n">
        <f aca="false">MAX(1,CF$144)</f>
        <v>7</v>
      </c>
      <c r="CG147" s="19" t="n">
        <f aca="false">MAX(1,CG$144)</f>
        <v>7</v>
      </c>
      <c r="CH147" s="19" t="n">
        <f aca="false">MAX(1,CH$144)</f>
        <v>7</v>
      </c>
      <c r="CI147" s="19" t="n">
        <f aca="false">MAX(1,CI$144)</f>
        <v>7</v>
      </c>
      <c r="CJ147" s="19" t="n">
        <f aca="false">MAX(1,CJ$144)</f>
        <v>7</v>
      </c>
      <c r="CK147" s="19" t="n">
        <f aca="false">MAX(1,CK$144)</f>
        <v>7</v>
      </c>
      <c r="CL147" s="19" t="n">
        <f aca="false">MAX(1,CL$144)</f>
        <v>8</v>
      </c>
      <c r="CM147" s="19" t="n">
        <f aca="false">MAX(1,CM$144)</f>
        <v>8</v>
      </c>
      <c r="CN147" s="19" t="n">
        <f aca="false">MAX(1,CN$144)</f>
        <v>8</v>
      </c>
      <c r="CO147" s="19" t="n">
        <f aca="false">MAX(1,CO$144)</f>
        <v>8</v>
      </c>
      <c r="CP147" s="19" t="n">
        <f aca="false">MAX(1,CP$144)</f>
        <v>8</v>
      </c>
      <c r="CQ147" s="19" t="n">
        <f aca="false">MAX(1,CQ$144)</f>
        <v>8</v>
      </c>
      <c r="CR147" s="19" t="n">
        <f aca="false">MAX(1,CR$144)</f>
        <v>8</v>
      </c>
      <c r="CS147" s="19" t="n">
        <f aca="false">MAX(1,CS$144)</f>
        <v>8</v>
      </c>
      <c r="CT147" s="19" t="n">
        <f aca="false">MAX(1,CT$144)</f>
        <v>8</v>
      </c>
      <c r="CU147" s="19" t="n">
        <f aca="false">MAX(1,CU$144)</f>
        <v>8</v>
      </c>
      <c r="CV147" s="19" t="n">
        <f aca="false">MAX(1,CV$144)</f>
        <v>8</v>
      </c>
      <c r="CW147" s="19" t="n">
        <f aca="false">MAX(1,CW$144)</f>
        <v>8</v>
      </c>
      <c r="CX147" s="19" t="n">
        <f aca="false">MAX(1,CX$144)</f>
        <v>9</v>
      </c>
      <c r="CY147" s="19" t="n">
        <f aca="false">MAX(1,CY$144)</f>
        <v>9</v>
      </c>
      <c r="CZ147" s="19" t="n">
        <f aca="false">MAX(1,CZ$144)</f>
        <v>9</v>
      </c>
      <c r="DA147" s="19" t="n">
        <f aca="false">MAX(1,DA$144)</f>
        <v>9</v>
      </c>
      <c r="DB147" s="19" t="n">
        <f aca="false">MAX(1,DB$144)</f>
        <v>9</v>
      </c>
      <c r="DC147" s="19" t="n">
        <f aca="false">MAX(1,DC$144)</f>
        <v>9</v>
      </c>
      <c r="DD147" s="19" t="n">
        <f aca="false">MAX(1,DD$144)</f>
        <v>9</v>
      </c>
      <c r="DE147" s="19" t="n">
        <f aca="false">MAX(1,DE$144)</f>
        <v>9</v>
      </c>
      <c r="DF147" s="19" t="n">
        <f aca="false">MAX(1,DF$144)</f>
        <v>9</v>
      </c>
      <c r="DG147" s="19" t="n">
        <f aca="false">MAX(1,DG$144)</f>
        <v>9</v>
      </c>
      <c r="DH147" s="19" t="n">
        <f aca="false">MAX(1,DH$144)</f>
        <v>9</v>
      </c>
      <c r="DI147" s="19" t="n">
        <f aca="false">MAX(1,DI$144)</f>
        <v>9</v>
      </c>
      <c r="DJ147" s="19" t="n">
        <f aca="false">MAX(1,DJ$144)</f>
        <v>10</v>
      </c>
      <c r="DK147" s="19" t="n">
        <f aca="false">MAX(1,DK$144)</f>
        <v>10</v>
      </c>
      <c r="DL147" s="19" t="n">
        <f aca="false">MAX(1,DL$144)</f>
        <v>10</v>
      </c>
      <c r="DM147" s="19" t="n">
        <f aca="false">MAX(1,DM$144)</f>
        <v>10</v>
      </c>
      <c r="DN147" s="19" t="n">
        <f aca="false">MAX(1,DN$144)</f>
        <v>10</v>
      </c>
      <c r="DO147" s="19" t="n">
        <f aca="false">MAX(1,DO$144)</f>
        <v>10</v>
      </c>
      <c r="DP147" s="19" t="n">
        <f aca="false">MAX(1,DP$144)</f>
        <v>10</v>
      </c>
      <c r="DQ147" s="19" t="n">
        <f aca="false">MAX(1,DQ$144)</f>
        <v>10</v>
      </c>
      <c r="DR147" s="19" t="n">
        <f aca="false">MAX(1,DR$144)</f>
        <v>10</v>
      </c>
      <c r="DS147" s="19" t="n">
        <f aca="false">MAX(1,DS$144)</f>
        <v>10</v>
      </c>
      <c r="DT147" s="19" t="n">
        <f aca="false">MAX(1,DT$144)</f>
        <v>10</v>
      </c>
      <c r="DU147" s="19" t="n">
        <f aca="false">MAX(1,DU$144)</f>
        <v>10</v>
      </c>
      <c r="DV147" s="19" t="n">
        <f aca="false">MAX(1,DV$144)</f>
        <v>1</v>
      </c>
      <c r="DW147" s="19" t="n">
        <f aca="false">MAX(1,DW$144)</f>
        <v>1</v>
      </c>
      <c r="DX147" s="19" t="n">
        <f aca="false">MAX(1,DX$144)</f>
        <v>1</v>
      </c>
      <c r="DY147" s="19" t="n">
        <f aca="false">MAX(1,DY$144)</f>
        <v>1</v>
      </c>
      <c r="DZ147" s="19" t="n">
        <f aca="false">MAX(1,DZ$144)</f>
        <v>1</v>
      </c>
      <c r="EA147" s="19" t="n">
        <f aca="false">MAX(1,EA$144)</f>
        <v>1</v>
      </c>
      <c r="EB147" s="19" t="n">
        <f aca="false">MAX(1,EB$144)</f>
        <v>1</v>
      </c>
      <c r="EC147" s="19" t="n">
        <f aca="false">MAX(1,EC$144)</f>
        <v>1</v>
      </c>
      <c r="ED147" s="19" t="n">
        <f aca="false">MAX(1,ED$144)</f>
        <v>1</v>
      </c>
      <c r="EE147" s="19" t="n">
        <f aca="false">MAX(1,EE$144)</f>
        <v>1</v>
      </c>
      <c r="EF147" s="19" t="n">
        <f aca="false">MAX(1,EF$144)</f>
        <v>1</v>
      </c>
      <c r="EG147" s="19" t="n">
        <f aca="false">MAX(1,EG$144)</f>
        <v>1</v>
      </c>
      <c r="EH147" s="19" t="n">
        <f aca="false">MAX(1,EH$144)</f>
        <v>1</v>
      </c>
      <c r="EI147" s="19" t="n">
        <f aca="false">MAX(1,EI$144)</f>
        <v>1</v>
      </c>
      <c r="EJ147" s="19" t="n">
        <f aca="false">MAX(1,EJ$144)</f>
        <v>1</v>
      </c>
      <c r="EK147" s="19" t="n">
        <f aca="false">MAX(1,EK$144)</f>
        <v>1</v>
      </c>
      <c r="EL147" s="19" t="n">
        <f aca="false">MAX(1,EL$144)</f>
        <v>1</v>
      </c>
      <c r="EM147" s="19" t="n">
        <f aca="false">MAX(1,EM$144)</f>
        <v>1</v>
      </c>
      <c r="EN147" s="19" t="n">
        <f aca="false">MAX(1,EN$144)</f>
        <v>1</v>
      </c>
      <c r="EO147" s="19" t="n">
        <f aca="false">MAX(1,EO$144)</f>
        <v>1</v>
      </c>
      <c r="EP147" s="19" t="n">
        <f aca="false">MAX(1,EP$144)</f>
        <v>1</v>
      </c>
      <c r="EQ147" s="19" t="n">
        <f aca="false">MAX(1,EQ$144)</f>
        <v>1</v>
      </c>
      <c r="ER147" s="19" t="n">
        <f aca="false">MAX(1,ER$144)</f>
        <v>1</v>
      </c>
      <c r="ES147" s="19" t="n">
        <f aca="false">MAX(1,ES$144)</f>
        <v>1</v>
      </c>
    </row>
    <row r="148" customFormat="false" ht="15" hidden="false" customHeight="false" outlineLevel="0" collapsed="false">
      <c r="A148" s="2" t="s">
        <v>765</v>
      </c>
      <c r="B148" s="6" t="s">
        <v>555</v>
      </c>
      <c r="C148" s="6" t="s">
        <v>208</v>
      </c>
      <c r="F148" s="34" t="n">
        <f aca="false">INDEX(TC_V,1,MIN(10,F$6))*(1+V_dTC)</f>
        <v>7300</v>
      </c>
      <c r="G148" s="34" t="n">
        <f aca="false">INDEX(TC_V,1,MIN(10,G$6))*(1+V_dTC)</f>
        <v>7300</v>
      </c>
      <c r="H148" s="34" t="n">
        <f aca="false">INDEX(TC_V,1,MIN(10,H$6))*(1+V_dTC)</f>
        <v>7300</v>
      </c>
      <c r="I148" s="34" t="n">
        <f aca="false">INDEX(TC_V,1,MIN(10,I$6))*(1+V_dTC)</f>
        <v>7300</v>
      </c>
      <c r="J148" s="34" t="n">
        <f aca="false">INDEX(TC_V,1,MIN(10,J$6))*(1+V_dTC)</f>
        <v>7300</v>
      </c>
      <c r="K148" s="34" t="n">
        <f aca="false">INDEX(TC_V,1,MIN(10,K$6))*(1+V_dTC)</f>
        <v>7300</v>
      </c>
      <c r="L148" s="34" t="n">
        <f aca="false">INDEX(TC_V,1,MIN(10,L$6))*(1+V_dTC)</f>
        <v>7300</v>
      </c>
      <c r="M148" s="34" t="n">
        <f aca="false">INDEX(TC_V,1,MIN(10,M$6))*(1+V_dTC)</f>
        <v>7300</v>
      </c>
      <c r="N148" s="34" t="n">
        <f aca="false">INDEX(TC_V,1,MIN(10,N$6))*(1+V_dTC)</f>
        <v>7300</v>
      </c>
      <c r="O148" s="34" t="n">
        <f aca="false">INDEX(TC_V,1,MIN(10,O$6))*(1+V_dTC)</f>
        <v>7300</v>
      </c>
      <c r="P148" s="34" t="n">
        <f aca="false">INDEX(TC_V,1,MIN(10,P$6))*(1+V_dTC)</f>
        <v>7300</v>
      </c>
      <c r="Q148" s="34" t="n">
        <f aca="false">INDEX(TC_V,1,MIN(10,Q$6))*(1+V_dTC)</f>
        <v>7300</v>
      </c>
      <c r="R148" s="34" t="n">
        <f aca="false">INDEX(TC_V,1,MIN(10,R$6))*(1+V_dTC)</f>
        <v>7300</v>
      </c>
      <c r="S148" s="34" t="n">
        <f aca="false">INDEX(TC_V,1,MIN(10,S$6))*(1+V_dTC)</f>
        <v>7300</v>
      </c>
      <c r="T148" s="34" t="n">
        <f aca="false">INDEX(TC_V,1,MIN(10,T$6))*(1+V_dTC)</f>
        <v>7300</v>
      </c>
      <c r="U148" s="34" t="n">
        <f aca="false">INDEX(TC_V,1,MIN(10,U$6))*(1+V_dTC)</f>
        <v>7300</v>
      </c>
      <c r="V148" s="34" t="n">
        <f aca="false">INDEX(TC_V,1,MIN(10,V$6))*(1+V_dTC)</f>
        <v>7300</v>
      </c>
      <c r="W148" s="34" t="n">
        <f aca="false">INDEX(TC_V,1,MIN(10,W$6))*(1+V_dTC)</f>
        <v>7300</v>
      </c>
      <c r="X148" s="34" t="n">
        <f aca="false">INDEX(TC_V,1,MIN(10,X$6))*(1+V_dTC)</f>
        <v>7300</v>
      </c>
      <c r="Y148" s="34" t="n">
        <f aca="false">INDEX(TC_V,1,MIN(10,Y$6))*(1+V_dTC)</f>
        <v>7300</v>
      </c>
      <c r="Z148" s="34" t="n">
        <f aca="false">INDEX(TC_V,1,MIN(10,Z$6))*(1+V_dTC)</f>
        <v>7300</v>
      </c>
      <c r="AA148" s="34" t="n">
        <f aca="false">INDEX(TC_V,1,MIN(10,AA$6))*(1+V_dTC)</f>
        <v>7300</v>
      </c>
      <c r="AB148" s="34" t="n">
        <f aca="false">INDEX(TC_V,1,MIN(10,AB$6))*(1+V_dTC)</f>
        <v>7300</v>
      </c>
      <c r="AC148" s="34" t="n">
        <f aca="false">INDEX(TC_V,1,MIN(10,AC$6))*(1+V_dTC)</f>
        <v>7300</v>
      </c>
      <c r="AD148" s="34" t="n">
        <f aca="false">INDEX(TC_V,1,MIN(10,AD$6))*(1+V_dTC)</f>
        <v>7300</v>
      </c>
      <c r="AE148" s="34" t="n">
        <f aca="false">INDEX(TC_V,1,MIN(10,AE$6))*(1+V_dTC)</f>
        <v>7300</v>
      </c>
      <c r="AF148" s="34" t="n">
        <f aca="false">INDEX(TC_V,1,MIN(10,AF$6))*(1+V_dTC)</f>
        <v>7300</v>
      </c>
      <c r="AG148" s="34" t="n">
        <f aca="false">INDEX(TC_V,1,MIN(10,AG$6))*(1+V_dTC)</f>
        <v>7300</v>
      </c>
      <c r="AH148" s="34" t="n">
        <f aca="false">INDEX(TC_V,1,MIN(10,AH$6))*(1+V_dTC)</f>
        <v>7300</v>
      </c>
      <c r="AI148" s="34" t="n">
        <f aca="false">INDEX(TC_V,1,MIN(10,AI$6))*(1+V_dTC)</f>
        <v>7300</v>
      </c>
      <c r="AJ148" s="34" t="n">
        <f aca="false">INDEX(TC_V,1,MIN(10,AJ$6))*(1+V_dTC)</f>
        <v>7300</v>
      </c>
      <c r="AK148" s="34" t="n">
        <f aca="false">INDEX(TC_V,1,MIN(10,AK$6))*(1+V_dTC)</f>
        <v>7300</v>
      </c>
      <c r="AL148" s="34" t="n">
        <f aca="false">INDEX(TC_V,1,MIN(10,AL$6))*(1+V_dTC)</f>
        <v>7300</v>
      </c>
      <c r="AM148" s="34" t="n">
        <f aca="false">INDEX(TC_V,1,MIN(10,AM$6))*(1+V_dTC)</f>
        <v>7300</v>
      </c>
      <c r="AN148" s="34" t="n">
        <f aca="false">INDEX(TC_V,1,MIN(10,AN$6))*(1+V_dTC)</f>
        <v>7300</v>
      </c>
      <c r="AO148" s="34" t="n">
        <f aca="false">INDEX(TC_V,1,MIN(10,AO$6))*(1+V_dTC)</f>
        <v>7300</v>
      </c>
      <c r="AP148" s="34" t="n">
        <f aca="false">INDEX(TC_V,1,MIN(10,AP$6))*(1+V_dTC)</f>
        <v>7300</v>
      </c>
      <c r="AQ148" s="34" t="n">
        <f aca="false">INDEX(TC_V,1,MIN(10,AQ$6))*(1+V_dTC)</f>
        <v>7300</v>
      </c>
      <c r="AR148" s="34" t="n">
        <f aca="false">INDEX(TC_V,1,MIN(10,AR$6))*(1+V_dTC)</f>
        <v>7300</v>
      </c>
      <c r="AS148" s="34" t="n">
        <f aca="false">INDEX(TC_V,1,MIN(10,AS$6))*(1+V_dTC)</f>
        <v>7300</v>
      </c>
      <c r="AT148" s="34" t="n">
        <f aca="false">INDEX(TC_V,1,MIN(10,AT$6))*(1+V_dTC)</f>
        <v>7300</v>
      </c>
      <c r="AU148" s="34" t="n">
        <f aca="false">INDEX(TC_V,1,MIN(10,AU$6))*(1+V_dTC)</f>
        <v>7300</v>
      </c>
      <c r="AV148" s="34" t="n">
        <f aca="false">INDEX(TC_V,1,MIN(10,AV$6))*(1+V_dTC)</f>
        <v>7300</v>
      </c>
      <c r="AW148" s="34" t="n">
        <f aca="false">INDEX(TC_V,1,MIN(10,AW$6))*(1+V_dTC)</f>
        <v>7300</v>
      </c>
      <c r="AX148" s="34" t="n">
        <f aca="false">INDEX(TC_V,1,MIN(10,AX$6))*(1+V_dTC)</f>
        <v>7300</v>
      </c>
      <c r="AY148" s="34" t="n">
        <f aca="false">INDEX(TC_V,1,MIN(10,AY$6))*(1+V_dTC)</f>
        <v>7300</v>
      </c>
      <c r="AZ148" s="34" t="n">
        <f aca="false">INDEX(TC_V,1,MIN(10,AZ$6))*(1+V_dTC)</f>
        <v>7300</v>
      </c>
      <c r="BA148" s="34" t="n">
        <f aca="false">INDEX(TC_V,1,MIN(10,BA$6))*(1+V_dTC)</f>
        <v>7300</v>
      </c>
      <c r="BB148" s="34" t="n">
        <f aca="false">INDEX(TC_V,1,MIN(10,BB$6))*(1+V_dTC)</f>
        <v>7300</v>
      </c>
      <c r="BC148" s="34" t="n">
        <f aca="false">INDEX(TC_V,1,MIN(10,BC$6))*(1+V_dTC)</f>
        <v>7300</v>
      </c>
      <c r="BD148" s="34" t="n">
        <f aca="false">INDEX(TC_V,1,MIN(10,BD$6))*(1+V_dTC)</f>
        <v>7300</v>
      </c>
      <c r="BE148" s="34" t="n">
        <f aca="false">INDEX(TC_V,1,MIN(10,BE$6))*(1+V_dTC)</f>
        <v>7300</v>
      </c>
      <c r="BF148" s="34" t="n">
        <f aca="false">INDEX(TC_V,1,MIN(10,BF$6))*(1+V_dTC)</f>
        <v>7300</v>
      </c>
      <c r="BG148" s="34" t="n">
        <f aca="false">INDEX(TC_V,1,MIN(10,BG$6))*(1+V_dTC)</f>
        <v>7300</v>
      </c>
      <c r="BH148" s="34" t="n">
        <f aca="false">INDEX(TC_V,1,MIN(10,BH$6))*(1+V_dTC)</f>
        <v>7300</v>
      </c>
      <c r="BI148" s="34" t="n">
        <f aca="false">INDEX(TC_V,1,MIN(10,BI$6))*(1+V_dTC)</f>
        <v>7300</v>
      </c>
      <c r="BJ148" s="34" t="n">
        <f aca="false">INDEX(TC_V,1,MIN(10,BJ$6))*(1+V_dTC)</f>
        <v>7300</v>
      </c>
      <c r="BK148" s="34" t="n">
        <f aca="false">INDEX(TC_V,1,MIN(10,BK$6))*(1+V_dTC)</f>
        <v>7300</v>
      </c>
      <c r="BL148" s="34" t="n">
        <f aca="false">INDEX(TC_V,1,MIN(10,BL$6))*(1+V_dTC)</f>
        <v>7300</v>
      </c>
      <c r="BM148" s="34" t="n">
        <f aca="false">INDEX(TC_V,1,MIN(10,BM$6))*(1+V_dTC)</f>
        <v>7300</v>
      </c>
      <c r="BN148" s="34" t="n">
        <f aca="false">INDEX(TC_V,1,MIN(10,BN$6))*(1+V_dTC)</f>
        <v>7300</v>
      </c>
      <c r="BO148" s="34" t="n">
        <f aca="false">INDEX(TC_V,1,MIN(10,BO$6))*(1+V_dTC)</f>
        <v>7300</v>
      </c>
      <c r="BP148" s="34" t="n">
        <f aca="false">INDEX(TC_V,1,MIN(10,BP$6))*(1+V_dTC)</f>
        <v>7300</v>
      </c>
      <c r="BQ148" s="34" t="n">
        <f aca="false">INDEX(TC_V,1,MIN(10,BQ$6))*(1+V_dTC)</f>
        <v>7300</v>
      </c>
      <c r="BR148" s="34" t="n">
        <f aca="false">INDEX(TC_V,1,MIN(10,BR$6))*(1+V_dTC)</f>
        <v>7300</v>
      </c>
      <c r="BS148" s="34" t="n">
        <f aca="false">INDEX(TC_V,1,MIN(10,BS$6))*(1+V_dTC)</f>
        <v>7300</v>
      </c>
      <c r="BT148" s="34" t="n">
        <f aca="false">INDEX(TC_V,1,MIN(10,BT$6))*(1+V_dTC)</f>
        <v>7300</v>
      </c>
      <c r="BU148" s="34" t="n">
        <f aca="false">INDEX(TC_V,1,MIN(10,BU$6))*(1+V_dTC)</f>
        <v>7300</v>
      </c>
      <c r="BV148" s="34" t="n">
        <f aca="false">INDEX(TC_V,1,MIN(10,BV$6))*(1+V_dTC)</f>
        <v>7300</v>
      </c>
      <c r="BW148" s="34" t="n">
        <f aca="false">INDEX(TC_V,1,MIN(10,BW$6))*(1+V_dTC)</f>
        <v>7300</v>
      </c>
      <c r="BX148" s="34" t="n">
        <f aca="false">INDEX(TC_V,1,MIN(10,BX$6))*(1+V_dTC)</f>
        <v>7300</v>
      </c>
      <c r="BY148" s="34" t="n">
        <f aca="false">INDEX(TC_V,1,MIN(10,BY$6))*(1+V_dTC)</f>
        <v>7300</v>
      </c>
      <c r="BZ148" s="34" t="n">
        <f aca="false">INDEX(TC_V,1,MIN(10,BZ$6))*(1+V_dTC)</f>
        <v>7300</v>
      </c>
      <c r="CA148" s="34" t="n">
        <f aca="false">INDEX(TC_V,1,MIN(10,CA$6))*(1+V_dTC)</f>
        <v>7300</v>
      </c>
      <c r="CB148" s="34" t="n">
        <f aca="false">INDEX(TC_V,1,MIN(10,CB$6))*(1+V_dTC)</f>
        <v>7300</v>
      </c>
      <c r="CC148" s="34" t="n">
        <f aca="false">INDEX(TC_V,1,MIN(10,CC$6))*(1+V_dTC)</f>
        <v>7300</v>
      </c>
      <c r="CD148" s="34" t="n">
        <f aca="false">INDEX(TC_V,1,MIN(10,CD$6))*(1+V_dTC)</f>
        <v>7300</v>
      </c>
      <c r="CE148" s="34" t="n">
        <f aca="false">INDEX(TC_V,1,MIN(10,CE$6))*(1+V_dTC)</f>
        <v>7300</v>
      </c>
      <c r="CF148" s="34" t="n">
        <f aca="false">INDEX(TC_V,1,MIN(10,CF$6))*(1+V_dTC)</f>
        <v>7300</v>
      </c>
      <c r="CG148" s="34" t="n">
        <f aca="false">INDEX(TC_V,1,MIN(10,CG$6))*(1+V_dTC)</f>
        <v>7300</v>
      </c>
      <c r="CH148" s="34" t="n">
        <f aca="false">INDEX(TC_V,1,MIN(10,CH$6))*(1+V_dTC)</f>
        <v>7300</v>
      </c>
      <c r="CI148" s="34" t="n">
        <f aca="false">INDEX(TC_V,1,MIN(10,CI$6))*(1+V_dTC)</f>
        <v>7300</v>
      </c>
      <c r="CJ148" s="34" t="n">
        <f aca="false">INDEX(TC_V,1,MIN(10,CJ$6))*(1+V_dTC)</f>
        <v>7300</v>
      </c>
      <c r="CK148" s="34" t="n">
        <f aca="false">INDEX(TC_V,1,MIN(10,CK$6))*(1+V_dTC)</f>
        <v>7300</v>
      </c>
      <c r="CL148" s="34" t="n">
        <f aca="false">INDEX(TC_V,1,MIN(10,CL$6))*(1+V_dTC)</f>
        <v>7300</v>
      </c>
      <c r="CM148" s="34" t="n">
        <f aca="false">INDEX(TC_V,1,MIN(10,CM$6))*(1+V_dTC)</f>
        <v>7300</v>
      </c>
      <c r="CN148" s="34" t="n">
        <f aca="false">INDEX(TC_V,1,MIN(10,CN$6))*(1+V_dTC)</f>
        <v>7300</v>
      </c>
      <c r="CO148" s="34" t="n">
        <f aca="false">INDEX(TC_V,1,MIN(10,CO$6))*(1+V_dTC)</f>
        <v>7300</v>
      </c>
      <c r="CP148" s="34" t="n">
        <f aca="false">INDEX(TC_V,1,MIN(10,CP$6))*(1+V_dTC)</f>
        <v>7300</v>
      </c>
      <c r="CQ148" s="34" t="n">
        <f aca="false">INDEX(TC_V,1,MIN(10,CQ$6))*(1+V_dTC)</f>
        <v>7300</v>
      </c>
      <c r="CR148" s="34" t="n">
        <f aca="false">INDEX(TC_V,1,MIN(10,CR$6))*(1+V_dTC)</f>
        <v>7300</v>
      </c>
      <c r="CS148" s="34" t="n">
        <f aca="false">INDEX(TC_V,1,MIN(10,CS$6))*(1+V_dTC)</f>
        <v>7300</v>
      </c>
      <c r="CT148" s="34" t="n">
        <f aca="false">INDEX(TC_V,1,MIN(10,CT$6))*(1+V_dTC)</f>
        <v>7300</v>
      </c>
      <c r="CU148" s="34" t="n">
        <f aca="false">INDEX(TC_V,1,MIN(10,CU$6))*(1+V_dTC)</f>
        <v>7300</v>
      </c>
      <c r="CV148" s="34" t="n">
        <f aca="false">INDEX(TC_V,1,MIN(10,CV$6))*(1+V_dTC)</f>
        <v>7300</v>
      </c>
      <c r="CW148" s="34" t="n">
        <f aca="false">INDEX(TC_V,1,MIN(10,CW$6))*(1+V_dTC)</f>
        <v>7300</v>
      </c>
      <c r="CX148" s="34" t="n">
        <f aca="false">INDEX(TC_V,1,MIN(10,CX$6))*(1+V_dTC)</f>
        <v>7300</v>
      </c>
      <c r="CY148" s="34" t="n">
        <f aca="false">INDEX(TC_V,1,MIN(10,CY$6))*(1+V_dTC)</f>
        <v>7300</v>
      </c>
      <c r="CZ148" s="34" t="n">
        <f aca="false">INDEX(TC_V,1,MIN(10,CZ$6))*(1+V_dTC)</f>
        <v>7300</v>
      </c>
      <c r="DA148" s="34" t="n">
        <f aca="false">INDEX(TC_V,1,MIN(10,DA$6))*(1+V_dTC)</f>
        <v>7300</v>
      </c>
      <c r="DB148" s="34" t="n">
        <f aca="false">INDEX(TC_V,1,MIN(10,DB$6))*(1+V_dTC)</f>
        <v>7300</v>
      </c>
      <c r="DC148" s="34" t="n">
        <f aca="false">INDEX(TC_V,1,MIN(10,DC$6))*(1+V_dTC)</f>
        <v>7300</v>
      </c>
      <c r="DD148" s="34" t="n">
        <f aca="false">INDEX(TC_V,1,MIN(10,DD$6))*(1+V_dTC)</f>
        <v>7300</v>
      </c>
      <c r="DE148" s="34" t="n">
        <f aca="false">INDEX(TC_V,1,MIN(10,DE$6))*(1+V_dTC)</f>
        <v>7300</v>
      </c>
      <c r="DF148" s="34" t="n">
        <f aca="false">INDEX(TC_V,1,MIN(10,DF$6))*(1+V_dTC)</f>
        <v>7300</v>
      </c>
      <c r="DG148" s="34" t="n">
        <f aca="false">INDEX(TC_V,1,MIN(10,DG$6))*(1+V_dTC)</f>
        <v>7300</v>
      </c>
      <c r="DH148" s="34" t="n">
        <f aca="false">INDEX(TC_V,1,MIN(10,DH$6))*(1+V_dTC)</f>
        <v>7300</v>
      </c>
      <c r="DI148" s="34" t="n">
        <f aca="false">INDEX(TC_V,1,MIN(10,DI$6))*(1+V_dTC)</f>
        <v>7300</v>
      </c>
      <c r="DJ148" s="34" t="n">
        <f aca="false">INDEX(TC_V,1,MIN(10,DJ$6))*(1+V_dTC)</f>
        <v>7300</v>
      </c>
      <c r="DK148" s="34" t="n">
        <f aca="false">INDEX(TC_V,1,MIN(10,DK$6))*(1+V_dTC)</f>
        <v>7300</v>
      </c>
      <c r="DL148" s="34" t="n">
        <f aca="false">INDEX(TC_V,1,MIN(10,DL$6))*(1+V_dTC)</f>
        <v>7300</v>
      </c>
      <c r="DM148" s="34" t="n">
        <f aca="false">INDEX(TC_V,1,MIN(10,DM$6))*(1+V_dTC)</f>
        <v>7300</v>
      </c>
      <c r="DN148" s="34" t="n">
        <f aca="false">INDEX(TC_V,1,MIN(10,DN$6))*(1+V_dTC)</f>
        <v>7300</v>
      </c>
      <c r="DO148" s="34" t="n">
        <f aca="false">INDEX(TC_V,1,MIN(10,DO$6))*(1+V_dTC)</f>
        <v>7300</v>
      </c>
      <c r="DP148" s="34" t="n">
        <f aca="false">INDEX(TC_V,1,MIN(10,DP$6))*(1+V_dTC)</f>
        <v>7300</v>
      </c>
      <c r="DQ148" s="34" t="n">
        <f aca="false">INDEX(TC_V,1,MIN(10,DQ$6))*(1+V_dTC)</f>
        <v>7300</v>
      </c>
      <c r="DR148" s="34" t="n">
        <f aca="false">INDEX(TC_V,1,MIN(10,DR$6))*(1+V_dTC)</f>
        <v>7300</v>
      </c>
      <c r="DS148" s="34" t="n">
        <f aca="false">INDEX(TC_V,1,MIN(10,DS$6))*(1+V_dTC)</f>
        <v>7300</v>
      </c>
      <c r="DT148" s="34" t="n">
        <f aca="false">INDEX(TC_V,1,MIN(10,DT$6))*(1+V_dTC)</f>
        <v>7300</v>
      </c>
      <c r="DU148" s="34" t="n">
        <f aca="false">INDEX(TC_V,1,MIN(10,DU$6))*(1+V_dTC)</f>
        <v>7300</v>
      </c>
      <c r="DV148" s="34" t="n">
        <f aca="false">INDEX(TC_V,1,MIN(10,DV$6))*(1+V_dTC)</f>
        <v>7300</v>
      </c>
      <c r="DW148" s="34" t="n">
        <f aca="false">INDEX(TC_V,1,MIN(10,DW$6))*(1+V_dTC)</f>
        <v>7300</v>
      </c>
      <c r="DX148" s="34" t="n">
        <f aca="false">INDEX(TC_V,1,MIN(10,DX$6))*(1+V_dTC)</f>
        <v>7300</v>
      </c>
      <c r="DY148" s="34" t="n">
        <f aca="false">INDEX(TC_V,1,MIN(10,DY$6))*(1+V_dTC)</f>
        <v>7300</v>
      </c>
      <c r="DZ148" s="34" t="n">
        <f aca="false">INDEX(TC_V,1,MIN(10,DZ$6))*(1+V_dTC)</f>
        <v>7300</v>
      </c>
      <c r="EA148" s="34" t="n">
        <f aca="false">INDEX(TC_V,1,MIN(10,EA$6))*(1+V_dTC)</f>
        <v>7300</v>
      </c>
      <c r="EB148" s="34" t="n">
        <f aca="false">INDEX(TC_V,1,MIN(10,EB$6))*(1+V_dTC)</f>
        <v>7300</v>
      </c>
      <c r="EC148" s="34" t="n">
        <f aca="false">INDEX(TC_V,1,MIN(10,EC$6))*(1+V_dTC)</f>
        <v>7300</v>
      </c>
      <c r="ED148" s="34" t="n">
        <f aca="false">INDEX(TC_V,1,MIN(10,ED$6))*(1+V_dTC)</f>
        <v>7300</v>
      </c>
      <c r="EE148" s="34" t="n">
        <f aca="false">INDEX(TC_V,1,MIN(10,EE$6))*(1+V_dTC)</f>
        <v>7300</v>
      </c>
      <c r="EF148" s="34" t="n">
        <f aca="false">INDEX(TC_V,1,MIN(10,EF$6))*(1+V_dTC)</f>
        <v>7300</v>
      </c>
      <c r="EG148" s="34" t="n">
        <f aca="false">INDEX(TC_V,1,MIN(10,EG$6))*(1+V_dTC)</f>
        <v>7300</v>
      </c>
      <c r="EH148" s="34" t="n">
        <f aca="false">INDEX(TC_V,1,MIN(10,EH$6))*(1+V_dTC)</f>
        <v>7300</v>
      </c>
      <c r="EI148" s="34" t="n">
        <f aca="false">INDEX(TC_V,1,MIN(10,EI$6))*(1+V_dTC)</f>
        <v>7300</v>
      </c>
      <c r="EJ148" s="34" t="n">
        <f aca="false">INDEX(TC_V,1,MIN(10,EJ$6))*(1+V_dTC)</f>
        <v>7300</v>
      </c>
      <c r="EK148" s="34" t="n">
        <f aca="false">INDEX(TC_V,1,MIN(10,EK$6))*(1+V_dTC)</f>
        <v>7300</v>
      </c>
      <c r="EL148" s="34" t="n">
        <f aca="false">INDEX(TC_V,1,MIN(10,EL$6))*(1+V_dTC)</f>
        <v>7300</v>
      </c>
      <c r="EM148" s="34" t="n">
        <f aca="false">INDEX(TC_V,1,MIN(10,EM$6))*(1+V_dTC)</f>
        <v>7300</v>
      </c>
      <c r="EN148" s="34" t="n">
        <f aca="false">INDEX(TC_V,1,MIN(10,EN$6))*(1+V_dTC)</f>
        <v>7300</v>
      </c>
      <c r="EO148" s="34" t="n">
        <f aca="false">INDEX(TC_V,1,MIN(10,EO$6))*(1+V_dTC)</f>
        <v>7300</v>
      </c>
      <c r="EP148" s="34" t="n">
        <f aca="false">INDEX(TC_V,1,MIN(10,EP$6))*(1+V_dTC)</f>
        <v>7300</v>
      </c>
      <c r="EQ148" s="34" t="n">
        <f aca="false">INDEX(TC_V,1,MIN(10,EQ$6))*(1+V_dTC)</f>
        <v>7300</v>
      </c>
      <c r="ER148" s="34" t="n">
        <f aca="false">INDEX(TC_V,1,MIN(10,ER$6))*(1+V_dTC)</f>
        <v>7300</v>
      </c>
      <c r="ES148" s="34" t="n">
        <f aca="false">INDEX(TC_V,1,MIN(10,ES$6))*(1+V_dTC)</f>
        <v>7300</v>
      </c>
    </row>
    <row r="149" customFormat="false" ht="15" hidden="false" customHeight="false" outlineLevel="0" collapsed="false">
      <c r="A149" s="2" t="s">
        <v>766</v>
      </c>
      <c r="B149" s="6" t="s">
        <v>557</v>
      </c>
      <c r="C149" s="6"/>
      <c r="F149" s="27" t="n">
        <f aca="false">IF(F$148&gt;0,1/F$148,0)</f>
        <v>0.000136986301369863</v>
      </c>
      <c r="G149" s="27" t="n">
        <f aca="false">IF(G$148&gt;0,1/G$148,0)</f>
        <v>0.000136986301369863</v>
      </c>
      <c r="H149" s="27" t="n">
        <f aca="false">IF(H$148&gt;0,1/H$148,0)</f>
        <v>0.000136986301369863</v>
      </c>
      <c r="I149" s="27" t="n">
        <f aca="false">IF(I$148&gt;0,1/I$148,0)</f>
        <v>0.000136986301369863</v>
      </c>
      <c r="J149" s="27" t="n">
        <f aca="false">IF(J$148&gt;0,1/J$148,0)</f>
        <v>0.000136986301369863</v>
      </c>
      <c r="K149" s="27" t="n">
        <f aca="false">IF(K$148&gt;0,1/K$148,0)</f>
        <v>0.000136986301369863</v>
      </c>
      <c r="L149" s="27" t="n">
        <f aca="false">IF(L$148&gt;0,1/L$148,0)</f>
        <v>0.000136986301369863</v>
      </c>
      <c r="M149" s="27" t="n">
        <f aca="false">IF(M$148&gt;0,1/M$148,0)</f>
        <v>0.000136986301369863</v>
      </c>
      <c r="N149" s="27" t="n">
        <f aca="false">IF(N$148&gt;0,1/N$148,0)</f>
        <v>0.000136986301369863</v>
      </c>
      <c r="O149" s="27" t="n">
        <f aca="false">IF(O$148&gt;0,1/O$148,0)</f>
        <v>0.000136986301369863</v>
      </c>
      <c r="P149" s="27" t="n">
        <f aca="false">IF(P$148&gt;0,1/P$148,0)</f>
        <v>0.000136986301369863</v>
      </c>
      <c r="Q149" s="27" t="n">
        <f aca="false">IF(Q$148&gt;0,1/Q$148,0)</f>
        <v>0.000136986301369863</v>
      </c>
      <c r="R149" s="27" t="n">
        <f aca="false">IF(R$148&gt;0,1/R$148,0)</f>
        <v>0.000136986301369863</v>
      </c>
      <c r="S149" s="27" t="n">
        <f aca="false">IF(S$148&gt;0,1/S$148,0)</f>
        <v>0.000136986301369863</v>
      </c>
      <c r="T149" s="27" t="n">
        <f aca="false">IF(T$148&gt;0,1/T$148,0)</f>
        <v>0.000136986301369863</v>
      </c>
      <c r="U149" s="27" t="n">
        <f aca="false">IF(U$148&gt;0,1/U$148,0)</f>
        <v>0.000136986301369863</v>
      </c>
      <c r="V149" s="27" t="n">
        <f aca="false">IF(V$148&gt;0,1/V$148,0)</f>
        <v>0.000136986301369863</v>
      </c>
      <c r="W149" s="27" t="n">
        <f aca="false">IF(W$148&gt;0,1/W$148,0)</f>
        <v>0.000136986301369863</v>
      </c>
      <c r="X149" s="27" t="n">
        <f aca="false">IF(X$148&gt;0,1/X$148,0)</f>
        <v>0.000136986301369863</v>
      </c>
      <c r="Y149" s="27" t="n">
        <f aca="false">IF(Y$148&gt;0,1/Y$148,0)</f>
        <v>0.000136986301369863</v>
      </c>
      <c r="Z149" s="27" t="n">
        <f aca="false">IF(Z$148&gt;0,1/Z$148,0)</f>
        <v>0.000136986301369863</v>
      </c>
      <c r="AA149" s="27" t="n">
        <f aca="false">IF(AA$148&gt;0,1/AA$148,0)</f>
        <v>0.000136986301369863</v>
      </c>
      <c r="AB149" s="27" t="n">
        <f aca="false">IF(AB$148&gt;0,1/AB$148,0)</f>
        <v>0.000136986301369863</v>
      </c>
      <c r="AC149" s="27" t="n">
        <f aca="false">IF(AC$148&gt;0,1/AC$148,0)</f>
        <v>0.000136986301369863</v>
      </c>
      <c r="AD149" s="27" t="n">
        <f aca="false">IF(AD$148&gt;0,1/AD$148,0)</f>
        <v>0.000136986301369863</v>
      </c>
      <c r="AE149" s="27" t="n">
        <f aca="false">IF(AE$148&gt;0,1/AE$148,0)</f>
        <v>0.000136986301369863</v>
      </c>
      <c r="AF149" s="27" t="n">
        <f aca="false">IF(AF$148&gt;0,1/AF$148,0)</f>
        <v>0.000136986301369863</v>
      </c>
      <c r="AG149" s="27" t="n">
        <f aca="false">IF(AG$148&gt;0,1/AG$148,0)</f>
        <v>0.000136986301369863</v>
      </c>
      <c r="AH149" s="27" t="n">
        <f aca="false">IF(AH$148&gt;0,1/AH$148,0)</f>
        <v>0.000136986301369863</v>
      </c>
      <c r="AI149" s="27" t="n">
        <f aca="false">IF(AI$148&gt;0,1/AI$148,0)</f>
        <v>0.000136986301369863</v>
      </c>
      <c r="AJ149" s="27" t="n">
        <f aca="false">IF(AJ$148&gt;0,1/AJ$148,0)</f>
        <v>0.000136986301369863</v>
      </c>
      <c r="AK149" s="27" t="n">
        <f aca="false">IF(AK$148&gt;0,1/AK$148,0)</f>
        <v>0.000136986301369863</v>
      </c>
      <c r="AL149" s="27" t="n">
        <f aca="false">IF(AL$148&gt;0,1/AL$148,0)</f>
        <v>0.000136986301369863</v>
      </c>
      <c r="AM149" s="27" t="n">
        <f aca="false">IF(AM$148&gt;0,1/AM$148,0)</f>
        <v>0.000136986301369863</v>
      </c>
      <c r="AN149" s="27" t="n">
        <f aca="false">IF(AN$148&gt;0,1/AN$148,0)</f>
        <v>0.000136986301369863</v>
      </c>
      <c r="AO149" s="27" t="n">
        <f aca="false">IF(AO$148&gt;0,1/AO$148,0)</f>
        <v>0.000136986301369863</v>
      </c>
      <c r="AP149" s="27" t="n">
        <f aca="false">IF(AP$148&gt;0,1/AP$148,0)</f>
        <v>0.000136986301369863</v>
      </c>
      <c r="AQ149" s="27" t="n">
        <f aca="false">IF(AQ$148&gt;0,1/AQ$148,0)</f>
        <v>0.000136986301369863</v>
      </c>
      <c r="AR149" s="27" t="n">
        <f aca="false">IF(AR$148&gt;0,1/AR$148,0)</f>
        <v>0.000136986301369863</v>
      </c>
      <c r="AS149" s="27" t="n">
        <f aca="false">IF(AS$148&gt;0,1/AS$148,0)</f>
        <v>0.000136986301369863</v>
      </c>
      <c r="AT149" s="27" t="n">
        <f aca="false">IF(AT$148&gt;0,1/AT$148,0)</f>
        <v>0.000136986301369863</v>
      </c>
      <c r="AU149" s="27" t="n">
        <f aca="false">IF(AU$148&gt;0,1/AU$148,0)</f>
        <v>0.000136986301369863</v>
      </c>
      <c r="AV149" s="27" t="n">
        <f aca="false">IF(AV$148&gt;0,1/AV$148,0)</f>
        <v>0.000136986301369863</v>
      </c>
      <c r="AW149" s="27" t="n">
        <f aca="false">IF(AW$148&gt;0,1/AW$148,0)</f>
        <v>0.000136986301369863</v>
      </c>
      <c r="AX149" s="27" t="n">
        <f aca="false">IF(AX$148&gt;0,1/AX$148,0)</f>
        <v>0.000136986301369863</v>
      </c>
      <c r="AY149" s="27" t="n">
        <f aca="false">IF(AY$148&gt;0,1/AY$148,0)</f>
        <v>0.000136986301369863</v>
      </c>
      <c r="AZ149" s="27" t="n">
        <f aca="false">IF(AZ$148&gt;0,1/AZ$148,0)</f>
        <v>0.000136986301369863</v>
      </c>
      <c r="BA149" s="27" t="n">
        <f aca="false">IF(BA$148&gt;0,1/BA$148,0)</f>
        <v>0.000136986301369863</v>
      </c>
      <c r="BB149" s="27" t="n">
        <f aca="false">IF(BB$148&gt;0,1/BB$148,0)</f>
        <v>0.000136986301369863</v>
      </c>
      <c r="BC149" s="27" t="n">
        <f aca="false">IF(BC$148&gt;0,1/BC$148,0)</f>
        <v>0.000136986301369863</v>
      </c>
      <c r="BD149" s="27" t="n">
        <f aca="false">IF(BD$148&gt;0,1/BD$148,0)</f>
        <v>0.000136986301369863</v>
      </c>
      <c r="BE149" s="27" t="n">
        <f aca="false">IF(BE$148&gt;0,1/BE$148,0)</f>
        <v>0.000136986301369863</v>
      </c>
      <c r="BF149" s="27" t="n">
        <f aca="false">IF(BF$148&gt;0,1/BF$148,0)</f>
        <v>0.000136986301369863</v>
      </c>
      <c r="BG149" s="27" t="n">
        <f aca="false">IF(BG$148&gt;0,1/BG$148,0)</f>
        <v>0.000136986301369863</v>
      </c>
      <c r="BH149" s="27" t="n">
        <f aca="false">IF(BH$148&gt;0,1/BH$148,0)</f>
        <v>0.000136986301369863</v>
      </c>
      <c r="BI149" s="27" t="n">
        <f aca="false">IF(BI$148&gt;0,1/BI$148,0)</f>
        <v>0.000136986301369863</v>
      </c>
      <c r="BJ149" s="27" t="n">
        <f aca="false">IF(BJ$148&gt;0,1/BJ$148,0)</f>
        <v>0.000136986301369863</v>
      </c>
      <c r="BK149" s="27" t="n">
        <f aca="false">IF(BK$148&gt;0,1/BK$148,0)</f>
        <v>0.000136986301369863</v>
      </c>
      <c r="BL149" s="27" t="n">
        <f aca="false">IF(BL$148&gt;0,1/BL$148,0)</f>
        <v>0.000136986301369863</v>
      </c>
      <c r="BM149" s="27" t="n">
        <f aca="false">IF(BM$148&gt;0,1/BM$148,0)</f>
        <v>0.000136986301369863</v>
      </c>
      <c r="BN149" s="27" t="n">
        <f aca="false">IF(BN$148&gt;0,1/BN$148,0)</f>
        <v>0.000136986301369863</v>
      </c>
      <c r="BO149" s="27" t="n">
        <f aca="false">IF(BO$148&gt;0,1/BO$148,0)</f>
        <v>0.000136986301369863</v>
      </c>
      <c r="BP149" s="27" t="n">
        <f aca="false">IF(BP$148&gt;0,1/BP$148,0)</f>
        <v>0.000136986301369863</v>
      </c>
      <c r="BQ149" s="27" t="n">
        <f aca="false">IF(BQ$148&gt;0,1/BQ$148,0)</f>
        <v>0.000136986301369863</v>
      </c>
      <c r="BR149" s="27" t="n">
        <f aca="false">IF(BR$148&gt;0,1/BR$148,0)</f>
        <v>0.000136986301369863</v>
      </c>
      <c r="BS149" s="27" t="n">
        <f aca="false">IF(BS$148&gt;0,1/BS$148,0)</f>
        <v>0.000136986301369863</v>
      </c>
      <c r="BT149" s="27" t="n">
        <f aca="false">IF(BT$148&gt;0,1/BT$148,0)</f>
        <v>0.000136986301369863</v>
      </c>
      <c r="BU149" s="27" t="n">
        <f aca="false">IF(BU$148&gt;0,1/BU$148,0)</f>
        <v>0.000136986301369863</v>
      </c>
      <c r="BV149" s="27" t="n">
        <f aca="false">IF(BV$148&gt;0,1/BV$148,0)</f>
        <v>0.000136986301369863</v>
      </c>
      <c r="BW149" s="27" t="n">
        <f aca="false">IF(BW$148&gt;0,1/BW$148,0)</f>
        <v>0.000136986301369863</v>
      </c>
      <c r="BX149" s="27" t="n">
        <f aca="false">IF(BX$148&gt;0,1/BX$148,0)</f>
        <v>0.000136986301369863</v>
      </c>
      <c r="BY149" s="27" t="n">
        <f aca="false">IF(BY$148&gt;0,1/BY$148,0)</f>
        <v>0.000136986301369863</v>
      </c>
      <c r="BZ149" s="27" t="n">
        <f aca="false">IF(BZ$148&gt;0,1/BZ$148,0)</f>
        <v>0.000136986301369863</v>
      </c>
      <c r="CA149" s="27" t="n">
        <f aca="false">IF(CA$148&gt;0,1/CA$148,0)</f>
        <v>0.000136986301369863</v>
      </c>
      <c r="CB149" s="27" t="n">
        <f aca="false">IF(CB$148&gt;0,1/CB$148,0)</f>
        <v>0.000136986301369863</v>
      </c>
      <c r="CC149" s="27" t="n">
        <f aca="false">IF(CC$148&gt;0,1/CC$148,0)</f>
        <v>0.000136986301369863</v>
      </c>
      <c r="CD149" s="27" t="n">
        <f aca="false">IF(CD$148&gt;0,1/CD$148,0)</f>
        <v>0.000136986301369863</v>
      </c>
      <c r="CE149" s="27" t="n">
        <f aca="false">IF(CE$148&gt;0,1/CE$148,0)</f>
        <v>0.000136986301369863</v>
      </c>
      <c r="CF149" s="27" t="n">
        <f aca="false">IF(CF$148&gt;0,1/CF$148,0)</f>
        <v>0.000136986301369863</v>
      </c>
      <c r="CG149" s="27" t="n">
        <f aca="false">IF(CG$148&gt;0,1/CG$148,0)</f>
        <v>0.000136986301369863</v>
      </c>
      <c r="CH149" s="27" t="n">
        <f aca="false">IF(CH$148&gt;0,1/CH$148,0)</f>
        <v>0.000136986301369863</v>
      </c>
      <c r="CI149" s="27" t="n">
        <f aca="false">IF(CI$148&gt;0,1/CI$148,0)</f>
        <v>0.000136986301369863</v>
      </c>
      <c r="CJ149" s="27" t="n">
        <f aca="false">IF(CJ$148&gt;0,1/CJ$148,0)</f>
        <v>0.000136986301369863</v>
      </c>
      <c r="CK149" s="27" t="n">
        <f aca="false">IF(CK$148&gt;0,1/CK$148,0)</f>
        <v>0.000136986301369863</v>
      </c>
      <c r="CL149" s="27" t="n">
        <f aca="false">IF(CL$148&gt;0,1/CL$148,0)</f>
        <v>0.000136986301369863</v>
      </c>
      <c r="CM149" s="27" t="n">
        <f aca="false">IF(CM$148&gt;0,1/CM$148,0)</f>
        <v>0.000136986301369863</v>
      </c>
      <c r="CN149" s="27" t="n">
        <f aca="false">IF(CN$148&gt;0,1/CN$148,0)</f>
        <v>0.000136986301369863</v>
      </c>
      <c r="CO149" s="27" t="n">
        <f aca="false">IF(CO$148&gt;0,1/CO$148,0)</f>
        <v>0.000136986301369863</v>
      </c>
      <c r="CP149" s="27" t="n">
        <f aca="false">IF(CP$148&gt;0,1/CP$148,0)</f>
        <v>0.000136986301369863</v>
      </c>
      <c r="CQ149" s="27" t="n">
        <f aca="false">IF(CQ$148&gt;0,1/CQ$148,0)</f>
        <v>0.000136986301369863</v>
      </c>
      <c r="CR149" s="27" t="n">
        <f aca="false">IF(CR$148&gt;0,1/CR$148,0)</f>
        <v>0.000136986301369863</v>
      </c>
      <c r="CS149" s="27" t="n">
        <f aca="false">IF(CS$148&gt;0,1/CS$148,0)</f>
        <v>0.000136986301369863</v>
      </c>
      <c r="CT149" s="27" t="n">
        <f aca="false">IF(CT$148&gt;0,1/CT$148,0)</f>
        <v>0.000136986301369863</v>
      </c>
      <c r="CU149" s="27" t="n">
        <f aca="false">IF(CU$148&gt;0,1/CU$148,0)</f>
        <v>0.000136986301369863</v>
      </c>
      <c r="CV149" s="27" t="n">
        <f aca="false">IF(CV$148&gt;0,1/CV$148,0)</f>
        <v>0.000136986301369863</v>
      </c>
      <c r="CW149" s="27" t="n">
        <f aca="false">IF(CW$148&gt;0,1/CW$148,0)</f>
        <v>0.000136986301369863</v>
      </c>
      <c r="CX149" s="27" t="n">
        <f aca="false">IF(CX$148&gt;0,1/CX$148,0)</f>
        <v>0.000136986301369863</v>
      </c>
      <c r="CY149" s="27" t="n">
        <f aca="false">IF(CY$148&gt;0,1/CY$148,0)</f>
        <v>0.000136986301369863</v>
      </c>
      <c r="CZ149" s="27" t="n">
        <f aca="false">IF(CZ$148&gt;0,1/CZ$148,0)</f>
        <v>0.000136986301369863</v>
      </c>
      <c r="DA149" s="27" t="n">
        <f aca="false">IF(DA$148&gt;0,1/DA$148,0)</f>
        <v>0.000136986301369863</v>
      </c>
      <c r="DB149" s="27" t="n">
        <f aca="false">IF(DB$148&gt;0,1/DB$148,0)</f>
        <v>0.000136986301369863</v>
      </c>
      <c r="DC149" s="27" t="n">
        <f aca="false">IF(DC$148&gt;0,1/DC$148,0)</f>
        <v>0.000136986301369863</v>
      </c>
      <c r="DD149" s="27" t="n">
        <f aca="false">IF(DD$148&gt;0,1/DD$148,0)</f>
        <v>0.000136986301369863</v>
      </c>
      <c r="DE149" s="27" t="n">
        <f aca="false">IF(DE$148&gt;0,1/DE$148,0)</f>
        <v>0.000136986301369863</v>
      </c>
      <c r="DF149" s="27" t="n">
        <f aca="false">IF(DF$148&gt;0,1/DF$148,0)</f>
        <v>0.000136986301369863</v>
      </c>
      <c r="DG149" s="27" t="n">
        <f aca="false">IF(DG$148&gt;0,1/DG$148,0)</f>
        <v>0.000136986301369863</v>
      </c>
      <c r="DH149" s="27" t="n">
        <f aca="false">IF(DH$148&gt;0,1/DH$148,0)</f>
        <v>0.000136986301369863</v>
      </c>
      <c r="DI149" s="27" t="n">
        <f aca="false">IF(DI$148&gt;0,1/DI$148,0)</f>
        <v>0.000136986301369863</v>
      </c>
      <c r="DJ149" s="27" t="n">
        <f aca="false">IF(DJ$148&gt;0,1/DJ$148,0)</f>
        <v>0.000136986301369863</v>
      </c>
      <c r="DK149" s="27" t="n">
        <f aca="false">IF(DK$148&gt;0,1/DK$148,0)</f>
        <v>0.000136986301369863</v>
      </c>
      <c r="DL149" s="27" t="n">
        <f aca="false">IF(DL$148&gt;0,1/DL$148,0)</f>
        <v>0.000136986301369863</v>
      </c>
      <c r="DM149" s="27" t="n">
        <f aca="false">IF(DM$148&gt;0,1/DM$148,0)</f>
        <v>0.000136986301369863</v>
      </c>
      <c r="DN149" s="27" t="n">
        <f aca="false">IF(DN$148&gt;0,1/DN$148,0)</f>
        <v>0.000136986301369863</v>
      </c>
      <c r="DO149" s="27" t="n">
        <f aca="false">IF(DO$148&gt;0,1/DO$148,0)</f>
        <v>0.000136986301369863</v>
      </c>
      <c r="DP149" s="27" t="n">
        <f aca="false">IF(DP$148&gt;0,1/DP$148,0)</f>
        <v>0.000136986301369863</v>
      </c>
      <c r="DQ149" s="27" t="n">
        <f aca="false">IF(DQ$148&gt;0,1/DQ$148,0)</f>
        <v>0.000136986301369863</v>
      </c>
      <c r="DR149" s="27" t="n">
        <f aca="false">IF(DR$148&gt;0,1/DR$148,0)</f>
        <v>0.000136986301369863</v>
      </c>
      <c r="DS149" s="27" t="n">
        <f aca="false">IF(DS$148&gt;0,1/DS$148,0)</f>
        <v>0.000136986301369863</v>
      </c>
      <c r="DT149" s="27" t="n">
        <f aca="false">IF(DT$148&gt;0,1/DT$148,0)</f>
        <v>0.000136986301369863</v>
      </c>
      <c r="DU149" s="27" t="n">
        <f aca="false">IF(DU$148&gt;0,1/DU$148,0)</f>
        <v>0.000136986301369863</v>
      </c>
      <c r="DV149" s="27" t="n">
        <f aca="false">IF(DV$148&gt;0,1/DV$148,0)</f>
        <v>0.000136986301369863</v>
      </c>
      <c r="DW149" s="27" t="n">
        <f aca="false">IF(DW$148&gt;0,1/DW$148,0)</f>
        <v>0.000136986301369863</v>
      </c>
      <c r="DX149" s="27" t="n">
        <f aca="false">IF(DX$148&gt;0,1/DX$148,0)</f>
        <v>0.000136986301369863</v>
      </c>
      <c r="DY149" s="27" t="n">
        <f aca="false">IF(DY$148&gt;0,1/DY$148,0)</f>
        <v>0.000136986301369863</v>
      </c>
      <c r="DZ149" s="27" t="n">
        <f aca="false">IF(DZ$148&gt;0,1/DZ$148,0)</f>
        <v>0.000136986301369863</v>
      </c>
      <c r="EA149" s="27" t="n">
        <f aca="false">IF(EA$148&gt;0,1/EA$148,0)</f>
        <v>0.000136986301369863</v>
      </c>
      <c r="EB149" s="27" t="n">
        <f aca="false">IF(EB$148&gt;0,1/EB$148,0)</f>
        <v>0.000136986301369863</v>
      </c>
      <c r="EC149" s="27" t="n">
        <f aca="false">IF(EC$148&gt;0,1/EC$148,0)</f>
        <v>0.000136986301369863</v>
      </c>
      <c r="ED149" s="27" t="n">
        <f aca="false">IF(ED$148&gt;0,1/ED$148,0)</f>
        <v>0.000136986301369863</v>
      </c>
      <c r="EE149" s="27" t="n">
        <f aca="false">IF(EE$148&gt;0,1/EE$148,0)</f>
        <v>0.000136986301369863</v>
      </c>
      <c r="EF149" s="27" t="n">
        <f aca="false">IF(EF$148&gt;0,1/EF$148,0)</f>
        <v>0.000136986301369863</v>
      </c>
      <c r="EG149" s="27" t="n">
        <f aca="false">IF(EG$148&gt;0,1/EG$148,0)</f>
        <v>0.000136986301369863</v>
      </c>
      <c r="EH149" s="27" t="n">
        <f aca="false">IF(EH$148&gt;0,1/EH$148,0)</f>
        <v>0.000136986301369863</v>
      </c>
      <c r="EI149" s="27" t="n">
        <f aca="false">IF(EI$148&gt;0,1/EI$148,0)</f>
        <v>0.000136986301369863</v>
      </c>
      <c r="EJ149" s="27" t="n">
        <f aca="false">IF(EJ$148&gt;0,1/EJ$148,0)</f>
        <v>0.000136986301369863</v>
      </c>
      <c r="EK149" s="27" t="n">
        <f aca="false">IF(EK$148&gt;0,1/EK$148,0)</f>
        <v>0.000136986301369863</v>
      </c>
      <c r="EL149" s="27" t="n">
        <f aca="false">IF(EL$148&gt;0,1/EL$148,0)</f>
        <v>0.000136986301369863</v>
      </c>
      <c r="EM149" s="27" t="n">
        <f aca="false">IF(EM$148&gt;0,1/EM$148,0)</f>
        <v>0.000136986301369863</v>
      </c>
      <c r="EN149" s="27" t="n">
        <f aca="false">IF(EN$148&gt;0,1/EN$148,0)</f>
        <v>0.000136986301369863</v>
      </c>
      <c r="EO149" s="27" t="n">
        <f aca="false">IF(EO$148&gt;0,1/EO$148,0)</f>
        <v>0.000136986301369863</v>
      </c>
      <c r="EP149" s="27" t="n">
        <f aca="false">IF(EP$148&gt;0,1/EP$148,0)</f>
        <v>0.000136986301369863</v>
      </c>
      <c r="EQ149" s="27" t="n">
        <f aca="false">IF(EQ$148&gt;0,1/EQ$148,0)</f>
        <v>0.000136986301369863</v>
      </c>
      <c r="ER149" s="27" t="n">
        <f aca="false">IF(ER$148&gt;0,1/ER$148,0)</f>
        <v>0.000136986301369863</v>
      </c>
      <c r="ES149" s="27" t="n">
        <f aca="false">IF(ES$148&gt;0,1/ES$148,0)</f>
        <v>0.000136986301369863</v>
      </c>
    </row>
    <row r="150" customFormat="false" ht="15" hidden="false" customHeight="false" outlineLevel="0" collapsed="false">
      <c r="A150" s="4"/>
      <c r="B150" s="3" t="s">
        <v>248</v>
      </c>
      <c r="C150" s="4"/>
      <c r="D150" s="4"/>
      <c r="E150" s="4"/>
    </row>
    <row r="151" customFormat="false" ht="15" hidden="false" customHeight="false" outlineLevel="0" collapsed="false">
      <c r="A151" s="2" t="s">
        <v>767</v>
      </c>
      <c r="B151" s="39" t="str">
        <f aca="false">IF(INDEX(Prod_Nombre,1)="","Producto 1",INDEX(Prod_Nombre,1))&amp;" — unidades"</f>
        <v>Gabinetes metálicos 153 kg — unidades</v>
      </c>
      <c r="C151" s="6" t="s">
        <v>286</v>
      </c>
      <c r="E151" s="40" t="n">
        <f aca="false">SUM(F151:ES151)</f>
        <v>192000</v>
      </c>
      <c r="F151" s="34" t="n">
        <f aca="false">IF(F$8=1,N(Reales!F12),IF(F$145=1,INDEX(Vol_V,1,F$144)/12*(1+V_dVol),0))</f>
        <v>1000</v>
      </c>
      <c r="G151" s="34" t="n">
        <f aca="false">IF(G$8=1,N(Reales!G12),IF(G$145=1,INDEX(Vol_V,1,G$144)/12*(1+V_dVol),0))</f>
        <v>1000</v>
      </c>
      <c r="H151" s="34" t="n">
        <f aca="false">IF(H$8=1,N(Reales!H12),IF(H$145=1,INDEX(Vol_V,1,H$144)/12*(1+V_dVol),0))</f>
        <v>1000</v>
      </c>
      <c r="I151" s="34" t="n">
        <f aca="false">IF(I$8=1,N(Reales!I12),IF(I$145=1,INDEX(Vol_V,1,I$144)/12*(1+V_dVol),0))</f>
        <v>1000</v>
      </c>
      <c r="J151" s="34" t="n">
        <f aca="false">IF(J$8=1,N(Reales!J12),IF(J$145=1,INDEX(Vol_V,1,J$144)/12*(1+V_dVol),0))</f>
        <v>1000</v>
      </c>
      <c r="K151" s="34" t="n">
        <f aca="false">IF(K$8=1,N(Reales!K12),IF(K$145=1,INDEX(Vol_V,1,K$144)/12*(1+V_dVol),0))</f>
        <v>1000</v>
      </c>
      <c r="L151" s="34" t="n">
        <f aca="false">IF(L$8=1,N(Reales!L12),IF(L$145=1,INDEX(Vol_V,1,L$144)/12*(1+V_dVol),0))</f>
        <v>1000</v>
      </c>
      <c r="M151" s="34" t="n">
        <f aca="false">IF(M$8=1,N(Reales!M12),IF(M$145=1,INDEX(Vol_V,1,M$144)/12*(1+V_dVol),0))</f>
        <v>1000</v>
      </c>
      <c r="N151" s="34" t="n">
        <f aca="false">IF(N$8=1,N(Reales!N12),IF(N$145=1,INDEX(Vol_V,1,N$144)/12*(1+V_dVol),0))</f>
        <v>1000</v>
      </c>
      <c r="O151" s="34" t="n">
        <f aca="false">IF(O$8=1,N(Reales!O12),IF(O$145=1,INDEX(Vol_V,1,O$144)/12*(1+V_dVol),0))</f>
        <v>1000</v>
      </c>
      <c r="P151" s="34" t="n">
        <f aca="false">IF(P$8=1,N(Reales!P12),IF(P$145=1,INDEX(Vol_V,1,P$144)/12*(1+V_dVol),0))</f>
        <v>1000</v>
      </c>
      <c r="Q151" s="34" t="n">
        <f aca="false">IF(Q$8=1,N(Reales!Q12),IF(Q$145=1,INDEX(Vol_V,1,Q$144)/12*(1+V_dVol),0))</f>
        <v>1000</v>
      </c>
      <c r="R151" s="34" t="n">
        <f aca="false">IF(R$8=1,N(Reales!R12),IF(R$145=1,INDEX(Vol_V,1,R$144)/12*(1+V_dVol),0))</f>
        <v>1250</v>
      </c>
      <c r="S151" s="34" t="n">
        <f aca="false">IF(S$8=1,N(Reales!S12),IF(S$145=1,INDEX(Vol_V,1,S$144)/12*(1+V_dVol),0))</f>
        <v>1250</v>
      </c>
      <c r="T151" s="34" t="n">
        <f aca="false">IF(T$8=1,N(Reales!T12),IF(T$145=1,INDEX(Vol_V,1,T$144)/12*(1+V_dVol),0))</f>
        <v>1250</v>
      </c>
      <c r="U151" s="34" t="n">
        <f aca="false">IF(U$8=1,N(Reales!U12),IF(U$145=1,INDEX(Vol_V,1,U$144)/12*(1+V_dVol),0))</f>
        <v>1250</v>
      </c>
      <c r="V151" s="34" t="n">
        <f aca="false">IF(V$8=1,N(Reales!V12),IF(V$145=1,INDEX(Vol_V,1,V$144)/12*(1+V_dVol),0))</f>
        <v>1250</v>
      </c>
      <c r="W151" s="34" t="n">
        <f aca="false">IF(W$8=1,N(Reales!W12),IF(W$145=1,INDEX(Vol_V,1,W$144)/12*(1+V_dVol),0))</f>
        <v>1250</v>
      </c>
      <c r="X151" s="34" t="n">
        <f aca="false">IF(X$8=1,N(Reales!X12),IF(X$145=1,INDEX(Vol_V,1,X$144)/12*(1+V_dVol),0))</f>
        <v>1250</v>
      </c>
      <c r="Y151" s="34" t="n">
        <f aca="false">IF(Y$8=1,N(Reales!Y12),IF(Y$145=1,INDEX(Vol_V,1,Y$144)/12*(1+V_dVol),0))</f>
        <v>1250</v>
      </c>
      <c r="Z151" s="34" t="n">
        <f aca="false">IF(Z$8=1,N(Reales!Z12),IF(Z$145=1,INDEX(Vol_V,1,Z$144)/12*(1+V_dVol),0))</f>
        <v>1250</v>
      </c>
      <c r="AA151" s="34" t="n">
        <f aca="false">IF(AA$8=1,N(Reales!AA12),IF(AA$145=1,INDEX(Vol_V,1,AA$144)/12*(1+V_dVol),0))</f>
        <v>1250</v>
      </c>
      <c r="AB151" s="34" t="n">
        <f aca="false">IF(AB$8=1,N(Reales!AB12),IF(AB$145=1,INDEX(Vol_V,1,AB$144)/12*(1+V_dVol),0))</f>
        <v>1250</v>
      </c>
      <c r="AC151" s="34" t="n">
        <f aca="false">IF(AC$8=1,N(Reales!AC12),IF(AC$145=1,INDEX(Vol_V,1,AC$144)/12*(1+V_dVol),0))</f>
        <v>1250</v>
      </c>
      <c r="AD151" s="34" t="n">
        <f aca="false">IF(AD$8=1,N(Reales!AD12),IF(AD$145=1,INDEX(Vol_V,1,AD$144)/12*(1+V_dVol),0))</f>
        <v>1500</v>
      </c>
      <c r="AE151" s="34" t="n">
        <f aca="false">IF(AE$8=1,N(Reales!AE12),IF(AE$145=1,INDEX(Vol_V,1,AE$144)/12*(1+V_dVol),0))</f>
        <v>1500</v>
      </c>
      <c r="AF151" s="34" t="n">
        <f aca="false">IF(AF$8=1,N(Reales!AF12),IF(AF$145=1,INDEX(Vol_V,1,AF$144)/12*(1+V_dVol),0))</f>
        <v>1500</v>
      </c>
      <c r="AG151" s="34" t="n">
        <f aca="false">IF(AG$8=1,N(Reales!AG12),IF(AG$145=1,INDEX(Vol_V,1,AG$144)/12*(1+V_dVol),0))</f>
        <v>1500</v>
      </c>
      <c r="AH151" s="34" t="n">
        <f aca="false">IF(AH$8=1,N(Reales!AH12),IF(AH$145=1,INDEX(Vol_V,1,AH$144)/12*(1+V_dVol),0))</f>
        <v>1500</v>
      </c>
      <c r="AI151" s="34" t="n">
        <f aca="false">IF(AI$8=1,N(Reales!AI12),IF(AI$145=1,INDEX(Vol_V,1,AI$144)/12*(1+V_dVol),0))</f>
        <v>1500</v>
      </c>
      <c r="AJ151" s="34" t="n">
        <f aca="false">IF(AJ$8=1,N(Reales!AJ12),IF(AJ$145=1,INDEX(Vol_V,1,AJ$144)/12*(1+V_dVol),0))</f>
        <v>1500</v>
      </c>
      <c r="AK151" s="34" t="n">
        <f aca="false">IF(AK$8=1,N(Reales!AK12),IF(AK$145=1,INDEX(Vol_V,1,AK$144)/12*(1+V_dVol),0))</f>
        <v>1500</v>
      </c>
      <c r="AL151" s="34" t="n">
        <f aca="false">IF(AL$8=1,N(Reales!AL12),IF(AL$145=1,INDEX(Vol_V,1,AL$144)/12*(1+V_dVol),0))</f>
        <v>1500</v>
      </c>
      <c r="AM151" s="34" t="n">
        <f aca="false">IF(AM$8=1,N(Reales!AM12),IF(AM$145=1,INDEX(Vol_V,1,AM$144)/12*(1+V_dVol),0))</f>
        <v>1500</v>
      </c>
      <c r="AN151" s="34" t="n">
        <f aca="false">IF(AN$8=1,N(Reales!AN12),IF(AN$145=1,INDEX(Vol_V,1,AN$144)/12*(1+V_dVol),0))</f>
        <v>1500</v>
      </c>
      <c r="AO151" s="34" t="n">
        <f aca="false">IF(AO$8=1,N(Reales!AO12),IF(AO$145=1,INDEX(Vol_V,1,AO$144)/12*(1+V_dVol),0))</f>
        <v>1500</v>
      </c>
      <c r="AP151" s="34" t="n">
        <f aca="false">IF(AP$8=1,N(Reales!AP12),IF(AP$145=1,INDEX(Vol_V,1,AP$144)/12*(1+V_dVol),0))</f>
        <v>1750</v>
      </c>
      <c r="AQ151" s="34" t="n">
        <f aca="false">IF(AQ$8=1,N(Reales!AQ12),IF(AQ$145=1,INDEX(Vol_V,1,AQ$144)/12*(1+V_dVol),0))</f>
        <v>1750</v>
      </c>
      <c r="AR151" s="34" t="n">
        <f aca="false">IF(AR$8=1,N(Reales!AR12),IF(AR$145=1,INDEX(Vol_V,1,AR$144)/12*(1+V_dVol),0))</f>
        <v>1750</v>
      </c>
      <c r="AS151" s="34" t="n">
        <f aca="false">IF(AS$8=1,N(Reales!AS12),IF(AS$145=1,INDEX(Vol_V,1,AS$144)/12*(1+V_dVol),0))</f>
        <v>1750</v>
      </c>
      <c r="AT151" s="34" t="n">
        <f aca="false">IF(AT$8=1,N(Reales!AT12),IF(AT$145=1,INDEX(Vol_V,1,AT$144)/12*(1+V_dVol),0))</f>
        <v>1750</v>
      </c>
      <c r="AU151" s="34" t="n">
        <f aca="false">IF(AU$8=1,N(Reales!AU12),IF(AU$145=1,INDEX(Vol_V,1,AU$144)/12*(1+V_dVol),0))</f>
        <v>1750</v>
      </c>
      <c r="AV151" s="34" t="n">
        <f aca="false">IF(AV$8=1,N(Reales!AV12),IF(AV$145=1,INDEX(Vol_V,1,AV$144)/12*(1+V_dVol),0))</f>
        <v>1750</v>
      </c>
      <c r="AW151" s="34" t="n">
        <f aca="false">IF(AW$8=1,N(Reales!AW12),IF(AW$145=1,INDEX(Vol_V,1,AW$144)/12*(1+V_dVol),0))</f>
        <v>1750</v>
      </c>
      <c r="AX151" s="34" t="n">
        <f aca="false">IF(AX$8=1,N(Reales!AX12),IF(AX$145=1,INDEX(Vol_V,1,AX$144)/12*(1+V_dVol),0))</f>
        <v>1750</v>
      </c>
      <c r="AY151" s="34" t="n">
        <f aca="false">IF(AY$8=1,N(Reales!AY12),IF(AY$145=1,INDEX(Vol_V,1,AY$144)/12*(1+V_dVol),0))</f>
        <v>1750</v>
      </c>
      <c r="AZ151" s="34" t="n">
        <f aca="false">IF(AZ$8=1,N(Reales!AZ12),IF(AZ$145=1,INDEX(Vol_V,1,AZ$144)/12*(1+V_dVol),0))</f>
        <v>1750</v>
      </c>
      <c r="BA151" s="34" t="n">
        <f aca="false">IF(BA$8=1,N(Reales!BA12),IF(BA$145=1,INDEX(Vol_V,1,BA$144)/12*(1+V_dVol),0))</f>
        <v>1750</v>
      </c>
      <c r="BB151" s="34" t="n">
        <f aca="false">IF(BB$8=1,N(Reales!BB12),IF(BB$145=1,INDEX(Vol_V,1,BB$144)/12*(1+V_dVol),0))</f>
        <v>1750</v>
      </c>
      <c r="BC151" s="34" t="n">
        <f aca="false">IF(BC$8=1,N(Reales!BC12),IF(BC$145=1,INDEX(Vol_V,1,BC$144)/12*(1+V_dVol),0))</f>
        <v>1750</v>
      </c>
      <c r="BD151" s="34" t="n">
        <f aca="false">IF(BD$8=1,N(Reales!BD12),IF(BD$145=1,INDEX(Vol_V,1,BD$144)/12*(1+V_dVol),0))</f>
        <v>1750</v>
      </c>
      <c r="BE151" s="34" t="n">
        <f aca="false">IF(BE$8=1,N(Reales!BE12),IF(BE$145=1,INDEX(Vol_V,1,BE$144)/12*(1+V_dVol),0))</f>
        <v>1750</v>
      </c>
      <c r="BF151" s="34" t="n">
        <f aca="false">IF(BF$8=1,N(Reales!BF12),IF(BF$145=1,INDEX(Vol_V,1,BF$144)/12*(1+V_dVol),0))</f>
        <v>1750</v>
      </c>
      <c r="BG151" s="34" t="n">
        <f aca="false">IF(BG$8=1,N(Reales!BG12),IF(BG$145=1,INDEX(Vol_V,1,BG$144)/12*(1+V_dVol),0))</f>
        <v>1750</v>
      </c>
      <c r="BH151" s="34" t="n">
        <f aca="false">IF(BH$8=1,N(Reales!BH12),IF(BH$145=1,INDEX(Vol_V,1,BH$144)/12*(1+V_dVol),0))</f>
        <v>1750</v>
      </c>
      <c r="BI151" s="34" t="n">
        <f aca="false">IF(BI$8=1,N(Reales!BI12),IF(BI$145=1,INDEX(Vol_V,1,BI$144)/12*(1+V_dVol),0))</f>
        <v>1750</v>
      </c>
      <c r="BJ151" s="34" t="n">
        <f aca="false">IF(BJ$8=1,N(Reales!BJ12),IF(BJ$145=1,INDEX(Vol_V,1,BJ$144)/12*(1+V_dVol),0))</f>
        <v>1750</v>
      </c>
      <c r="BK151" s="34" t="n">
        <f aca="false">IF(BK$8=1,N(Reales!BK12),IF(BK$145=1,INDEX(Vol_V,1,BK$144)/12*(1+V_dVol),0))</f>
        <v>1750</v>
      </c>
      <c r="BL151" s="34" t="n">
        <f aca="false">IF(BL$8=1,N(Reales!BL12),IF(BL$145=1,INDEX(Vol_V,1,BL$144)/12*(1+V_dVol),0))</f>
        <v>1750</v>
      </c>
      <c r="BM151" s="34" t="n">
        <f aca="false">IF(BM$8=1,N(Reales!BM12),IF(BM$145=1,INDEX(Vol_V,1,BM$144)/12*(1+V_dVol),0))</f>
        <v>1750</v>
      </c>
      <c r="BN151" s="34" t="n">
        <f aca="false">IF(BN$8=1,N(Reales!BN12),IF(BN$145=1,INDEX(Vol_V,1,BN$144)/12*(1+V_dVol),0))</f>
        <v>1750</v>
      </c>
      <c r="BO151" s="34" t="n">
        <f aca="false">IF(BO$8=1,N(Reales!BO12),IF(BO$145=1,INDEX(Vol_V,1,BO$144)/12*(1+V_dVol),0))</f>
        <v>1750</v>
      </c>
      <c r="BP151" s="34" t="n">
        <f aca="false">IF(BP$8=1,N(Reales!BP12),IF(BP$145=1,INDEX(Vol_V,1,BP$144)/12*(1+V_dVol),0))</f>
        <v>1750</v>
      </c>
      <c r="BQ151" s="34" t="n">
        <f aca="false">IF(BQ$8=1,N(Reales!BQ12),IF(BQ$145=1,INDEX(Vol_V,1,BQ$144)/12*(1+V_dVol),0))</f>
        <v>1750</v>
      </c>
      <c r="BR151" s="34" t="n">
        <f aca="false">IF(BR$8=1,N(Reales!BR12),IF(BR$145=1,INDEX(Vol_V,1,BR$144)/12*(1+V_dVol),0))</f>
        <v>1750</v>
      </c>
      <c r="BS151" s="34" t="n">
        <f aca="false">IF(BS$8=1,N(Reales!BS12),IF(BS$145=1,INDEX(Vol_V,1,BS$144)/12*(1+V_dVol),0))</f>
        <v>1750</v>
      </c>
      <c r="BT151" s="34" t="n">
        <f aca="false">IF(BT$8=1,N(Reales!BT12),IF(BT$145=1,INDEX(Vol_V,1,BT$144)/12*(1+V_dVol),0))</f>
        <v>1750</v>
      </c>
      <c r="BU151" s="34" t="n">
        <f aca="false">IF(BU$8=1,N(Reales!BU12),IF(BU$145=1,INDEX(Vol_V,1,BU$144)/12*(1+V_dVol),0))</f>
        <v>1750</v>
      </c>
      <c r="BV151" s="34" t="n">
        <f aca="false">IF(BV$8=1,N(Reales!BV12),IF(BV$145=1,INDEX(Vol_V,1,BV$144)/12*(1+V_dVol),0))</f>
        <v>1750</v>
      </c>
      <c r="BW151" s="34" t="n">
        <f aca="false">IF(BW$8=1,N(Reales!BW12),IF(BW$145=1,INDEX(Vol_V,1,BW$144)/12*(1+V_dVol),0))</f>
        <v>1750</v>
      </c>
      <c r="BX151" s="34" t="n">
        <f aca="false">IF(BX$8=1,N(Reales!BX12),IF(BX$145=1,INDEX(Vol_V,1,BX$144)/12*(1+V_dVol),0))</f>
        <v>1750</v>
      </c>
      <c r="BY151" s="34" t="n">
        <f aca="false">IF(BY$8=1,N(Reales!BY12),IF(BY$145=1,INDEX(Vol_V,1,BY$144)/12*(1+V_dVol),0))</f>
        <v>1750</v>
      </c>
      <c r="BZ151" s="34" t="n">
        <f aca="false">IF(BZ$8=1,N(Reales!BZ12),IF(BZ$145=1,INDEX(Vol_V,1,BZ$144)/12*(1+V_dVol),0))</f>
        <v>1750</v>
      </c>
      <c r="CA151" s="34" t="n">
        <f aca="false">IF(CA$8=1,N(Reales!CA12),IF(CA$145=1,INDEX(Vol_V,1,CA$144)/12*(1+V_dVol),0))</f>
        <v>1750</v>
      </c>
      <c r="CB151" s="34" t="n">
        <f aca="false">IF(CB$8=1,N(Reales!CB12),IF(CB$145=1,INDEX(Vol_V,1,CB$144)/12*(1+V_dVol),0))</f>
        <v>1750</v>
      </c>
      <c r="CC151" s="34" t="n">
        <f aca="false">IF(CC$8=1,N(Reales!CC12),IF(CC$145=1,INDEX(Vol_V,1,CC$144)/12*(1+V_dVol),0))</f>
        <v>1750</v>
      </c>
      <c r="CD151" s="34" t="n">
        <f aca="false">IF(CD$8=1,N(Reales!CD12),IF(CD$145=1,INDEX(Vol_V,1,CD$144)/12*(1+V_dVol),0))</f>
        <v>1750</v>
      </c>
      <c r="CE151" s="34" t="n">
        <f aca="false">IF(CE$8=1,N(Reales!CE12),IF(CE$145=1,INDEX(Vol_V,1,CE$144)/12*(1+V_dVol),0))</f>
        <v>1750</v>
      </c>
      <c r="CF151" s="34" t="n">
        <f aca="false">IF(CF$8=1,N(Reales!CF12),IF(CF$145=1,INDEX(Vol_V,1,CF$144)/12*(1+V_dVol),0))</f>
        <v>1750</v>
      </c>
      <c r="CG151" s="34" t="n">
        <f aca="false">IF(CG$8=1,N(Reales!CG12),IF(CG$145=1,INDEX(Vol_V,1,CG$144)/12*(1+V_dVol),0))</f>
        <v>1750</v>
      </c>
      <c r="CH151" s="34" t="n">
        <f aca="false">IF(CH$8=1,N(Reales!CH12),IF(CH$145=1,INDEX(Vol_V,1,CH$144)/12*(1+V_dVol),0))</f>
        <v>1750</v>
      </c>
      <c r="CI151" s="34" t="n">
        <f aca="false">IF(CI$8=1,N(Reales!CI12),IF(CI$145=1,INDEX(Vol_V,1,CI$144)/12*(1+V_dVol),0))</f>
        <v>1750</v>
      </c>
      <c r="CJ151" s="34" t="n">
        <f aca="false">IF(CJ$8=1,N(Reales!CJ12),IF(CJ$145=1,INDEX(Vol_V,1,CJ$144)/12*(1+V_dVol),0))</f>
        <v>1750</v>
      </c>
      <c r="CK151" s="34" t="n">
        <f aca="false">IF(CK$8=1,N(Reales!CK12),IF(CK$145=1,INDEX(Vol_V,1,CK$144)/12*(1+V_dVol),0))</f>
        <v>1750</v>
      </c>
      <c r="CL151" s="34" t="n">
        <f aca="false">IF(CL$8=1,N(Reales!CL12),IF(CL$145=1,INDEX(Vol_V,1,CL$144)/12*(1+V_dVol),0))</f>
        <v>1750</v>
      </c>
      <c r="CM151" s="34" t="n">
        <f aca="false">IF(CM$8=1,N(Reales!CM12),IF(CM$145=1,INDEX(Vol_V,1,CM$144)/12*(1+V_dVol),0))</f>
        <v>1750</v>
      </c>
      <c r="CN151" s="34" t="n">
        <f aca="false">IF(CN$8=1,N(Reales!CN12),IF(CN$145=1,INDEX(Vol_V,1,CN$144)/12*(1+V_dVol),0))</f>
        <v>1750</v>
      </c>
      <c r="CO151" s="34" t="n">
        <f aca="false">IF(CO$8=1,N(Reales!CO12),IF(CO$145=1,INDEX(Vol_V,1,CO$144)/12*(1+V_dVol),0))</f>
        <v>1750</v>
      </c>
      <c r="CP151" s="34" t="n">
        <f aca="false">IF(CP$8=1,N(Reales!CP12),IF(CP$145=1,INDEX(Vol_V,1,CP$144)/12*(1+V_dVol),0))</f>
        <v>1750</v>
      </c>
      <c r="CQ151" s="34" t="n">
        <f aca="false">IF(CQ$8=1,N(Reales!CQ12),IF(CQ$145=1,INDEX(Vol_V,1,CQ$144)/12*(1+V_dVol),0))</f>
        <v>1750</v>
      </c>
      <c r="CR151" s="34" t="n">
        <f aca="false">IF(CR$8=1,N(Reales!CR12),IF(CR$145=1,INDEX(Vol_V,1,CR$144)/12*(1+V_dVol),0))</f>
        <v>1750</v>
      </c>
      <c r="CS151" s="34" t="n">
        <f aca="false">IF(CS$8=1,N(Reales!CS12),IF(CS$145=1,INDEX(Vol_V,1,CS$144)/12*(1+V_dVol),0))</f>
        <v>1750</v>
      </c>
      <c r="CT151" s="34" t="n">
        <f aca="false">IF(CT$8=1,N(Reales!CT12),IF(CT$145=1,INDEX(Vol_V,1,CT$144)/12*(1+V_dVol),0))</f>
        <v>1750</v>
      </c>
      <c r="CU151" s="34" t="n">
        <f aca="false">IF(CU$8=1,N(Reales!CU12),IF(CU$145=1,INDEX(Vol_V,1,CU$144)/12*(1+V_dVol),0))</f>
        <v>1750</v>
      </c>
      <c r="CV151" s="34" t="n">
        <f aca="false">IF(CV$8=1,N(Reales!CV12),IF(CV$145=1,INDEX(Vol_V,1,CV$144)/12*(1+V_dVol),0))</f>
        <v>1750</v>
      </c>
      <c r="CW151" s="34" t="n">
        <f aca="false">IF(CW$8=1,N(Reales!CW12),IF(CW$145=1,INDEX(Vol_V,1,CW$144)/12*(1+V_dVol),0))</f>
        <v>1750</v>
      </c>
      <c r="CX151" s="34" t="n">
        <f aca="false">IF(CX$8=1,N(Reales!CX12),IF(CX$145=1,INDEX(Vol_V,1,CX$144)/12*(1+V_dVol),0))</f>
        <v>1750</v>
      </c>
      <c r="CY151" s="34" t="n">
        <f aca="false">IF(CY$8=1,N(Reales!CY12),IF(CY$145=1,INDEX(Vol_V,1,CY$144)/12*(1+V_dVol),0))</f>
        <v>1750</v>
      </c>
      <c r="CZ151" s="34" t="n">
        <f aca="false">IF(CZ$8=1,N(Reales!CZ12),IF(CZ$145=1,INDEX(Vol_V,1,CZ$144)/12*(1+V_dVol),0))</f>
        <v>1750</v>
      </c>
      <c r="DA151" s="34" t="n">
        <f aca="false">IF(DA$8=1,N(Reales!DA12),IF(DA$145=1,INDEX(Vol_V,1,DA$144)/12*(1+V_dVol),0))</f>
        <v>1750</v>
      </c>
      <c r="DB151" s="34" t="n">
        <f aca="false">IF(DB$8=1,N(Reales!DB12),IF(DB$145=1,INDEX(Vol_V,1,DB$144)/12*(1+V_dVol),0))</f>
        <v>1750</v>
      </c>
      <c r="DC151" s="34" t="n">
        <f aca="false">IF(DC$8=1,N(Reales!DC12),IF(DC$145=1,INDEX(Vol_V,1,DC$144)/12*(1+V_dVol),0))</f>
        <v>1750</v>
      </c>
      <c r="DD151" s="34" t="n">
        <f aca="false">IF(DD$8=1,N(Reales!DD12),IF(DD$145=1,INDEX(Vol_V,1,DD$144)/12*(1+V_dVol),0))</f>
        <v>1750</v>
      </c>
      <c r="DE151" s="34" t="n">
        <f aca="false">IF(DE$8=1,N(Reales!DE12),IF(DE$145=1,INDEX(Vol_V,1,DE$144)/12*(1+V_dVol),0))</f>
        <v>1750</v>
      </c>
      <c r="DF151" s="34" t="n">
        <f aca="false">IF(DF$8=1,N(Reales!DF12),IF(DF$145=1,INDEX(Vol_V,1,DF$144)/12*(1+V_dVol),0))</f>
        <v>1750</v>
      </c>
      <c r="DG151" s="34" t="n">
        <f aca="false">IF(DG$8=1,N(Reales!DG12),IF(DG$145=1,INDEX(Vol_V,1,DG$144)/12*(1+V_dVol),0))</f>
        <v>1750</v>
      </c>
      <c r="DH151" s="34" t="n">
        <f aca="false">IF(DH$8=1,N(Reales!DH12),IF(DH$145=1,INDEX(Vol_V,1,DH$144)/12*(1+V_dVol),0))</f>
        <v>1750</v>
      </c>
      <c r="DI151" s="34" t="n">
        <f aca="false">IF(DI$8=1,N(Reales!DI12),IF(DI$145=1,INDEX(Vol_V,1,DI$144)/12*(1+V_dVol),0))</f>
        <v>1750</v>
      </c>
      <c r="DJ151" s="34" t="n">
        <f aca="false">IF(DJ$8=1,N(Reales!DJ12),IF(DJ$145=1,INDEX(Vol_V,1,DJ$144)/12*(1+V_dVol),0))</f>
        <v>1750</v>
      </c>
      <c r="DK151" s="34" t="n">
        <f aca="false">IF(DK$8=1,N(Reales!DK12),IF(DK$145=1,INDEX(Vol_V,1,DK$144)/12*(1+V_dVol),0))</f>
        <v>1750</v>
      </c>
      <c r="DL151" s="34" t="n">
        <f aca="false">IF(DL$8=1,N(Reales!DL12),IF(DL$145=1,INDEX(Vol_V,1,DL$144)/12*(1+V_dVol),0))</f>
        <v>1750</v>
      </c>
      <c r="DM151" s="34" t="n">
        <f aca="false">IF(DM$8=1,N(Reales!DM12),IF(DM$145=1,INDEX(Vol_V,1,DM$144)/12*(1+V_dVol),0))</f>
        <v>1750</v>
      </c>
      <c r="DN151" s="34" t="n">
        <f aca="false">IF(DN$8=1,N(Reales!DN12),IF(DN$145=1,INDEX(Vol_V,1,DN$144)/12*(1+V_dVol),0))</f>
        <v>1750</v>
      </c>
      <c r="DO151" s="34" t="n">
        <f aca="false">IF(DO$8=1,N(Reales!DO12),IF(DO$145=1,INDEX(Vol_V,1,DO$144)/12*(1+V_dVol),0))</f>
        <v>1750</v>
      </c>
      <c r="DP151" s="34" t="n">
        <f aca="false">IF(DP$8=1,N(Reales!DP12),IF(DP$145=1,INDEX(Vol_V,1,DP$144)/12*(1+V_dVol),0))</f>
        <v>1750</v>
      </c>
      <c r="DQ151" s="34" t="n">
        <f aca="false">IF(DQ$8=1,N(Reales!DQ12),IF(DQ$145=1,INDEX(Vol_V,1,DQ$144)/12*(1+V_dVol),0))</f>
        <v>1750</v>
      </c>
      <c r="DR151" s="34" t="n">
        <f aca="false">IF(DR$8=1,N(Reales!DR12),IF(DR$145=1,INDEX(Vol_V,1,DR$144)/12*(1+V_dVol),0))</f>
        <v>1750</v>
      </c>
      <c r="DS151" s="34" t="n">
        <f aca="false">IF(DS$8=1,N(Reales!DS12),IF(DS$145=1,INDEX(Vol_V,1,DS$144)/12*(1+V_dVol),0))</f>
        <v>1750</v>
      </c>
      <c r="DT151" s="34" t="n">
        <f aca="false">IF(DT$8=1,N(Reales!DT12),IF(DT$145=1,INDEX(Vol_V,1,DT$144)/12*(1+V_dVol),0))</f>
        <v>1750</v>
      </c>
      <c r="DU151" s="34" t="n">
        <f aca="false">IF(DU$8=1,N(Reales!DU12),IF(DU$145=1,INDEX(Vol_V,1,DU$144)/12*(1+V_dVol),0))</f>
        <v>1750</v>
      </c>
      <c r="DV151" s="34" t="n">
        <f aca="false">IF(DV$8=1,N(Reales!DV12),IF(DV$145=1,INDEX(Vol_V,1,DV$144)/12*(1+V_dVol),0))</f>
        <v>0</v>
      </c>
      <c r="DW151" s="34" t="n">
        <f aca="false">IF(DW$8=1,N(Reales!DW12),IF(DW$145=1,INDEX(Vol_V,1,DW$144)/12*(1+V_dVol),0))</f>
        <v>0</v>
      </c>
      <c r="DX151" s="34" t="n">
        <f aca="false">IF(DX$8=1,N(Reales!DX12),IF(DX$145=1,INDEX(Vol_V,1,DX$144)/12*(1+V_dVol),0))</f>
        <v>0</v>
      </c>
      <c r="DY151" s="34" t="n">
        <f aca="false">IF(DY$8=1,N(Reales!DY12),IF(DY$145=1,INDEX(Vol_V,1,DY$144)/12*(1+V_dVol),0))</f>
        <v>0</v>
      </c>
      <c r="DZ151" s="34" t="n">
        <f aca="false">IF(DZ$8=1,N(Reales!DZ12),IF(DZ$145=1,INDEX(Vol_V,1,DZ$144)/12*(1+V_dVol),0))</f>
        <v>0</v>
      </c>
      <c r="EA151" s="34" t="n">
        <f aca="false">IF(EA$8=1,N(Reales!EA12),IF(EA$145=1,INDEX(Vol_V,1,EA$144)/12*(1+V_dVol),0))</f>
        <v>0</v>
      </c>
      <c r="EB151" s="34" t="n">
        <f aca="false">IF(EB$8=1,N(Reales!EB12),IF(EB$145=1,INDEX(Vol_V,1,EB$144)/12*(1+V_dVol),0))</f>
        <v>0</v>
      </c>
      <c r="EC151" s="34" t="n">
        <f aca="false">IF(EC$8=1,N(Reales!EC12),IF(EC$145=1,INDEX(Vol_V,1,EC$144)/12*(1+V_dVol),0))</f>
        <v>0</v>
      </c>
      <c r="ED151" s="34" t="n">
        <f aca="false">IF(ED$8=1,N(Reales!ED12),IF(ED$145=1,INDEX(Vol_V,1,ED$144)/12*(1+V_dVol),0))</f>
        <v>0</v>
      </c>
      <c r="EE151" s="34" t="n">
        <f aca="false">IF(EE$8=1,N(Reales!EE12),IF(EE$145=1,INDEX(Vol_V,1,EE$144)/12*(1+V_dVol),0))</f>
        <v>0</v>
      </c>
      <c r="EF151" s="34" t="n">
        <f aca="false">IF(EF$8=1,N(Reales!EF12),IF(EF$145=1,INDEX(Vol_V,1,EF$144)/12*(1+V_dVol),0))</f>
        <v>0</v>
      </c>
      <c r="EG151" s="34" t="n">
        <f aca="false">IF(EG$8=1,N(Reales!EG12),IF(EG$145=1,INDEX(Vol_V,1,EG$144)/12*(1+V_dVol),0))</f>
        <v>0</v>
      </c>
      <c r="EH151" s="34" t="n">
        <f aca="false">IF(EH$8=1,N(Reales!EH12),IF(EH$145=1,INDEX(Vol_V,1,EH$144)/12*(1+V_dVol),0))</f>
        <v>0</v>
      </c>
      <c r="EI151" s="34" t="n">
        <f aca="false">IF(EI$8=1,N(Reales!EI12),IF(EI$145=1,INDEX(Vol_V,1,EI$144)/12*(1+V_dVol),0))</f>
        <v>0</v>
      </c>
      <c r="EJ151" s="34" t="n">
        <f aca="false">IF(EJ$8=1,N(Reales!EJ12),IF(EJ$145=1,INDEX(Vol_V,1,EJ$144)/12*(1+V_dVol),0))</f>
        <v>0</v>
      </c>
      <c r="EK151" s="34" t="n">
        <f aca="false">IF(EK$8=1,N(Reales!EK12),IF(EK$145=1,INDEX(Vol_V,1,EK$144)/12*(1+V_dVol),0))</f>
        <v>0</v>
      </c>
      <c r="EL151" s="34" t="n">
        <f aca="false">IF(EL$8=1,N(Reales!EL12),IF(EL$145=1,INDEX(Vol_V,1,EL$144)/12*(1+V_dVol),0))</f>
        <v>0</v>
      </c>
      <c r="EM151" s="34" t="n">
        <f aca="false">IF(EM$8=1,N(Reales!EM12),IF(EM$145=1,INDEX(Vol_V,1,EM$144)/12*(1+V_dVol),0))</f>
        <v>0</v>
      </c>
      <c r="EN151" s="34" t="n">
        <f aca="false">IF(EN$8=1,N(Reales!EN12),IF(EN$145=1,INDEX(Vol_V,1,EN$144)/12*(1+V_dVol),0))</f>
        <v>0</v>
      </c>
      <c r="EO151" s="34" t="n">
        <f aca="false">IF(EO$8=1,N(Reales!EO12),IF(EO$145=1,INDEX(Vol_V,1,EO$144)/12*(1+V_dVol),0))</f>
        <v>0</v>
      </c>
      <c r="EP151" s="34" t="n">
        <f aca="false">IF(EP$8=1,N(Reales!EP12),IF(EP$145=1,INDEX(Vol_V,1,EP$144)/12*(1+V_dVol),0))</f>
        <v>0</v>
      </c>
      <c r="EQ151" s="34" t="n">
        <f aca="false">IF(EQ$8=1,N(Reales!EQ12),IF(EQ$145=1,INDEX(Vol_V,1,EQ$144)/12*(1+V_dVol),0))</f>
        <v>0</v>
      </c>
      <c r="ER151" s="34" t="n">
        <f aca="false">IF(ER$8=1,N(Reales!ER12),IF(ER$145=1,INDEX(Vol_V,1,ER$144)/12*(1+V_dVol),0))</f>
        <v>0</v>
      </c>
      <c r="ES151" s="34" t="n">
        <f aca="false">IF(ES$8=1,N(Reales!ES12),IF(ES$145=1,INDEX(Vol_V,1,ES$144)/12*(1+V_dVol),0))</f>
        <v>0</v>
      </c>
    </row>
    <row r="152" customFormat="false" ht="15" hidden="false" customHeight="false" outlineLevel="0" collapsed="false">
      <c r="A152" s="2" t="s">
        <v>768</v>
      </c>
      <c r="B152" s="39" t="str">
        <f aca="false">IF(INDEX(Prod_Nombre,2)="","Producto 2",INDEX(Prod_Nombre,2))&amp;" — unidades"</f>
        <v>Cajas metálicas 13 kg — unidades</v>
      </c>
      <c r="C152" s="6" t="s">
        <v>286</v>
      </c>
      <c r="E152" s="40" t="n">
        <f aca="false">SUM(F152:ES152)</f>
        <v>1110000</v>
      </c>
      <c r="F152" s="34" t="n">
        <f aca="false">IF(F$8=1,N(Reales!F13),IF(F$145=1,INDEX(Vol_V,2,F$144)/12*(1+V_dVol),0))</f>
        <v>5833.33333333333</v>
      </c>
      <c r="G152" s="34" t="n">
        <f aca="false">IF(G$8=1,N(Reales!G13),IF(G$145=1,INDEX(Vol_V,2,G$144)/12*(1+V_dVol),0))</f>
        <v>5833.33333333333</v>
      </c>
      <c r="H152" s="34" t="n">
        <f aca="false">IF(H$8=1,N(Reales!H13),IF(H$145=1,INDEX(Vol_V,2,H$144)/12*(1+V_dVol),0))</f>
        <v>5833.33333333333</v>
      </c>
      <c r="I152" s="34" t="n">
        <f aca="false">IF(I$8=1,N(Reales!I13),IF(I$145=1,INDEX(Vol_V,2,I$144)/12*(1+V_dVol),0))</f>
        <v>5833.33333333333</v>
      </c>
      <c r="J152" s="34" t="n">
        <f aca="false">IF(J$8=1,N(Reales!J13),IF(J$145=1,INDEX(Vol_V,2,J$144)/12*(1+V_dVol),0))</f>
        <v>5833.33333333333</v>
      </c>
      <c r="K152" s="34" t="n">
        <f aca="false">IF(K$8=1,N(Reales!K13),IF(K$145=1,INDEX(Vol_V,2,K$144)/12*(1+V_dVol),0))</f>
        <v>5833.33333333333</v>
      </c>
      <c r="L152" s="34" t="n">
        <f aca="false">IF(L$8=1,N(Reales!L13),IF(L$145=1,INDEX(Vol_V,2,L$144)/12*(1+V_dVol),0))</f>
        <v>5833.33333333333</v>
      </c>
      <c r="M152" s="34" t="n">
        <f aca="false">IF(M$8=1,N(Reales!M13),IF(M$145=1,INDEX(Vol_V,2,M$144)/12*(1+V_dVol),0))</f>
        <v>5833.33333333333</v>
      </c>
      <c r="N152" s="34" t="n">
        <f aca="false">IF(N$8=1,N(Reales!N13),IF(N$145=1,INDEX(Vol_V,2,N$144)/12*(1+V_dVol),0))</f>
        <v>5833.33333333333</v>
      </c>
      <c r="O152" s="34" t="n">
        <f aca="false">IF(O$8=1,N(Reales!O13),IF(O$145=1,INDEX(Vol_V,2,O$144)/12*(1+V_dVol),0))</f>
        <v>5833.33333333333</v>
      </c>
      <c r="P152" s="34" t="n">
        <f aca="false">IF(P$8=1,N(Reales!P13),IF(P$145=1,INDEX(Vol_V,2,P$144)/12*(1+V_dVol),0))</f>
        <v>5833.33333333333</v>
      </c>
      <c r="Q152" s="34" t="n">
        <f aca="false">IF(Q$8=1,N(Reales!Q13),IF(Q$145=1,INDEX(Vol_V,2,Q$144)/12*(1+V_dVol),0))</f>
        <v>5833.33333333333</v>
      </c>
      <c r="R152" s="34" t="n">
        <f aca="false">IF(R$8=1,N(Reales!R13),IF(R$145=1,INDEX(Vol_V,2,R$144)/12*(1+V_dVol),0))</f>
        <v>7500</v>
      </c>
      <c r="S152" s="34" t="n">
        <f aca="false">IF(S$8=1,N(Reales!S13),IF(S$145=1,INDEX(Vol_V,2,S$144)/12*(1+V_dVol),0))</f>
        <v>7500</v>
      </c>
      <c r="T152" s="34" t="n">
        <f aca="false">IF(T$8=1,N(Reales!T13),IF(T$145=1,INDEX(Vol_V,2,T$144)/12*(1+V_dVol),0))</f>
        <v>7500</v>
      </c>
      <c r="U152" s="34" t="n">
        <f aca="false">IF(U$8=1,N(Reales!U13),IF(U$145=1,INDEX(Vol_V,2,U$144)/12*(1+V_dVol),0))</f>
        <v>7500</v>
      </c>
      <c r="V152" s="34" t="n">
        <f aca="false">IF(V$8=1,N(Reales!V13),IF(V$145=1,INDEX(Vol_V,2,V$144)/12*(1+V_dVol),0))</f>
        <v>7500</v>
      </c>
      <c r="W152" s="34" t="n">
        <f aca="false">IF(W$8=1,N(Reales!W13),IF(W$145=1,INDEX(Vol_V,2,W$144)/12*(1+V_dVol),0))</f>
        <v>7500</v>
      </c>
      <c r="X152" s="34" t="n">
        <f aca="false">IF(X$8=1,N(Reales!X13),IF(X$145=1,INDEX(Vol_V,2,X$144)/12*(1+V_dVol),0))</f>
        <v>7500</v>
      </c>
      <c r="Y152" s="34" t="n">
        <f aca="false">IF(Y$8=1,N(Reales!Y13),IF(Y$145=1,INDEX(Vol_V,2,Y$144)/12*(1+V_dVol),0))</f>
        <v>7500</v>
      </c>
      <c r="Z152" s="34" t="n">
        <f aca="false">IF(Z$8=1,N(Reales!Z13),IF(Z$145=1,INDEX(Vol_V,2,Z$144)/12*(1+V_dVol),0))</f>
        <v>7500</v>
      </c>
      <c r="AA152" s="34" t="n">
        <f aca="false">IF(AA$8=1,N(Reales!AA13),IF(AA$145=1,INDEX(Vol_V,2,AA$144)/12*(1+V_dVol),0))</f>
        <v>7500</v>
      </c>
      <c r="AB152" s="34" t="n">
        <f aca="false">IF(AB$8=1,N(Reales!AB13),IF(AB$145=1,INDEX(Vol_V,2,AB$144)/12*(1+V_dVol),0))</f>
        <v>7500</v>
      </c>
      <c r="AC152" s="34" t="n">
        <f aca="false">IF(AC$8=1,N(Reales!AC13),IF(AC$145=1,INDEX(Vol_V,2,AC$144)/12*(1+V_dVol),0))</f>
        <v>7500</v>
      </c>
      <c r="AD152" s="34" t="n">
        <f aca="false">IF(AD$8=1,N(Reales!AD13),IF(AD$145=1,INDEX(Vol_V,2,AD$144)/12*(1+V_dVol),0))</f>
        <v>9166.66666666667</v>
      </c>
      <c r="AE152" s="34" t="n">
        <f aca="false">IF(AE$8=1,N(Reales!AE13),IF(AE$145=1,INDEX(Vol_V,2,AE$144)/12*(1+V_dVol),0))</f>
        <v>9166.66666666667</v>
      </c>
      <c r="AF152" s="34" t="n">
        <f aca="false">IF(AF$8=1,N(Reales!AF13),IF(AF$145=1,INDEX(Vol_V,2,AF$144)/12*(1+V_dVol),0))</f>
        <v>9166.66666666667</v>
      </c>
      <c r="AG152" s="34" t="n">
        <f aca="false">IF(AG$8=1,N(Reales!AG13),IF(AG$145=1,INDEX(Vol_V,2,AG$144)/12*(1+V_dVol),0))</f>
        <v>9166.66666666667</v>
      </c>
      <c r="AH152" s="34" t="n">
        <f aca="false">IF(AH$8=1,N(Reales!AH13),IF(AH$145=1,INDEX(Vol_V,2,AH$144)/12*(1+V_dVol),0))</f>
        <v>9166.66666666667</v>
      </c>
      <c r="AI152" s="34" t="n">
        <f aca="false">IF(AI$8=1,N(Reales!AI13),IF(AI$145=1,INDEX(Vol_V,2,AI$144)/12*(1+V_dVol),0))</f>
        <v>9166.66666666667</v>
      </c>
      <c r="AJ152" s="34" t="n">
        <f aca="false">IF(AJ$8=1,N(Reales!AJ13),IF(AJ$145=1,INDEX(Vol_V,2,AJ$144)/12*(1+V_dVol),0))</f>
        <v>9166.66666666667</v>
      </c>
      <c r="AK152" s="34" t="n">
        <f aca="false">IF(AK$8=1,N(Reales!AK13),IF(AK$145=1,INDEX(Vol_V,2,AK$144)/12*(1+V_dVol),0))</f>
        <v>9166.66666666667</v>
      </c>
      <c r="AL152" s="34" t="n">
        <f aca="false">IF(AL$8=1,N(Reales!AL13),IF(AL$145=1,INDEX(Vol_V,2,AL$144)/12*(1+V_dVol),0))</f>
        <v>9166.66666666667</v>
      </c>
      <c r="AM152" s="34" t="n">
        <f aca="false">IF(AM$8=1,N(Reales!AM13),IF(AM$145=1,INDEX(Vol_V,2,AM$144)/12*(1+V_dVol),0))</f>
        <v>9166.66666666667</v>
      </c>
      <c r="AN152" s="34" t="n">
        <f aca="false">IF(AN$8=1,N(Reales!AN13),IF(AN$145=1,INDEX(Vol_V,2,AN$144)/12*(1+V_dVol),0))</f>
        <v>9166.66666666667</v>
      </c>
      <c r="AO152" s="34" t="n">
        <f aca="false">IF(AO$8=1,N(Reales!AO13),IF(AO$145=1,INDEX(Vol_V,2,AO$144)/12*(1+V_dVol),0))</f>
        <v>9166.66666666667</v>
      </c>
      <c r="AP152" s="34" t="n">
        <f aca="false">IF(AP$8=1,N(Reales!AP13),IF(AP$145=1,INDEX(Vol_V,2,AP$144)/12*(1+V_dVol),0))</f>
        <v>10000</v>
      </c>
      <c r="AQ152" s="34" t="n">
        <f aca="false">IF(AQ$8=1,N(Reales!AQ13),IF(AQ$145=1,INDEX(Vol_V,2,AQ$144)/12*(1+V_dVol),0))</f>
        <v>10000</v>
      </c>
      <c r="AR152" s="34" t="n">
        <f aca="false">IF(AR$8=1,N(Reales!AR13),IF(AR$145=1,INDEX(Vol_V,2,AR$144)/12*(1+V_dVol),0))</f>
        <v>10000</v>
      </c>
      <c r="AS152" s="34" t="n">
        <f aca="false">IF(AS$8=1,N(Reales!AS13),IF(AS$145=1,INDEX(Vol_V,2,AS$144)/12*(1+V_dVol),0))</f>
        <v>10000</v>
      </c>
      <c r="AT152" s="34" t="n">
        <f aca="false">IF(AT$8=1,N(Reales!AT13),IF(AT$145=1,INDEX(Vol_V,2,AT$144)/12*(1+V_dVol),0))</f>
        <v>10000</v>
      </c>
      <c r="AU152" s="34" t="n">
        <f aca="false">IF(AU$8=1,N(Reales!AU13),IF(AU$145=1,INDEX(Vol_V,2,AU$144)/12*(1+V_dVol),0))</f>
        <v>10000</v>
      </c>
      <c r="AV152" s="34" t="n">
        <f aca="false">IF(AV$8=1,N(Reales!AV13),IF(AV$145=1,INDEX(Vol_V,2,AV$144)/12*(1+V_dVol),0))</f>
        <v>10000</v>
      </c>
      <c r="AW152" s="34" t="n">
        <f aca="false">IF(AW$8=1,N(Reales!AW13),IF(AW$145=1,INDEX(Vol_V,2,AW$144)/12*(1+V_dVol),0))</f>
        <v>10000</v>
      </c>
      <c r="AX152" s="34" t="n">
        <f aca="false">IF(AX$8=1,N(Reales!AX13),IF(AX$145=1,INDEX(Vol_V,2,AX$144)/12*(1+V_dVol),0))</f>
        <v>10000</v>
      </c>
      <c r="AY152" s="34" t="n">
        <f aca="false">IF(AY$8=1,N(Reales!AY13),IF(AY$145=1,INDEX(Vol_V,2,AY$144)/12*(1+V_dVol),0))</f>
        <v>10000</v>
      </c>
      <c r="AZ152" s="34" t="n">
        <f aca="false">IF(AZ$8=1,N(Reales!AZ13),IF(AZ$145=1,INDEX(Vol_V,2,AZ$144)/12*(1+V_dVol),0))</f>
        <v>10000</v>
      </c>
      <c r="BA152" s="34" t="n">
        <f aca="false">IF(BA$8=1,N(Reales!BA13),IF(BA$145=1,INDEX(Vol_V,2,BA$144)/12*(1+V_dVol),0))</f>
        <v>10000</v>
      </c>
      <c r="BB152" s="34" t="n">
        <f aca="false">IF(BB$8=1,N(Reales!BB13),IF(BB$145=1,INDEX(Vol_V,2,BB$144)/12*(1+V_dVol),0))</f>
        <v>10000</v>
      </c>
      <c r="BC152" s="34" t="n">
        <f aca="false">IF(BC$8=1,N(Reales!BC13),IF(BC$145=1,INDEX(Vol_V,2,BC$144)/12*(1+V_dVol),0))</f>
        <v>10000</v>
      </c>
      <c r="BD152" s="34" t="n">
        <f aca="false">IF(BD$8=1,N(Reales!BD13),IF(BD$145=1,INDEX(Vol_V,2,BD$144)/12*(1+V_dVol),0))</f>
        <v>10000</v>
      </c>
      <c r="BE152" s="34" t="n">
        <f aca="false">IF(BE$8=1,N(Reales!BE13),IF(BE$145=1,INDEX(Vol_V,2,BE$144)/12*(1+V_dVol),0))</f>
        <v>10000</v>
      </c>
      <c r="BF152" s="34" t="n">
        <f aca="false">IF(BF$8=1,N(Reales!BF13),IF(BF$145=1,INDEX(Vol_V,2,BF$144)/12*(1+V_dVol),0))</f>
        <v>10000</v>
      </c>
      <c r="BG152" s="34" t="n">
        <f aca="false">IF(BG$8=1,N(Reales!BG13),IF(BG$145=1,INDEX(Vol_V,2,BG$144)/12*(1+V_dVol),0))</f>
        <v>10000</v>
      </c>
      <c r="BH152" s="34" t="n">
        <f aca="false">IF(BH$8=1,N(Reales!BH13),IF(BH$145=1,INDEX(Vol_V,2,BH$144)/12*(1+V_dVol),0))</f>
        <v>10000</v>
      </c>
      <c r="BI152" s="34" t="n">
        <f aca="false">IF(BI$8=1,N(Reales!BI13),IF(BI$145=1,INDEX(Vol_V,2,BI$144)/12*(1+V_dVol),0))</f>
        <v>10000</v>
      </c>
      <c r="BJ152" s="34" t="n">
        <f aca="false">IF(BJ$8=1,N(Reales!BJ13),IF(BJ$145=1,INDEX(Vol_V,2,BJ$144)/12*(1+V_dVol),0))</f>
        <v>10000</v>
      </c>
      <c r="BK152" s="34" t="n">
        <f aca="false">IF(BK$8=1,N(Reales!BK13),IF(BK$145=1,INDEX(Vol_V,2,BK$144)/12*(1+V_dVol),0))</f>
        <v>10000</v>
      </c>
      <c r="BL152" s="34" t="n">
        <f aca="false">IF(BL$8=1,N(Reales!BL13),IF(BL$145=1,INDEX(Vol_V,2,BL$144)/12*(1+V_dVol),0))</f>
        <v>10000</v>
      </c>
      <c r="BM152" s="34" t="n">
        <f aca="false">IF(BM$8=1,N(Reales!BM13),IF(BM$145=1,INDEX(Vol_V,2,BM$144)/12*(1+V_dVol),0))</f>
        <v>10000</v>
      </c>
      <c r="BN152" s="34" t="n">
        <f aca="false">IF(BN$8=1,N(Reales!BN13),IF(BN$145=1,INDEX(Vol_V,2,BN$144)/12*(1+V_dVol),0))</f>
        <v>10000</v>
      </c>
      <c r="BO152" s="34" t="n">
        <f aca="false">IF(BO$8=1,N(Reales!BO13),IF(BO$145=1,INDEX(Vol_V,2,BO$144)/12*(1+V_dVol),0))</f>
        <v>10000</v>
      </c>
      <c r="BP152" s="34" t="n">
        <f aca="false">IF(BP$8=1,N(Reales!BP13),IF(BP$145=1,INDEX(Vol_V,2,BP$144)/12*(1+V_dVol),0))</f>
        <v>10000</v>
      </c>
      <c r="BQ152" s="34" t="n">
        <f aca="false">IF(BQ$8=1,N(Reales!BQ13),IF(BQ$145=1,INDEX(Vol_V,2,BQ$144)/12*(1+V_dVol),0))</f>
        <v>10000</v>
      </c>
      <c r="BR152" s="34" t="n">
        <f aca="false">IF(BR$8=1,N(Reales!BR13),IF(BR$145=1,INDEX(Vol_V,2,BR$144)/12*(1+V_dVol),0))</f>
        <v>10000</v>
      </c>
      <c r="BS152" s="34" t="n">
        <f aca="false">IF(BS$8=1,N(Reales!BS13),IF(BS$145=1,INDEX(Vol_V,2,BS$144)/12*(1+V_dVol),0))</f>
        <v>10000</v>
      </c>
      <c r="BT152" s="34" t="n">
        <f aca="false">IF(BT$8=1,N(Reales!BT13),IF(BT$145=1,INDEX(Vol_V,2,BT$144)/12*(1+V_dVol),0))</f>
        <v>10000</v>
      </c>
      <c r="BU152" s="34" t="n">
        <f aca="false">IF(BU$8=1,N(Reales!BU13),IF(BU$145=1,INDEX(Vol_V,2,BU$144)/12*(1+V_dVol),0))</f>
        <v>10000</v>
      </c>
      <c r="BV152" s="34" t="n">
        <f aca="false">IF(BV$8=1,N(Reales!BV13),IF(BV$145=1,INDEX(Vol_V,2,BV$144)/12*(1+V_dVol),0))</f>
        <v>10000</v>
      </c>
      <c r="BW152" s="34" t="n">
        <f aca="false">IF(BW$8=1,N(Reales!BW13),IF(BW$145=1,INDEX(Vol_V,2,BW$144)/12*(1+V_dVol),0))</f>
        <v>10000</v>
      </c>
      <c r="BX152" s="34" t="n">
        <f aca="false">IF(BX$8=1,N(Reales!BX13),IF(BX$145=1,INDEX(Vol_V,2,BX$144)/12*(1+V_dVol),0))</f>
        <v>10000</v>
      </c>
      <c r="BY152" s="34" t="n">
        <f aca="false">IF(BY$8=1,N(Reales!BY13),IF(BY$145=1,INDEX(Vol_V,2,BY$144)/12*(1+V_dVol),0))</f>
        <v>10000</v>
      </c>
      <c r="BZ152" s="34" t="n">
        <f aca="false">IF(BZ$8=1,N(Reales!BZ13),IF(BZ$145=1,INDEX(Vol_V,2,BZ$144)/12*(1+V_dVol),0))</f>
        <v>10000</v>
      </c>
      <c r="CA152" s="34" t="n">
        <f aca="false">IF(CA$8=1,N(Reales!CA13),IF(CA$145=1,INDEX(Vol_V,2,CA$144)/12*(1+V_dVol),0))</f>
        <v>10000</v>
      </c>
      <c r="CB152" s="34" t="n">
        <f aca="false">IF(CB$8=1,N(Reales!CB13),IF(CB$145=1,INDEX(Vol_V,2,CB$144)/12*(1+V_dVol),0))</f>
        <v>10000</v>
      </c>
      <c r="CC152" s="34" t="n">
        <f aca="false">IF(CC$8=1,N(Reales!CC13),IF(CC$145=1,INDEX(Vol_V,2,CC$144)/12*(1+V_dVol),0))</f>
        <v>10000</v>
      </c>
      <c r="CD152" s="34" t="n">
        <f aca="false">IF(CD$8=1,N(Reales!CD13),IF(CD$145=1,INDEX(Vol_V,2,CD$144)/12*(1+V_dVol),0))</f>
        <v>10000</v>
      </c>
      <c r="CE152" s="34" t="n">
        <f aca="false">IF(CE$8=1,N(Reales!CE13),IF(CE$145=1,INDEX(Vol_V,2,CE$144)/12*(1+V_dVol),0))</f>
        <v>10000</v>
      </c>
      <c r="CF152" s="34" t="n">
        <f aca="false">IF(CF$8=1,N(Reales!CF13),IF(CF$145=1,INDEX(Vol_V,2,CF$144)/12*(1+V_dVol),0))</f>
        <v>10000</v>
      </c>
      <c r="CG152" s="34" t="n">
        <f aca="false">IF(CG$8=1,N(Reales!CG13),IF(CG$145=1,INDEX(Vol_V,2,CG$144)/12*(1+V_dVol),0))</f>
        <v>10000</v>
      </c>
      <c r="CH152" s="34" t="n">
        <f aca="false">IF(CH$8=1,N(Reales!CH13),IF(CH$145=1,INDEX(Vol_V,2,CH$144)/12*(1+V_dVol),0))</f>
        <v>10000</v>
      </c>
      <c r="CI152" s="34" t="n">
        <f aca="false">IF(CI$8=1,N(Reales!CI13),IF(CI$145=1,INDEX(Vol_V,2,CI$144)/12*(1+V_dVol),0))</f>
        <v>10000</v>
      </c>
      <c r="CJ152" s="34" t="n">
        <f aca="false">IF(CJ$8=1,N(Reales!CJ13),IF(CJ$145=1,INDEX(Vol_V,2,CJ$144)/12*(1+V_dVol),0))</f>
        <v>10000</v>
      </c>
      <c r="CK152" s="34" t="n">
        <f aca="false">IF(CK$8=1,N(Reales!CK13),IF(CK$145=1,INDEX(Vol_V,2,CK$144)/12*(1+V_dVol),0))</f>
        <v>10000</v>
      </c>
      <c r="CL152" s="34" t="n">
        <f aca="false">IF(CL$8=1,N(Reales!CL13),IF(CL$145=1,INDEX(Vol_V,2,CL$144)/12*(1+V_dVol),0))</f>
        <v>10000</v>
      </c>
      <c r="CM152" s="34" t="n">
        <f aca="false">IF(CM$8=1,N(Reales!CM13),IF(CM$145=1,INDEX(Vol_V,2,CM$144)/12*(1+V_dVol),0))</f>
        <v>10000</v>
      </c>
      <c r="CN152" s="34" t="n">
        <f aca="false">IF(CN$8=1,N(Reales!CN13),IF(CN$145=1,INDEX(Vol_V,2,CN$144)/12*(1+V_dVol),0))</f>
        <v>10000</v>
      </c>
      <c r="CO152" s="34" t="n">
        <f aca="false">IF(CO$8=1,N(Reales!CO13),IF(CO$145=1,INDEX(Vol_V,2,CO$144)/12*(1+V_dVol),0))</f>
        <v>10000</v>
      </c>
      <c r="CP152" s="34" t="n">
        <f aca="false">IF(CP$8=1,N(Reales!CP13),IF(CP$145=1,INDEX(Vol_V,2,CP$144)/12*(1+V_dVol),0))</f>
        <v>10000</v>
      </c>
      <c r="CQ152" s="34" t="n">
        <f aca="false">IF(CQ$8=1,N(Reales!CQ13),IF(CQ$145=1,INDEX(Vol_V,2,CQ$144)/12*(1+V_dVol),0))</f>
        <v>10000</v>
      </c>
      <c r="CR152" s="34" t="n">
        <f aca="false">IF(CR$8=1,N(Reales!CR13),IF(CR$145=1,INDEX(Vol_V,2,CR$144)/12*(1+V_dVol),0))</f>
        <v>10000</v>
      </c>
      <c r="CS152" s="34" t="n">
        <f aca="false">IF(CS$8=1,N(Reales!CS13),IF(CS$145=1,INDEX(Vol_V,2,CS$144)/12*(1+V_dVol),0))</f>
        <v>10000</v>
      </c>
      <c r="CT152" s="34" t="n">
        <f aca="false">IF(CT$8=1,N(Reales!CT13),IF(CT$145=1,INDEX(Vol_V,2,CT$144)/12*(1+V_dVol),0))</f>
        <v>10000</v>
      </c>
      <c r="CU152" s="34" t="n">
        <f aca="false">IF(CU$8=1,N(Reales!CU13),IF(CU$145=1,INDEX(Vol_V,2,CU$144)/12*(1+V_dVol),0))</f>
        <v>10000</v>
      </c>
      <c r="CV152" s="34" t="n">
        <f aca="false">IF(CV$8=1,N(Reales!CV13),IF(CV$145=1,INDEX(Vol_V,2,CV$144)/12*(1+V_dVol),0))</f>
        <v>10000</v>
      </c>
      <c r="CW152" s="34" t="n">
        <f aca="false">IF(CW$8=1,N(Reales!CW13),IF(CW$145=1,INDEX(Vol_V,2,CW$144)/12*(1+V_dVol),0))</f>
        <v>10000</v>
      </c>
      <c r="CX152" s="34" t="n">
        <f aca="false">IF(CX$8=1,N(Reales!CX13),IF(CX$145=1,INDEX(Vol_V,2,CX$144)/12*(1+V_dVol),0))</f>
        <v>10000</v>
      </c>
      <c r="CY152" s="34" t="n">
        <f aca="false">IF(CY$8=1,N(Reales!CY13),IF(CY$145=1,INDEX(Vol_V,2,CY$144)/12*(1+V_dVol),0))</f>
        <v>10000</v>
      </c>
      <c r="CZ152" s="34" t="n">
        <f aca="false">IF(CZ$8=1,N(Reales!CZ13),IF(CZ$145=1,INDEX(Vol_V,2,CZ$144)/12*(1+V_dVol),0))</f>
        <v>10000</v>
      </c>
      <c r="DA152" s="34" t="n">
        <f aca="false">IF(DA$8=1,N(Reales!DA13),IF(DA$145=1,INDEX(Vol_V,2,DA$144)/12*(1+V_dVol),0))</f>
        <v>10000</v>
      </c>
      <c r="DB152" s="34" t="n">
        <f aca="false">IF(DB$8=1,N(Reales!DB13),IF(DB$145=1,INDEX(Vol_V,2,DB$144)/12*(1+V_dVol),0))</f>
        <v>10000</v>
      </c>
      <c r="DC152" s="34" t="n">
        <f aca="false">IF(DC$8=1,N(Reales!DC13),IF(DC$145=1,INDEX(Vol_V,2,DC$144)/12*(1+V_dVol),0))</f>
        <v>10000</v>
      </c>
      <c r="DD152" s="34" t="n">
        <f aca="false">IF(DD$8=1,N(Reales!DD13),IF(DD$145=1,INDEX(Vol_V,2,DD$144)/12*(1+V_dVol),0))</f>
        <v>10000</v>
      </c>
      <c r="DE152" s="34" t="n">
        <f aca="false">IF(DE$8=1,N(Reales!DE13),IF(DE$145=1,INDEX(Vol_V,2,DE$144)/12*(1+V_dVol),0))</f>
        <v>10000</v>
      </c>
      <c r="DF152" s="34" t="n">
        <f aca="false">IF(DF$8=1,N(Reales!DF13),IF(DF$145=1,INDEX(Vol_V,2,DF$144)/12*(1+V_dVol),0))</f>
        <v>10000</v>
      </c>
      <c r="DG152" s="34" t="n">
        <f aca="false">IF(DG$8=1,N(Reales!DG13),IF(DG$145=1,INDEX(Vol_V,2,DG$144)/12*(1+V_dVol),0))</f>
        <v>10000</v>
      </c>
      <c r="DH152" s="34" t="n">
        <f aca="false">IF(DH$8=1,N(Reales!DH13),IF(DH$145=1,INDEX(Vol_V,2,DH$144)/12*(1+V_dVol),0))</f>
        <v>10000</v>
      </c>
      <c r="DI152" s="34" t="n">
        <f aca="false">IF(DI$8=1,N(Reales!DI13),IF(DI$145=1,INDEX(Vol_V,2,DI$144)/12*(1+V_dVol),0))</f>
        <v>10000</v>
      </c>
      <c r="DJ152" s="34" t="n">
        <f aca="false">IF(DJ$8=1,N(Reales!DJ13),IF(DJ$145=1,INDEX(Vol_V,2,DJ$144)/12*(1+V_dVol),0))</f>
        <v>10000</v>
      </c>
      <c r="DK152" s="34" t="n">
        <f aca="false">IF(DK$8=1,N(Reales!DK13),IF(DK$145=1,INDEX(Vol_V,2,DK$144)/12*(1+V_dVol),0))</f>
        <v>10000</v>
      </c>
      <c r="DL152" s="34" t="n">
        <f aca="false">IF(DL$8=1,N(Reales!DL13),IF(DL$145=1,INDEX(Vol_V,2,DL$144)/12*(1+V_dVol),0))</f>
        <v>10000</v>
      </c>
      <c r="DM152" s="34" t="n">
        <f aca="false">IF(DM$8=1,N(Reales!DM13),IF(DM$145=1,INDEX(Vol_V,2,DM$144)/12*(1+V_dVol),0))</f>
        <v>10000</v>
      </c>
      <c r="DN152" s="34" t="n">
        <f aca="false">IF(DN$8=1,N(Reales!DN13),IF(DN$145=1,INDEX(Vol_V,2,DN$144)/12*(1+V_dVol),0))</f>
        <v>10000</v>
      </c>
      <c r="DO152" s="34" t="n">
        <f aca="false">IF(DO$8=1,N(Reales!DO13),IF(DO$145=1,INDEX(Vol_V,2,DO$144)/12*(1+V_dVol),0))</f>
        <v>10000</v>
      </c>
      <c r="DP152" s="34" t="n">
        <f aca="false">IF(DP$8=1,N(Reales!DP13),IF(DP$145=1,INDEX(Vol_V,2,DP$144)/12*(1+V_dVol),0))</f>
        <v>10000</v>
      </c>
      <c r="DQ152" s="34" t="n">
        <f aca="false">IF(DQ$8=1,N(Reales!DQ13),IF(DQ$145=1,INDEX(Vol_V,2,DQ$144)/12*(1+V_dVol),0))</f>
        <v>10000</v>
      </c>
      <c r="DR152" s="34" t="n">
        <f aca="false">IF(DR$8=1,N(Reales!DR13),IF(DR$145=1,INDEX(Vol_V,2,DR$144)/12*(1+V_dVol),0))</f>
        <v>10000</v>
      </c>
      <c r="DS152" s="34" t="n">
        <f aca="false">IF(DS$8=1,N(Reales!DS13),IF(DS$145=1,INDEX(Vol_V,2,DS$144)/12*(1+V_dVol),0))</f>
        <v>10000</v>
      </c>
      <c r="DT152" s="34" t="n">
        <f aca="false">IF(DT$8=1,N(Reales!DT13),IF(DT$145=1,INDEX(Vol_V,2,DT$144)/12*(1+V_dVol),0))</f>
        <v>10000</v>
      </c>
      <c r="DU152" s="34" t="n">
        <f aca="false">IF(DU$8=1,N(Reales!DU13),IF(DU$145=1,INDEX(Vol_V,2,DU$144)/12*(1+V_dVol),0))</f>
        <v>10000</v>
      </c>
      <c r="DV152" s="34" t="n">
        <f aca="false">IF(DV$8=1,N(Reales!DV13),IF(DV$145=1,INDEX(Vol_V,2,DV$144)/12*(1+V_dVol),0))</f>
        <v>0</v>
      </c>
      <c r="DW152" s="34" t="n">
        <f aca="false">IF(DW$8=1,N(Reales!DW13),IF(DW$145=1,INDEX(Vol_V,2,DW$144)/12*(1+V_dVol),0))</f>
        <v>0</v>
      </c>
      <c r="DX152" s="34" t="n">
        <f aca="false">IF(DX$8=1,N(Reales!DX13),IF(DX$145=1,INDEX(Vol_V,2,DX$144)/12*(1+V_dVol),0))</f>
        <v>0</v>
      </c>
      <c r="DY152" s="34" t="n">
        <f aca="false">IF(DY$8=1,N(Reales!DY13),IF(DY$145=1,INDEX(Vol_V,2,DY$144)/12*(1+V_dVol),0))</f>
        <v>0</v>
      </c>
      <c r="DZ152" s="34" t="n">
        <f aca="false">IF(DZ$8=1,N(Reales!DZ13),IF(DZ$145=1,INDEX(Vol_V,2,DZ$144)/12*(1+V_dVol),0))</f>
        <v>0</v>
      </c>
      <c r="EA152" s="34" t="n">
        <f aca="false">IF(EA$8=1,N(Reales!EA13),IF(EA$145=1,INDEX(Vol_V,2,EA$144)/12*(1+V_dVol),0))</f>
        <v>0</v>
      </c>
      <c r="EB152" s="34" t="n">
        <f aca="false">IF(EB$8=1,N(Reales!EB13),IF(EB$145=1,INDEX(Vol_V,2,EB$144)/12*(1+V_dVol),0))</f>
        <v>0</v>
      </c>
      <c r="EC152" s="34" t="n">
        <f aca="false">IF(EC$8=1,N(Reales!EC13),IF(EC$145=1,INDEX(Vol_V,2,EC$144)/12*(1+V_dVol),0))</f>
        <v>0</v>
      </c>
      <c r="ED152" s="34" t="n">
        <f aca="false">IF(ED$8=1,N(Reales!ED13),IF(ED$145=1,INDEX(Vol_V,2,ED$144)/12*(1+V_dVol),0))</f>
        <v>0</v>
      </c>
      <c r="EE152" s="34" t="n">
        <f aca="false">IF(EE$8=1,N(Reales!EE13),IF(EE$145=1,INDEX(Vol_V,2,EE$144)/12*(1+V_dVol),0))</f>
        <v>0</v>
      </c>
      <c r="EF152" s="34" t="n">
        <f aca="false">IF(EF$8=1,N(Reales!EF13),IF(EF$145=1,INDEX(Vol_V,2,EF$144)/12*(1+V_dVol),0))</f>
        <v>0</v>
      </c>
      <c r="EG152" s="34" t="n">
        <f aca="false">IF(EG$8=1,N(Reales!EG13),IF(EG$145=1,INDEX(Vol_V,2,EG$144)/12*(1+V_dVol),0))</f>
        <v>0</v>
      </c>
      <c r="EH152" s="34" t="n">
        <f aca="false">IF(EH$8=1,N(Reales!EH13),IF(EH$145=1,INDEX(Vol_V,2,EH$144)/12*(1+V_dVol),0))</f>
        <v>0</v>
      </c>
      <c r="EI152" s="34" t="n">
        <f aca="false">IF(EI$8=1,N(Reales!EI13),IF(EI$145=1,INDEX(Vol_V,2,EI$144)/12*(1+V_dVol),0))</f>
        <v>0</v>
      </c>
      <c r="EJ152" s="34" t="n">
        <f aca="false">IF(EJ$8=1,N(Reales!EJ13),IF(EJ$145=1,INDEX(Vol_V,2,EJ$144)/12*(1+V_dVol),0))</f>
        <v>0</v>
      </c>
      <c r="EK152" s="34" t="n">
        <f aca="false">IF(EK$8=1,N(Reales!EK13),IF(EK$145=1,INDEX(Vol_V,2,EK$144)/12*(1+V_dVol),0))</f>
        <v>0</v>
      </c>
      <c r="EL152" s="34" t="n">
        <f aca="false">IF(EL$8=1,N(Reales!EL13),IF(EL$145=1,INDEX(Vol_V,2,EL$144)/12*(1+V_dVol),0))</f>
        <v>0</v>
      </c>
      <c r="EM152" s="34" t="n">
        <f aca="false">IF(EM$8=1,N(Reales!EM13),IF(EM$145=1,INDEX(Vol_V,2,EM$144)/12*(1+V_dVol),0))</f>
        <v>0</v>
      </c>
      <c r="EN152" s="34" t="n">
        <f aca="false">IF(EN$8=1,N(Reales!EN13),IF(EN$145=1,INDEX(Vol_V,2,EN$144)/12*(1+V_dVol),0))</f>
        <v>0</v>
      </c>
      <c r="EO152" s="34" t="n">
        <f aca="false">IF(EO$8=1,N(Reales!EO13),IF(EO$145=1,INDEX(Vol_V,2,EO$144)/12*(1+V_dVol),0))</f>
        <v>0</v>
      </c>
      <c r="EP152" s="34" t="n">
        <f aca="false">IF(EP$8=1,N(Reales!EP13),IF(EP$145=1,INDEX(Vol_V,2,EP$144)/12*(1+V_dVol),0))</f>
        <v>0</v>
      </c>
      <c r="EQ152" s="34" t="n">
        <f aca="false">IF(EQ$8=1,N(Reales!EQ13),IF(EQ$145=1,INDEX(Vol_V,2,EQ$144)/12*(1+V_dVol),0))</f>
        <v>0</v>
      </c>
      <c r="ER152" s="34" t="n">
        <f aca="false">IF(ER$8=1,N(Reales!ER13),IF(ER$145=1,INDEX(Vol_V,2,ER$144)/12*(1+V_dVol),0))</f>
        <v>0</v>
      </c>
      <c r="ES152" s="34" t="n">
        <f aca="false">IF(ES$8=1,N(Reales!ES13),IF(ES$145=1,INDEX(Vol_V,2,ES$144)/12*(1+V_dVol),0))</f>
        <v>0</v>
      </c>
    </row>
    <row r="153" customFormat="false" ht="15" hidden="false" customHeight="false" outlineLevel="0" collapsed="false">
      <c r="A153" s="2" t="s">
        <v>769</v>
      </c>
      <c r="B153" s="39" t="str">
        <f aca="false">IF(INDEX(Prod_Nombre,3)="","Producto 3",INDEX(Prod_Nombre,3))&amp;" — unidades"</f>
        <v>Producto 3 — unidades</v>
      </c>
      <c r="C153" s="6" t="s">
        <v>286</v>
      </c>
      <c r="E153" s="40" t="n">
        <f aca="false">SUM(F153:ES153)</f>
        <v>0</v>
      </c>
      <c r="F153" s="34" t="n">
        <f aca="false">IF(F$8=1,N(Reales!F14),IF(F$145=1,INDEX(Vol_V,3,F$144)/12*(1+V_dVol),0))</f>
        <v>0</v>
      </c>
      <c r="G153" s="34" t="n">
        <f aca="false">IF(G$8=1,N(Reales!G14),IF(G$145=1,INDEX(Vol_V,3,G$144)/12*(1+V_dVol),0))</f>
        <v>0</v>
      </c>
      <c r="H153" s="34" t="n">
        <f aca="false">IF(H$8=1,N(Reales!H14),IF(H$145=1,INDEX(Vol_V,3,H$144)/12*(1+V_dVol),0))</f>
        <v>0</v>
      </c>
      <c r="I153" s="34" t="n">
        <f aca="false">IF(I$8=1,N(Reales!I14),IF(I$145=1,INDEX(Vol_V,3,I$144)/12*(1+V_dVol),0))</f>
        <v>0</v>
      </c>
      <c r="J153" s="34" t="n">
        <f aca="false">IF(J$8=1,N(Reales!J14),IF(J$145=1,INDEX(Vol_V,3,J$144)/12*(1+V_dVol),0))</f>
        <v>0</v>
      </c>
      <c r="K153" s="34" t="n">
        <f aca="false">IF(K$8=1,N(Reales!K14),IF(K$145=1,INDEX(Vol_V,3,K$144)/12*(1+V_dVol),0))</f>
        <v>0</v>
      </c>
      <c r="L153" s="34" t="n">
        <f aca="false">IF(L$8=1,N(Reales!L14),IF(L$145=1,INDEX(Vol_V,3,L$144)/12*(1+V_dVol),0))</f>
        <v>0</v>
      </c>
      <c r="M153" s="34" t="n">
        <f aca="false">IF(M$8=1,N(Reales!M14),IF(M$145=1,INDEX(Vol_V,3,M$144)/12*(1+V_dVol),0))</f>
        <v>0</v>
      </c>
      <c r="N153" s="34" t="n">
        <f aca="false">IF(N$8=1,N(Reales!N14),IF(N$145=1,INDEX(Vol_V,3,N$144)/12*(1+V_dVol),0))</f>
        <v>0</v>
      </c>
      <c r="O153" s="34" t="n">
        <f aca="false">IF(O$8=1,N(Reales!O14),IF(O$145=1,INDEX(Vol_V,3,O$144)/12*(1+V_dVol),0))</f>
        <v>0</v>
      </c>
      <c r="P153" s="34" t="n">
        <f aca="false">IF(P$8=1,N(Reales!P14),IF(P$145=1,INDEX(Vol_V,3,P$144)/12*(1+V_dVol),0))</f>
        <v>0</v>
      </c>
      <c r="Q153" s="34" t="n">
        <f aca="false">IF(Q$8=1,N(Reales!Q14),IF(Q$145=1,INDEX(Vol_V,3,Q$144)/12*(1+V_dVol),0))</f>
        <v>0</v>
      </c>
      <c r="R153" s="34" t="n">
        <f aca="false">IF(R$8=1,N(Reales!R14),IF(R$145=1,INDEX(Vol_V,3,R$144)/12*(1+V_dVol),0))</f>
        <v>0</v>
      </c>
      <c r="S153" s="34" t="n">
        <f aca="false">IF(S$8=1,N(Reales!S14),IF(S$145=1,INDEX(Vol_V,3,S$144)/12*(1+V_dVol),0))</f>
        <v>0</v>
      </c>
      <c r="T153" s="34" t="n">
        <f aca="false">IF(T$8=1,N(Reales!T14),IF(T$145=1,INDEX(Vol_V,3,T$144)/12*(1+V_dVol),0))</f>
        <v>0</v>
      </c>
      <c r="U153" s="34" t="n">
        <f aca="false">IF(U$8=1,N(Reales!U14),IF(U$145=1,INDEX(Vol_V,3,U$144)/12*(1+V_dVol),0))</f>
        <v>0</v>
      </c>
      <c r="V153" s="34" t="n">
        <f aca="false">IF(V$8=1,N(Reales!V14),IF(V$145=1,INDEX(Vol_V,3,V$144)/12*(1+V_dVol),0))</f>
        <v>0</v>
      </c>
      <c r="W153" s="34" t="n">
        <f aca="false">IF(W$8=1,N(Reales!W14),IF(W$145=1,INDEX(Vol_V,3,W$144)/12*(1+V_dVol),0))</f>
        <v>0</v>
      </c>
      <c r="X153" s="34" t="n">
        <f aca="false">IF(X$8=1,N(Reales!X14),IF(X$145=1,INDEX(Vol_V,3,X$144)/12*(1+V_dVol),0))</f>
        <v>0</v>
      </c>
      <c r="Y153" s="34" t="n">
        <f aca="false">IF(Y$8=1,N(Reales!Y14),IF(Y$145=1,INDEX(Vol_V,3,Y$144)/12*(1+V_dVol),0))</f>
        <v>0</v>
      </c>
      <c r="Z153" s="34" t="n">
        <f aca="false">IF(Z$8=1,N(Reales!Z14),IF(Z$145=1,INDEX(Vol_V,3,Z$144)/12*(1+V_dVol),0))</f>
        <v>0</v>
      </c>
      <c r="AA153" s="34" t="n">
        <f aca="false">IF(AA$8=1,N(Reales!AA14),IF(AA$145=1,INDEX(Vol_V,3,AA$144)/12*(1+V_dVol),0))</f>
        <v>0</v>
      </c>
      <c r="AB153" s="34" t="n">
        <f aca="false">IF(AB$8=1,N(Reales!AB14),IF(AB$145=1,INDEX(Vol_V,3,AB$144)/12*(1+V_dVol),0))</f>
        <v>0</v>
      </c>
      <c r="AC153" s="34" t="n">
        <f aca="false">IF(AC$8=1,N(Reales!AC14),IF(AC$145=1,INDEX(Vol_V,3,AC$144)/12*(1+V_dVol),0))</f>
        <v>0</v>
      </c>
      <c r="AD153" s="34" t="n">
        <f aca="false">IF(AD$8=1,N(Reales!AD14),IF(AD$145=1,INDEX(Vol_V,3,AD$144)/12*(1+V_dVol),0))</f>
        <v>0</v>
      </c>
      <c r="AE153" s="34" t="n">
        <f aca="false">IF(AE$8=1,N(Reales!AE14),IF(AE$145=1,INDEX(Vol_V,3,AE$144)/12*(1+V_dVol),0))</f>
        <v>0</v>
      </c>
      <c r="AF153" s="34" t="n">
        <f aca="false">IF(AF$8=1,N(Reales!AF14),IF(AF$145=1,INDEX(Vol_V,3,AF$144)/12*(1+V_dVol),0))</f>
        <v>0</v>
      </c>
      <c r="AG153" s="34" t="n">
        <f aca="false">IF(AG$8=1,N(Reales!AG14),IF(AG$145=1,INDEX(Vol_V,3,AG$144)/12*(1+V_dVol),0))</f>
        <v>0</v>
      </c>
      <c r="AH153" s="34" t="n">
        <f aca="false">IF(AH$8=1,N(Reales!AH14),IF(AH$145=1,INDEX(Vol_V,3,AH$144)/12*(1+V_dVol),0))</f>
        <v>0</v>
      </c>
      <c r="AI153" s="34" t="n">
        <f aca="false">IF(AI$8=1,N(Reales!AI14),IF(AI$145=1,INDEX(Vol_V,3,AI$144)/12*(1+V_dVol),0))</f>
        <v>0</v>
      </c>
      <c r="AJ153" s="34" t="n">
        <f aca="false">IF(AJ$8=1,N(Reales!AJ14),IF(AJ$145=1,INDEX(Vol_V,3,AJ$144)/12*(1+V_dVol),0))</f>
        <v>0</v>
      </c>
      <c r="AK153" s="34" t="n">
        <f aca="false">IF(AK$8=1,N(Reales!AK14),IF(AK$145=1,INDEX(Vol_V,3,AK$144)/12*(1+V_dVol),0))</f>
        <v>0</v>
      </c>
      <c r="AL153" s="34" t="n">
        <f aca="false">IF(AL$8=1,N(Reales!AL14),IF(AL$145=1,INDEX(Vol_V,3,AL$144)/12*(1+V_dVol),0))</f>
        <v>0</v>
      </c>
      <c r="AM153" s="34" t="n">
        <f aca="false">IF(AM$8=1,N(Reales!AM14),IF(AM$145=1,INDEX(Vol_V,3,AM$144)/12*(1+V_dVol),0))</f>
        <v>0</v>
      </c>
      <c r="AN153" s="34" t="n">
        <f aca="false">IF(AN$8=1,N(Reales!AN14),IF(AN$145=1,INDEX(Vol_V,3,AN$144)/12*(1+V_dVol),0))</f>
        <v>0</v>
      </c>
      <c r="AO153" s="34" t="n">
        <f aca="false">IF(AO$8=1,N(Reales!AO14),IF(AO$145=1,INDEX(Vol_V,3,AO$144)/12*(1+V_dVol),0))</f>
        <v>0</v>
      </c>
      <c r="AP153" s="34" t="n">
        <f aca="false">IF(AP$8=1,N(Reales!AP14),IF(AP$145=1,INDEX(Vol_V,3,AP$144)/12*(1+V_dVol),0))</f>
        <v>0</v>
      </c>
      <c r="AQ153" s="34" t="n">
        <f aca="false">IF(AQ$8=1,N(Reales!AQ14),IF(AQ$145=1,INDEX(Vol_V,3,AQ$144)/12*(1+V_dVol),0))</f>
        <v>0</v>
      </c>
      <c r="AR153" s="34" t="n">
        <f aca="false">IF(AR$8=1,N(Reales!AR14),IF(AR$145=1,INDEX(Vol_V,3,AR$144)/12*(1+V_dVol),0))</f>
        <v>0</v>
      </c>
      <c r="AS153" s="34" t="n">
        <f aca="false">IF(AS$8=1,N(Reales!AS14),IF(AS$145=1,INDEX(Vol_V,3,AS$144)/12*(1+V_dVol),0))</f>
        <v>0</v>
      </c>
      <c r="AT153" s="34" t="n">
        <f aca="false">IF(AT$8=1,N(Reales!AT14),IF(AT$145=1,INDEX(Vol_V,3,AT$144)/12*(1+V_dVol),0))</f>
        <v>0</v>
      </c>
      <c r="AU153" s="34" t="n">
        <f aca="false">IF(AU$8=1,N(Reales!AU14),IF(AU$145=1,INDEX(Vol_V,3,AU$144)/12*(1+V_dVol),0))</f>
        <v>0</v>
      </c>
      <c r="AV153" s="34" t="n">
        <f aca="false">IF(AV$8=1,N(Reales!AV14),IF(AV$145=1,INDEX(Vol_V,3,AV$144)/12*(1+V_dVol),0))</f>
        <v>0</v>
      </c>
      <c r="AW153" s="34" t="n">
        <f aca="false">IF(AW$8=1,N(Reales!AW14),IF(AW$145=1,INDEX(Vol_V,3,AW$144)/12*(1+V_dVol),0))</f>
        <v>0</v>
      </c>
      <c r="AX153" s="34" t="n">
        <f aca="false">IF(AX$8=1,N(Reales!AX14),IF(AX$145=1,INDEX(Vol_V,3,AX$144)/12*(1+V_dVol),0))</f>
        <v>0</v>
      </c>
      <c r="AY153" s="34" t="n">
        <f aca="false">IF(AY$8=1,N(Reales!AY14),IF(AY$145=1,INDEX(Vol_V,3,AY$144)/12*(1+V_dVol),0))</f>
        <v>0</v>
      </c>
      <c r="AZ153" s="34" t="n">
        <f aca="false">IF(AZ$8=1,N(Reales!AZ14),IF(AZ$145=1,INDEX(Vol_V,3,AZ$144)/12*(1+V_dVol),0))</f>
        <v>0</v>
      </c>
      <c r="BA153" s="34" t="n">
        <f aca="false">IF(BA$8=1,N(Reales!BA14),IF(BA$145=1,INDEX(Vol_V,3,BA$144)/12*(1+V_dVol),0))</f>
        <v>0</v>
      </c>
      <c r="BB153" s="34" t="n">
        <f aca="false">IF(BB$8=1,N(Reales!BB14),IF(BB$145=1,INDEX(Vol_V,3,BB$144)/12*(1+V_dVol),0))</f>
        <v>0</v>
      </c>
      <c r="BC153" s="34" t="n">
        <f aca="false">IF(BC$8=1,N(Reales!BC14),IF(BC$145=1,INDEX(Vol_V,3,BC$144)/12*(1+V_dVol),0))</f>
        <v>0</v>
      </c>
      <c r="BD153" s="34" t="n">
        <f aca="false">IF(BD$8=1,N(Reales!BD14),IF(BD$145=1,INDEX(Vol_V,3,BD$144)/12*(1+V_dVol),0))</f>
        <v>0</v>
      </c>
      <c r="BE153" s="34" t="n">
        <f aca="false">IF(BE$8=1,N(Reales!BE14),IF(BE$145=1,INDEX(Vol_V,3,BE$144)/12*(1+V_dVol),0))</f>
        <v>0</v>
      </c>
      <c r="BF153" s="34" t="n">
        <f aca="false">IF(BF$8=1,N(Reales!BF14),IF(BF$145=1,INDEX(Vol_V,3,BF$144)/12*(1+V_dVol),0))</f>
        <v>0</v>
      </c>
      <c r="BG153" s="34" t="n">
        <f aca="false">IF(BG$8=1,N(Reales!BG14),IF(BG$145=1,INDEX(Vol_V,3,BG$144)/12*(1+V_dVol),0))</f>
        <v>0</v>
      </c>
      <c r="BH153" s="34" t="n">
        <f aca="false">IF(BH$8=1,N(Reales!BH14),IF(BH$145=1,INDEX(Vol_V,3,BH$144)/12*(1+V_dVol),0))</f>
        <v>0</v>
      </c>
      <c r="BI153" s="34" t="n">
        <f aca="false">IF(BI$8=1,N(Reales!BI14),IF(BI$145=1,INDEX(Vol_V,3,BI$144)/12*(1+V_dVol),0))</f>
        <v>0</v>
      </c>
      <c r="BJ153" s="34" t="n">
        <f aca="false">IF(BJ$8=1,N(Reales!BJ14),IF(BJ$145=1,INDEX(Vol_V,3,BJ$144)/12*(1+V_dVol),0))</f>
        <v>0</v>
      </c>
      <c r="BK153" s="34" t="n">
        <f aca="false">IF(BK$8=1,N(Reales!BK14),IF(BK$145=1,INDEX(Vol_V,3,BK$144)/12*(1+V_dVol),0))</f>
        <v>0</v>
      </c>
      <c r="BL153" s="34" t="n">
        <f aca="false">IF(BL$8=1,N(Reales!BL14),IF(BL$145=1,INDEX(Vol_V,3,BL$144)/12*(1+V_dVol),0))</f>
        <v>0</v>
      </c>
      <c r="BM153" s="34" t="n">
        <f aca="false">IF(BM$8=1,N(Reales!BM14),IF(BM$145=1,INDEX(Vol_V,3,BM$144)/12*(1+V_dVol),0))</f>
        <v>0</v>
      </c>
      <c r="BN153" s="34" t="n">
        <f aca="false">IF(BN$8=1,N(Reales!BN14),IF(BN$145=1,INDEX(Vol_V,3,BN$144)/12*(1+V_dVol),0))</f>
        <v>0</v>
      </c>
      <c r="BO153" s="34" t="n">
        <f aca="false">IF(BO$8=1,N(Reales!BO14),IF(BO$145=1,INDEX(Vol_V,3,BO$144)/12*(1+V_dVol),0))</f>
        <v>0</v>
      </c>
      <c r="BP153" s="34" t="n">
        <f aca="false">IF(BP$8=1,N(Reales!BP14),IF(BP$145=1,INDEX(Vol_V,3,BP$144)/12*(1+V_dVol),0))</f>
        <v>0</v>
      </c>
      <c r="BQ153" s="34" t="n">
        <f aca="false">IF(BQ$8=1,N(Reales!BQ14),IF(BQ$145=1,INDEX(Vol_V,3,BQ$144)/12*(1+V_dVol),0))</f>
        <v>0</v>
      </c>
      <c r="BR153" s="34" t="n">
        <f aca="false">IF(BR$8=1,N(Reales!BR14),IF(BR$145=1,INDEX(Vol_V,3,BR$144)/12*(1+V_dVol),0))</f>
        <v>0</v>
      </c>
      <c r="BS153" s="34" t="n">
        <f aca="false">IF(BS$8=1,N(Reales!BS14),IF(BS$145=1,INDEX(Vol_V,3,BS$144)/12*(1+V_dVol),0))</f>
        <v>0</v>
      </c>
      <c r="BT153" s="34" t="n">
        <f aca="false">IF(BT$8=1,N(Reales!BT14),IF(BT$145=1,INDEX(Vol_V,3,BT$144)/12*(1+V_dVol),0))</f>
        <v>0</v>
      </c>
      <c r="BU153" s="34" t="n">
        <f aca="false">IF(BU$8=1,N(Reales!BU14),IF(BU$145=1,INDEX(Vol_V,3,BU$144)/12*(1+V_dVol),0))</f>
        <v>0</v>
      </c>
      <c r="BV153" s="34" t="n">
        <f aca="false">IF(BV$8=1,N(Reales!BV14),IF(BV$145=1,INDEX(Vol_V,3,BV$144)/12*(1+V_dVol),0))</f>
        <v>0</v>
      </c>
      <c r="BW153" s="34" t="n">
        <f aca="false">IF(BW$8=1,N(Reales!BW14),IF(BW$145=1,INDEX(Vol_V,3,BW$144)/12*(1+V_dVol),0))</f>
        <v>0</v>
      </c>
      <c r="BX153" s="34" t="n">
        <f aca="false">IF(BX$8=1,N(Reales!BX14),IF(BX$145=1,INDEX(Vol_V,3,BX$144)/12*(1+V_dVol),0))</f>
        <v>0</v>
      </c>
      <c r="BY153" s="34" t="n">
        <f aca="false">IF(BY$8=1,N(Reales!BY14),IF(BY$145=1,INDEX(Vol_V,3,BY$144)/12*(1+V_dVol),0))</f>
        <v>0</v>
      </c>
      <c r="BZ153" s="34" t="n">
        <f aca="false">IF(BZ$8=1,N(Reales!BZ14),IF(BZ$145=1,INDEX(Vol_V,3,BZ$144)/12*(1+V_dVol),0))</f>
        <v>0</v>
      </c>
      <c r="CA153" s="34" t="n">
        <f aca="false">IF(CA$8=1,N(Reales!CA14),IF(CA$145=1,INDEX(Vol_V,3,CA$144)/12*(1+V_dVol),0))</f>
        <v>0</v>
      </c>
      <c r="CB153" s="34" t="n">
        <f aca="false">IF(CB$8=1,N(Reales!CB14),IF(CB$145=1,INDEX(Vol_V,3,CB$144)/12*(1+V_dVol),0))</f>
        <v>0</v>
      </c>
      <c r="CC153" s="34" t="n">
        <f aca="false">IF(CC$8=1,N(Reales!CC14),IF(CC$145=1,INDEX(Vol_V,3,CC$144)/12*(1+V_dVol),0))</f>
        <v>0</v>
      </c>
      <c r="CD153" s="34" t="n">
        <f aca="false">IF(CD$8=1,N(Reales!CD14),IF(CD$145=1,INDEX(Vol_V,3,CD$144)/12*(1+V_dVol),0))</f>
        <v>0</v>
      </c>
      <c r="CE153" s="34" t="n">
        <f aca="false">IF(CE$8=1,N(Reales!CE14),IF(CE$145=1,INDEX(Vol_V,3,CE$144)/12*(1+V_dVol),0))</f>
        <v>0</v>
      </c>
      <c r="CF153" s="34" t="n">
        <f aca="false">IF(CF$8=1,N(Reales!CF14),IF(CF$145=1,INDEX(Vol_V,3,CF$144)/12*(1+V_dVol),0))</f>
        <v>0</v>
      </c>
      <c r="CG153" s="34" t="n">
        <f aca="false">IF(CG$8=1,N(Reales!CG14),IF(CG$145=1,INDEX(Vol_V,3,CG$144)/12*(1+V_dVol),0))</f>
        <v>0</v>
      </c>
      <c r="CH153" s="34" t="n">
        <f aca="false">IF(CH$8=1,N(Reales!CH14),IF(CH$145=1,INDEX(Vol_V,3,CH$144)/12*(1+V_dVol),0))</f>
        <v>0</v>
      </c>
      <c r="CI153" s="34" t="n">
        <f aca="false">IF(CI$8=1,N(Reales!CI14),IF(CI$145=1,INDEX(Vol_V,3,CI$144)/12*(1+V_dVol),0))</f>
        <v>0</v>
      </c>
      <c r="CJ153" s="34" t="n">
        <f aca="false">IF(CJ$8=1,N(Reales!CJ14),IF(CJ$145=1,INDEX(Vol_V,3,CJ$144)/12*(1+V_dVol),0))</f>
        <v>0</v>
      </c>
      <c r="CK153" s="34" t="n">
        <f aca="false">IF(CK$8=1,N(Reales!CK14),IF(CK$145=1,INDEX(Vol_V,3,CK$144)/12*(1+V_dVol),0))</f>
        <v>0</v>
      </c>
      <c r="CL153" s="34" t="n">
        <f aca="false">IF(CL$8=1,N(Reales!CL14),IF(CL$145=1,INDEX(Vol_V,3,CL$144)/12*(1+V_dVol),0))</f>
        <v>0</v>
      </c>
      <c r="CM153" s="34" t="n">
        <f aca="false">IF(CM$8=1,N(Reales!CM14),IF(CM$145=1,INDEX(Vol_V,3,CM$144)/12*(1+V_dVol),0))</f>
        <v>0</v>
      </c>
      <c r="CN153" s="34" t="n">
        <f aca="false">IF(CN$8=1,N(Reales!CN14),IF(CN$145=1,INDEX(Vol_V,3,CN$144)/12*(1+V_dVol),0))</f>
        <v>0</v>
      </c>
      <c r="CO153" s="34" t="n">
        <f aca="false">IF(CO$8=1,N(Reales!CO14),IF(CO$145=1,INDEX(Vol_V,3,CO$144)/12*(1+V_dVol),0))</f>
        <v>0</v>
      </c>
      <c r="CP153" s="34" t="n">
        <f aca="false">IF(CP$8=1,N(Reales!CP14),IF(CP$145=1,INDEX(Vol_V,3,CP$144)/12*(1+V_dVol),0))</f>
        <v>0</v>
      </c>
      <c r="CQ153" s="34" t="n">
        <f aca="false">IF(CQ$8=1,N(Reales!CQ14),IF(CQ$145=1,INDEX(Vol_V,3,CQ$144)/12*(1+V_dVol),0))</f>
        <v>0</v>
      </c>
      <c r="CR153" s="34" t="n">
        <f aca="false">IF(CR$8=1,N(Reales!CR14),IF(CR$145=1,INDEX(Vol_V,3,CR$144)/12*(1+V_dVol),0))</f>
        <v>0</v>
      </c>
      <c r="CS153" s="34" t="n">
        <f aca="false">IF(CS$8=1,N(Reales!CS14),IF(CS$145=1,INDEX(Vol_V,3,CS$144)/12*(1+V_dVol),0))</f>
        <v>0</v>
      </c>
      <c r="CT153" s="34" t="n">
        <f aca="false">IF(CT$8=1,N(Reales!CT14),IF(CT$145=1,INDEX(Vol_V,3,CT$144)/12*(1+V_dVol),0))</f>
        <v>0</v>
      </c>
      <c r="CU153" s="34" t="n">
        <f aca="false">IF(CU$8=1,N(Reales!CU14),IF(CU$145=1,INDEX(Vol_V,3,CU$144)/12*(1+V_dVol),0))</f>
        <v>0</v>
      </c>
      <c r="CV153" s="34" t="n">
        <f aca="false">IF(CV$8=1,N(Reales!CV14),IF(CV$145=1,INDEX(Vol_V,3,CV$144)/12*(1+V_dVol),0))</f>
        <v>0</v>
      </c>
      <c r="CW153" s="34" t="n">
        <f aca="false">IF(CW$8=1,N(Reales!CW14),IF(CW$145=1,INDEX(Vol_V,3,CW$144)/12*(1+V_dVol),0))</f>
        <v>0</v>
      </c>
      <c r="CX153" s="34" t="n">
        <f aca="false">IF(CX$8=1,N(Reales!CX14),IF(CX$145=1,INDEX(Vol_V,3,CX$144)/12*(1+V_dVol),0))</f>
        <v>0</v>
      </c>
      <c r="CY153" s="34" t="n">
        <f aca="false">IF(CY$8=1,N(Reales!CY14),IF(CY$145=1,INDEX(Vol_V,3,CY$144)/12*(1+V_dVol),0))</f>
        <v>0</v>
      </c>
      <c r="CZ153" s="34" t="n">
        <f aca="false">IF(CZ$8=1,N(Reales!CZ14),IF(CZ$145=1,INDEX(Vol_V,3,CZ$144)/12*(1+V_dVol),0))</f>
        <v>0</v>
      </c>
      <c r="DA153" s="34" t="n">
        <f aca="false">IF(DA$8=1,N(Reales!DA14),IF(DA$145=1,INDEX(Vol_V,3,DA$144)/12*(1+V_dVol),0))</f>
        <v>0</v>
      </c>
      <c r="DB153" s="34" t="n">
        <f aca="false">IF(DB$8=1,N(Reales!DB14),IF(DB$145=1,INDEX(Vol_V,3,DB$144)/12*(1+V_dVol),0))</f>
        <v>0</v>
      </c>
      <c r="DC153" s="34" t="n">
        <f aca="false">IF(DC$8=1,N(Reales!DC14),IF(DC$145=1,INDEX(Vol_V,3,DC$144)/12*(1+V_dVol),0))</f>
        <v>0</v>
      </c>
      <c r="DD153" s="34" t="n">
        <f aca="false">IF(DD$8=1,N(Reales!DD14),IF(DD$145=1,INDEX(Vol_V,3,DD$144)/12*(1+V_dVol),0))</f>
        <v>0</v>
      </c>
      <c r="DE153" s="34" t="n">
        <f aca="false">IF(DE$8=1,N(Reales!DE14),IF(DE$145=1,INDEX(Vol_V,3,DE$144)/12*(1+V_dVol),0))</f>
        <v>0</v>
      </c>
      <c r="DF153" s="34" t="n">
        <f aca="false">IF(DF$8=1,N(Reales!DF14),IF(DF$145=1,INDEX(Vol_V,3,DF$144)/12*(1+V_dVol),0))</f>
        <v>0</v>
      </c>
      <c r="DG153" s="34" t="n">
        <f aca="false">IF(DG$8=1,N(Reales!DG14),IF(DG$145=1,INDEX(Vol_V,3,DG$144)/12*(1+V_dVol),0))</f>
        <v>0</v>
      </c>
      <c r="DH153" s="34" t="n">
        <f aca="false">IF(DH$8=1,N(Reales!DH14),IF(DH$145=1,INDEX(Vol_V,3,DH$144)/12*(1+V_dVol),0))</f>
        <v>0</v>
      </c>
      <c r="DI153" s="34" t="n">
        <f aca="false">IF(DI$8=1,N(Reales!DI14),IF(DI$145=1,INDEX(Vol_V,3,DI$144)/12*(1+V_dVol),0))</f>
        <v>0</v>
      </c>
      <c r="DJ153" s="34" t="n">
        <f aca="false">IF(DJ$8=1,N(Reales!DJ14),IF(DJ$145=1,INDEX(Vol_V,3,DJ$144)/12*(1+V_dVol),0))</f>
        <v>0</v>
      </c>
      <c r="DK153" s="34" t="n">
        <f aca="false">IF(DK$8=1,N(Reales!DK14),IF(DK$145=1,INDEX(Vol_V,3,DK$144)/12*(1+V_dVol),0))</f>
        <v>0</v>
      </c>
      <c r="DL153" s="34" t="n">
        <f aca="false">IF(DL$8=1,N(Reales!DL14),IF(DL$145=1,INDEX(Vol_V,3,DL$144)/12*(1+V_dVol),0))</f>
        <v>0</v>
      </c>
      <c r="DM153" s="34" t="n">
        <f aca="false">IF(DM$8=1,N(Reales!DM14),IF(DM$145=1,INDEX(Vol_V,3,DM$144)/12*(1+V_dVol),0))</f>
        <v>0</v>
      </c>
      <c r="DN153" s="34" t="n">
        <f aca="false">IF(DN$8=1,N(Reales!DN14),IF(DN$145=1,INDEX(Vol_V,3,DN$144)/12*(1+V_dVol),0))</f>
        <v>0</v>
      </c>
      <c r="DO153" s="34" t="n">
        <f aca="false">IF(DO$8=1,N(Reales!DO14),IF(DO$145=1,INDEX(Vol_V,3,DO$144)/12*(1+V_dVol),0))</f>
        <v>0</v>
      </c>
      <c r="DP153" s="34" t="n">
        <f aca="false">IF(DP$8=1,N(Reales!DP14),IF(DP$145=1,INDEX(Vol_V,3,DP$144)/12*(1+V_dVol),0))</f>
        <v>0</v>
      </c>
      <c r="DQ153" s="34" t="n">
        <f aca="false">IF(DQ$8=1,N(Reales!DQ14),IF(DQ$145=1,INDEX(Vol_V,3,DQ$144)/12*(1+V_dVol),0))</f>
        <v>0</v>
      </c>
      <c r="DR153" s="34" t="n">
        <f aca="false">IF(DR$8=1,N(Reales!DR14),IF(DR$145=1,INDEX(Vol_V,3,DR$144)/12*(1+V_dVol),0))</f>
        <v>0</v>
      </c>
      <c r="DS153" s="34" t="n">
        <f aca="false">IF(DS$8=1,N(Reales!DS14),IF(DS$145=1,INDEX(Vol_V,3,DS$144)/12*(1+V_dVol),0))</f>
        <v>0</v>
      </c>
      <c r="DT153" s="34" t="n">
        <f aca="false">IF(DT$8=1,N(Reales!DT14),IF(DT$145=1,INDEX(Vol_V,3,DT$144)/12*(1+V_dVol),0))</f>
        <v>0</v>
      </c>
      <c r="DU153" s="34" t="n">
        <f aca="false">IF(DU$8=1,N(Reales!DU14),IF(DU$145=1,INDEX(Vol_V,3,DU$144)/12*(1+V_dVol),0))</f>
        <v>0</v>
      </c>
      <c r="DV153" s="34" t="n">
        <f aca="false">IF(DV$8=1,N(Reales!DV14),IF(DV$145=1,INDEX(Vol_V,3,DV$144)/12*(1+V_dVol),0))</f>
        <v>0</v>
      </c>
      <c r="DW153" s="34" t="n">
        <f aca="false">IF(DW$8=1,N(Reales!DW14),IF(DW$145=1,INDEX(Vol_V,3,DW$144)/12*(1+V_dVol),0))</f>
        <v>0</v>
      </c>
      <c r="DX153" s="34" t="n">
        <f aca="false">IF(DX$8=1,N(Reales!DX14),IF(DX$145=1,INDEX(Vol_V,3,DX$144)/12*(1+V_dVol),0))</f>
        <v>0</v>
      </c>
      <c r="DY153" s="34" t="n">
        <f aca="false">IF(DY$8=1,N(Reales!DY14),IF(DY$145=1,INDEX(Vol_V,3,DY$144)/12*(1+V_dVol),0))</f>
        <v>0</v>
      </c>
      <c r="DZ153" s="34" t="n">
        <f aca="false">IF(DZ$8=1,N(Reales!DZ14),IF(DZ$145=1,INDEX(Vol_V,3,DZ$144)/12*(1+V_dVol),0))</f>
        <v>0</v>
      </c>
      <c r="EA153" s="34" t="n">
        <f aca="false">IF(EA$8=1,N(Reales!EA14),IF(EA$145=1,INDEX(Vol_V,3,EA$144)/12*(1+V_dVol),0))</f>
        <v>0</v>
      </c>
      <c r="EB153" s="34" t="n">
        <f aca="false">IF(EB$8=1,N(Reales!EB14),IF(EB$145=1,INDEX(Vol_V,3,EB$144)/12*(1+V_dVol),0))</f>
        <v>0</v>
      </c>
      <c r="EC153" s="34" t="n">
        <f aca="false">IF(EC$8=1,N(Reales!EC14),IF(EC$145=1,INDEX(Vol_V,3,EC$144)/12*(1+V_dVol),0))</f>
        <v>0</v>
      </c>
      <c r="ED153" s="34" t="n">
        <f aca="false">IF(ED$8=1,N(Reales!ED14),IF(ED$145=1,INDEX(Vol_V,3,ED$144)/12*(1+V_dVol),0))</f>
        <v>0</v>
      </c>
      <c r="EE153" s="34" t="n">
        <f aca="false">IF(EE$8=1,N(Reales!EE14),IF(EE$145=1,INDEX(Vol_V,3,EE$144)/12*(1+V_dVol),0))</f>
        <v>0</v>
      </c>
      <c r="EF153" s="34" t="n">
        <f aca="false">IF(EF$8=1,N(Reales!EF14),IF(EF$145=1,INDEX(Vol_V,3,EF$144)/12*(1+V_dVol),0))</f>
        <v>0</v>
      </c>
      <c r="EG153" s="34" t="n">
        <f aca="false">IF(EG$8=1,N(Reales!EG14),IF(EG$145=1,INDEX(Vol_V,3,EG$144)/12*(1+V_dVol),0))</f>
        <v>0</v>
      </c>
      <c r="EH153" s="34" t="n">
        <f aca="false">IF(EH$8=1,N(Reales!EH14),IF(EH$145=1,INDEX(Vol_V,3,EH$144)/12*(1+V_dVol),0))</f>
        <v>0</v>
      </c>
      <c r="EI153" s="34" t="n">
        <f aca="false">IF(EI$8=1,N(Reales!EI14),IF(EI$145=1,INDEX(Vol_V,3,EI$144)/12*(1+V_dVol),0))</f>
        <v>0</v>
      </c>
      <c r="EJ153" s="34" t="n">
        <f aca="false">IF(EJ$8=1,N(Reales!EJ14),IF(EJ$145=1,INDEX(Vol_V,3,EJ$144)/12*(1+V_dVol),0))</f>
        <v>0</v>
      </c>
      <c r="EK153" s="34" t="n">
        <f aca="false">IF(EK$8=1,N(Reales!EK14),IF(EK$145=1,INDEX(Vol_V,3,EK$144)/12*(1+V_dVol),0))</f>
        <v>0</v>
      </c>
      <c r="EL153" s="34" t="n">
        <f aca="false">IF(EL$8=1,N(Reales!EL14),IF(EL$145=1,INDEX(Vol_V,3,EL$144)/12*(1+V_dVol),0))</f>
        <v>0</v>
      </c>
      <c r="EM153" s="34" t="n">
        <f aca="false">IF(EM$8=1,N(Reales!EM14),IF(EM$145=1,INDEX(Vol_V,3,EM$144)/12*(1+V_dVol),0))</f>
        <v>0</v>
      </c>
      <c r="EN153" s="34" t="n">
        <f aca="false">IF(EN$8=1,N(Reales!EN14),IF(EN$145=1,INDEX(Vol_V,3,EN$144)/12*(1+V_dVol),0))</f>
        <v>0</v>
      </c>
      <c r="EO153" s="34" t="n">
        <f aca="false">IF(EO$8=1,N(Reales!EO14),IF(EO$145=1,INDEX(Vol_V,3,EO$144)/12*(1+V_dVol),0))</f>
        <v>0</v>
      </c>
      <c r="EP153" s="34" t="n">
        <f aca="false">IF(EP$8=1,N(Reales!EP14),IF(EP$145=1,INDEX(Vol_V,3,EP$144)/12*(1+V_dVol),0))</f>
        <v>0</v>
      </c>
      <c r="EQ153" s="34" t="n">
        <f aca="false">IF(EQ$8=1,N(Reales!EQ14),IF(EQ$145=1,INDEX(Vol_V,3,EQ$144)/12*(1+V_dVol),0))</f>
        <v>0</v>
      </c>
      <c r="ER153" s="34" t="n">
        <f aca="false">IF(ER$8=1,N(Reales!ER14),IF(ER$145=1,INDEX(Vol_V,3,ER$144)/12*(1+V_dVol),0))</f>
        <v>0</v>
      </c>
      <c r="ES153" s="34" t="n">
        <f aca="false">IF(ES$8=1,N(Reales!ES14),IF(ES$145=1,INDEX(Vol_V,3,ES$144)/12*(1+V_dVol),0))</f>
        <v>0</v>
      </c>
    </row>
    <row r="154" customFormat="false" ht="15" hidden="false" customHeight="false" outlineLevel="0" collapsed="false">
      <c r="A154" s="2" t="s">
        <v>770</v>
      </c>
      <c r="B154" s="39" t="str">
        <f aca="false">IF(INDEX(Prod_Nombre,4)="","Producto 4",INDEX(Prod_Nombre,4))&amp;" — unidades"</f>
        <v>Producto 4 — unidades</v>
      </c>
      <c r="C154" s="6" t="s">
        <v>286</v>
      </c>
      <c r="E154" s="40" t="n">
        <f aca="false">SUM(F154:ES154)</f>
        <v>0</v>
      </c>
      <c r="F154" s="34" t="n">
        <f aca="false">IF(F$8=1,N(Reales!F15),IF(F$145=1,INDEX(Vol_V,4,F$144)/12*(1+V_dVol),0))</f>
        <v>0</v>
      </c>
      <c r="G154" s="34" t="n">
        <f aca="false">IF(G$8=1,N(Reales!G15),IF(G$145=1,INDEX(Vol_V,4,G$144)/12*(1+V_dVol),0))</f>
        <v>0</v>
      </c>
      <c r="H154" s="34" t="n">
        <f aca="false">IF(H$8=1,N(Reales!H15),IF(H$145=1,INDEX(Vol_V,4,H$144)/12*(1+V_dVol),0))</f>
        <v>0</v>
      </c>
      <c r="I154" s="34" t="n">
        <f aca="false">IF(I$8=1,N(Reales!I15),IF(I$145=1,INDEX(Vol_V,4,I$144)/12*(1+V_dVol),0))</f>
        <v>0</v>
      </c>
      <c r="J154" s="34" t="n">
        <f aca="false">IF(J$8=1,N(Reales!J15),IF(J$145=1,INDEX(Vol_V,4,J$144)/12*(1+V_dVol),0))</f>
        <v>0</v>
      </c>
      <c r="K154" s="34" t="n">
        <f aca="false">IF(K$8=1,N(Reales!K15),IF(K$145=1,INDEX(Vol_V,4,K$144)/12*(1+V_dVol),0))</f>
        <v>0</v>
      </c>
      <c r="L154" s="34" t="n">
        <f aca="false">IF(L$8=1,N(Reales!L15),IF(L$145=1,INDEX(Vol_V,4,L$144)/12*(1+V_dVol),0))</f>
        <v>0</v>
      </c>
      <c r="M154" s="34" t="n">
        <f aca="false">IF(M$8=1,N(Reales!M15),IF(M$145=1,INDEX(Vol_V,4,M$144)/12*(1+V_dVol),0))</f>
        <v>0</v>
      </c>
      <c r="N154" s="34" t="n">
        <f aca="false">IF(N$8=1,N(Reales!N15),IF(N$145=1,INDEX(Vol_V,4,N$144)/12*(1+V_dVol),0))</f>
        <v>0</v>
      </c>
      <c r="O154" s="34" t="n">
        <f aca="false">IF(O$8=1,N(Reales!O15),IF(O$145=1,INDEX(Vol_V,4,O$144)/12*(1+V_dVol),0))</f>
        <v>0</v>
      </c>
      <c r="P154" s="34" t="n">
        <f aca="false">IF(P$8=1,N(Reales!P15),IF(P$145=1,INDEX(Vol_V,4,P$144)/12*(1+V_dVol),0))</f>
        <v>0</v>
      </c>
      <c r="Q154" s="34" t="n">
        <f aca="false">IF(Q$8=1,N(Reales!Q15),IF(Q$145=1,INDEX(Vol_V,4,Q$144)/12*(1+V_dVol),0))</f>
        <v>0</v>
      </c>
      <c r="R154" s="34" t="n">
        <f aca="false">IF(R$8=1,N(Reales!R15),IF(R$145=1,INDEX(Vol_V,4,R$144)/12*(1+V_dVol),0))</f>
        <v>0</v>
      </c>
      <c r="S154" s="34" t="n">
        <f aca="false">IF(S$8=1,N(Reales!S15),IF(S$145=1,INDEX(Vol_V,4,S$144)/12*(1+V_dVol),0))</f>
        <v>0</v>
      </c>
      <c r="T154" s="34" t="n">
        <f aca="false">IF(T$8=1,N(Reales!T15),IF(T$145=1,INDEX(Vol_V,4,T$144)/12*(1+V_dVol),0))</f>
        <v>0</v>
      </c>
      <c r="U154" s="34" t="n">
        <f aca="false">IF(U$8=1,N(Reales!U15),IF(U$145=1,INDEX(Vol_V,4,U$144)/12*(1+V_dVol),0))</f>
        <v>0</v>
      </c>
      <c r="V154" s="34" t="n">
        <f aca="false">IF(V$8=1,N(Reales!V15),IF(V$145=1,INDEX(Vol_V,4,V$144)/12*(1+V_dVol),0))</f>
        <v>0</v>
      </c>
      <c r="W154" s="34" t="n">
        <f aca="false">IF(W$8=1,N(Reales!W15),IF(W$145=1,INDEX(Vol_V,4,W$144)/12*(1+V_dVol),0))</f>
        <v>0</v>
      </c>
      <c r="X154" s="34" t="n">
        <f aca="false">IF(X$8=1,N(Reales!X15),IF(X$145=1,INDEX(Vol_V,4,X$144)/12*(1+V_dVol),0))</f>
        <v>0</v>
      </c>
      <c r="Y154" s="34" t="n">
        <f aca="false">IF(Y$8=1,N(Reales!Y15),IF(Y$145=1,INDEX(Vol_V,4,Y$144)/12*(1+V_dVol),0))</f>
        <v>0</v>
      </c>
      <c r="Z154" s="34" t="n">
        <f aca="false">IF(Z$8=1,N(Reales!Z15),IF(Z$145=1,INDEX(Vol_V,4,Z$144)/12*(1+V_dVol),0))</f>
        <v>0</v>
      </c>
      <c r="AA154" s="34" t="n">
        <f aca="false">IF(AA$8=1,N(Reales!AA15),IF(AA$145=1,INDEX(Vol_V,4,AA$144)/12*(1+V_dVol),0))</f>
        <v>0</v>
      </c>
      <c r="AB154" s="34" t="n">
        <f aca="false">IF(AB$8=1,N(Reales!AB15),IF(AB$145=1,INDEX(Vol_V,4,AB$144)/12*(1+V_dVol),0))</f>
        <v>0</v>
      </c>
      <c r="AC154" s="34" t="n">
        <f aca="false">IF(AC$8=1,N(Reales!AC15),IF(AC$145=1,INDEX(Vol_V,4,AC$144)/12*(1+V_dVol),0))</f>
        <v>0</v>
      </c>
      <c r="AD154" s="34" t="n">
        <f aca="false">IF(AD$8=1,N(Reales!AD15),IF(AD$145=1,INDEX(Vol_V,4,AD$144)/12*(1+V_dVol),0))</f>
        <v>0</v>
      </c>
      <c r="AE154" s="34" t="n">
        <f aca="false">IF(AE$8=1,N(Reales!AE15),IF(AE$145=1,INDEX(Vol_V,4,AE$144)/12*(1+V_dVol),0))</f>
        <v>0</v>
      </c>
      <c r="AF154" s="34" t="n">
        <f aca="false">IF(AF$8=1,N(Reales!AF15),IF(AF$145=1,INDEX(Vol_V,4,AF$144)/12*(1+V_dVol),0))</f>
        <v>0</v>
      </c>
      <c r="AG154" s="34" t="n">
        <f aca="false">IF(AG$8=1,N(Reales!AG15),IF(AG$145=1,INDEX(Vol_V,4,AG$144)/12*(1+V_dVol),0))</f>
        <v>0</v>
      </c>
      <c r="AH154" s="34" t="n">
        <f aca="false">IF(AH$8=1,N(Reales!AH15),IF(AH$145=1,INDEX(Vol_V,4,AH$144)/12*(1+V_dVol),0))</f>
        <v>0</v>
      </c>
      <c r="AI154" s="34" t="n">
        <f aca="false">IF(AI$8=1,N(Reales!AI15),IF(AI$145=1,INDEX(Vol_V,4,AI$144)/12*(1+V_dVol),0))</f>
        <v>0</v>
      </c>
      <c r="AJ154" s="34" t="n">
        <f aca="false">IF(AJ$8=1,N(Reales!AJ15),IF(AJ$145=1,INDEX(Vol_V,4,AJ$144)/12*(1+V_dVol),0))</f>
        <v>0</v>
      </c>
      <c r="AK154" s="34" t="n">
        <f aca="false">IF(AK$8=1,N(Reales!AK15),IF(AK$145=1,INDEX(Vol_V,4,AK$144)/12*(1+V_dVol),0))</f>
        <v>0</v>
      </c>
      <c r="AL154" s="34" t="n">
        <f aca="false">IF(AL$8=1,N(Reales!AL15),IF(AL$145=1,INDEX(Vol_V,4,AL$144)/12*(1+V_dVol),0))</f>
        <v>0</v>
      </c>
      <c r="AM154" s="34" t="n">
        <f aca="false">IF(AM$8=1,N(Reales!AM15),IF(AM$145=1,INDEX(Vol_V,4,AM$144)/12*(1+V_dVol),0))</f>
        <v>0</v>
      </c>
      <c r="AN154" s="34" t="n">
        <f aca="false">IF(AN$8=1,N(Reales!AN15),IF(AN$145=1,INDEX(Vol_V,4,AN$144)/12*(1+V_dVol),0))</f>
        <v>0</v>
      </c>
      <c r="AO154" s="34" t="n">
        <f aca="false">IF(AO$8=1,N(Reales!AO15),IF(AO$145=1,INDEX(Vol_V,4,AO$144)/12*(1+V_dVol),0))</f>
        <v>0</v>
      </c>
      <c r="AP154" s="34" t="n">
        <f aca="false">IF(AP$8=1,N(Reales!AP15),IF(AP$145=1,INDEX(Vol_V,4,AP$144)/12*(1+V_dVol),0))</f>
        <v>0</v>
      </c>
      <c r="AQ154" s="34" t="n">
        <f aca="false">IF(AQ$8=1,N(Reales!AQ15),IF(AQ$145=1,INDEX(Vol_V,4,AQ$144)/12*(1+V_dVol),0))</f>
        <v>0</v>
      </c>
      <c r="AR154" s="34" t="n">
        <f aca="false">IF(AR$8=1,N(Reales!AR15),IF(AR$145=1,INDEX(Vol_V,4,AR$144)/12*(1+V_dVol),0))</f>
        <v>0</v>
      </c>
      <c r="AS154" s="34" t="n">
        <f aca="false">IF(AS$8=1,N(Reales!AS15),IF(AS$145=1,INDEX(Vol_V,4,AS$144)/12*(1+V_dVol),0))</f>
        <v>0</v>
      </c>
      <c r="AT154" s="34" t="n">
        <f aca="false">IF(AT$8=1,N(Reales!AT15),IF(AT$145=1,INDEX(Vol_V,4,AT$144)/12*(1+V_dVol),0))</f>
        <v>0</v>
      </c>
      <c r="AU154" s="34" t="n">
        <f aca="false">IF(AU$8=1,N(Reales!AU15),IF(AU$145=1,INDEX(Vol_V,4,AU$144)/12*(1+V_dVol),0))</f>
        <v>0</v>
      </c>
      <c r="AV154" s="34" t="n">
        <f aca="false">IF(AV$8=1,N(Reales!AV15),IF(AV$145=1,INDEX(Vol_V,4,AV$144)/12*(1+V_dVol),0))</f>
        <v>0</v>
      </c>
      <c r="AW154" s="34" t="n">
        <f aca="false">IF(AW$8=1,N(Reales!AW15),IF(AW$145=1,INDEX(Vol_V,4,AW$144)/12*(1+V_dVol),0))</f>
        <v>0</v>
      </c>
      <c r="AX154" s="34" t="n">
        <f aca="false">IF(AX$8=1,N(Reales!AX15),IF(AX$145=1,INDEX(Vol_V,4,AX$144)/12*(1+V_dVol),0))</f>
        <v>0</v>
      </c>
      <c r="AY154" s="34" t="n">
        <f aca="false">IF(AY$8=1,N(Reales!AY15),IF(AY$145=1,INDEX(Vol_V,4,AY$144)/12*(1+V_dVol),0))</f>
        <v>0</v>
      </c>
      <c r="AZ154" s="34" t="n">
        <f aca="false">IF(AZ$8=1,N(Reales!AZ15),IF(AZ$145=1,INDEX(Vol_V,4,AZ$144)/12*(1+V_dVol),0))</f>
        <v>0</v>
      </c>
      <c r="BA154" s="34" t="n">
        <f aca="false">IF(BA$8=1,N(Reales!BA15),IF(BA$145=1,INDEX(Vol_V,4,BA$144)/12*(1+V_dVol),0))</f>
        <v>0</v>
      </c>
      <c r="BB154" s="34" t="n">
        <f aca="false">IF(BB$8=1,N(Reales!BB15),IF(BB$145=1,INDEX(Vol_V,4,BB$144)/12*(1+V_dVol),0))</f>
        <v>0</v>
      </c>
      <c r="BC154" s="34" t="n">
        <f aca="false">IF(BC$8=1,N(Reales!BC15),IF(BC$145=1,INDEX(Vol_V,4,BC$144)/12*(1+V_dVol),0))</f>
        <v>0</v>
      </c>
      <c r="BD154" s="34" t="n">
        <f aca="false">IF(BD$8=1,N(Reales!BD15),IF(BD$145=1,INDEX(Vol_V,4,BD$144)/12*(1+V_dVol),0))</f>
        <v>0</v>
      </c>
      <c r="BE154" s="34" t="n">
        <f aca="false">IF(BE$8=1,N(Reales!BE15),IF(BE$145=1,INDEX(Vol_V,4,BE$144)/12*(1+V_dVol),0))</f>
        <v>0</v>
      </c>
      <c r="BF154" s="34" t="n">
        <f aca="false">IF(BF$8=1,N(Reales!BF15),IF(BF$145=1,INDEX(Vol_V,4,BF$144)/12*(1+V_dVol),0))</f>
        <v>0</v>
      </c>
      <c r="BG154" s="34" t="n">
        <f aca="false">IF(BG$8=1,N(Reales!BG15),IF(BG$145=1,INDEX(Vol_V,4,BG$144)/12*(1+V_dVol),0))</f>
        <v>0</v>
      </c>
      <c r="BH154" s="34" t="n">
        <f aca="false">IF(BH$8=1,N(Reales!BH15),IF(BH$145=1,INDEX(Vol_V,4,BH$144)/12*(1+V_dVol),0))</f>
        <v>0</v>
      </c>
      <c r="BI154" s="34" t="n">
        <f aca="false">IF(BI$8=1,N(Reales!BI15),IF(BI$145=1,INDEX(Vol_V,4,BI$144)/12*(1+V_dVol),0))</f>
        <v>0</v>
      </c>
      <c r="BJ154" s="34" t="n">
        <f aca="false">IF(BJ$8=1,N(Reales!BJ15),IF(BJ$145=1,INDEX(Vol_V,4,BJ$144)/12*(1+V_dVol),0))</f>
        <v>0</v>
      </c>
      <c r="BK154" s="34" t="n">
        <f aca="false">IF(BK$8=1,N(Reales!BK15),IF(BK$145=1,INDEX(Vol_V,4,BK$144)/12*(1+V_dVol),0))</f>
        <v>0</v>
      </c>
      <c r="BL154" s="34" t="n">
        <f aca="false">IF(BL$8=1,N(Reales!BL15),IF(BL$145=1,INDEX(Vol_V,4,BL$144)/12*(1+V_dVol),0))</f>
        <v>0</v>
      </c>
      <c r="BM154" s="34" t="n">
        <f aca="false">IF(BM$8=1,N(Reales!BM15),IF(BM$145=1,INDEX(Vol_V,4,BM$144)/12*(1+V_dVol),0))</f>
        <v>0</v>
      </c>
      <c r="BN154" s="34" t="n">
        <f aca="false">IF(BN$8=1,N(Reales!BN15),IF(BN$145=1,INDEX(Vol_V,4,BN$144)/12*(1+V_dVol),0))</f>
        <v>0</v>
      </c>
      <c r="BO154" s="34" t="n">
        <f aca="false">IF(BO$8=1,N(Reales!BO15),IF(BO$145=1,INDEX(Vol_V,4,BO$144)/12*(1+V_dVol),0))</f>
        <v>0</v>
      </c>
      <c r="BP154" s="34" t="n">
        <f aca="false">IF(BP$8=1,N(Reales!BP15),IF(BP$145=1,INDEX(Vol_V,4,BP$144)/12*(1+V_dVol),0))</f>
        <v>0</v>
      </c>
      <c r="BQ154" s="34" t="n">
        <f aca="false">IF(BQ$8=1,N(Reales!BQ15),IF(BQ$145=1,INDEX(Vol_V,4,BQ$144)/12*(1+V_dVol),0))</f>
        <v>0</v>
      </c>
      <c r="BR154" s="34" t="n">
        <f aca="false">IF(BR$8=1,N(Reales!BR15),IF(BR$145=1,INDEX(Vol_V,4,BR$144)/12*(1+V_dVol),0))</f>
        <v>0</v>
      </c>
      <c r="BS154" s="34" t="n">
        <f aca="false">IF(BS$8=1,N(Reales!BS15),IF(BS$145=1,INDEX(Vol_V,4,BS$144)/12*(1+V_dVol),0))</f>
        <v>0</v>
      </c>
      <c r="BT154" s="34" t="n">
        <f aca="false">IF(BT$8=1,N(Reales!BT15),IF(BT$145=1,INDEX(Vol_V,4,BT$144)/12*(1+V_dVol),0))</f>
        <v>0</v>
      </c>
      <c r="BU154" s="34" t="n">
        <f aca="false">IF(BU$8=1,N(Reales!BU15),IF(BU$145=1,INDEX(Vol_V,4,BU$144)/12*(1+V_dVol),0))</f>
        <v>0</v>
      </c>
      <c r="BV154" s="34" t="n">
        <f aca="false">IF(BV$8=1,N(Reales!BV15),IF(BV$145=1,INDEX(Vol_V,4,BV$144)/12*(1+V_dVol),0))</f>
        <v>0</v>
      </c>
      <c r="BW154" s="34" t="n">
        <f aca="false">IF(BW$8=1,N(Reales!BW15),IF(BW$145=1,INDEX(Vol_V,4,BW$144)/12*(1+V_dVol),0))</f>
        <v>0</v>
      </c>
      <c r="BX154" s="34" t="n">
        <f aca="false">IF(BX$8=1,N(Reales!BX15),IF(BX$145=1,INDEX(Vol_V,4,BX$144)/12*(1+V_dVol),0))</f>
        <v>0</v>
      </c>
      <c r="BY154" s="34" t="n">
        <f aca="false">IF(BY$8=1,N(Reales!BY15),IF(BY$145=1,INDEX(Vol_V,4,BY$144)/12*(1+V_dVol),0))</f>
        <v>0</v>
      </c>
      <c r="BZ154" s="34" t="n">
        <f aca="false">IF(BZ$8=1,N(Reales!BZ15),IF(BZ$145=1,INDEX(Vol_V,4,BZ$144)/12*(1+V_dVol),0))</f>
        <v>0</v>
      </c>
      <c r="CA154" s="34" t="n">
        <f aca="false">IF(CA$8=1,N(Reales!CA15),IF(CA$145=1,INDEX(Vol_V,4,CA$144)/12*(1+V_dVol),0))</f>
        <v>0</v>
      </c>
      <c r="CB154" s="34" t="n">
        <f aca="false">IF(CB$8=1,N(Reales!CB15),IF(CB$145=1,INDEX(Vol_V,4,CB$144)/12*(1+V_dVol),0))</f>
        <v>0</v>
      </c>
      <c r="CC154" s="34" t="n">
        <f aca="false">IF(CC$8=1,N(Reales!CC15),IF(CC$145=1,INDEX(Vol_V,4,CC$144)/12*(1+V_dVol),0))</f>
        <v>0</v>
      </c>
      <c r="CD154" s="34" t="n">
        <f aca="false">IF(CD$8=1,N(Reales!CD15),IF(CD$145=1,INDEX(Vol_V,4,CD$144)/12*(1+V_dVol),0))</f>
        <v>0</v>
      </c>
      <c r="CE154" s="34" t="n">
        <f aca="false">IF(CE$8=1,N(Reales!CE15),IF(CE$145=1,INDEX(Vol_V,4,CE$144)/12*(1+V_dVol),0))</f>
        <v>0</v>
      </c>
      <c r="CF154" s="34" t="n">
        <f aca="false">IF(CF$8=1,N(Reales!CF15),IF(CF$145=1,INDEX(Vol_V,4,CF$144)/12*(1+V_dVol),0))</f>
        <v>0</v>
      </c>
      <c r="CG154" s="34" t="n">
        <f aca="false">IF(CG$8=1,N(Reales!CG15),IF(CG$145=1,INDEX(Vol_V,4,CG$144)/12*(1+V_dVol),0))</f>
        <v>0</v>
      </c>
      <c r="CH154" s="34" t="n">
        <f aca="false">IF(CH$8=1,N(Reales!CH15),IF(CH$145=1,INDEX(Vol_V,4,CH$144)/12*(1+V_dVol),0))</f>
        <v>0</v>
      </c>
      <c r="CI154" s="34" t="n">
        <f aca="false">IF(CI$8=1,N(Reales!CI15),IF(CI$145=1,INDEX(Vol_V,4,CI$144)/12*(1+V_dVol),0))</f>
        <v>0</v>
      </c>
      <c r="CJ154" s="34" t="n">
        <f aca="false">IF(CJ$8=1,N(Reales!CJ15),IF(CJ$145=1,INDEX(Vol_V,4,CJ$144)/12*(1+V_dVol),0))</f>
        <v>0</v>
      </c>
      <c r="CK154" s="34" t="n">
        <f aca="false">IF(CK$8=1,N(Reales!CK15),IF(CK$145=1,INDEX(Vol_V,4,CK$144)/12*(1+V_dVol),0))</f>
        <v>0</v>
      </c>
      <c r="CL154" s="34" t="n">
        <f aca="false">IF(CL$8=1,N(Reales!CL15),IF(CL$145=1,INDEX(Vol_V,4,CL$144)/12*(1+V_dVol),0))</f>
        <v>0</v>
      </c>
      <c r="CM154" s="34" t="n">
        <f aca="false">IF(CM$8=1,N(Reales!CM15),IF(CM$145=1,INDEX(Vol_V,4,CM$144)/12*(1+V_dVol),0))</f>
        <v>0</v>
      </c>
      <c r="CN154" s="34" t="n">
        <f aca="false">IF(CN$8=1,N(Reales!CN15),IF(CN$145=1,INDEX(Vol_V,4,CN$144)/12*(1+V_dVol),0))</f>
        <v>0</v>
      </c>
      <c r="CO154" s="34" t="n">
        <f aca="false">IF(CO$8=1,N(Reales!CO15),IF(CO$145=1,INDEX(Vol_V,4,CO$144)/12*(1+V_dVol),0))</f>
        <v>0</v>
      </c>
      <c r="CP154" s="34" t="n">
        <f aca="false">IF(CP$8=1,N(Reales!CP15),IF(CP$145=1,INDEX(Vol_V,4,CP$144)/12*(1+V_dVol),0))</f>
        <v>0</v>
      </c>
      <c r="CQ154" s="34" t="n">
        <f aca="false">IF(CQ$8=1,N(Reales!CQ15),IF(CQ$145=1,INDEX(Vol_V,4,CQ$144)/12*(1+V_dVol),0))</f>
        <v>0</v>
      </c>
      <c r="CR154" s="34" t="n">
        <f aca="false">IF(CR$8=1,N(Reales!CR15),IF(CR$145=1,INDEX(Vol_V,4,CR$144)/12*(1+V_dVol),0))</f>
        <v>0</v>
      </c>
      <c r="CS154" s="34" t="n">
        <f aca="false">IF(CS$8=1,N(Reales!CS15),IF(CS$145=1,INDEX(Vol_V,4,CS$144)/12*(1+V_dVol),0))</f>
        <v>0</v>
      </c>
      <c r="CT154" s="34" t="n">
        <f aca="false">IF(CT$8=1,N(Reales!CT15),IF(CT$145=1,INDEX(Vol_V,4,CT$144)/12*(1+V_dVol),0))</f>
        <v>0</v>
      </c>
      <c r="CU154" s="34" t="n">
        <f aca="false">IF(CU$8=1,N(Reales!CU15),IF(CU$145=1,INDEX(Vol_V,4,CU$144)/12*(1+V_dVol),0))</f>
        <v>0</v>
      </c>
      <c r="CV154" s="34" t="n">
        <f aca="false">IF(CV$8=1,N(Reales!CV15),IF(CV$145=1,INDEX(Vol_V,4,CV$144)/12*(1+V_dVol),0))</f>
        <v>0</v>
      </c>
      <c r="CW154" s="34" t="n">
        <f aca="false">IF(CW$8=1,N(Reales!CW15),IF(CW$145=1,INDEX(Vol_V,4,CW$144)/12*(1+V_dVol),0))</f>
        <v>0</v>
      </c>
      <c r="CX154" s="34" t="n">
        <f aca="false">IF(CX$8=1,N(Reales!CX15),IF(CX$145=1,INDEX(Vol_V,4,CX$144)/12*(1+V_dVol),0))</f>
        <v>0</v>
      </c>
      <c r="CY154" s="34" t="n">
        <f aca="false">IF(CY$8=1,N(Reales!CY15),IF(CY$145=1,INDEX(Vol_V,4,CY$144)/12*(1+V_dVol),0))</f>
        <v>0</v>
      </c>
      <c r="CZ154" s="34" t="n">
        <f aca="false">IF(CZ$8=1,N(Reales!CZ15),IF(CZ$145=1,INDEX(Vol_V,4,CZ$144)/12*(1+V_dVol),0))</f>
        <v>0</v>
      </c>
      <c r="DA154" s="34" t="n">
        <f aca="false">IF(DA$8=1,N(Reales!DA15),IF(DA$145=1,INDEX(Vol_V,4,DA$144)/12*(1+V_dVol),0))</f>
        <v>0</v>
      </c>
      <c r="DB154" s="34" t="n">
        <f aca="false">IF(DB$8=1,N(Reales!DB15),IF(DB$145=1,INDEX(Vol_V,4,DB$144)/12*(1+V_dVol),0))</f>
        <v>0</v>
      </c>
      <c r="DC154" s="34" t="n">
        <f aca="false">IF(DC$8=1,N(Reales!DC15),IF(DC$145=1,INDEX(Vol_V,4,DC$144)/12*(1+V_dVol),0))</f>
        <v>0</v>
      </c>
      <c r="DD154" s="34" t="n">
        <f aca="false">IF(DD$8=1,N(Reales!DD15),IF(DD$145=1,INDEX(Vol_V,4,DD$144)/12*(1+V_dVol),0))</f>
        <v>0</v>
      </c>
      <c r="DE154" s="34" t="n">
        <f aca="false">IF(DE$8=1,N(Reales!DE15),IF(DE$145=1,INDEX(Vol_V,4,DE$144)/12*(1+V_dVol),0))</f>
        <v>0</v>
      </c>
      <c r="DF154" s="34" t="n">
        <f aca="false">IF(DF$8=1,N(Reales!DF15),IF(DF$145=1,INDEX(Vol_V,4,DF$144)/12*(1+V_dVol),0))</f>
        <v>0</v>
      </c>
      <c r="DG154" s="34" t="n">
        <f aca="false">IF(DG$8=1,N(Reales!DG15),IF(DG$145=1,INDEX(Vol_V,4,DG$144)/12*(1+V_dVol),0))</f>
        <v>0</v>
      </c>
      <c r="DH154" s="34" t="n">
        <f aca="false">IF(DH$8=1,N(Reales!DH15),IF(DH$145=1,INDEX(Vol_V,4,DH$144)/12*(1+V_dVol),0))</f>
        <v>0</v>
      </c>
      <c r="DI154" s="34" t="n">
        <f aca="false">IF(DI$8=1,N(Reales!DI15),IF(DI$145=1,INDEX(Vol_V,4,DI$144)/12*(1+V_dVol),0))</f>
        <v>0</v>
      </c>
      <c r="DJ154" s="34" t="n">
        <f aca="false">IF(DJ$8=1,N(Reales!DJ15),IF(DJ$145=1,INDEX(Vol_V,4,DJ$144)/12*(1+V_dVol),0))</f>
        <v>0</v>
      </c>
      <c r="DK154" s="34" t="n">
        <f aca="false">IF(DK$8=1,N(Reales!DK15),IF(DK$145=1,INDEX(Vol_V,4,DK$144)/12*(1+V_dVol),0))</f>
        <v>0</v>
      </c>
      <c r="DL154" s="34" t="n">
        <f aca="false">IF(DL$8=1,N(Reales!DL15),IF(DL$145=1,INDEX(Vol_V,4,DL$144)/12*(1+V_dVol),0))</f>
        <v>0</v>
      </c>
      <c r="DM154" s="34" t="n">
        <f aca="false">IF(DM$8=1,N(Reales!DM15),IF(DM$145=1,INDEX(Vol_V,4,DM$144)/12*(1+V_dVol),0))</f>
        <v>0</v>
      </c>
      <c r="DN154" s="34" t="n">
        <f aca="false">IF(DN$8=1,N(Reales!DN15),IF(DN$145=1,INDEX(Vol_V,4,DN$144)/12*(1+V_dVol),0))</f>
        <v>0</v>
      </c>
      <c r="DO154" s="34" t="n">
        <f aca="false">IF(DO$8=1,N(Reales!DO15),IF(DO$145=1,INDEX(Vol_V,4,DO$144)/12*(1+V_dVol),0))</f>
        <v>0</v>
      </c>
      <c r="DP154" s="34" t="n">
        <f aca="false">IF(DP$8=1,N(Reales!DP15),IF(DP$145=1,INDEX(Vol_V,4,DP$144)/12*(1+V_dVol),0))</f>
        <v>0</v>
      </c>
      <c r="DQ154" s="34" t="n">
        <f aca="false">IF(DQ$8=1,N(Reales!DQ15),IF(DQ$145=1,INDEX(Vol_V,4,DQ$144)/12*(1+V_dVol),0))</f>
        <v>0</v>
      </c>
      <c r="DR154" s="34" t="n">
        <f aca="false">IF(DR$8=1,N(Reales!DR15),IF(DR$145=1,INDEX(Vol_V,4,DR$144)/12*(1+V_dVol),0))</f>
        <v>0</v>
      </c>
      <c r="DS154" s="34" t="n">
        <f aca="false">IF(DS$8=1,N(Reales!DS15),IF(DS$145=1,INDEX(Vol_V,4,DS$144)/12*(1+V_dVol),0))</f>
        <v>0</v>
      </c>
      <c r="DT154" s="34" t="n">
        <f aca="false">IF(DT$8=1,N(Reales!DT15),IF(DT$145=1,INDEX(Vol_V,4,DT$144)/12*(1+V_dVol),0))</f>
        <v>0</v>
      </c>
      <c r="DU154" s="34" t="n">
        <f aca="false">IF(DU$8=1,N(Reales!DU15),IF(DU$145=1,INDEX(Vol_V,4,DU$144)/12*(1+V_dVol),0))</f>
        <v>0</v>
      </c>
      <c r="DV154" s="34" t="n">
        <f aca="false">IF(DV$8=1,N(Reales!DV15),IF(DV$145=1,INDEX(Vol_V,4,DV$144)/12*(1+V_dVol),0))</f>
        <v>0</v>
      </c>
      <c r="DW154" s="34" t="n">
        <f aca="false">IF(DW$8=1,N(Reales!DW15),IF(DW$145=1,INDEX(Vol_V,4,DW$144)/12*(1+V_dVol),0))</f>
        <v>0</v>
      </c>
      <c r="DX154" s="34" t="n">
        <f aca="false">IF(DX$8=1,N(Reales!DX15),IF(DX$145=1,INDEX(Vol_V,4,DX$144)/12*(1+V_dVol),0))</f>
        <v>0</v>
      </c>
      <c r="DY154" s="34" t="n">
        <f aca="false">IF(DY$8=1,N(Reales!DY15),IF(DY$145=1,INDEX(Vol_V,4,DY$144)/12*(1+V_dVol),0))</f>
        <v>0</v>
      </c>
      <c r="DZ154" s="34" t="n">
        <f aca="false">IF(DZ$8=1,N(Reales!DZ15),IF(DZ$145=1,INDEX(Vol_V,4,DZ$144)/12*(1+V_dVol),0))</f>
        <v>0</v>
      </c>
      <c r="EA154" s="34" t="n">
        <f aca="false">IF(EA$8=1,N(Reales!EA15),IF(EA$145=1,INDEX(Vol_V,4,EA$144)/12*(1+V_dVol),0))</f>
        <v>0</v>
      </c>
      <c r="EB154" s="34" t="n">
        <f aca="false">IF(EB$8=1,N(Reales!EB15),IF(EB$145=1,INDEX(Vol_V,4,EB$144)/12*(1+V_dVol),0))</f>
        <v>0</v>
      </c>
      <c r="EC154" s="34" t="n">
        <f aca="false">IF(EC$8=1,N(Reales!EC15),IF(EC$145=1,INDEX(Vol_V,4,EC$144)/12*(1+V_dVol),0))</f>
        <v>0</v>
      </c>
      <c r="ED154" s="34" t="n">
        <f aca="false">IF(ED$8=1,N(Reales!ED15),IF(ED$145=1,INDEX(Vol_V,4,ED$144)/12*(1+V_dVol),0))</f>
        <v>0</v>
      </c>
      <c r="EE154" s="34" t="n">
        <f aca="false">IF(EE$8=1,N(Reales!EE15),IF(EE$145=1,INDEX(Vol_V,4,EE$144)/12*(1+V_dVol),0))</f>
        <v>0</v>
      </c>
      <c r="EF154" s="34" t="n">
        <f aca="false">IF(EF$8=1,N(Reales!EF15),IF(EF$145=1,INDEX(Vol_V,4,EF$144)/12*(1+V_dVol),0))</f>
        <v>0</v>
      </c>
      <c r="EG154" s="34" t="n">
        <f aca="false">IF(EG$8=1,N(Reales!EG15),IF(EG$145=1,INDEX(Vol_V,4,EG$144)/12*(1+V_dVol),0))</f>
        <v>0</v>
      </c>
      <c r="EH154" s="34" t="n">
        <f aca="false">IF(EH$8=1,N(Reales!EH15),IF(EH$145=1,INDEX(Vol_V,4,EH$144)/12*(1+V_dVol),0))</f>
        <v>0</v>
      </c>
      <c r="EI154" s="34" t="n">
        <f aca="false">IF(EI$8=1,N(Reales!EI15),IF(EI$145=1,INDEX(Vol_V,4,EI$144)/12*(1+V_dVol),0))</f>
        <v>0</v>
      </c>
      <c r="EJ154" s="34" t="n">
        <f aca="false">IF(EJ$8=1,N(Reales!EJ15),IF(EJ$145=1,INDEX(Vol_V,4,EJ$144)/12*(1+V_dVol),0))</f>
        <v>0</v>
      </c>
      <c r="EK154" s="34" t="n">
        <f aca="false">IF(EK$8=1,N(Reales!EK15),IF(EK$145=1,INDEX(Vol_V,4,EK$144)/12*(1+V_dVol),0))</f>
        <v>0</v>
      </c>
      <c r="EL154" s="34" t="n">
        <f aca="false">IF(EL$8=1,N(Reales!EL15),IF(EL$145=1,INDEX(Vol_V,4,EL$144)/12*(1+V_dVol),0))</f>
        <v>0</v>
      </c>
      <c r="EM154" s="34" t="n">
        <f aca="false">IF(EM$8=1,N(Reales!EM15),IF(EM$145=1,INDEX(Vol_V,4,EM$144)/12*(1+V_dVol),0))</f>
        <v>0</v>
      </c>
      <c r="EN154" s="34" t="n">
        <f aca="false">IF(EN$8=1,N(Reales!EN15),IF(EN$145=1,INDEX(Vol_V,4,EN$144)/12*(1+V_dVol),0))</f>
        <v>0</v>
      </c>
      <c r="EO154" s="34" t="n">
        <f aca="false">IF(EO$8=1,N(Reales!EO15),IF(EO$145=1,INDEX(Vol_V,4,EO$144)/12*(1+V_dVol),0))</f>
        <v>0</v>
      </c>
      <c r="EP154" s="34" t="n">
        <f aca="false">IF(EP$8=1,N(Reales!EP15),IF(EP$145=1,INDEX(Vol_V,4,EP$144)/12*(1+V_dVol),0))</f>
        <v>0</v>
      </c>
      <c r="EQ154" s="34" t="n">
        <f aca="false">IF(EQ$8=1,N(Reales!EQ15),IF(EQ$145=1,INDEX(Vol_V,4,EQ$144)/12*(1+V_dVol),0))</f>
        <v>0</v>
      </c>
      <c r="ER154" s="34" t="n">
        <f aca="false">IF(ER$8=1,N(Reales!ER15),IF(ER$145=1,INDEX(Vol_V,4,ER$144)/12*(1+V_dVol),0))</f>
        <v>0</v>
      </c>
      <c r="ES154" s="34" t="n">
        <f aca="false">IF(ES$8=1,N(Reales!ES15),IF(ES$145=1,INDEX(Vol_V,4,ES$144)/12*(1+V_dVol),0))</f>
        <v>0</v>
      </c>
    </row>
    <row r="155" customFormat="false" ht="15" hidden="false" customHeight="false" outlineLevel="0" collapsed="false">
      <c r="A155" s="2" t="s">
        <v>771</v>
      </c>
      <c r="B155" s="39" t="str">
        <f aca="false">IF(INDEX(Prod_Nombre,5)="","Producto 5",INDEX(Prod_Nombre,5))&amp;" — unidades"</f>
        <v>Producto 5 — unidades</v>
      </c>
      <c r="C155" s="6" t="s">
        <v>286</v>
      </c>
      <c r="E155" s="40" t="n">
        <f aca="false">SUM(F155:ES155)</f>
        <v>0</v>
      </c>
      <c r="F155" s="34" t="n">
        <f aca="false">IF(F$8=1,N(Reales!F16),IF(F$145=1,INDEX(Vol_V,5,F$144)/12*(1+V_dVol),0))</f>
        <v>0</v>
      </c>
      <c r="G155" s="34" t="n">
        <f aca="false">IF(G$8=1,N(Reales!G16),IF(G$145=1,INDEX(Vol_V,5,G$144)/12*(1+V_dVol),0))</f>
        <v>0</v>
      </c>
      <c r="H155" s="34" t="n">
        <f aca="false">IF(H$8=1,N(Reales!H16),IF(H$145=1,INDEX(Vol_V,5,H$144)/12*(1+V_dVol),0))</f>
        <v>0</v>
      </c>
      <c r="I155" s="34" t="n">
        <f aca="false">IF(I$8=1,N(Reales!I16),IF(I$145=1,INDEX(Vol_V,5,I$144)/12*(1+V_dVol),0))</f>
        <v>0</v>
      </c>
      <c r="J155" s="34" t="n">
        <f aca="false">IF(J$8=1,N(Reales!J16),IF(J$145=1,INDEX(Vol_V,5,J$144)/12*(1+V_dVol),0))</f>
        <v>0</v>
      </c>
      <c r="K155" s="34" t="n">
        <f aca="false">IF(K$8=1,N(Reales!K16),IF(K$145=1,INDEX(Vol_V,5,K$144)/12*(1+V_dVol),0))</f>
        <v>0</v>
      </c>
      <c r="L155" s="34" t="n">
        <f aca="false">IF(L$8=1,N(Reales!L16),IF(L$145=1,INDEX(Vol_V,5,L$144)/12*(1+V_dVol),0))</f>
        <v>0</v>
      </c>
      <c r="M155" s="34" t="n">
        <f aca="false">IF(M$8=1,N(Reales!M16),IF(M$145=1,INDEX(Vol_V,5,M$144)/12*(1+V_dVol),0))</f>
        <v>0</v>
      </c>
      <c r="N155" s="34" t="n">
        <f aca="false">IF(N$8=1,N(Reales!N16),IF(N$145=1,INDEX(Vol_V,5,N$144)/12*(1+V_dVol),0))</f>
        <v>0</v>
      </c>
      <c r="O155" s="34" t="n">
        <f aca="false">IF(O$8=1,N(Reales!O16),IF(O$145=1,INDEX(Vol_V,5,O$144)/12*(1+V_dVol),0))</f>
        <v>0</v>
      </c>
      <c r="P155" s="34" t="n">
        <f aca="false">IF(P$8=1,N(Reales!P16),IF(P$145=1,INDEX(Vol_V,5,P$144)/12*(1+V_dVol),0))</f>
        <v>0</v>
      </c>
      <c r="Q155" s="34" t="n">
        <f aca="false">IF(Q$8=1,N(Reales!Q16),IF(Q$145=1,INDEX(Vol_V,5,Q$144)/12*(1+V_dVol),0))</f>
        <v>0</v>
      </c>
      <c r="R155" s="34" t="n">
        <f aca="false">IF(R$8=1,N(Reales!R16),IF(R$145=1,INDEX(Vol_V,5,R$144)/12*(1+V_dVol),0))</f>
        <v>0</v>
      </c>
      <c r="S155" s="34" t="n">
        <f aca="false">IF(S$8=1,N(Reales!S16),IF(S$145=1,INDEX(Vol_V,5,S$144)/12*(1+V_dVol),0))</f>
        <v>0</v>
      </c>
      <c r="T155" s="34" t="n">
        <f aca="false">IF(T$8=1,N(Reales!T16),IF(T$145=1,INDEX(Vol_V,5,T$144)/12*(1+V_dVol),0))</f>
        <v>0</v>
      </c>
      <c r="U155" s="34" t="n">
        <f aca="false">IF(U$8=1,N(Reales!U16),IF(U$145=1,INDEX(Vol_V,5,U$144)/12*(1+V_dVol),0))</f>
        <v>0</v>
      </c>
      <c r="V155" s="34" t="n">
        <f aca="false">IF(V$8=1,N(Reales!V16),IF(V$145=1,INDEX(Vol_V,5,V$144)/12*(1+V_dVol),0))</f>
        <v>0</v>
      </c>
      <c r="W155" s="34" t="n">
        <f aca="false">IF(W$8=1,N(Reales!W16),IF(W$145=1,INDEX(Vol_V,5,W$144)/12*(1+V_dVol),0))</f>
        <v>0</v>
      </c>
      <c r="X155" s="34" t="n">
        <f aca="false">IF(X$8=1,N(Reales!X16),IF(X$145=1,INDEX(Vol_V,5,X$144)/12*(1+V_dVol),0))</f>
        <v>0</v>
      </c>
      <c r="Y155" s="34" t="n">
        <f aca="false">IF(Y$8=1,N(Reales!Y16),IF(Y$145=1,INDEX(Vol_V,5,Y$144)/12*(1+V_dVol),0))</f>
        <v>0</v>
      </c>
      <c r="Z155" s="34" t="n">
        <f aca="false">IF(Z$8=1,N(Reales!Z16),IF(Z$145=1,INDEX(Vol_V,5,Z$144)/12*(1+V_dVol),0))</f>
        <v>0</v>
      </c>
      <c r="AA155" s="34" t="n">
        <f aca="false">IF(AA$8=1,N(Reales!AA16),IF(AA$145=1,INDEX(Vol_V,5,AA$144)/12*(1+V_dVol),0))</f>
        <v>0</v>
      </c>
      <c r="AB155" s="34" t="n">
        <f aca="false">IF(AB$8=1,N(Reales!AB16),IF(AB$145=1,INDEX(Vol_V,5,AB$144)/12*(1+V_dVol),0))</f>
        <v>0</v>
      </c>
      <c r="AC155" s="34" t="n">
        <f aca="false">IF(AC$8=1,N(Reales!AC16),IF(AC$145=1,INDEX(Vol_V,5,AC$144)/12*(1+V_dVol),0))</f>
        <v>0</v>
      </c>
      <c r="AD155" s="34" t="n">
        <f aca="false">IF(AD$8=1,N(Reales!AD16),IF(AD$145=1,INDEX(Vol_V,5,AD$144)/12*(1+V_dVol),0))</f>
        <v>0</v>
      </c>
      <c r="AE155" s="34" t="n">
        <f aca="false">IF(AE$8=1,N(Reales!AE16),IF(AE$145=1,INDEX(Vol_V,5,AE$144)/12*(1+V_dVol),0))</f>
        <v>0</v>
      </c>
      <c r="AF155" s="34" t="n">
        <f aca="false">IF(AF$8=1,N(Reales!AF16),IF(AF$145=1,INDEX(Vol_V,5,AF$144)/12*(1+V_dVol),0))</f>
        <v>0</v>
      </c>
      <c r="AG155" s="34" t="n">
        <f aca="false">IF(AG$8=1,N(Reales!AG16),IF(AG$145=1,INDEX(Vol_V,5,AG$144)/12*(1+V_dVol),0))</f>
        <v>0</v>
      </c>
      <c r="AH155" s="34" t="n">
        <f aca="false">IF(AH$8=1,N(Reales!AH16),IF(AH$145=1,INDEX(Vol_V,5,AH$144)/12*(1+V_dVol),0))</f>
        <v>0</v>
      </c>
      <c r="AI155" s="34" t="n">
        <f aca="false">IF(AI$8=1,N(Reales!AI16),IF(AI$145=1,INDEX(Vol_V,5,AI$144)/12*(1+V_dVol),0))</f>
        <v>0</v>
      </c>
      <c r="AJ155" s="34" t="n">
        <f aca="false">IF(AJ$8=1,N(Reales!AJ16),IF(AJ$145=1,INDEX(Vol_V,5,AJ$144)/12*(1+V_dVol),0))</f>
        <v>0</v>
      </c>
      <c r="AK155" s="34" t="n">
        <f aca="false">IF(AK$8=1,N(Reales!AK16),IF(AK$145=1,INDEX(Vol_V,5,AK$144)/12*(1+V_dVol),0))</f>
        <v>0</v>
      </c>
      <c r="AL155" s="34" t="n">
        <f aca="false">IF(AL$8=1,N(Reales!AL16),IF(AL$145=1,INDEX(Vol_V,5,AL$144)/12*(1+V_dVol),0))</f>
        <v>0</v>
      </c>
      <c r="AM155" s="34" t="n">
        <f aca="false">IF(AM$8=1,N(Reales!AM16),IF(AM$145=1,INDEX(Vol_V,5,AM$144)/12*(1+V_dVol),0))</f>
        <v>0</v>
      </c>
      <c r="AN155" s="34" t="n">
        <f aca="false">IF(AN$8=1,N(Reales!AN16),IF(AN$145=1,INDEX(Vol_V,5,AN$144)/12*(1+V_dVol),0))</f>
        <v>0</v>
      </c>
      <c r="AO155" s="34" t="n">
        <f aca="false">IF(AO$8=1,N(Reales!AO16),IF(AO$145=1,INDEX(Vol_V,5,AO$144)/12*(1+V_dVol),0))</f>
        <v>0</v>
      </c>
      <c r="AP155" s="34" t="n">
        <f aca="false">IF(AP$8=1,N(Reales!AP16),IF(AP$145=1,INDEX(Vol_V,5,AP$144)/12*(1+V_dVol),0))</f>
        <v>0</v>
      </c>
      <c r="AQ155" s="34" t="n">
        <f aca="false">IF(AQ$8=1,N(Reales!AQ16),IF(AQ$145=1,INDEX(Vol_V,5,AQ$144)/12*(1+V_dVol),0))</f>
        <v>0</v>
      </c>
      <c r="AR155" s="34" t="n">
        <f aca="false">IF(AR$8=1,N(Reales!AR16),IF(AR$145=1,INDEX(Vol_V,5,AR$144)/12*(1+V_dVol),0))</f>
        <v>0</v>
      </c>
      <c r="AS155" s="34" t="n">
        <f aca="false">IF(AS$8=1,N(Reales!AS16),IF(AS$145=1,INDEX(Vol_V,5,AS$144)/12*(1+V_dVol),0))</f>
        <v>0</v>
      </c>
      <c r="AT155" s="34" t="n">
        <f aca="false">IF(AT$8=1,N(Reales!AT16),IF(AT$145=1,INDEX(Vol_V,5,AT$144)/12*(1+V_dVol),0))</f>
        <v>0</v>
      </c>
      <c r="AU155" s="34" t="n">
        <f aca="false">IF(AU$8=1,N(Reales!AU16),IF(AU$145=1,INDEX(Vol_V,5,AU$144)/12*(1+V_dVol),0))</f>
        <v>0</v>
      </c>
      <c r="AV155" s="34" t="n">
        <f aca="false">IF(AV$8=1,N(Reales!AV16),IF(AV$145=1,INDEX(Vol_V,5,AV$144)/12*(1+V_dVol),0))</f>
        <v>0</v>
      </c>
      <c r="AW155" s="34" t="n">
        <f aca="false">IF(AW$8=1,N(Reales!AW16),IF(AW$145=1,INDEX(Vol_V,5,AW$144)/12*(1+V_dVol),0))</f>
        <v>0</v>
      </c>
      <c r="AX155" s="34" t="n">
        <f aca="false">IF(AX$8=1,N(Reales!AX16),IF(AX$145=1,INDEX(Vol_V,5,AX$144)/12*(1+V_dVol),0))</f>
        <v>0</v>
      </c>
      <c r="AY155" s="34" t="n">
        <f aca="false">IF(AY$8=1,N(Reales!AY16),IF(AY$145=1,INDEX(Vol_V,5,AY$144)/12*(1+V_dVol),0))</f>
        <v>0</v>
      </c>
      <c r="AZ155" s="34" t="n">
        <f aca="false">IF(AZ$8=1,N(Reales!AZ16),IF(AZ$145=1,INDEX(Vol_V,5,AZ$144)/12*(1+V_dVol),0))</f>
        <v>0</v>
      </c>
      <c r="BA155" s="34" t="n">
        <f aca="false">IF(BA$8=1,N(Reales!BA16),IF(BA$145=1,INDEX(Vol_V,5,BA$144)/12*(1+V_dVol),0))</f>
        <v>0</v>
      </c>
      <c r="BB155" s="34" t="n">
        <f aca="false">IF(BB$8=1,N(Reales!BB16),IF(BB$145=1,INDEX(Vol_V,5,BB$144)/12*(1+V_dVol),0))</f>
        <v>0</v>
      </c>
      <c r="BC155" s="34" t="n">
        <f aca="false">IF(BC$8=1,N(Reales!BC16),IF(BC$145=1,INDEX(Vol_V,5,BC$144)/12*(1+V_dVol),0))</f>
        <v>0</v>
      </c>
      <c r="BD155" s="34" t="n">
        <f aca="false">IF(BD$8=1,N(Reales!BD16),IF(BD$145=1,INDEX(Vol_V,5,BD$144)/12*(1+V_dVol),0))</f>
        <v>0</v>
      </c>
      <c r="BE155" s="34" t="n">
        <f aca="false">IF(BE$8=1,N(Reales!BE16),IF(BE$145=1,INDEX(Vol_V,5,BE$144)/12*(1+V_dVol),0))</f>
        <v>0</v>
      </c>
      <c r="BF155" s="34" t="n">
        <f aca="false">IF(BF$8=1,N(Reales!BF16),IF(BF$145=1,INDEX(Vol_V,5,BF$144)/12*(1+V_dVol),0))</f>
        <v>0</v>
      </c>
      <c r="BG155" s="34" t="n">
        <f aca="false">IF(BG$8=1,N(Reales!BG16),IF(BG$145=1,INDEX(Vol_V,5,BG$144)/12*(1+V_dVol),0))</f>
        <v>0</v>
      </c>
      <c r="BH155" s="34" t="n">
        <f aca="false">IF(BH$8=1,N(Reales!BH16),IF(BH$145=1,INDEX(Vol_V,5,BH$144)/12*(1+V_dVol),0))</f>
        <v>0</v>
      </c>
      <c r="BI155" s="34" t="n">
        <f aca="false">IF(BI$8=1,N(Reales!BI16),IF(BI$145=1,INDEX(Vol_V,5,BI$144)/12*(1+V_dVol),0))</f>
        <v>0</v>
      </c>
      <c r="BJ155" s="34" t="n">
        <f aca="false">IF(BJ$8=1,N(Reales!BJ16),IF(BJ$145=1,INDEX(Vol_V,5,BJ$144)/12*(1+V_dVol),0))</f>
        <v>0</v>
      </c>
      <c r="BK155" s="34" t="n">
        <f aca="false">IF(BK$8=1,N(Reales!BK16),IF(BK$145=1,INDEX(Vol_V,5,BK$144)/12*(1+V_dVol),0))</f>
        <v>0</v>
      </c>
      <c r="BL155" s="34" t="n">
        <f aca="false">IF(BL$8=1,N(Reales!BL16),IF(BL$145=1,INDEX(Vol_V,5,BL$144)/12*(1+V_dVol),0))</f>
        <v>0</v>
      </c>
      <c r="BM155" s="34" t="n">
        <f aca="false">IF(BM$8=1,N(Reales!BM16),IF(BM$145=1,INDEX(Vol_V,5,BM$144)/12*(1+V_dVol),0))</f>
        <v>0</v>
      </c>
      <c r="BN155" s="34" t="n">
        <f aca="false">IF(BN$8=1,N(Reales!BN16),IF(BN$145=1,INDEX(Vol_V,5,BN$144)/12*(1+V_dVol),0))</f>
        <v>0</v>
      </c>
      <c r="BO155" s="34" t="n">
        <f aca="false">IF(BO$8=1,N(Reales!BO16),IF(BO$145=1,INDEX(Vol_V,5,BO$144)/12*(1+V_dVol),0))</f>
        <v>0</v>
      </c>
      <c r="BP155" s="34" t="n">
        <f aca="false">IF(BP$8=1,N(Reales!BP16),IF(BP$145=1,INDEX(Vol_V,5,BP$144)/12*(1+V_dVol),0))</f>
        <v>0</v>
      </c>
      <c r="BQ155" s="34" t="n">
        <f aca="false">IF(BQ$8=1,N(Reales!BQ16),IF(BQ$145=1,INDEX(Vol_V,5,BQ$144)/12*(1+V_dVol),0))</f>
        <v>0</v>
      </c>
      <c r="BR155" s="34" t="n">
        <f aca="false">IF(BR$8=1,N(Reales!BR16),IF(BR$145=1,INDEX(Vol_V,5,BR$144)/12*(1+V_dVol),0))</f>
        <v>0</v>
      </c>
      <c r="BS155" s="34" t="n">
        <f aca="false">IF(BS$8=1,N(Reales!BS16),IF(BS$145=1,INDEX(Vol_V,5,BS$144)/12*(1+V_dVol),0))</f>
        <v>0</v>
      </c>
      <c r="BT155" s="34" t="n">
        <f aca="false">IF(BT$8=1,N(Reales!BT16),IF(BT$145=1,INDEX(Vol_V,5,BT$144)/12*(1+V_dVol),0))</f>
        <v>0</v>
      </c>
      <c r="BU155" s="34" t="n">
        <f aca="false">IF(BU$8=1,N(Reales!BU16),IF(BU$145=1,INDEX(Vol_V,5,BU$144)/12*(1+V_dVol),0))</f>
        <v>0</v>
      </c>
      <c r="BV155" s="34" t="n">
        <f aca="false">IF(BV$8=1,N(Reales!BV16),IF(BV$145=1,INDEX(Vol_V,5,BV$144)/12*(1+V_dVol),0))</f>
        <v>0</v>
      </c>
      <c r="BW155" s="34" t="n">
        <f aca="false">IF(BW$8=1,N(Reales!BW16),IF(BW$145=1,INDEX(Vol_V,5,BW$144)/12*(1+V_dVol),0))</f>
        <v>0</v>
      </c>
      <c r="BX155" s="34" t="n">
        <f aca="false">IF(BX$8=1,N(Reales!BX16),IF(BX$145=1,INDEX(Vol_V,5,BX$144)/12*(1+V_dVol),0))</f>
        <v>0</v>
      </c>
      <c r="BY155" s="34" t="n">
        <f aca="false">IF(BY$8=1,N(Reales!BY16),IF(BY$145=1,INDEX(Vol_V,5,BY$144)/12*(1+V_dVol),0))</f>
        <v>0</v>
      </c>
      <c r="BZ155" s="34" t="n">
        <f aca="false">IF(BZ$8=1,N(Reales!BZ16),IF(BZ$145=1,INDEX(Vol_V,5,BZ$144)/12*(1+V_dVol),0))</f>
        <v>0</v>
      </c>
      <c r="CA155" s="34" t="n">
        <f aca="false">IF(CA$8=1,N(Reales!CA16),IF(CA$145=1,INDEX(Vol_V,5,CA$144)/12*(1+V_dVol),0))</f>
        <v>0</v>
      </c>
      <c r="CB155" s="34" t="n">
        <f aca="false">IF(CB$8=1,N(Reales!CB16),IF(CB$145=1,INDEX(Vol_V,5,CB$144)/12*(1+V_dVol),0))</f>
        <v>0</v>
      </c>
      <c r="CC155" s="34" t="n">
        <f aca="false">IF(CC$8=1,N(Reales!CC16),IF(CC$145=1,INDEX(Vol_V,5,CC$144)/12*(1+V_dVol),0))</f>
        <v>0</v>
      </c>
      <c r="CD155" s="34" t="n">
        <f aca="false">IF(CD$8=1,N(Reales!CD16),IF(CD$145=1,INDEX(Vol_V,5,CD$144)/12*(1+V_dVol),0))</f>
        <v>0</v>
      </c>
      <c r="CE155" s="34" t="n">
        <f aca="false">IF(CE$8=1,N(Reales!CE16),IF(CE$145=1,INDEX(Vol_V,5,CE$144)/12*(1+V_dVol),0))</f>
        <v>0</v>
      </c>
      <c r="CF155" s="34" t="n">
        <f aca="false">IF(CF$8=1,N(Reales!CF16),IF(CF$145=1,INDEX(Vol_V,5,CF$144)/12*(1+V_dVol),0))</f>
        <v>0</v>
      </c>
      <c r="CG155" s="34" t="n">
        <f aca="false">IF(CG$8=1,N(Reales!CG16),IF(CG$145=1,INDEX(Vol_V,5,CG$144)/12*(1+V_dVol),0))</f>
        <v>0</v>
      </c>
      <c r="CH155" s="34" t="n">
        <f aca="false">IF(CH$8=1,N(Reales!CH16),IF(CH$145=1,INDEX(Vol_V,5,CH$144)/12*(1+V_dVol),0))</f>
        <v>0</v>
      </c>
      <c r="CI155" s="34" t="n">
        <f aca="false">IF(CI$8=1,N(Reales!CI16),IF(CI$145=1,INDEX(Vol_V,5,CI$144)/12*(1+V_dVol),0))</f>
        <v>0</v>
      </c>
      <c r="CJ155" s="34" t="n">
        <f aca="false">IF(CJ$8=1,N(Reales!CJ16),IF(CJ$145=1,INDEX(Vol_V,5,CJ$144)/12*(1+V_dVol),0))</f>
        <v>0</v>
      </c>
      <c r="CK155" s="34" t="n">
        <f aca="false">IF(CK$8=1,N(Reales!CK16),IF(CK$145=1,INDEX(Vol_V,5,CK$144)/12*(1+V_dVol),0))</f>
        <v>0</v>
      </c>
      <c r="CL155" s="34" t="n">
        <f aca="false">IF(CL$8=1,N(Reales!CL16),IF(CL$145=1,INDEX(Vol_V,5,CL$144)/12*(1+V_dVol),0))</f>
        <v>0</v>
      </c>
      <c r="CM155" s="34" t="n">
        <f aca="false">IF(CM$8=1,N(Reales!CM16),IF(CM$145=1,INDEX(Vol_V,5,CM$144)/12*(1+V_dVol),0))</f>
        <v>0</v>
      </c>
      <c r="CN155" s="34" t="n">
        <f aca="false">IF(CN$8=1,N(Reales!CN16),IF(CN$145=1,INDEX(Vol_V,5,CN$144)/12*(1+V_dVol),0))</f>
        <v>0</v>
      </c>
      <c r="CO155" s="34" t="n">
        <f aca="false">IF(CO$8=1,N(Reales!CO16),IF(CO$145=1,INDEX(Vol_V,5,CO$144)/12*(1+V_dVol),0))</f>
        <v>0</v>
      </c>
      <c r="CP155" s="34" t="n">
        <f aca="false">IF(CP$8=1,N(Reales!CP16),IF(CP$145=1,INDEX(Vol_V,5,CP$144)/12*(1+V_dVol),0))</f>
        <v>0</v>
      </c>
      <c r="CQ155" s="34" t="n">
        <f aca="false">IF(CQ$8=1,N(Reales!CQ16),IF(CQ$145=1,INDEX(Vol_V,5,CQ$144)/12*(1+V_dVol),0))</f>
        <v>0</v>
      </c>
      <c r="CR155" s="34" t="n">
        <f aca="false">IF(CR$8=1,N(Reales!CR16),IF(CR$145=1,INDEX(Vol_V,5,CR$144)/12*(1+V_dVol),0))</f>
        <v>0</v>
      </c>
      <c r="CS155" s="34" t="n">
        <f aca="false">IF(CS$8=1,N(Reales!CS16),IF(CS$145=1,INDEX(Vol_V,5,CS$144)/12*(1+V_dVol),0))</f>
        <v>0</v>
      </c>
      <c r="CT155" s="34" t="n">
        <f aca="false">IF(CT$8=1,N(Reales!CT16),IF(CT$145=1,INDEX(Vol_V,5,CT$144)/12*(1+V_dVol),0))</f>
        <v>0</v>
      </c>
      <c r="CU155" s="34" t="n">
        <f aca="false">IF(CU$8=1,N(Reales!CU16),IF(CU$145=1,INDEX(Vol_V,5,CU$144)/12*(1+V_dVol),0))</f>
        <v>0</v>
      </c>
      <c r="CV155" s="34" t="n">
        <f aca="false">IF(CV$8=1,N(Reales!CV16),IF(CV$145=1,INDEX(Vol_V,5,CV$144)/12*(1+V_dVol),0))</f>
        <v>0</v>
      </c>
      <c r="CW155" s="34" t="n">
        <f aca="false">IF(CW$8=1,N(Reales!CW16),IF(CW$145=1,INDEX(Vol_V,5,CW$144)/12*(1+V_dVol),0))</f>
        <v>0</v>
      </c>
      <c r="CX155" s="34" t="n">
        <f aca="false">IF(CX$8=1,N(Reales!CX16),IF(CX$145=1,INDEX(Vol_V,5,CX$144)/12*(1+V_dVol),0))</f>
        <v>0</v>
      </c>
      <c r="CY155" s="34" t="n">
        <f aca="false">IF(CY$8=1,N(Reales!CY16),IF(CY$145=1,INDEX(Vol_V,5,CY$144)/12*(1+V_dVol),0))</f>
        <v>0</v>
      </c>
      <c r="CZ155" s="34" t="n">
        <f aca="false">IF(CZ$8=1,N(Reales!CZ16),IF(CZ$145=1,INDEX(Vol_V,5,CZ$144)/12*(1+V_dVol),0))</f>
        <v>0</v>
      </c>
      <c r="DA155" s="34" t="n">
        <f aca="false">IF(DA$8=1,N(Reales!DA16),IF(DA$145=1,INDEX(Vol_V,5,DA$144)/12*(1+V_dVol),0))</f>
        <v>0</v>
      </c>
      <c r="DB155" s="34" t="n">
        <f aca="false">IF(DB$8=1,N(Reales!DB16),IF(DB$145=1,INDEX(Vol_V,5,DB$144)/12*(1+V_dVol),0))</f>
        <v>0</v>
      </c>
      <c r="DC155" s="34" t="n">
        <f aca="false">IF(DC$8=1,N(Reales!DC16),IF(DC$145=1,INDEX(Vol_V,5,DC$144)/12*(1+V_dVol),0))</f>
        <v>0</v>
      </c>
      <c r="DD155" s="34" t="n">
        <f aca="false">IF(DD$8=1,N(Reales!DD16),IF(DD$145=1,INDEX(Vol_V,5,DD$144)/12*(1+V_dVol),0))</f>
        <v>0</v>
      </c>
      <c r="DE155" s="34" t="n">
        <f aca="false">IF(DE$8=1,N(Reales!DE16),IF(DE$145=1,INDEX(Vol_V,5,DE$144)/12*(1+V_dVol),0))</f>
        <v>0</v>
      </c>
      <c r="DF155" s="34" t="n">
        <f aca="false">IF(DF$8=1,N(Reales!DF16),IF(DF$145=1,INDEX(Vol_V,5,DF$144)/12*(1+V_dVol),0))</f>
        <v>0</v>
      </c>
      <c r="DG155" s="34" t="n">
        <f aca="false">IF(DG$8=1,N(Reales!DG16),IF(DG$145=1,INDEX(Vol_V,5,DG$144)/12*(1+V_dVol),0))</f>
        <v>0</v>
      </c>
      <c r="DH155" s="34" t="n">
        <f aca="false">IF(DH$8=1,N(Reales!DH16),IF(DH$145=1,INDEX(Vol_V,5,DH$144)/12*(1+V_dVol),0))</f>
        <v>0</v>
      </c>
      <c r="DI155" s="34" t="n">
        <f aca="false">IF(DI$8=1,N(Reales!DI16),IF(DI$145=1,INDEX(Vol_V,5,DI$144)/12*(1+V_dVol),0))</f>
        <v>0</v>
      </c>
      <c r="DJ155" s="34" t="n">
        <f aca="false">IF(DJ$8=1,N(Reales!DJ16),IF(DJ$145=1,INDEX(Vol_V,5,DJ$144)/12*(1+V_dVol),0))</f>
        <v>0</v>
      </c>
      <c r="DK155" s="34" t="n">
        <f aca="false">IF(DK$8=1,N(Reales!DK16),IF(DK$145=1,INDEX(Vol_V,5,DK$144)/12*(1+V_dVol),0))</f>
        <v>0</v>
      </c>
      <c r="DL155" s="34" t="n">
        <f aca="false">IF(DL$8=1,N(Reales!DL16),IF(DL$145=1,INDEX(Vol_V,5,DL$144)/12*(1+V_dVol),0))</f>
        <v>0</v>
      </c>
      <c r="DM155" s="34" t="n">
        <f aca="false">IF(DM$8=1,N(Reales!DM16),IF(DM$145=1,INDEX(Vol_V,5,DM$144)/12*(1+V_dVol),0))</f>
        <v>0</v>
      </c>
      <c r="DN155" s="34" t="n">
        <f aca="false">IF(DN$8=1,N(Reales!DN16),IF(DN$145=1,INDEX(Vol_V,5,DN$144)/12*(1+V_dVol),0))</f>
        <v>0</v>
      </c>
      <c r="DO155" s="34" t="n">
        <f aca="false">IF(DO$8=1,N(Reales!DO16),IF(DO$145=1,INDEX(Vol_V,5,DO$144)/12*(1+V_dVol),0))</f>
        <v>0</v>
      </c>
      <c r="DP155" s="34" t="n">
        <f aca="false">IF(DP$8=1,N(Reales!DP16),IF(DP$145=1,INDEX(Vol_V,5,DP$144)/12*(1+V_dVol),0))</f>
        <v>0</v>
      </c>
      <c r="DQ155" s="34" t="n">
        <f aca="false">IF(DQ$8=1,N(Reales!DQ16),IF(DQ$145=1,INDEX(Vol_V,5,DQ$144)/12*(1+V_dVol),0))</f>
        <v>0</v>
      </c>
      <c r="DR155" s="34" t="n">
        <f aca="false">IF(DR$8=1,N(Reales!DR16),IF(DR$145=1,INDEX(Vol_V,5,DR$144)/12*(1+V_dVol),0))</f>
        <v>0</v>
      </c>
      <c r="DS155" s="34" t="n">
        <f aca="false">IF(DS$8=1,N(Reales!DS16),IF(DS$145=1,INDEX(Vol_V,5,DS$144)/12*(1+V_dVol),0))</f>
        <v>0</v>
      </c>
      <c r="DT155" s="34" t="n">
        <f aca="false">IF(DT$8=1,N(Reales!DT16),IF(DT$145=1,INDEX(Vol_V,5,DT$144)/12*(1+V_dVol),0))</f>
        <v>0</v>
      </c>
      <c r="DU155" s="34" t="n">
        <f aca="false">IF(DU$8=1,N(Reales!DU16),IF(DU$145=1,INDEX(Vol_V,5,DU$144)/12*(1+V_dVol),0))</f>
        <v>0</v>
      </c>
      <c r="DV155" s="34" t="n">
        <f aca="false">IF(DV$8=1,N(Reales!DV16),IF(DV$145=1,INDEX(Vol_V,5,DV$144)/12*(1+V_dVol),0))</f>
        <v>0</v>
      </c>
      <c r="DW155" s="34" t="n">
        <f aca="false">IF(DW$8=1,N(Reales!DW16),IF(DW$145=1,INDEX(Vol_V,5,DW$144)/12*(1+V_dVol),0))</f>
        <v>0</v>
      </c>
      <c r="DX155" s="34" t="n">
        <f aca="false">IF(DX$8=1,N(Reales!DX16),IF(DX$145=1,INDEX(Vol_V,5,DX$144)/12*(1+V_dVol),0))</f>
        <v>0</v>
      </c>
      <c r="DY155" s="34" t="n">
        <f aca="false">IF(DY$8=1,N(Reales!DY16),IF(DY$145=1,INDEX(Vol_V,5,DY$144)/12*(1+V_dVol),0))</f>
        <v>0</v>
      </c>
      <c r="DZ155" s="34" t="n">
        <f aca="false">IF(DZ$8=1,N(Reales!DZ16),IF(DZ$145=1,INDEX(Vol_V,5,DZ$144)/12*(1+V_dVol),0))</f>
        <v>0</v>
      </c>
      <c r="EA155" s="34" t="n">
        <f aca="false">IF(EA$8=1,N(Reales!EA16),IF(EA$145=1,INDEX(Vol_V,5,EA$144)/12*(1+V_dVol),0))</f>
        <v>0</v>
      </c>
      <c r="EB155" s="34" t="n">
        <f aca="false">IF(EB$8=1,N(Reales!EB16),IF(EB$145=1,INDEX(Vol_V,5,EB$144)/12*(1+V_dVol),0))</f>
        <v>0</v>
      </c>
      <c r="EC155" s="34" t="n">
        <f aca="false">IF(EC$8=1,N(Reales!EC16),IF(EC$145=1,INDEX(Vol_V,5,EC$144)/12*(1+V_dVol),0))</f>
        <v>0</v>
      </c>
      <c r="ED155" s="34" t="n">
        <f aca="false">IF(ED$8=1,N(Reales!ED16),IF(ED$145=1,INDEX(Vol_V,5,ED$144)/12*(1+V_dVol),0))</f>
        <v>0</v>
      </c>
      <c r="EE155" s="34" t="n">
        <f aca="false">IF(EE$8=1,N(Reales!EE16),IF(EE$145=1,INDEX(Vol_V,5,EE$144)/12*(1+V_dVol),0))</f>
        <v>0</v>
      </c>
      <c r="EF155" s="34" t="n">
        <f aca="false">IF(EF$8=1,N(Reales!EF16),IF(EF$145=1,INDEX(Vol_V,5,EF$144)/12*(1+V_dVol),0))</f>
        <v>0</v>
      </c>
      <c r="EG155" s="34" t="n">
        <f aca="false">IF(EG$8=1,N(Reales!EG16),IF(EG$145=1,INDEX(Vol_V,5,EG$144)/12*(1+V_dVol),0))</f>
        <v>0</v>
      </c>
      <c r="EH155" s="34" t="n">
        <f aca="false">IF(EH$8=1,N(Reales!EH16),IF(EH$145=1,INDEX(Vol_V,5,EH$144)/12*(1+V_dVol),0))</f>
        <v>0</v>
      </c>
      <c r="EI155" s="34" t="n">
        <f aca="false">IF(EI$8=1,N(Reales!EI16),IF(EI$145=1,INDEX(Vol_V,5,EI$144)/12*(1+V_dVol),0))</f>
        <v>0</v>
      </c>
      <c r="EJ155" s="34" t="n">
        <f aca="false">IF(EJ$8=1,N(Reales!EJ16),IF(EJ$145=1,INDEX(Vol_V,5,EJ$144)/12*(1+V_dVol),0))</f>
        <v>0</v>
      </c>
      <c r="EK155" s="34" t="n">
        <f aca="false">IF(EK$8=1,N(Reales!EK16),IF(EK$145=1,INDEX(Vol_V,5,EK$144)/12*(1+V_dVol),0))</f>
        <v>0</v>
      </c>
      <c r="EL155" s="34" t="n">
        <f aca="false">IF(EL$8=1,N(Reales!EL16),IF(EL$145=1,INDEX(Vol_V,5,EL$144)/12*(1+V_dVol),0))</f>
        <v>0</v>
      </c>
      <c r="EM155" s="34" t="n">
        <f aca="false">IF(EM$8=1,N(Reales!EM16),IF(EM$145=1,INDEX(Vol_V,5,EM$144)/12*(1+V_dVol),0))</f>
        <v>0</v>
      </c>
      <c r="EN155" s="34" t="n">
        <f aca="false">IF(EN$8=1,N(Reales!EN16),IF(EN$145=1,INDEX(Vol_V,5,EN$144)/12*(1+V_dVol),0))</f>
        <v>0</v>
      </c>
      <c r="EO155" s="34" t="n">
        <f aca="false">IF(EO$8=1,N(Reales!EO16),IF(EO$145=1,INDEX(Vol_V,5,EO$144)/12*(1+V_dVol),0))</f>
        <v>0</v>
      </c>
      <c r="EP155" s="34" t="n">
        <f aca="false">IF(EP$8=1,N(Reales!EP16),IF(EP$145=1,INDEX(Vol_V,5,EP$144)/12*(1+V_dVol),0))</f>
        <v>0</v>
      </c>
      <c r="EQ155" s="34" t="n">
        <f aca="false">IF(EQ$8=1,N(Reales!EQ16),IF(EQ$145=1,INDEX(Vol_V,5,EQ$144)/12*(1+V_dVol),0))</f>
        <v>0</v>
      </c>
      <c r="ER155" s="34" t="n">
        <f aca="false">IF(ER$8=1,N(Reales!ER16),IF(ER$145=1,INDEX(Vol_V,5,ER$144)/12*(1+V_dVol),0))</f>
        <v>0</v>
      </c>
      <c r="ES155" s="34" t="n">
        <f aca="false">IF(ES$8=1,N(Reales!ES16),IF(ES$145=1,INDEX(Vol_V,5,ES$144)/12*(1+V_dVol),0))</f>
        <v>0</v>
      </c>
    </row>
    <row r="156" customFormat="false" ht="15" hidden="false" customHeight="false" outlineLevel="0" collapsed="false">
      <c r="A156" s="2" t="s">
        <v>772</v>
      </c>
      <c r="B156" s="39" t="str">
        <f aca="false">IF(INDEX(Prod_Nombre,6)="","Producto 6",INDEX(Prod_Nombre,6))&amp;" — unidades"</f>
        <v>Producto 6 — unidades</v>
      </c>
      <c r="C156" s="6" t="s">
        <v>286</v>
      </c>
      <c r="E156" s="40" t="n">
        <f aca="false">SUM(F156:ES156)</f>
        <v>0</v>
      </c>
      <c r="F156" s="34" t="n">
        <f aca="false">IF(F$8=1,N(Reales!F17),IF(F$145=1,INDEX(Vol_V,6,F$144)/12*(1+V_dVol),0))</f>
        <v>0</v>
      </c>
      <c r="G156" s="34" t="n">
        <f aca="false">IF(G$8=1,N(Reales!G17),IF(G$145=1,INDEX(Vol_V,6,G$144)/12*(1+V_dVol),0))</f>
        <v>0</v>
      </c>
      <c r="H156" s="34" t="n">
        <f aca="false">IF(H$8=1,N(Reales!H17),IF(H$145=1,INDEX(Vol_V,6,H$144)/12*(1+V_dVol),0))</f>
        <v>0</v>
      </c>
      <c r="I156" s="34" t="n">
        <f aca="false">IF(I$8=1,N(Reales!I17),IF(I$145=1,INDEX(Vol_V,6,I$144)/12*(1+V_dVol),0))</f>
        <v>0</v>
      </c>
      <c r="J156" s="34" t="n">
        <f aca="false">IF(J$8=1,N(Reales!J17),IF(J$145=1,INDEX(Vol_V,6,J$144)/12*(1+V_dVol),0))</f>
        <v>0</v>
      </c>
      <c r="K156" s="34" t="n">
        <f aca="false">IF(K$8=1,N(Reales!K17),IF(K$145=1,INDEX(Vol_V,6,K$144)/12*(1+V_dVol),0))</f>
        <v>0</v>
      </c>
      <c r="L156" s="34" t="n">
        <f aca="false">IF(L$8=1,N(Reales!L17),IF(L$145=1,INDEX(Vol_V,6,L$144)/12*(1+V_dVol),0))</f>
        <v>0</v>
      </c>
      <c r="M156" s="34" t="n">
        <f aca="false">IF(M$8=1,N(Reales!M17),IF(M$145=1,INDEX(Vol_V,6,M$144)/12*(1+V_dVol),0))</f>
        <v>0</v>
      </c>
      <c r="N156" s="34" t="n">
        <f aca="false">IF(N$8=1,N(Reales!N17),IF(N$145=1,INDEX(Vol_V,6,N$144)/12*(1+V_dVol),0))</f>
        <v>0</v>
      </c>
      <c r="O156" s="34" t="n">
        <f aca="false">IF(O$8=1,N(Reales!O17),IF(O$145=1,INDEX(Vol_V,6,O$144)/12*(1+V_dVol),0))</f>
        <v>0</v>
      </c>
      <c r="P156" s="34" t="n">
        <f aca="false">IF(P$8=1,N(Reales!P17),IF(P$145=1,INDEX(Vol_V,6,P$144)/12*(1+V_dVol),0))</f>
        <v>0</v>
      </c>
      <c r="Q156" s="34" t="n">
        <f aca="false">IF(Q$8=1,N(Reales!Q17),IF(Q$145=1,INDEX(Vol_V,6,Q$144)/12*(1+V_dVol),0))</f>
        <v>0</v>
      </c>
      <c r="R156" s="34" t="n">
        <f aca="false">IF(R$8=1,N(Reales!R17),IF(R$145=1,INDEX(Vol_V,6,R$144)/12*(1+V_dVol),0))</f>
        <v>0</v>
      </c>
      <c r="S156" s="34" t="n">
        <f aca="false">IF(S$8=1,N(Reales!S17),IF(S$145=1,INDEX(Vol_V,6,S$144)/12*(1+V_dVol),0))</f>
        <v>0</v>
      </c>
      <c r="T156" s="34" t="n">
        <f aca="false">IF(T$8=1,N(Reales!T17),IF(T$145=1,INDEX(Vol_V,6,T$144)/12*(1+V_dVol),0))</f>
        <v>0</v>
      </c>
      <c r="U156" s="34" t="n">
        <f aca="false">IF(U$8=1,N(Reales!U17),IF(U$145=1,INDEX(Vol_V,6,U$144)/12*(1+V_dVol),0))</f>
        <v>0</v>
      </c>
      <c r="V156" s="34" t="n">
        <f aca="false">IF(V$8=1,N(Reales!V17),IF(V$145=1,INDEX(Vol_V,6,V$144)/12*(1+V_dVol),0))</f>
        <v>0</v>
      </c>
      <c r="W156" s="34" t="n">
        <f aca="false">IF(W$8=1,N(Reales!W17),IF(W$145=1,INDEX(Vol_V,6,W$144)/12*(1+V_dVol),0))</f>
        <v>0</v>
      </c>
      <c r="X156" s="34" t="n">
        <f aca="false">IF(X$8=1,N(Reales!X17),IF(X$145=1,INDEX(Vol_V,6,X$144)/12*(1+V_dVol),0))</f>
        <v>0</v>
      </c>
      <c r="Y156" s="34" t="n">
        <f aca="false">IF(Y$8=1,N(Reales!Y17),IF(Y$145=1,INDEX(Vol_V,6,Y$144)/12*(1+V_dVol),0))</f>
        <v>0</v>
      </c>
      <c r="Z156" s="34" t="n">
        <f aca="false">IF(Z$8=1,N(Reales!Z17),IF(Z$145=1,INDEX(Vol_V,6,Z$144)/12*(1+V_dVol),0))</f>
        <v>0</v>
      </c>
      <c r="AA156" s="34" t="n">
        <f aca="false">IF(AA$8=1,N(Reales!AA17),IF(AA$145=1,INDEX(Vol_V,6,AA$144)/12*(1+V_dVol),0))</f>
        <v>0</v>
      </c>
      <c r="AB156" s="34" t="n">
        <f aca="false">IF(AB$8=1,N(Reales!AB17),IF(AB$145=1,INDEX(Vol_V,6,AB$144)/12*(1+V_dVol),0))</f>
        <v>0</v>
      </c>
      <c r="AC156" s="34" t="n">
        <f aca="false">IF(AC$8=1,N(Reales!AC17),IF(AC$145=1,INDEX(Vol_V,6,AC$144)/12*(1+V_dVol),0))</f>
        <v>0</v>
      </c>
      <c r="AD156" s="34" t="n">
        <f aca="false">IF(AD$8=1,N(Reales!AD17),IF(AD$145=1,INDEX(Vol_V,6,AD$144)/12*(1+V_dVol),0))</f>
        <v>0</v>
      </c>
      <c r="AE156" s="34" t="n">
        <f aca="false">IF(AE$8=1,N(Reales!AE17),IF(AE$145=1,INDEX(Vol_V,6,AE$144)/12*(1+V_dVol),0))</f>
        <v>0</v>
      </c>
      <c r="AF156" s="34" t="n">
        <f aca="false">IF(AF$8=1,N(Reales!AF17),IF(AF$145=1,INDEX(Vol_V,6,AF$144)/12*(1+V_dVol),0))</f>
        <v>0</v>
      </c>
      <c r="AG156" s="34" t="n">
        <f aca="false">IF(AG$8=1,N(Reales!AG17),IF(AG$145=1,INDEX(Vol_V,6,AG$144)/12*(1+V_dVol),0))</f>
        <v>0</v>
      </c>
      <c r="AH156" s="34" t="n">
        <f aca="false">IF(AH$8=1,N(Reales!AH17),IF(AH$145=1,INDEX(Vol_V,6,AH$144)/12*(1+V_dVol),0))</f>
        <v>0</v>
      </c>
      <c r="AI156" s="34" t="n">
        <f aca="false">IF(AI$8=1,N(Reales!AI17),IF(AI$145=1,INDEX(Vol_V,6,AI$144)/12*(1+V_dVol),0))</f>
        <v>0</v>
      </c>
      <c r="AJ156" s="34" t="n">
        <f aca="false">IF(AJ$8=1,N(Reales!AJ17),IF(AJ$145=1,INDEX(Vol_V,6,AJ$144)/12*(1+V_dVol),0))</f>
        <v>0</v>
      </c>
      <c r="AK156" s="34" t="n">
        <f aca="false">IF(AK$8=1,N(Reales!AK17),IF(AK$145=1,INDEX(Vol_V,6,AK$144)/12*(1+V_dVol),0))</f>
        <v>0</v>
      </c>
      <c r="AL156" s="34" t="n">
        <f aca="false">IF(AL$8=1,N(Reales!AL17),IF(AL$145=1,INDEX(Vol_V,6,AL$144)/12*(1+V_dVol),0))</f>
        <v>0</v>
      </c>
      <c r="AM156" s="34" t="n">
        <f aca="false">IF(AM$8=1,N(Reales!AM17),IF(AM$145=1,INDEX(Vol_V,6,AM$144)/12*(1+V_dVol),0))</f>
        <v>0</v>
      </c>
      <c r="AN156" s="34" t="n">
        <f aca="false">IF(AN$8=1,N(Reales!AN17),IF(AN$145=1,INDEX(Vol_V,6,AN$144)/12*(1+V_dVol),0))</f>
        <v>0</v>
      </c>
      <c r="AO156" s="34" t="n">
        <f aca="false">IF(AO$8=1,N(Reales!AO17),IF(AO$145=1,INDEX(Vol_V,6,AO$144)/12*(1+V_dVol),0))</f>
        <v>0</v>
      </c>
      <c r="AP156" s="34" t="n">
        <f aca="false">IF(AP$8=1,N(Reales!AP17),IF(AP$145=1,INDEX(Vol_V,6,AP$144)/12*(1+V_dVol),0))</f>
        <v>0</v>
      </c>
      <c r="AQ156" s="34" t="n">
        <f aca="false">IF(AQ$8=1,N(Reales!AQ17),IF(AQ$145=1,INDEX(Vol_V,6,AQ$144)/12*(1+V_dVol),0))</f>
        <v>0</v>
      </c>
      <c r="AR156" s="34" t="n">
        <f aca="false">IF(AR$8=1,N(Reales!AR17),IF(AR$145=1,INDEX(Vol_V,6,AR$144)/12*(1+V_dVol),0))</f>
        <v>0</v>
      </c>
      <c r="AS156" s="34" t="n">
        <f aca="false">IF(AS$8=1,N(Reales!AS17),IF(AS$145=1,INDEX(Vol_V,6,AS$144)/12*(1+V_dVol),0))</f>
        <v>0</v>
      </c>
      <c r="AT156" s="34" t="n">
        <f aca="false">IF(AT$8=1,N(Reales!AT17),IF(AT$145=1,INDEX(Vol_V,6,AT$144)/12*(1+V_dVol),0))</f>
        <v>0</v>
      </c>
      <c r="AU156" s="34" t="n">
        <f aca="false">IF(AU$8=1,N(Reales!AU17),IF(AU$145=1,INDEX(Vol_V,6,AU$144)/12*(1+V_dVol),0))</f>
        <v>0</v>
      </c>
      <c r="AV156" s="34" t="n">
        <f aca="false">IF(AV$8=1,N(Reales!AV17),IF(AV$145=1,INDEX(Vol_V,6,AV$144)/12*(1+V_dVol),0))</f>
        <v>0</v>
      </c>
      <c r="AW156" s="34" t="n">
        <f aca="false">IF(AW$8=1,N(Reales!AW17),IF(AW$145=1,INDEX(Vol_V,6,AW$144)/12*(1+V_dVol),0))</f>
        <v>0</v>
      </c>
      <c r="AX156" s="34" t="n">
        <f aca="false">IF(AX$8=1,N(Reales!AX17),IF(AX$145=1,INDEX(Vol_V,6,AX$144)/12*(1+V_dVol),0))</f>
        <v>0</v>
      </c>
      <c r="AY156" s="34" t="n">
        <f aca="false">IF(AY$8=1,N(Reales!AY17),IF(AY$145=1,INDEX(Vol_V,6,AY$144)/12*(1+V_dVol),0))</f>
        <v>0</v>
      </c>
      <c r="AZ156" s="34" t="n">
        <f aca="false">IF(AZ$8=1,N(Reales!AZ17),IF(AZ$145=1,INDEX(Vol_V,6,AZ$144)/12*(1+V_dVol),0))</f>
        <v>0</v>
      </c>
      <c r="BA156" s="34" t="n">
        <f aca="false">IF(BA$8=1,N(Reales!BA17),IF(BA$145=1,INDEX(Vol_V,6,BA$144)/12*(1+V_dVol),0))</f>
        <v>0</v>
      </c>
      <c r="BB156" s="34" t="n">
        <f aca="false">IF(BB$8=1,N(Reales!BB17),IF(BB$145=1,INDEX(Vol_V,6,BB$144)/12*(1+V_dVol),0))</f>
        <v>0</v>
      </c>
      <c r="BC156" s="34" t="n">
        <f aca="false">IF(BC$8=1,N(Reales!BC17),IF(BC$145=1,INDEX(Vol_V,6,BC$144)/12*(1+V_dVol),0))</f>
        <v>0</v>
      </c>
      <c r="BD156" s="34" t="n">
        <f aca="false">IF(BD$8=1,N(Reales!BD17),IF(BD$145=1,INDEX(Vol_V,6,BD$144)/12*(1+V_dVol),0))</f>
        <v>0</v>
      </c>
      <c r="BE156" s="34" t="n">
        <f aca="false">IF(BE$8=1,N(Reales!BE17),IF(BE$145=1,INDEX(Vol_V,6,BE$144)/12*(1+V_dVol),0))</f>
        <v>0</v>
      </c>
      <c r="BF156" s="34" t="n">
        <f aca="false">IF(BF$8=1,N(Reales!BF17),IF(BF$145=1,INDEX(Vol_V,6,BF$144)/12*(1+V_dVol),0))</f>
        <v>0</v>
      </c>
      <c r="BG156" s="34" t="n">
        <f aca="false">IF(BG$8=1,N(Reales!BG17),IF(BG$145=1,INDEX(Vol_V,6,BG$144)/12*(1+V_dVol),0))</f>
        <v>0</v>
      </c>
      <c r="BH156" s="34" t="n">
        <f aca="false">IF(BH$8=1,N(Reales!BH17),IF(BH$145=1,INDEX(Vol_V,6,BH$144)/12*(1+V_dVol),0))</f>
        <v>0</v>
      </c>
      <c r="BI156" s="34" t="n">
        <f aca="false">IF(BI$8=1,N(Reales!BI17),IF(BI$145=1,INDEX(Vol_V,6,BI$144)/12*(1+V_dVol),0))</f>
        <v>0</v>
      </c>
      <c r="BJ156" s="34" t="n">
        <f aca="false">IF(BJ$8=1,N(Reales!BJ17),IF(BJ$145=1,INDEX(Vol_V,6,BJ$144)/12*(1+V_dVol),0))</f>
        <v>0</v>
      </c>
      <c r="BK156" s="34" t="n">
        <f aca="false">IF(BK$8=1,N(Reales!BK17),IF(BK$145=1,INDEX(Vol_V,6,BK$144)/12*(1+V_dVol),0))</f>
        <v>0</v>
      </c>
      <c r="BL156" s="34" t="n">
        <f aca="false">IF(BL$8=1,N(Reales!BL17),IF(BL$145=1,INDEX(Vol_V,6,BL$144)/12*(1+V_dVol),0))</f>
        <v>0</v>
      </c>
      <c r="BM156" s="34" t="n">
        <f aca="false">IF(BM$8=1,N(Reales!BM17),IF(BM$145=1,INDEX(Vol_V,6,BM$144)/12*(1+V_dVol),0))</f>
        <v>0</v>
      </c>
      <c r="BN156" s="34" t="n">
        <f aca="false">IF(BN$8=1,N(Reales!BN17),IF(BN$145=1,INDEX(Vol_V,6,BN$144)/12*(1+V_dVol),0))</f>
        <v>0</v>
      </c>
      <c r="BO156" s="34" t="n">
        <f aca="false">IF(BO$8=1,N(Reales!BO17),IF(BO$145=1,INDEX(Vol_V,6,BO$144)/12*(1+V_dVol),0))</f>
        <v>0</v>
      </c>
      <c r="BP156" s="34" t="n">
        <f aca="false">IF(BP$8=1,N(Reales!BP17),IF(BP$145=1,INDEX(Vol_V,6,BP$144)/12*(1+V_dVol),0))</f>
        <v>0</v>
      </c>
      <c r="BQ156" s="34" t="n">
        <f aca="false">IF(BQ$8=1,N(Reales!BQ17),IF(BQ$145=1,INDEX(Vol_V,6,BQ$144)/12*(1+V_dVol),0))</f>
        <v>0</v>
      </c>
      <c r="BR156" s="34" t="n">
        <f aca="false">IF(BR$8=1,N(Reales!BR17),IF(BR$145=1,INDEX(Vol_V,6,BR$144)/12*(1+V_dVol),0))</f>
        <v>0</v>
      </c>
      <c r="BS156" s="34" t="n">
        <f aca="false">IF(BS$8=1,N(Reales!BS17),IF(BS$145=1,INDEX(Vol_V,6,BS$144)/12*(1+V_dVol),0))</f>
        <v>0</v>
      </c>
      <c r="BT156" s="34" t="n">
        <f aca="false">IF(BT$8=1,N(Reales!BT17),IF(BT$145=1,INDEX(Vol_V,6,BT$144)/12*(1+V_dVol),0))</f>
        <v>0</v>
      </c>
      <c r="BU156" s="34" t="n">
        <f aca="false">IF(BU$8=1,N(Reales!BU17),IF(BU$145=1,INDEX(Vol_V,6,BU$144)/12*(1+V_dVol),0))</f>
        <v>0</v>
      </c>
      <c r="BV156" s="34" t="n">
        <f aca="false">IF(BV$8=1,N(Reales!BV17),IF(BV$145=1,INDEX(Vol_V,6,BV$144)/12*(1+V_dVol),0))</f>
        <v>0</v>
      </c>
      <c r="BW156" s="34" t="n">
        <f aca="false">IF(BW$8=1,N(Reales!BW17),IF(BW$145=1,INDEX(Vol_V,6,BW$144)/12*(1+V_dVol),0))</f>
        <v>0</v>
      </c>
      <c r="BX156" s="34" t="n">
        <f aca="false">IF(BX$8=1,N(Reales!BX17),IF(BX$145=1,INDEX(Vol_V,6,BX$144)/12*(1+V_dVol),0))</f>
        <v>0</v>
      </c>
      <c r="BY156" s="34" t="n">
        <f aca="false">IF(BY$8=1,N(Reales!BY17),IF(BY$145=1,INDEX(Vol_V,6,BY$144)/12*(1+V_dVol),0))</f>
        <v>0</v>
      </c>
      <c r="BZ156" s="34" t="n">
        <f aca="false">IF(BZ$8=1,N(Reales!BZ17),IF(BZ$145=1,INDEX(Vol_V,6,BZ$144)/12*(1+V_dVol),0))</f>
        <v>0</v>
      </c>
      <c r="CA156" s="34" t="n">
        <f aca="false">IF(CA$8=1,N(Reales!CA17),IF(CA$145=1,INDEX(Vol_V,6,CA$144)/12*(1+V_dVol),0))</f>
        <v>0</v>
      </c>
      <c r="CB156" s="34" t="n">
        <f aca="false">IF(CB$8=1,N(Reales!CB17),IF(CB$145=1,INDEX(Vol_V,6,CB$144)/12*(1+V_dVol),0))</f>
        <v>0</v>
      </c>
      <c r="CC156" s="34" t="n">
        <f aca="false">IF(CC$8=1,N(Reales!CC17),IF(CC$145=1,INDEX(Vol_V,6,CC$144)/12*(1+V_dVol),0))</f>
        <v>0</v>
      </c>
      <c r="CD156" s="34" t="n">
        <f aca="false">IF(CD$8=1,N(Reales!CD17),IF(CD$145=1,INDEX(Vol_V,6,CD$144)/12*(1+V_dVol),0))</f>
        <v>0</v>
      </c>
      <c r="CE156" s="34" t="n">
        <f aca="false">IF(CE$8=1,N(Reales!CE17),IF(CE$145=1,INDEX(Vol_V,6,CE$144)/12*(1+V_dVol),0))</f>
        <v>0</v>
      </c>
      <c r="CF156" s="34" t="n">
        <f aca="false">IF(CF$8=1,N(Reales!CF17),IF(CF$145=1,INDEX(Vol_V,6,CF$144)/12*(1+V_dVol),0))</f>
        <v>0</v>
      </c>
      <c r="CG156" s="34" t="n">
        <f aca="false">IF(CG$8=1,N(Reales!CG17),IF(CG$145=1,INDEX(Vol_V,6,CG$144)/12*(1+V_dVol),0))</f>
        <v>0</v>
      </c>
      <c r="CH156" s="34" t="n">
        <f aca="false">IF(CH$8=1,N(Reales!CH17),IF(CH$145=1,INDEX(Vol_V,6,CH$144)/12*(1+V_dVol),0))</f>
        <v>0</v>
      </c>
      <c r="CI156" s="34" t="n">
        <f aca="false">IF(CI$8=1,N(Reales!CI17),IF(CI$145=1,INDEX(Vol_V,6,CI$144)/12*(1+V_dVol),0))</f>
        <v>0</v>
      </c>
      <c r="CJ156" s="34" t="n">
        <f aca="false">IF(CJ$8=1,N(Reales!CJ17),IF(CJ$145=1,INDEX(Vol_V,6,CJ$144)/12*(1+V_dVol),0))</f>
        <v>0</v>
      </c>
      <c r="CK156" s="34" t="n">
        <f aca="false">IF(CK$8=1,N(Reales!CK17),IF(CK$145=1,INDEX(Vol_V,6,CK$144)/12*(1+V_dVol),0))</f>
        <v>0</v>
      </c>
      <c r="CL156" s="34" t="n">
        <f aca="false">IF(CL$8=1,N(Reales!CL17),IF(CL$145=1,INDEX(Vol_V,6,CL$144)/12*(1+V_dVol),0))</f>
        <v>0</v>
      </c>
      <c r="CM156" s="34" t="n">
        <f aca="false">IF(CM$8=1,N(Reales!CM17),IF(CM$145=1,INDEX(Vol_V,6,CM$144)/12*(1+V_dVol),0))</f>
        <v>0</v>
      </c>
      <c r="CN156" s="34" t="n">
        <f aca="false">IF(CN$8=1,N(Reales!CN17),IF(CN$145=1,INDEX(Vol_V,6,CN$144)/12*(1+V_dVol),0))</f>
        <v>0</v>
      </c>
      <c r="CO156" s="34" t="n">
        <f aca="false">IF(CO$8=1,N(Reales!CO17),IF(CO$145=1,INDEX(Vol_V,6,CO$144)/12*(1+V_dVol),0))</f>
        <v>0</v>
      </c>
      <c r="CP156" s="34" t="n">
        <f aca="false">IF(CP$8=1,N(Reales!CP17),IF(CP$145=1,INDEX(Vol_V,6,CP$144)/12*(1+V_dVol),0))</f>
        <v>0</v>
      </c>
      <c r="CQ156" s="34" t="n">
        <f aca="false">IF(CQ$8=1,N(Reales!CQ17),IF(CQ$145=1,INDEX(Vol_V,6,CQ$144)/12*(1+V_dVol),0))</f>
        <v>0</v>
      </c>
      <c r="CR156" s="34" t="n">
        <f aca="false">IF(CR$8=1,N(Reales!CR17),IF(CR$145=1,INDEX(Vol_V,6,CR$144)/12*(1+V_dVol),0))</f>
        <v>0</v>
      </c>
      <c r="CS156" s="34" t="n">
        <f aca="false">IF(CS$8=1,N(Reales!CS17),IF(CS$145=1,INDEX(Vol_V,6,CS$144)/12*(1+V_dVol),0))</f>
        <v>0</v>
      </c>
      <c r="CT156" s="34" t="n">
        <f aca="false">IF(CT$8=1,N(Reales!CT17),IF(CT$145=1,INDEX(Vol_V,6,CT$144)/12*(1+V_dVol),0))</f>
        <v>0</v>
      </c>
      <c r="CU156" s="34" t="n">
        <f aca="false">IF(CU$8=1,N(Reales!CU17),IF(CU$145=1,INDEX(Vol_V,6,CU$144)/12*(1+V_dVol),0))</f>
        <v>0</v>
      </c>
      <c r="CV156" s="34" t="n">
        <f aca="false">IF(CV$8=1,N(Reales!CV17),IF(CV$145=1,INDEX(Vol_V,6,CV$144)/12*(1+V_dVol),0))</f>
        <v>0</v>
      </c>
      <c r="CW156" s="34" t="n">
        <f aca="false">IF(CW$8=1,N(Reales!CW17),IF(CW$145=1,INDEX(Vol_V,6,CW$144)/12*(1+V_dVol),0))</f>
        <v>0</v>
      </c>
      <c r="CX156" s="34" t="n">
        <f aca="false">IF(CX$8=1,N(Reales!CX17),IF(CX$145=1,INDEX(Vol_V,6,CX$144)/12*(1+V_dVol),0))</f>
        <v>0</v>
      </c>
      <c r="CY156" s="34" t="n">
        <f aca="false">IF(CY$8=1,N(Reales!CY17),IF(CY$145=1,INDEX(Vol_V,6,CY$144)/12*(1+V_dVol),0))</f>
        <v>0</v>
      </c>
      <c r="CZ156" s="34" t="n">
        <f aca="false">IF(CZ$8=1,N(Reales!CZ17),IF(CZ$145=1,INDEX(Vol_V,6,CZ$144)/12*(1+V_dVol),0))</f>
        <v>0</v>
      </c>
      <c r="DA156" s="34" t="n">
        <f aca="false">IF(DA$8=1,N(Reales!DA17),IF(DA$145=1,INDEX(Vol_V,6,DA$144)/12*(1+V_dVol),0))</f>
        <v>0</v>
      </c>
      <c r="DB156" s="34" t="n">
        <f aca="false">IF(DB$8=1,N(Reales!DB17),IF(DB$145=1,INDEX(Vol_V,6,DB$144)/12*(1+V_dVol),0))</f>
        <v>0</v>
      </c>
      <c r="DC156" s="34" t="n">
        <f aca="false">IF(DC$8=1,N(Reales!DC17),IF(DC$145=1,INDEX(Vol_V,6,DC$144)/12*(1+V_dVol),0))</f>
        <v>0</v>
      </c>
      <c r="DD156" s="34" t="n">
        <f aca="false">IF(DD$8=1,N(Reales!DD17),IF(DD$145=1,INDEX(Vol_V,6,DD$144)/12*(1+V_dVol),0))</f>
        <v>0</v>
      </c>
      <c r="DE156" s="34" t="n">
        <f aca="false">IF(DE$8=1,N(Reales!DE17),IF(DE$145=1,INDEX(Vol_V,6,DE$144)/12*(1+V_dVol),0))</f>
        <v>0</v>
      </c>
      <c r="DF156" s="34" t="n">
        <f aca="false">IF(DF$8=1,N(Reales!DF17),IF(DF$145=1,INDEX(Vol_V,6,DF$144)/12*(1+V_dVol),0))</f>
        <v>0</v>
      </c>
      <c r="DG156" s="34" t="n">
        <f aca="false">IF(DG$8=1,N(Reales!DG17),IF(DG$145=1,INDEX(Vol_V,6,DG$144)/12*(1+V_dVol),0))</f>
        <v>0</v>
      </c>
      <c r="DH156" s="34" t="n">
        <f aca="false">IF(DH$8=1,N(Reales!DH17),IF(DH$145=1,INDEX(Vol_V,6,DH$144)/12*(1+V_dVol),0))</f>
        <v>0</v>
      </c>
      <c r="DI156" s="34" t="n">
        <f aca="false">IF(DI$8=1,N(Reales!DI17),IF(DI$145=1,INDEX(Vol_V,6,DI$144)/12*(1+V_dVol),0))</f>
        <v>0</v>
      </c>
      <c r="DJ156" s="34" t="n">
        <f aca="false">IF(DJ$8=1,N(Reales!DJ17),IF(DJ$145=1,INDEX(Vol_V,6,DJ$144)/12*(1+V_dVol),0))</f>
        <v>0</v>
      </c>
      <c r="DK156" s="34" t="n">
        <f aca="false">IF(DK$8=1,N(Reales!DK17),IF(DK$145=1,INDEX(Vol_V,6,DK$144)/12*(1+V_dVol),0))</f>
        <v>0</v>
      </c>
      <c r="DL156" s="34" t="n">
        <f aca="false">IF(DL$8=1,N(Reales!DL17),IF(DL$145=1,INDEX(Vol_V,6,DL$144)/12*(1+V_dVol),0))</f>
        <v>0</v>
      </c>
      <c r="DM156" s="34" t="n">
        <f aca="false">IF(DM$8=1,N(Reales!DM17),IF(DM$145=1,INDEX(Vol_V,6,DM$144)/12*(1+V_dVol),0))</f>
        <v>0</v>
      </c>
      <c r="DN156" s="34" t="n">
        <f aca="false">IF(DN$8=1,N(Reales!DN17),IF(DN$145=1,INDEX(Vol_V,6,DN$144)/12*(1+V_dVol),0))</f>
        <v>0</v>
      </c>
      <c r="DO156" s="34" t="n">
        <f aca="false">IF(DO$8=1,N(Reales!DO17),IF(DO$145=1,INDEX(Vol_V,6,DO$144)/12*(1+V_dVol),0))</f>
        <v>0</v>
      </c>
      <c r="DP156" s="34" t="n">
        <f aca="false">IF(DP$8=1,N(Reales!DP17),IF(DP$145=1,INDEX(Vol_V,6,DP$144)/12*(1+V_dVol),0))</f>
        <v>0</v>
      </c>
      <c r="DQ156" s="34" t="n">
        <f aca="false">IF(DQ$8=1,N(Reales!DQ17),IF(DQ$145=1,INDEX(Vol_V,6,DQ$144)/12*(1+V_dVol),0))</f>
        <v>0</v>
      </c>
      <c r="DR156" s="34" t="n">
        <f aca="false">IF(DR$8=1,N(Reales!DR17),IF(DR$145=1,INDEX(Vol_V,6,DR$144)/12*(1+V_dVol),0))</f>
        <v>0</v>
      </c>
      <c r="DS156" s="34" t="n">
        <f aca="false">IF(DS$8=1,N(Reales!DS17),IF(DS$145=1,INDEX(Vol_V,6,DS$144)/12*(1+V_dVol),0))</f>
        <v>0</v>
      </c>
      <c r="DT156" s="34" t="n">
        <f aca="false">IF(DT$8=1,N(Reales!DT17),IF(DT$145=1,INDEX(Vol_V,6,DT$144)/12*(1+V_dVol),0))</f>
        <v>0</v>
      </c>
      <c r="DU156" s="34" t="n">
        <f aca="false">IF(DU$8=1,N(Reales!DU17),IF(DU$145=1,INDEX(Vol_V,6,DU$144)/12*(1+V_dVol),0))</f>
        <v>0</v>
      </c>
      <c r="DV156" s="34" t="n">
        <f aca="false">IF(DV$8=1,N(Reales!DV17),IF(DV$145=1,INDEX(Vol_V,6,DV$144)/12*(1+V_dVol),0))</f>
        <v>0</v>
      </c>
      <c r="DW156" s="34" t="n">
        <f aca="false">IF(DW$8=1,N(Reales!DW17),IF(DW$145=1,INDEX(Vol_V,6,DW$144)/12*(1+V_dVol),0))</f>
        <v>0</v>
      </c>
      <c r="DX156" s="34" t="n">
        <f aca="false">IF(DX$8=1,N(Reales!DX17),IF(DX$145=1,INDEX(Vol_V,6,DX$144)/12*(1+V_dVol),0))</f>
        <v>0</v>
      </c>
      <c r="DY156" s="34" t="n">
        <f aca="false">IF(DY$8=1,N(Reales!DY17),IF(DY$145=1,INDEX(Vol_V,6,DY$144)/12*(1+V_dVol),0))</f>
        <v>0</v>
      </c>
      <c r="DZ156" s="34" t="n">
        <f aca="false">IF(DZ$8=1,N(Reales!DZ17),IF(DZ$145=1,INDEX(Vol_V,6,DZ$144)/12*(1+V_dVol),0))</f>
        <v>0</v>
      </c>
      <c r="EA156" s="34" t="n">
        <f aca="false">IF(EA$8=1,N(Reales!EA17),IF(EA$145=1,INDEX(Vol_V,6,EA$144)/12*(1+V_dVol),0))</f>
        <v>0</v>
      </c>
      <c r="EB156" s="34" t="n">
        <f aca="false">IF(EB$8=1,N(Reales!EB17),IF(EB$145=1,INDEX(Vol_V,6,EB$144)/12*(1+V_dVol),0))</f>
        <v>0</v>
      </c>
      <c r="EC156" s="34" t="n">
        <f aca="false">IF(EC$8=1,N(Reales!EC17),IF(EC$145=1,INDEX(Vol_V,6,EC$144)/12*(1+V_dVol),0))</f>
        <v>0</v>
      </c>
      <c r="ED156" s="34" t="n">
        <f aca="false">IF(ED$8=1,N(Reales!ED17),IF(ED$145=1,INDEX(Vol_V,6,ED$144)/12*(1+V_dVol),0))</f>
        <v>0</v>
      </c>
      <c r="EE156" s="34" t="n">
        <f aca="false">IF(EE$8=1,N(Reales!EE17),IF(EE$145=1,INDEX(Vol_V,6,EE$144)/12*(1+V_dVol),0))</f>
        <v>0</v>
      </c>
      <c r="EF156" s="34" t="n">
        <f aca="false">IF(EF$8=1,N(Reales!EF17),IF(EF$145=1,INDEX(Vol_V,6,EF$144)/12*(1+V_dVol),0))</f>
        <v>0</v>
      </c>
      <c r="EG156" s="34" t="n">
        <f aca="false">IF(EG$8=1,N(Reales!EG17),IF(EG$145=1,INDEX(Vol_V,6,EG$144)/12*(1+V_dVol),0))</f>
        <v>0</v>
      </c>
      <c r="EH156" s="34" t="n">
        <f aca="false">IF(EH$8=1,N(Reales!EH17),IF(EH$145=1,INDEX(Vol_V,6,EH$144)/12*(1+V_dVol),0))</f>
        <v>0</v>
      </c>
      <c r="EI156" s="34" t="n">
        <f aca="false">IF(EI$8=1,N(Reales!EI17),IF(EI$145=1,INDEX(Vol_V,6,EI$144)/12*(1+V_dVol),0))</f>
        <v>0</v>
      </c>
      <c r="EJ156" s="34" t="n">
        <f aca="false">IF(EJ$8=1,N(Reales!EJ17),IF(EJ$145=1,INDEX(Vol_V,6,EJ$144)/12*(1+V_dVol),0))</f>
        <v>0</v>
      </c>
      <c r="EK156" s="34" t="n">
        <f aca="false">IF(EK$8=1,N(Reales!EK17),IF(EK$145=1,INDEX(Vol_V,6,EK$144)/12*(1+V_dVol),0))</f>
        <v>0</v>
      </c>
      <c r="EL156" s="34" t="n">
        <f aca="false">IF(EL$8=1,N(Reales!EL17),IF(EL$145=1,INDEX(Vol_V,6,EL$144)/12*(1+V_dVol),0))</f>
        <v>0</v>
      </c>
      <c r="EM156" s="34" t="n">
        <f aca="false">IF(EM$8=1,N(Reales!EM17),IF(EM$145=1,INDEX(Vol_V,6,EM$144)/12*(1+V_dVol),0))</f>
        <v>0</v>
      </c>
      <c r="EN156" s="34" t="n">
        <f aca="false">IF(EN$8=1,N(Reales!EN17),IF(EN$145=1,INDEX(Vol_V,6,EN$144)/12*(1+V_dVol),0))</f>
        <v>0</v>
      </c>
      <c r="EO156" s="34" t="n">
        <f aca="false">IF(EO$8=1,N(Reales!EO17),IF(EO$145=1,INDEX(Vol_V,6,EO$144)/12*(1+V_dVol),0))</f>
        <v>0</v>
      </c>
      <c r="EP156" s="34" t="n">
        <f aca="false">IF(EP$8=1,N(Reales!EP17),IF(EP$145=1,INDEX(Vol_V,6,EP$144)/12*(1+V_dVol),0))</f>
        <v>0</v>
      </c>
      <c r="EQ156" s="34" t="n">
        <f aca="false">IF(EQ$8=1,N(Reales!EQ17),IF(EQ$145=1,INDEX(Vol_V,6,EQ$144)/12*(1+V_dVol),0))</f>
        <v>0</v>
      </c>
      <c r="ER156" s="34" t="n">
        <f aca="false">IF(ER$8=1,N(Reales!ER17),IF(ER$145=1,INDEX(Vol_V,6,ER$144)/12*(1+V_dVol),0))</f>
        <v>0</v>
      </c>
      <c r="ES156" s="34" t="n">
        <f aca="false">IF(ES$8=1,N(Reales!ES17),IF(ES$145=1,INDEX(Vol_V,6,ES$144)/12*(1+V_dVol),0))</f>
        <v>0</v>
      </c>
    </row>
    <row r="157" customFormat="false" ht="15" hidden="false" customHeight="false" outlineLevel="0" collapsed="false">
      <c r="A157" s="2" t="s">
        <v>773</v>
      </c>
      <c r="B157" s="39" t="str">
        <f aca="false">IF(INDEX(Prod_Nombre,7)="","Producto 7",INDEX(Prod_Nombre,7))&amp;" — unidades"</f>
        <v>Producto 7 — unidades</v>
      </c>
      <c r="C157" s="6" t="s">
        <v>286</v>
      </c>
      <c r="E157" s="40" t="n">
        <f aca="false">SUM(F157:ES157)</f>
        <v>0</v>
      </c>
      <c r="F157" s="34" t="n">
        <f aca="false">IF(F$8=1,N(Reales!F18),IF(F$145=1,INDEX(Vol_V,7,F$144)/12*(1+V_dVol),0))</f>
        <v>0</v>
      </c>
      <c r="G157" s="34" t="n">
        <f aca="false">IF(G$8=1,N(Reales!G18),IF(G$145=1,INDEX(Vol_V,7,G$144)/12*(1+V_dVol),0))</f>
        <v>0</v>
      </c>
      <c r="H157" s="34" t="n">
        <f aca="false">IF(H$8=1,N(Reales!H18),IF(H$145=1,INDEX(Vol_V,7,H$144)/12*(1+V_dVol),0))</f>
        <v>0</v>
      </c>
      <c r="I157" s="34" t="n">
        <f aca="false">IF(I$8=1,N(Reales!I18),IF(I$145=1,INDEX(Vol_V,7,I$144)/12*(1+V_dVol),0))</f>
        <v>0</v>
      </c>
      <c r="J157" s="34" t="n">
        <f aca="false">IF(J$8=1,N(Reales!J18),IF(J$145=1,INDEX(Vol_V,7,J$144)/12*(1+V_dVol),0))</f>
        <v>0</v>
      </c>
      <c r="K157" s="34" t="n">
        <f aca="false">IF(K$8=1,N(Reales!K18),IF(K$145=1,INDEX(Vol_V,7,K$144)/12*(1+V_dVol),0))</f>
        <v>0</v>
      </c>
      <c r="L157" s="34" t="n">
        <f aca="false">IF(L$8=1,N(Reales!L18),IF(L$145=1,INDEX(Vol_V,7,L$144)/12*(1+V_dVol),0))</f>
        <v>0</v>
      </c>
      <c r="M157" s="34" t="n">
        <f aca="false">IF(M$8=1,N(Reales!M18),IF(M$145=1,INDEX(Vol_V,7,M$144)/12*(1+V_dVol),0))</f>
        <v>0</v>
      </c>
      <c r="N157" s="34" t="n">
        <f aca="false">IF(N$8=1,N(Reales!N18),IF(N$145=1,INDEX(Vol_V,7,N$144)/12*(1+V_dVol),0))</f>
        <v>0</v>
      </c>
      <c r="O157" s="34" t="n">
        <f aca="false">IF(O$8=1,N(Reales!O18),IF(O$145=1,INDEX(Vol_V,7,O$144)/12*(1+V_dVol),0))</f>
        <v>0</v>
      </c>
      <c r="P157" s="34" t="n">
        <f aca="false">IF(P$8=1,N(Reales!P18),IF(P$145=1,INDEX(Vol_V,7,P$144)/12*(1+V_dVol),0))</f>
        <v>0</v>
      </c>
      <c r="Q157" s="34" t="n">
        <f aca="false">IF(Q$8=1,N(Reales!Q18),IF(Q$145=1,INDEX(Vol_V,7,Q$144)/12*(1+V_dVol),0))</f>
        <v>0</v>
      </c>
      <c r="R157" s="34" t="n">
        <f aca="false">IF(R$8=1,N(Reales!R18),IF(R$145=1,INDEX(Vol_V,7,R$144)/12*(1+V_dVol),0))</f>
        <v>0</v>
      </c>
      <c r="S157" s="34" t="n">
        <f aca="false">IF(S$8=1,N(Reales!S18),IF(S$145=1,INDEX(Vol_V,7,S$144)/12*(1+V_dVol),0))</f>
        <v>0</v>
      </c>
      <c r="T157" s="34" t="n">
        <f aca="false">IF(T$8=1,N(Reales!T18),IF(T$145=1,INDEX(Vol_V,7,T$144)/12*(1+V_dVol),0))</f>
        <v>0</v>
      </c>
      <c r="U157" s="34" t="n">
        <f aca="false">IF(U$8=1,N(Reales!U18),IF(U$145=1,INDEX(Vol_V,7,U$144)/12*(1+V_dVol),0))</f>
        <v>0</v>
      </c>
      <c r="V157" s="34" t="n">
        <f aca="false">IF(V$8=1,N(Reales!V18),IF(V$145=1,INDEX(Vol_V,7,V$144)/12*(1+V_dVol),0))</f>
        <v>0</v>
      </c>
      <c r="W157" s="34" t="n">
        <f aca="false">IF(W$8=1,N(Reales!W18),IF(W$145=1,INDEX(Vol_V,7,W$144)/12*(1+V_dVol),0))</f>
        <v>0</v>
      </c>
      <c r="X157" s="34" t="n">
        <f aca="false">IF(X$8=1,N(Reales!X18),IF(X$145=1,INDEX(Vol_V,7,X$144)/12*(1+V_dVol),0))</f>
        <v>0</v>
      </c>
      <c r="Y157" s="34" t="n">
        <f aca="false">IF(Y$8=1,N(Reales!Y18),IF(Y$145=1,INDEX(Vol_V,7,Y$144)/12*(1+V_dVol),0))</f>
        <v>0</v>
      </c>
      <c r="Z157" s="34" t="n">
        <f aca="false">IF(Z$8=1,N(Reales!Z18),IF(Z$145=1,INDEX(Vol_V,7,Z$144)/12*(1+V_dVol),0))</f>
        <v>0</v>
      </c>
      <c r="AA157" s="34" t="n">
        <f aca="false">IF(AA$8=1,N(Reales!AA18),IF(AA$145=1,INDEX(Vol_V,7,AA$144)/12*(1+V_dVol),0))</f>
        <v>0</v>
      </c>
      <c r="AB157" s="34" t="n">
        <f aca="false">IF(AB$8=1,N(Reales!AB18),IF(AB$145=1,INDEX(Vol_V,7,AB$144)/12*(1+V_dVol),0))</f>
        <v>0</v>
      </c>
      <c r="AC157" s="34" t="n">
        <f aca="false">IF(AC$8=1,N(Reales!AC18),IF(AC$145=1,INDEX(Vol_V,7,AC$144)/12*(1+V_dVol),0))</f>
        <v>0</v>
      </c>
      <c r="AD157" s="34" t="n">
        <f aca="false">IF(AD$8=1,N(Reales!AD18),IF(AD$145=1,INDEX(Vol_V,7,AD$144)/12*(1+V_dVol),0))</f>
        <v>0</v>
      </c>
      <c r="AE157" s="34" t="n">
        <f aca="false">IF(AE$8=1,N(Reales!AE18),IF(AE$145=1,INDEX(Vol_V,7,AE$144)/12*(1+V_dVol),0))</f>
        <v>0</v>
      </c>
      <c r="AF157" s="34" t="n">
        <f aca="false">IF(AF$8=1,N(Reales!AF18),IF(AF$145=1,INDEX(Vol_V,7,AF$144)/12*(1+V_dVol),0))</f>
        <v>0</v>
      </c>
      <c r="AG157" s="34" t="n">
        <f aca="false">IF(AG$8=1,N(Reales!AG18),IF(AG$145=1,INDEX(Vol_V,7,AG$144)/12*(1+V_dVol),0))</f>
        <v>0</v>
      </c>
      <c r="AH157" s="34" t="n">
        <f aca="false">IF(AH$8=1,N(Reales!AH18),IF(AH$145=1,INDEX(Vol_V,7,AH$144)/12*(1+V_dVol),0))</f>
        <v>0</v>
      </c>
      <c r="AI157" s="34" t="n">
        <f aca="false">IF(AI$8=1,N(Reales!AI18),IF(AI$145=1,INDEX(Vol_V,7,AI$144)/12*(1+V_dVol),0))</f>
        <v>0</v>
      </c>
      <c r="AJ157" s="34" t="n">
        <f aca="false">IF(AJ$8=1,N(Reales!AJ18),IF(AJ$145=1,INDEX(Vol_V,7,AJ$144)/12*(1+V_dVol),0))</f>
        <v>0</v>
      </c>
      <c r="AK157" s="34" t="n">
        <f aca="false">IF(AK$8=1,N(Reales!AK18),IF(AK$145=1,INDEX(Vol_V,7,AK$144)/12*(1+V_dVol),0))</f>
        <v>0</v>
      </c>
      <c r="AL157" s="34" t="n">
        <f aca="false">IF(AL$8=1,N(Reales!AL18),IF(AL$145=1,INDEX(Vol_V,7,AL$144)/12*(1+V_dVol),0))</f>
        <v>0</v>
      </c>
      <c r="AM157" s="34" t="n">
        <f aca="false">IF(AM$8=1,N(Reales!AM18),IF(AM$145=1,INDEX(Vol_V,7,AM$144)/12*(1+V_dVol),0))</f>
        <v>0</v>
      </c>
      <c r="AN157" s="34" t="n">
        <f aca="false">IF(AN$8=1,N(Reales!AN18),IF(AN$145=1,INDEX(Vol_V,7,AN$144)/12*(1+V_dVol),0))</f>
        <v>0</v>
      </c>
      <c r="AO157" s="34" t="n">
        <f aca="false">IF(AO$8=1,N(Reales!AO18),IF(AO$145=1,INDEX(Vol_V,7,AO$144)/12*(1+V_dVol),0))</f>
        <v>0</v>
      </c>
      <c r="AP157" s="34" t="n">
        <f aca="false">IF(AP$8=1,N(Reales!AP18),IF(AP$145=1,INDEX(Vol_V,7,AP$144)/12*(1+V_dVol),0))</f>
        <v>0</v>
      </c>
      <c r="AQ157" s="34" t="n">
        <f aca="false">IF(AQ$8=1,N(Reales!AQ18),IF(AQ$145=1,INDEX(Vol_V,7,AQ$144)/12*(1+V_dVol),0))</f>
        <v>0</v>
      </c>
      <c r="AR157" s="34" t="n">
        <f aca="false">IF(AR$8=1,N(Reales!AR18),IF(AR$145=1,INDEX(Vol_V,7,AR$144)/12*(1+V_dVol),0))</f>
        <v>0</v>
      </c>
      <c r="AS157" s="34" t="n">
        <f aca="false">IF(AS$8=1,N(Reales!AS18),IF(AS$145=1,INDEX(Vol_V,7,AS$144)/12*(1+V_dVol),0))</f>
        <v>0</v>
      </c>
      <c r="AT157" s="34" t="n">
        <f aca="false">IF(AT$8=1,N(Reales!AT18),IF(AT$145=1,INDEX(Vol_V,7,AT$144)/12*(1+V_dVol),0))</f>
        <v>0</v>
      </c>
      <c r="AU157" s="34" t="n">
        <f aca="false">IF(AU$8=1,N(Reales!AU18),IF(AU$145=1,INDEX(Vol_V,7,AU$144)/12*(1+V_dVol),0))</f>
        <v>0</v>
      </c>
      <c r="AV157" s="34" t="n">
        <f aca="false">IF(AV$8=1,N(Reales!AV18),IF(AV$145=1,INDEX(Vol_V,7,AV$144)/12*(1+V_dVol),0))</f>
        <v>0</v>
      </c>
      <c r="AW157" s="34" t="n">
        <f aca="false">IF(AW$8=1,N(Reales!AW18),IF(AW$145=1,INDEX(Vol_V,7,AW$144)/12*(1+V_dVol),0))</f>
        <v>0</v>
      </c>
      <c r="AX157" s="34" t="n">
        <f aca="false">IF(AX$8=1,N(Reales!AX18),IF(AX$145=1,INDEX(Vol_V,7,AX$144)/12*(1+V_dVol),0))</f>
        <v>0</v>
      </c>
      <c r="AY157" s="34" t="n">
        <f aca="false">IF(AY$8=1,N(Reales!AY18),IF(AY$145=1,INDEX(Vol_V,7,AY$144)/12*(1+V_dVol),0))</f>
        <v>0</v>
      </c>
      <c r="AZ157" s="34" t="n">
        <f aca="false">IF(AZ$8=1,N(Reales!AZ18),IF(AZ$145=1,INDEX(Vol_V,7,AZ$144)/12*(1+V_dVol),0))</f>
        <v>0</v>
      </c>
      <c r="BA157" s="34" t="n">
        <f aca="false">IF(BA$8=1,N(Reales!BA18),IF(BA$145=1,INDEX(Vol_V,7,BA$144)/12*(1+V_dVol),0))</f>
        <v>0</v>
      </c>
      <c r="BB157" s="34" t="n">
        <f aca="false">IF(BB$8=1,N(Reales!BB18),IF(BB$145=1,INDEX(Vol_V,7,BB$144)/12*(1+V_dVol),0))</f>
        <v>0</v>
      </c>
      <c r="BC157" s="34" t="n">
        <f aca="false">IF(BC$8=1,N(Reales!BC18),IF(BC$145=1,INDEX(Vol_V,7,BC$144)/12*(1+V_dVol),0))</f>
        <v>0</v>
      </c>
      <c r="BD157" s="34" t="n">
        <f aca="false">IF(BD$8=1,N(Reales!BD18),IF(BD$145=1,INDEX(Vol_V,7,BD$144)/12*(1+V_dVol),0))</f>
        <v>0</v>
      </c>
      <c r="BE157" s="34" t="n">
        <f aca="false">IF(BE$8=1,N(Reales!BE18),IF(BE$145=1,INDEX(Vol_V,7,BE$144)/12*(1+V_dVol),0))</f>
        <v>0</v>
      </c>
      <c r="BF157" s="34" t="n">
        <f aca="false">IF(BF$8=1,N(Reales!BF18),IF(BF$145=1,INDEX(Vol_V,7,BF$144)/12*(1+V_dVol),0))</f>
        <v>0</v>
      </c>
      <c r="BG157" s="34" t="n">
        <f aca="false">IF(BG$8=1,N(Reales!BG18),IF(BG$145=1,INDEX(Vol_V,7,BG$144)/12*(1+V_dVol),0))</f>
        <v>0</v>
      </c>
      <c r="BH157" s="34" t="n">
        <f aca="false">IF(BH$8=1,N(Reales!BH18),IF(BH$145=1,INDEX(Vol_V,7,BH$144)/12*(1+V_dVol),0))</f>
        <v>0</v>
      </c>
      <c r="BI157" s="34" t="n">
        <f aca="false">IF(BI$8=1,N(Reales!BI18),IF(BI$145=1,INDEX(Vol_V,7,BI$144)/12*(1+V_dVol),0))</f>
        <v>0</v>
      </c>
      <c r="BJ157" s="34" t="n">
        <f aca="false">IF(BJ$8=1,N(Reales!BJ18),IF(BJ$145=1,INDEX(Vol_V,7,BJ$144)/12*(1+V_dVol),0))</f>
        <v>0</v>
      </c>
      <c r="BK157" s="34" t="n">
        <f aca="false">IF(BK$8=1,N(Reales!BK18),IF(BK$145=1,INDEX(Vol_V,7,BK$144)/12*(1+V_dVol),0))</f>
        <v>0</v>
      </c>
      <c r="BL157" s="34" t="n">
        <f aca="false">IF(BL$8=1,N(Reales!BL18),IF(BL$145=1,INDEX(Vol_V,7,BL$144)/12*(1+V_dVol),0))</f>
        <v>0</v>
      </c>
      <c r="BM157" s="34" t="n">
        <f aca="false">IF(BM$8=1,N(Reales!BM18),IF(BM$145=1,INDEX(Vol_V,7,BM$144)/12*(1+V_dVol),0))</f>
        <v>0</v>
      </c>
      <c r="BN157" s="34" t="n">
        <f aca="false">IF(BN$8=1,N(Reales!BN18),IF(BN$145=1,INDEX(Vol_V,7,BN$144)/12*(1+V_dVol),0))</f>
        <v>0</v>
      </c>
      <c r="BO157" s="34" t="n">
        <f aca="false">IF(BO$8=1,N(Reales!BO18),IF(BO$145=1,INDEX(Vol_V,7,BO$144)/12*(1+V_dVol),0))</f>
        <v>0</v>
      </c>
      <c r="BP157" s="34" t="n">
        <f aca="false">IF(BP$8=1,N(Reales!BP18),IF(BP$145=1,INDEX(Vol_V,7,BP$144)/12*(1+V_dVol),0))</f>
        <v>0</v>
      </c>
      <c r="BQ157" s="34" t="n">
        <f aca="false">IF(BQ$8=1,N(Reales!BQ18),IF(BQ$145=1,INDEX(Vol_V,7,BQ$144)/12*(1+V_dVol),0))</f>
        <v>0</v>
      </c>
      <c r="BR157" s="34" t="n">
        <f aca="false">IF(BR$8=1,N(Reales!BR18),IF(BR$145=1,INDEX(Vol_V,7,BR$144)/12*(1+V_dVol),0))</f>
        <v>0</v>
      </c>
      <c r="BS157" s="34" t="n">
        <f aca="false">IF(BS$8=1,N(Reales!BS18),IF(BS$145=1,INDEX(Vol_V,7,BS$144)/12*(1+V_dVol),0))</f>
        <v>0</v>
      </c>
      <c r="BT157" s="34" t="n">
        <f aca="false">IF(BT$8=1,N(Reales!BT18),IF(BT$145=1,INDEX(Vol_V,7,BT$144)/12*(1+V_dVol),0))</f>
        <v>0</v>
      </c>
      <c r="BU157" s="34" t="n">
        <f aca="false">IF(BU$8=1,N(Reales!BU18),IF(BU$145=1,INDEX(Vol_V,7,BU$144)/12*(1+V_dVol),0))</f>
        <v>0</v>
      </c>
      <c r="BV157" s="34" t="n">
        <f aca="false">IF(BV$8=1,N(Reales!BV18),IF(BV$145=1,INDEX(Vol_V,7,BV$144)/12*(1+V_dVol),0))</f>
        <v>0</v>
      </c>
      <c r="BW157" s="34" t="n">
        <f aca="false">IF(BW$8=1,N(Reales!BW18),IF(BW$145=1,INDEX(Vol_V,7,BW$144)/12*(1+V_dVol),0))</f>
        <v>0</v>
      </c>
      <c r="BX157" s="34" t="n">
        <f aca="false">IF(BX$8=1,N(Reales!BX18),IF(BX$145=1,INDEX(Vol_V,7,BX$144)/12*(1+V_dVol),0))</f>
        <v>0</v>
      </c>
      <c r="BY157" s="34" t="n">
        <f aca="false">IF(BY$8=1,N(Reales!BY18),IF(BY$145=1,INDEX(Vol_V,7,BY$144)/12*(1+V_dVol),0))</f>
        <v>0</v>
      </c>
      <c r="BZ157" s="34" t="n">
        <f aca="false">IF(BZ$8=1,N(Reales!BZ18),IF(BZ$145=1,INDEX(Vol_V,7,BZ$144)/12*(1+V_dVol),0))</f>
        <v>0</v>
      </c>
      <c r="CA157" s="34" t="n">
        <f aca="false">IF(CA$8=1,N(Reales!CA18),IF(CA$145=1,INDEX(Vol_V,7,CA$144)/12*(1+V_dVol),0))</f>
        <v>0</v>
      </c>
      <c r="CB157" s="34" t="n">
        <f aca="false">IF(CB$8=1,N(Reales!CB18),IF(CB$145=1,INDEX(Vol_V,7,CB$144)/12*(1+V_dVol),0))</f>
        <v>0</v>
      </c>
      <c r="CC157" s="34" t="n">
        <f aca="false">IF(CC$8=1,N(Reales!CC18),IF(CC$145=1,INDEX(Vol_V,7,CC$144)/12*(1+V_dVol),0))</f>
        <v>0</v>
      </c>
      <c r="CD157" s="34" t="n">
        <f aca="false">IF(CD$8=1,N(Reales!CD18),IF(CD$145=1,INDEX(Vol_V,7,CD$144)/12*(1+V_dVol),0))</f>
        <v>0</v>
      </c>
      <c r="CE157" s="34" t="n">
        <f aca="false">IF(CE$8=1,N(Reales!CE18),IF(CE$145=1,INDEX(Vol_V,7,CE$144)/12*(1+V_dVol),0))</f>
        <v>0</v>
      </c>
      <c r="CF157" s="34" t="n">
        <f aca="false">IF(CF$8=1,N(Reales!CF18),IF(CF$145=1,INDEX(Vol_V,7,CF$144)/12*(1+V_dVol),0))</f>
        <v>0</v>
      </c>
      <c r="CG157" s="34" t="n">
        <f aca="false">IF(CG$8=1,N(Reales!CG18),IF(CG$145=1,INDEX(Vol_V,7,CG$144)/12*(1+V_dVol),0))</f>
        <v>0</v>
      </c>
      <c r="CH157" s="34" t="n">
        <f aca="false">IF(CH$8=1,N(Reales!CH18),IF(CH$145=1,INDEX(Vol_V,7,CH$144)/12*(1+V_dVol),0))</f>
        <v>0</v>
      </c>
      <c r="CI157" s="34" t="n">
        <f aca="false">IF(CI$8=1,N(Reales!CI18),IF(CI$145=1,INDEX(Vol_V,7,CI$144)/12*(1+V_dVol),0))</f>
        <v>0</v>
      </c>
      <c r="CJ157" s="34" t="n">
        <f aca="false">IF(CJ$8=1,N(Reales!CJ18),IF(CJ$145=1,INDEX(Vol_V,7,CJ$144)/12*(1+V_dVol),0))</f>
        <v>0</v>
      </c>
      <c r="CK157" s="34" t="n">
        <f aca="false">IF(CK$8=1,N(Reales!CK18),IF(CK$145=1,INDEX(Vol_V,7,CK$144)/12*(1+V_dVol),0))</f>
        <v>0</v>
      </c>
      <c r="CL157" s="34" t="n">
        <f aca="false">IF(CL$8=1,N(Reales!CL18),IF(CL$145=1,INDEX(Vol_V,7,CL$144)/12*(1+V_dVol),0))</f>
        <v>0</v>
      </c>
      <c r="CM157" s="34" t="n">
        <f aca="false">IF(CM$8=1,N(Reales!CM18),IF(CM$145=1,INDEX(Vol_V,7,CM$144)/12*(1+V_dVol),0))</f>
        <v>0</v>
      </c>
      <c r="CN157" s="34" t="n">
        <f aca="false">IF(CN$8=1,N(Reales!CN18),IF(CN$145=1,INDEX(Vol_V,7,CN$144)/12*(1+V_dVol),0))</f>
        <v>0</v>
      </c>
      <c r="CO157" s="34" t="n">
        <f aca="false">IF(CO$8=1,N(Reales!CO18),IF(CO$145=1,INDEX(Vol_V,7,CO$144)/12*(1+V_dVol),0))</f>
        <v>0</v>
      </c>
      <c r="CP157" s="34" t="n">
        <f aca="false">IF(CP$8=1,N(Reales!CP18),IF(CP$145=1,INDEX(Vol_V,7,CP$144)/12*(1+V_dVol),0))</f>
        <v>0</v>
      </c>
      <c r="CQ157" s="34" t="n">
        <f aca="false">IF(CQ$8=1,N(Reales!CQ18),IF(CQ$145=1,INDEX(Vol_V,7,CQ$144)/12*(1+V_dVol),0))</f>
        <v>0</v>
      </c>
      <c r="CR157" s="34" t="n">
        <f aca="false">IF(CR$8=1,N(Reales!CR18),IF(CR$145=1,INDEX(Vol_V,7,CR$144)/12*(1+V_dVol),0))</f>
        <v>0</v>
      </c>
      <c r="CS157" s="34" t="n">
        <f aca="false">IF(CS$8=1,N(Reales!CS18),IF(CS$145=1,INDEX(Vol_V,7,CS$144)/12*(1+V_dVol),0))</f>
        <v>0</v>
      </c>
      <c r="CT157" s="34" t="n">
        <f aca="false">IF(CT$8=1,N(Reales!CT18),IF(CT$145=1,INDEX(Vol_V,7,CT$144)/12*(1+V_dVol),0))</f>
        <v>0</v>
      </c>
      <c r="CU157" s="34" t="n">
        <f aca="false">IF(CU$8=1,N(Reales!CU18),IF(CU$145=1,INDEX(Vol_V,7,CU$144)/12*(1+V_dVol),0))</f>
        <v>0</v>
      </c>
      <c r="CV157" s="34" t="n">
        <f aca="false">IF(CV$8=1,N(Reales!CV18),IF(CV$145=1,INDEX(Vol_V,7,CV$144)/12*(1+V_dVol),0))</f>
        <v>0</v>
      </c>
      <c r="CW157" s="34" t="n">
        <f aca="false">IF(CW$8=1,N(Reales!CW18),IF(CW$145=1,INDEX(Vol_V,7,CW$144)/12*(1+V_dVol),0))</f>
        <v>0</v>
      </c>
      <c r="CX157" s="34" t="n">
        <f aca="false">IF(CX$8=1,N(Reales!CX18),IF(CX$145=1,INDEX(Vol_V,7,CX$144)/12*(1+V_dVol),0))</f>
        <v>0</v>
      </c>
      <c r="CY157" s="34" t="n">
        <f aca="false">IF(CY$8=1,N(Reales!CY18),IF(CY$145=1,INDEX(Vol_V,7,CY$144)/12*(1+V_dVol),0))</f>
        <v>0</v>
      </c>
      <c r="CZ157" s="34" t="n">
        <f aca="false">IF(CZ$8=1,N(Reales!CZ18),IF(CZ$145=1,INDEX(Vol_V,7,CZ$144)/12*(1+V_dVol),0))</f>
        <v>0</v>
      </c>
      <c r="DA157" s="34" t="n">
        <f aca="false">IF(DA$8=1,N(Reales!DA18),IF(DA$145=1,INDEX(Vol_V,7,DA$144)/12*(1+V_dVol),0))</f>
        <v>0</v>
      </c>
      <c r="DB157" s="34" t="n">
        <f aca="false">IF(DB$8=1,N(Reales!DB18),IF(DB$145=1,INDEX(Vol_V,7,DB$144)/12*(1+V_dVol),0))</f>
        <v>0</v>
      </c>
      <c r="DC157" s="34" t="n">
        <f aca="false">IF(DC$8=1,N(Reales!DC18),IF(DC$145=1,INDEX(Vol_V,7,DC$144)/12*(1+V_dVol),0))</f>
        <v>0</v>
      </c>
      <c r="DD157" s="34" t="n">
        <f aca="false">IF(DD$8=1,N(Reales!DD18),IF(DD$145=1,INDEX(Vol_V,7,DD$144)/12*(1+V_dVol),0))</f>
        <v>0</v>
      </c>
      <c r="DE157" s="34" t="n">
        <f aca="false">IF(DE$8=1,N(Reales!DE18),IF(DE$145=1,INDEX(Vol_V,7,DE$144)/12*(1+V_dVol),0))</f>
        <v>0</v>
      </c>
      <c r="DF157" s="34" t="n">
        <f aca="false">IF(DF$8=1,N(Reales!DF18),IF(DF$145=1,INDEX(Vol_V,7,DF$144)/12*(1+V_dVol),0))</f>
        <v>0</v>
      </c>
      <c r="DG157" s="34" t="n">
        <f aca="false">IF(DG$8=1,N(Reales!DG18),IF(DG$145=1,INDEX(Vol_V,7,DG$144)/12*(1+V_dVol),0))</f>
        <v>0</v>
      </c>
      <c r="DH157" s="34" t="n">
        <f aca="false">IF(DH$8=1,N(Reales!DH18),IF(DH$145=1,INDEX(Vol_V,7,DH$144)/12*(1+V_dVol),0))</f>
        <v>0</v>
      </c>
      <c r="DI157" s="34" t="n">
        <f aca="false">IF(DI$8=1,N(Reales!DI18),IF(DI$145=1,INDEX(Vol_V,7,DI$144)/12*(1+V_dVol),0))</f>
        <v>0</v>
      </c>
      <c r="DJ157" s="34" t="n">
        <f aca="false">IF(DJ$8=1,N(Reales!DJ18),IF(DJ$145=1,INDEX(Vol_V,7,DJ$144)/12*(1+V_dVol),0))</f>
        <v>0</v>
      </c>
      <c r="DK157" s="34" t="n">
        <f aca="false">IF(DK$8=1,N(Reales!DK18),IF(DK$145=1,INDEX(Vol_V,7,DK$144)/12*(1+V_dVol),0))</f>
        <v>0</v>
      </c>
      <c r="DL157" s="34" t="n">
        <f aca="false">IF(DL$8=1,N(Reales!DL18),IF(DL$145=1,INDEX(Vol_V,7,DL$144)/12*(1+V_dVol),0))</f>
        <v>0</v>
      </c>
      <c r="DM157" s="34" t="n">
        <f aca="false">IF(DM$8=1,N(Reales!DM18),IF(DM$145=1,INDEX(Vol_V,7,DM$144)/12*(1+V_dVol),0))</f>
        <v>0</v>
      </c>
      <c r="DN157" s="34" t="n">
        <f aca="false">IF(DN$8=1,N(Reales!DN18),IF(DN$145=1,INDEX(Vol_V,7,DN$144)/12*(1+V_dVol),0))</f>
        <v>0</v>
      </c>
      <c r="DO157" s="34" t="n">
        <f aca="false">IF(DO$8=1,N(Reales!DO18),IF(DO$145=1,INDEX(Vol_V,7,DO$144)/12*(1+V_dVol),0))</f>
        <v>0</v>
      </c>
      <c r="DP157" s="34" t="n">
        <f aca="false">IF(DP$8=1,N(Reales!DP18),IF(DP$145=1,INDEX(Vol_V,7,DP$144)/12*(1+V_dVol),0))</f>
        <v>0</v>
      </c>
      <c r="DQ157" s="34" t="n">
        <f aca="false">IF(DQ$8=1,N(Reales!DQ18),IF(DQ$145=1,INDEX(Vol_V,7,DQ$144)/12*(1+V_dVol),0))</f>
        <v>0</v>
      </c>
      <c r="DR157" s="34" t="n">
        <f aca="false">IF(DR$8=1,N(Reales!DR18),IF(DR$145=1,INDEX(Vol_V,7,DR$144)/12*(1+V_dVol),0))</f>
        <v>0</v>
      </c>
      <c r="DS157" s="34" t="n">
        <f aca="false">IF(DS$8=1,N(Reales!DS18),IF(DS$145=1,INDEX(Vol_V,7,DS$144)/12*(1+V_dVol),0))</f>
        <v>0</v>
      </c>
      <c r="DT157" s="34" t="n">
        <f aca="false">IF(DT$8=1,N(Reales!DT18),IF(DT$145=1,INDEX(Vol_V,7,DT$144)/12*(1+V_dVol),0))</f>
        <v>0</v>
      </c>
      <c r="DU157" s="34" t="n">
        <f aca="false">IF(DU$8=1,N(Reales!DU18),IF(DU$145=1,INDEX(Vol_V,7,DU$144)/12*(1+V_dVol),0))</f>
        <v>0</v>
      </c>
      <c r="DV157" s="34" t="n">
        <f aca="false">IF(DV$8=1,N(Reales!DV18),IF(DV$145=1,INDEX(Vol_V,7,DV$144)/12*(1+V_dVol),0))</f>
        <v>0</v>
      </c>
      <c r="DW157" s="34" t="n">
        <f aca="false">IF(DW$8=1,N(Reales!DW18),IF(DW$145=1,INDEX(Vol_V,7,DW$144)/12*(1+V_dVol),0))</f>
        <v>0</v>
      </c>
      <c r="DX157" s="34" t="n">
        <f aca="false">IF(DX$8=1,N(Reales!DX18),IF(DX$145=1,INDEX(Vol_V,7,DX$144)/12*(1+V_dVol),0))</f>
        <v>0</v>
      </c>
      <c r="DY157" s="34" t="n">
        <f aca="false">IF(DY$8=1,N(Reales!DY18),IF(DY$145=1,INDEX(Vol_V,7,DY$144)/12*(1+V_dVol),0))</f>
        <v>0</v>
      </c>
      <c r="DZ157" s="34" t="n">
        <f aca="false">IF(DZ$8=1,N(Reales!DZ18),IF(DZ$145=1,INDEX(Vol_V,7,DZ$144)/12*(1+V_dVol),0))</f>
        <v>0</v>
      </c>
      <c r="EA157" s="34" t="n">
        <f aca="false">IF(EA$8=1,N(Reales!EA18),IF(EA$145=1,INDEX(Vol_V,7,EA$144)/12*(1+V_dVol),0))</f>
        <v>0</v>
      </c>
      <c r="EB157" s="34" t="n">
        <f aca="false">IF(EB$8=1,N(Reales!EB18),IF(EB$145=1,INDEX(Vol_V,7,EB$144)/12*(1+V_dVol),0))</f>
        <v>0</v>
      </c>
      <c r="EC157" s="34" t="n">
        <f aca="false">IF(EC$8=1,N(Reales!EC18),IF(EC$145=1,INDEX(Vol_V,7,EC$144)/12*(1+V_dVol),0))</f>
        <v>0</v>
      </c>
      <c r="ED157" s="34" t="n">
        <f aca="false">IF(ED$8=1,N(Reales!ED18),IF(ED$145=1,INDEX(Vol_V,7,ED$144)/12*(1+V_dVol),0))</f>
        <v>0</v>
      </c>
      <c r="EE157" s="34" t="n">
        <f aca="false">IF(EE$8=1,N(Reales!EE18),IF(EE$145=1,INDEX(Vol_V,7,EE$144)/12*(1+V_dVol),0))</f>
        <v>0</v>
      </c>
      <c r="EF157" s="34" t="n">
        <f aca="false">IF(EF$8=1,N(Reales!EF18),IF(EF$145=1,INDEX(Vol_V,7,EF$144)/12*(1+V_dVol),0))</f>
        <v>0</v>
      </c>
      <c r="EG157" s="34" t="n">
        <f aca="false">IF(EG$8=1,N(Reales!EG18),IF(EG$145=1,INDEX(Vol_V,7,EG$144)/12*(1+V_dVol),0))</f>
        <v>0</v>
      </c>
      <c r="EH157" s="34" t="n">
        <f aca="false">IF(EH$8=1,N(Reales!EH18),IF(EH$145=1,INDEX(Vol_V,7,EH$144)/12*(1+V_dVol),0))</f>
        <v>0</v>
      </c>
      <c r="EI157" s="34" t="n">
        <f aca="false">IF(EI$8=1,N(Reales!EI18),IF(EI$145=1,INDEX(Vol_V,7,EI$144)/12*(1+V_dVol),0))</f>
        <v>0</v>
      </c>
      <c r="EJ157" s="34" t="n">
        <f aca="false">IF(EJ$8=1,N(Reales!EJ18),IF(EJ$145=1,INDEX(Vol_V,7,EJ$144)/12*(1+V_dVol),0))</f>
        <v>0</v>
      </c>
      <c r="EK157" s="34" t="n">
        <f aca="false">IF(EK$8=1,N(Reales!EK18),IF(EK$145=1,INDEX(Vol_V,7,EK$144)/12*(1+V_dVol),0))</f>
        <v>0</v>
      </c>
      <c r="EL157" s="34" t="n">
        <f aca="false">IF(EL$8=1,N(Reales!EL18),IF(EL$145=1,INDEX(Vol_V,7,EL$144)/12*(1+V_dVol),0))</f>
        <v>0</v>
      </c>
      <c r="EM157" s="34" t="n">
        <f aca="false">IF(EM$8=1,N(Reales!EM18),IF(EM$145=1,INDEX(Vol_V,7,EM$144)/12*(1+V_dVol),0))</f>
        <v>0</v>
      </c>
      <c r="EN157" s="34" t="n">
        <f aca="false">IF(EN$8=1,N(Reales!EN18),IF(EN$145=1,INDEX(Vol_V,7,EN$144)/12*(1+V_dVol),0))</f>
        <v>0</v>
      </c>
      <c r="EO157" s="34" t="n">
        <f aca="false">IF(EO$8=1,N(Reales!EO18),IF(EO$145=1,INDEX(Vol_V,7,EO$144)/12*(1+V_dVol),0))</f>
        <v>0</v>
      </c>
      <c r="EP157" s="34" t="n">
        <f aca="false">IF(EP$8=1,N(Reales!EP18),IF(EP$145=1,INDEX(Vol_V,7,EP$144)/12*(1+V_dVol),0))</f>
        <v>0</v>
      </c>
      <c r="EQ157" s="34" t="n">
        <f aca="false">IF(EQ$8=1,N(Reales!EQ18),IF(EQ$145=1,INDEX(Vol_V,7,EQ$144)/12*(1+V_dVol),0))</f>
        <v>0</v>
      </c>
      <c r="ER157" s="34" t="n">
        <f aca="false">IF(ER$8=1,N(Reales!ER18),IF(ER$145=1,INDEX(Vol_V,7,ER$144)/12*(1+V_dVol),0))</f>
        <v>0</v>
      </c>
      <c r="ES157" s="34" t="n">
        <f aca="false">IF(ES$8=1,N(Reales!ES18),IF(ES$145=1,INDEX(Vol_V,7,ES$144)/12*(1+V_dVol),0))</f>
        <v>0</v>
      </c>
    </row>
    <row r="158" customFormat="false" ht="15" hidden="false" customHeight="false" outlineLevel="0" collapsed="false">
      <c r="A158" s="2" t="s">
        <v>774</v>
      </c>
      <c r="B158" s="39" t="str">
        <f aca="false">IF(INDEX(Prod_Nombre,8)="","Producto 8",INDEX(Prod_Nombre,8))&amp;" — unidades"</f>
        <v>Producto 8 — unidades</v>
      </c>
      <c r="C158" s="6" t="s">
        <v>286</v>
      </c>
      <c r="E158" s="40" t="n">
        <f aca="false">SUM(F158:ES158)</f>
        <v>0</v>
      </c>
      <c r="F158" s="34" t="n">
        <f aca="false">IF(F$8=1,N(Reales!F19),IF(F$145=1,INDEX(Vol_V,8,F$144)/12*(1+V_dVol),0))</f>
        <v>0</v>
      </c>
      <c r="G158" s="34" t="n">
        <f aca="false">IF(G$8=1,N(Reales!G19),IF(G$145=1,INDEX(Vol_V,8,G$144)/12*(1+V_dVol),0))</f>
        <v>0</v>
      </c>
      <c r="H158" s="34" t="n">
        <f aca="false">IF(H$8=1,N(Reales!H19),IF(H$145=1,INDEX(Vol_V,8,H$144)/12*(1+V_dVol),0))</f>
        <v>0</v>
      </c>
      <c r="I158" s="34" t="n">
        <f aca="false">IF(I$8=1,N(Reales!I19),IF(I$145=1,INDEX(Vol_V,8,I$144)/12*(1+V_dVol),0))</f>
        <v>0</v>
      </c>
      <c r="J158" s="34" t="n">
        <f aca="false">IF(J$8=1,N(Reales!J19),IF(J$145=1,INDEX(Vol_V,8,J$144)/12*(1+V_dVol),0))</f>
        <v>0</v>
      </c>
      <c r="K158" s="34" t="n">
        <f aca="false">IF(K$8=1,N(Reales!K19),IF(K$145=1,INDEX(Vol_V,8,K$144)/12*(1+V_dVol),0))</f>
        <v>0</v>
      </c>
      <c r="L158" s="34" t="n">
        <f aca="false">IF(L$8=1,N(Reales!L19),IF(L$145=1,INDEX(Vol_V,8,L$144)/12*(1+V_dVol),0))</f>
        <v>0</v>
      </c>
      <c r="M158" s="34" t="n">
        <f aca="false">IF(M$8=1,N(Reales!M19),IF(M$145=1,INDEX(Vol_V,8,M$144)/12*(1+V_dVol),0))</f>
        <v>0</v>
      </c>
      <c r="N158" s="34" t="n">
        <f aca="false">IF(N$8=1,N(Reales!N19),IF(N$145=1,INDEX(Vol_V,8,N$144)/12*(1+V_dVol),0))</f>
        <v>0</v>
      </c>
      <c r="O158" s="34" t="n">
        <f aca="false">IF(O$8=1,N(Reales!O19),IF(O$145=1,INDEX(Vol_V,8,O$144)/12*(1+V_dVol),0))</f>
        <v>0</v>
      </c>
      <c r="P158" s="34" t="n">
        <f aca="false">IF(P$8=1,N(Reales!P19),IF(P$145=1,INDEX(Vol_V,8,P$144)/12*(1+V_dVol),0))</f>
        <v>0</v>
      </c>
      <c r="Q158" s="34" t="n">
        <f aca="false">IF(Q$8=1,N(Reales!Q19),IF(Q$145=1,INDEX(Vol_V,8,Q$144)/12*(1+V_dVol),0))</f>
        <v>0</v>
      </c>
      <c r="R158" s="34" t="n">
        <f aca="false">IF(R$8=1,N(Reales!R19),IF(R$145=1,INDEX(Vol_V,8,R$144)/12*(1+V_dVol),0))</f>
        <v>0</v>
      </c>
      <c r="S158" s="34" t="n">
        <f aca="false">IF(S$8=1,N(Reales!S19),IF(S$145=1,INDEX(Vol_V,8,S$144)/12*(1+V_dVol),0))</f>
        <v>0</v>
      </c>
      <c r="T158" s="34" t="n">
        <f aca="false">IF(T$8=1,N(Reales!T19),IF(T$145=1,INDEX(Vol_V,8,T$144)/12*(1+V_dVol),0))</f>
        <v>0</v>
      </c>
      <c r="U158" s="34" t="n">
        <f aca="false">IF(U$8=1,N(Reales!U19),IF(U$145=1,INDEX(Vol_V,8,U$144)/12*(1+V_dVol),0))</f>
        <v>0</v>
      </c>
      <c r="V158" s="34" t="n">
        <f aca="false">IF(V$8=1,N(Reales!V19),IF(V$145=1,INDEX(Vol_V,8,V$144)/12*(1+V_dVol),0))</f>
        <v>0</v>
      </c>
      <c r="W158" s="34" t="n">
        <f aca="false">IF(W$8=1,N(Reales!W19),IF(W$145=1,INDEX(Vol_V,8,W$144)/12*(1+V_dVol),0))</f>
        <v>0</v>
      </c>
      <c r="X158" s="34" t="n">
        <f aca="false">IF(X$8=1,N(Reales!X19),IF(X$145=1,INDEX(Vol_V,8,X$144)/12*(1+V_dVol),0))</f>
        <v>0</v>
      </c>
      <c r="Y158" s="34" t="n">
        <f aca="false">IF(Y$8=1,N(Reales!Y19),IF(Y$145=1,INDEX(Vol_V,8,Y$144)/12*(1+V_dVol),0))</f>
        <v>0</v>
      </c>
      <c r="Z158" s="34" t="n">
        <f aca="false">IF(Z$8=1,N(Reales!Z19),IF(Z$145=1,INDEX(Vol_V,8,Z$144)/12*(1+V_dVol),0))</f>
        <v>0</v>
      </c>
      <c r="AA158" s="34" t="n">
        <f aca="false">IF(AA$8=1,N(Reales!AA19),IF(AA$145=1,INDEX(Vol_V,8,AA$144)/12*(1+V_dVol),0))</f>
        <v>0</v>
      </c>
      <c r="AB158" s="34" t="n">
        <f aca="false">IF(AB$8=1,N(Reales!AB19),IF(AB$145=1,INDEX(Vol_V,8,AB$144)/12*(1+V_dVol),0))</f>
        <v>0</v>
      </c>
      <c r="AC158" s="34" t="n">
        <f aca="false">IF(AC$8=1,N(Reales!AC19),IF(AC$145=1,INDEX(Vol_V,8,AC$144)/12*(1+V_dVol),0))</f>
        <v>0</v>
      </c>
      <c r="AD158" s="34" t="n">
        <f aca="false">IF(AD$8=1,N(Reales!AD19),IF(AD$145=1,INDEX(Vol_V,8,AD$144)/12*(1+V_dVol),0))</f>
        <v>0</v>
      </c>
      <c r="AE158" s="34" t="n">
        <f aca="false">IF(AE$8=1,N(Reales!AE19),IF(AE$145=1,INDEX(Vol_V,8,AE$144)/12*(1+V_dVol),0))</f>
        <v>0</v>
      </c>
      <c r="AF158" s="34" t="n">
        <f aca="false">IF(AF$8=1,N(Reales!AF19),IF(AF$145=1,INDEX(Vol_V,8,AF$144)/12*(1+V_dVol),0))</f>
        <v>0</v>
      </c>
      <c r="AG158" s="34" t="n">
        <f aca="false">IF(AG$8=1,N(Reales!AG19),IF(AG$145=1,INDEX(Vol_V,8,AG$144)/12*(1+V_dVol),0))</f>
        <v>0</v>
      </c>
      <c r="AH158" s="34" t="n">
        <f aca="false">IF(AH$8=1,N(Reales!AH19),IF(AH$145=1,INDEX(Vol_V,8,AH$144)/12*(1+V_dVol),0))</f>
        <v>0</v>
      </c>
      <c r="AI158" s="34" t="n">
        <f aca="false">IF(AI$8=1,N(Reales!AI19),IF(AI$145=1,INDEX(Vol_V,8,AI$144)/12*(1+V_dVol),0))</f>
        <v>0</v>
      </c>
      <c r="AJ158" s="34" t="n">
        <f aca="false">IF(AJ$8=1,N(Reales!AJ19),IF(AJ$145=1,INDEX(Vol_V,8,AJ$144)/12*(1+V_dVol),0))</f>
        <v>0</v>
      </c>
      <c r="AK158" s="34" t="n">
        <f aca="false">IF(AK$8=1,N(Reales!AK19),IF(AK$145=1,INDEX(Vol_V,8,AK$144)/12*(1+V_dVol),0))</f>
        <v>0</v>
      </c>
      <c r="AL158" s="34" t="n">
        <f aca="false">IF(AL$8=1,N(Reales!AL19),IF(AL$145=1,INDEX(Vol_V,8,AL$144)/12*(1+V_dVol),0))</f>
        <v>0</v>
      </c>
      <c r="AM158" s="34" t="n">
        <f aca="false">IF(AM$8=1,N(Reales!AM19),IF(AM$145=1,INDEX(Vol_V,8,AM$144)/12*(1+V_dVol),0))</f>
        <v>0</v>
      </c>
      <c r="AN158" s="34" t="n">
        <f aca="false">IF(AN$8=1,N(Reales!AN19),IF(AN$145=1,INDEX(Vol_V,8,AN$144)/12*(1+V_dVol),0))</f>
        <v>0</v>
      </c>
      <c r="AO158" s="34" t="n">
        <f aca="false">IF(AO$8=1,N(Reales!AO19),IF(AO$145=1,INDEX(Vol_V,8,AO$144)/12*(1+V_dVol),0))</f>
        <v>0</v>
      </c>
      <c r="AP158" s="34" t="n">
        <f aca="false">IF(AP$8=1,N(Reales!AP19),IF(AP$145=1,INDEX(Vol_V,8,AP$144)/12*(1+V_dVol),0))</f>
        <v>0</v>
      </c>
      <c r="AQ158" s="34" t="n">
        <f aca="false">IF(AQ$8=1,N(Reales!AQ19),IF(AQ$145=1,INDEX(Vol_V,8,AQ$144)/12*(1+V_dVol),0))</f>
        <v>0</v>
      </c>
      <c r="AR158" s="34" t="n">
        <f aca="false">IF(AR$8=1,N(Reales!AR19),IF(AR$145=1,INDEX(Vol_V,8,AR$144)/12*(1+V_dVol),0))</f>
        <v>0</v>
      </c>
      <c r="AS158" s="34" t="n">
        <f aca="false">IF(AS$8=1,N(Reales!AS19),IF(AS$145=1,INDEX(Vol_V,8,AS$144)/12*(1+V_dVol),0))</f>
        <v>0</v>
      </c>
      <c r="AT158" s="34" t="n">
        <f aca="false">IF(AT$8=1,N(Reales!AT19),IF(AT$145=1,INDEX(Vol_V,8,AT$144)/12*(1+V_dVol),0))</f>
        <v>0</v>
      </c>
      <c r="AU158" s="34" t="n">
        <f aca="false">IF(AU$8=1,N(Reales!AU19),IF(AU$145=1,INDEX(Vol_V,8,AU$144)/12*(1+V_dVol),0))</f>
        <v>0</v>
      </c>
      <c r="AV158" s="34" t="n">
        <f aca="false">IF(AV$8=1,N(Reales!AV19),IF(AV$145=1,INDEX(Vol_V,8,AV$144)/12*(1+V_dVol),0))</f>
        <v>0</v>
      </c>
      <c r="AW158" s="34" t="n">
        <f aca="false">IF(AW$8=1,N(Reales!AW19),IF(AW$145=1,INDEX(Vol_V,8,AW$144)/12*(1+V_dVol),0))</f>
        <v>0</v>
      </c>
      <c r="AX158" s="34" t="n">
        <f aca="false">IF(AX$8=1,N(Reales!AX19),IF(AX$145=1,INDEX(Vol_V,8,AX$144)/12*(1+V_dVol),0))</f>
        <v>0</v>
      </c>
      <c r="AY158" s="34" t="n">
        <f aca="false">IF(AY$8=1,N(Reales!AY19),IF(AY$145=1,INDEX(Vol_V,8,AY$144)/12*(1+V_dVol),0))</f>
        <v>0</v>
      </c>
      <c r="AZ158" s="34" t="n">
        <f aca="false">IF(AZ$8=1,N(Reales!AZ19),IF(AZ$145=1,INDEX(Vol_V,8,AZ$144)/12*(1+V_dVol),0))</f>
        <v>0</v>
      </c>
      <c r="BA158" s="34" t="n">
        <f aca="false">IF(BA$8=1,N(Reales!BA19),IF(BA$145=1,INDEX(Vol_V,8,BA$144)/12*(1+V_dVol),0))</f>
        <v>0</v>
      </c>
      <c r="BB158" s="34" t="n">
        <f aca="false">IF(BB$8=1,N(Reales!BB19),IF(BB$145=1,INDEX(Vol_V,8,BB$144)/12*(1+V_dVol),0))</f>
        <v>0</v>
      </c>
      <c r="BC158" s="34" t="n">
        <f aca="false">IF(BC$8=1,N(Reales!BC19),IF(BC$145=1,INDEX(Vol_V,8,BC$144)/12*(1+V_dVol),0))</f>
        <v>0</v>
      </c>
      <c r="BD158" s="34" t="n">
        <f aca="false">IF(BD$8=1,N(Reales!BD19),IF(BD$145=1,INDEX(Vol_V,8,BD$144)/12*(1+V_dVol),0))</f>
        <v>0</v>
      </c>
      <c r="BE158" s="34" t="n">
        <f aca="false">IF(BE$8=1,N(Reales!BE19),IF(BE$145=1,INDEX(Vol_V,8,BE$144)/12*(1+V_dVol),0))</f>
        <v>0</v>
      </c>
      <c r="BF158" s="34" t="n">
        <f aca="false">IF(BF$8=1,N(Reales!BF19),IF(BF$145=1,INDEX(Vol_V,8,BF$144)/12*(1+V_dVol),0))</f>
        <v>0</v>
      </c>
      <c r="BG158" s="34" t="n">
        <f aca="false">IF(BG$8=1,N(Reales!BG19),IF(BG$145=1,INDEX(Vol_V,8,BG$144)/12*(1+V_dVol),0))</f>
        <v>0</v>
      </c>
      <c r="BH158" s="34" t="n">
        <f aca="false">IF(BH$8=1,N(Reales!BH19),IF(BH$145=1,INDEX(Vol_V,8,BH$144)/12*(1+V_dVol),0))</f>
        <v>0</v>
      </c>
      <c r="BI158" s="34" t="n">
        <f aca="false">IF(BI$8=1,N(Reales!BI19),IF(BI$145=1,INDEX(Vol_V,8,BI$144)/12*(1+V_dVol),0))</f>
        <v>0</v>
      </c>
      <c r="BJ158" s="34" t="n">
        <f aca="false">IF(BJ$8=1,N(Reales!BJ19),IF(BJ$145=1,INDEX(Vol_V,8,BJ$144)/12*(1+V_dVol),0))</f>
        <v>0</v>
      </c>
      <c r="BK158" s="34" t="n">
        <f aca="false">IF(BK$8=1,N(Reales!BK19),IF(BK$145=1,INDEX(Vol_V,8,BK$144)/12*(1+V_dVol),0))</f>
        <v>0</v>
      </c>
      <c r="BL158" s="34" t="n">
        <f aca="false">IF(BL$8=1,N(Reales!BL19),IF(BL$145=1,INDEX(Vol_V,8,BL$144)/12*(1+V_dVol),0))</f>
        <v>0</v>
      </c>
      <c r="BM158" s="34" t="n">
        <f aca="false">IF(BM$8=1,N(Reales!BM19),IF(BM$145=1,INDEX(Vol_V,8,BM$144)/12*(1+V_dVol),0))</f>
        <v>0</v>
      </c>
      <c r="BN158" s="34" t="n">
        <f aca="false">IF(BN$8=1,N(Reales!BN19),IF(BN$145=1,INDEX(Vol_V,8,BN$144)/12*(1+V_dVol),0))</f>
        <v>0</v>
      </c>
      <c r="BO158" s="34" t="n">
        <f aca="false">IF(BO$8=1,N(Reales!BO19),IF(BO$145=1,INDEX(Vol_V,8,BO$144)/12*(1+V_dVol),0))</f>
        <v>0</v>
      </c>
      <c r="BP158" s="34" t="n">
        <f aca="false">IF(BP$8=1,N(Reales!BP19),IF(BP$145=1,INDEX(Vol_V,8,BP$144)/12*(1+V_dVol),0))</f>
        <v>0</v>
      </c>
      <c r="BQ158" s="34" t="n">
        <f aca="false">IF(BQ$8=1,N(Reales!BQ19),IF(BQ$145=1,INDEX(Vol_V,8,BQ$144)/12*(1+V_dVol),0))</f>
        <v>0</v>
      </c>
      <c r="BR158" s="34" t="n">
        <f aca="false">IF(BR$8=1,N(Reales!BR19),IF(BR$145=1,INDEX(Vol_V,8,BR$144)/12*(1+V_dVol),0))</f>
        <v>0</v>
      </c>
      <c r="BS158" s="34" t="n">
        <f aca="false">IF(BS$8=1,N(Reales!BS19),IF(BS$145=1,INDEX(Vol_V,8,BS$144)/12*(1+V_dVol),0))</f>
        <v>0</v>
      </c>
      <c r="BT158" s="34" t="n">
        <f aca="false">IF(BT$8=1,N(Reales!BT19),IF(BT$145=1,INDEX(Vol_V,8,BT$144)/12*(1+V_dVol),0))</f>
        <v>0</v>
      </c>
      <c r="BU158" s="34" t="n">
        <f aca="false">IF(BU$8=1,N(Reales!BU19),IF(BU$145=1,INDEX(Vol_V,8,BU$144)/12*(1+V_dVol),0))</f>
        <v>0</v>
      </c>
      <c r="BV158" s="34" t="n">
        <f aca="false">IF(BV$8=1,N(Reales!BV19),IF(BV$145=1,INDEX(Vol_V,8,BV$144)/12*(1+V_dVol),0))</f>
        <v>0</v>
      </c>
      <c r="BW158" s="34" t="n">
        <f aca="false">IF(BW$8=1,N(Reales!BW19),IF(BW$145=1,INDEX(Vol_V,8,BW$144)/12*(1+V_dVol),0))</f>
        <v>0</v>
      </c>
      <c r="BX158" s="34" t="n">
        <f aca="false">IF(BX$8=1,N(Reales!BX19),IF(BX$145=1,INDEX(Vol_V,8,BX$144)/12*(1+V_dVol),0))</f>
        <v>0</v>
      </c>
      <c r="BY158" s="34" t="n">
        <f aca="false">IF(BY$8=1,N(Reales!BY19),IF(BY$145=1,INDEX(Vol_V,8,BY$144)/12*(1+V_dVol),0))</f>
        <v>0</v>
      </c>
      <c r="BZ158" s="34" t="n">
        <f aca="false">IF(BZ$8=1,N(Reales!BZ19),IF(BZ$145=1,INDEX(Vol_V,8,BZ$144)/12*(1+V_dVol),0))</f>
        <v>0</v>
      </c>
      <c r="CA158" s="34" t="n">
        <f aca="false">IF(CA$8=1,N(Reales!CA19),IF(CA$145=1,INDEX(Vol_V,8,CA$144)/12*(1+V_dVol),0))</f>
        <v>0</v>
      </c>
      <c r="CB158" s="34" t="n">
        <f aca="false">IF(CB$8=1,N(Reales!CB19),IF(CB$145=1,INDEX(Vol_V,8,CB$144)/12*(1+V_dVol),0))</f>
        <v>0</v>
      </c>
      <c r="CC158" s="34" t="n">
        <f aca="false">IF(CC$8=1,N(Reales!CC19),IF(CC$145=1,INDEX(Vol_V,8,CC$144)/12*(1+V_dVol),0))</f>
        <v>0</v>
      </c>
      <c r="CD158" s="34" t="n">
        <f aca="false">IF(CD$8=1,N(Reales!CD19),IF(CD$145=1,INDEX(Vol_V,8,CD$144)/12*(1+V_dVol),0))</f>
        <v>0</v>
      </c>
      <c r="CE158" s="34" t="n">
        <f aca="false">IF(CE$8=1,N(Reales!CE19),IF(CE$145=1,INDEX(Vol_V,8,CE$144)/12*(1+V_dVol),0))</f>
        <v>0</v>
      </c>
      <c r="CF158" s="34" t="n">
        <f aca="false">IF(CF$8=1,N(Reales!CF19),IF(CF$145=1,INDEX(Vol_V,8,CF$144)/12*(1+V_dVol),0))</f>
        <v>0</v>
      </c>
      <c r="CG158" s="34" t="n">
        <f aca="false">IF(CG$8=1,N(Reales!CG19),IF(CG$145=1,INDEX(Vol_V,8,CG$144)/12*(1+V_dVol),0))</f>
        <v>0</v>
      </c>
      <c r="CH158" s="34" t="n">
        <f aca="false">IF(CH$8=1,N(Reales!CH19),IF(CH$145=1,INDEX(Vol_V,8,CH$144)/12*(1+V_dVol),0))</f>
        <v>0</v>
      </c>
      <c r="CI158" s="34" t="n">
        <f aca="false">IF(CI$8=1,N(Reales!CI19),IF(CI$145=1,INDEX(Vol_V,8,CI$144)/12*(1+V_dVol),0))</f>
        <v>0</v>
      </c>
      <c r="CJ158" s="34" t="n">
        <f aca="false">IF(CJ$8=1,N(Reales!CJ19),IF(CJ$145=1,INDEX(Vol_V,8,CJ$144)/12*(1+V_dVol),0))</f>
        <v>0</v>
      </c>
      <c r="CK158" s="34" t="n">
        <f aca="false">IF(CK$8=1,N(Reales!CK19),IF(CK$145=1,INDEX(Vol_V,8,CK$144)/12*(1+V_dVol),0))</f>
        <v>0</v>
      </c>
      <c r="CL158" s="34" t="n">
        <f aca="false">IF(CL$8=1,N(Reales!CL19),IF(CL$145=1,INDEX(Vol_V,8,CL$144)/12*(1+V_dVol),0))</f>
        <v>0</v>
      </c>
      <c r="CM158" s="34" t="n">
        <f aca="false">IF(CM$8=1,N(Reales!CM19),IF(CM$145=1,INDEX(Vol_V,8,CM$144)/12*(1+V_dVol),0))</f>
        <v>0</v>
      </c>
      <c r="CN158" s="34" t="n">
        <f aca="false">IF(CN$8=1,N(Reales!CN19),IF(CN$145=1,INDEX(Vol_V,8,CN$144)/12*(1+V_dVol),0))</f>
        <v>0</v>
      </c>
      <c r="CO158" s="34" t="n">
        <f aca="false">IF(CO$8=1,N(Reales!CO19),IF(CO$145=1,INDEX(Vol_V,8,CO$144)/12*(1+V_dVol),0))</f>
        <v>0</v>
      </c>
      <c r="CP158" s="34" t="n">
        <f aca="false">IF(CP$8=1,N(Reales!CP19),IF(CP$145=1,INDEX(Vol_V,8,CP$144)/12*(1+V_dVol),0))</f>
        <v>0</v>
      </c>
      <c r="CQ158" s="34" t="n">
        <f aca="false">IF(CQ$8=1,N(Reales!CQ19),IF(CQ$145=1,INDEX(Vol_V,8,CQ$144)/12*(1+V_dVol),0))</f>
        <v>0</v>
      </c>
      <c r="CR158" s="34" t="n">
        <f aca="false">IF(CR$8=1,N(Reales!CR19),IF(CR$145=1,INDEX(Vol_V,8,CR$144)/12*(1+V_dVol),0))</f>
        <v>0</v>
      </c>
      <c r="CS158" s="34" t="n">
        <f aca="false">IF(CS$8=1,N(Reales!CS19),IF(CS$145=1,INDEX(Vol_V,8,CS$144)/12*(1+V_dVol),0))</f>
        <v>0</v>
      </c>
      <c r="CT158" s="34" t="n">
        <f aca="false">IF(CT$8=1,N(Reales!CT19),IF(CT$145=1,INDEX(Vol_V,8,CT$144)/12*(1+V_dVol),0))</f>
        <v>0</v>
      </c>
      <c r="CU158" s="34" t="n">
        <f aca="false">IF(CU$8=1,N(Reales!CU19),IF(CU$145=1,INDEX(Vol_V,8,CU$144)/12*(1+V_dVol),0))</f>
        <v>0</v>
      </c>
      <c r="CV158" s="34" t="n">
        <f aca="false">IF(CV$8=1,N(Reales!CV19),IF(CV$145=1,INDEX(Vol_V,8,CV$144)/12*(1+V_dVol),0))</f>
        <v>0</v>
      </c>
      <c r="CW158" s="34" t="n">
        <f aca="false">IF(CW$8=1,N(Reales!CW19),IF(CW$145=1,INDEX(Vol_V,8,CW$144)/12*(1+V_dVol),0))</f>
        <v>0</v>
      </c>
      <c r="CX158" s="34" t="n">
        <f aca="false">IF(CX$8=1,N(Reales!CX19),IF(CX$145=1,INDEX(Vol_V,8,CX$144)/12*(1+V_dVol),0))</f>
        <v>0</v>
      </c>
      <c r="CY158" s="34" t="n">
        <f aca="false">IF(CY$8=1,N(Reales!CY19),IF(CY$145=1,INDEX(Vol_V,8,CY$144)/12*(1+V_dVol),0))</f>
        <v>0</v>
      </c>
      <c r="CZ158" s="34" t="n">
        <f aca="false">IF(CZ$8=1,N(Reales!CZ19),IF(CZ$145=1,INDEX(Vol_V,8,CZ$144)/12*(1+V_dVol),0))</f>
        <v>0</v>
      </c>
      <c r="DA158" s="34" t="n">
        <f aca="false">IF(DA$8=1,N(Reales!DA19),IF(DA$145=1,INDEX(Vol_V,8,DA$144)/12*(1+V_dVol),0))</f>
        <v>0</v>
      </c>
      <c r="DB158" s="34" t="n">
        <f aca="false">IF(DB$8=1,N(Reales!DB19),IF(DB$145=1,INDEX(Vol_V,8,DB$144)/12*(1+V_dVol),0))</f>
        <v>0</v>
      </c>
      <c r="DC158" s="34" t="n">
        <f aca="false">IF(DC$8=1,N(Reales!DC19),IF(DC$145=1,INDEX(Vol_V,8,DC$144)/12*(1+V_dVol),0))</f>
        <v>0</v>
      </c>
      <c r="DD158" s="34" t="n">
        <f aca="false">IF(DD$8=1,N(Reales!DD19),IF(DD$145=1,INDEX(Vol_V,8,DD$144)/12*(1+V_dVol),0))</f>
        <v>0</v>
      </c>
      <c r="DE158" s="34" t="n">
        <f aca="false">IF(DE$8=1,N(Reales!DE19),IF(DE$145=1,INDEX(Vol_V,8,DE$144)/12*(1+V_dVol),0))</f>
        <v>0</v>
      </c>
      <c r="DF158" s="34" t="n">
        <f aca="false">IF(DF$8=1,N(Reales!DF19),IF(DF$145=1,INDEX(Vol_V,8,DF$144)/12*(1+V_dVol),0))</f>
        <v>0</v>
      </c>
      <c r="DG158" s="34" t="n">
        <f aca="false">IF(DG$8=1,N(Reales!DG19),IF(DG$145=1,INDEX(Vol_V,8,DG$144)/12*(1+V_dVol),0))</f>
        <v>0</v>
      </c>
      <c r="DH158" s="34" t="n">
        <f aca="false">IF(DH$8=1,N(Reales!DH19),IF(DH$145=1,INDEX(Vol_V,8,DH$144)/12*(1+V_dVol),0))</f>
        <v>0</v>
      </c>
      <c r="DI158" s="34" t="n">
        <f aca="false">IF(DI$8=1,N(Reales!DI19),IF(DI$145=1,INDEX(Vol_V,8,DI$144)/12*(1+V_dVol),0))</f>
        <v>0</v>
      </c>
      <c r="DJ158" s="34" t="n">
        <f aca="false">IF(DJ$8=1,N(Reales!DJ19),IF(DJ$145=1,INDEX(Vol_V,8,DJ$144)/12*(1+V_dVol),0))</f>
        <v>0</v>
      </c>
      <c r="DK158" s="34" t="n">
        <f aca="false">IF(DK$8=1,N(Reales!DK19),IF(DK$145=1,INDEX(Vol_V,8,DK$144)/12*(1+V_dVol),0))</f>
        <v>0</v>
      </c>
      <c r="DL158" s="34" t="n">
        <f aca="false">IF(DL$8=1,N(Reales!DL19),IF(DL$145=1,INDEX(Vol_V,8,DL$144)/12*(1+V_dVol),0))</f>
        <v>0</v>
      </c>
      <c r="DM158" s="34" t="n">
        <f aca="false">IF(DM$8=1,N(Reales!DM19),IF(DM$145=1,INDEX(Vol_V,8,DM$144)/12*(1+V_dVol),0))</f>
        <v>0</v>
      </c>
      <c r="DN158" s="34" t="n">
        <f aca="false">IF(DN$8=1,N(Reales!DN19),IF(DN$145=1,INDEX(Vol_V,8,DN$144)/12*(1+V_dVol),0))</f>
        <v>0</v>
      </c>
      <c r="DO158" s="34" t="n">
        <f aca="false">IF(DO$8=1,N(Reales!DO19),IF(DO$145=1,INDEX(Vol_V,8,DO$144)/12*(1+V_dVol),0))</f>
        <v>0</v>
      </c>
      <c r="DP158" s="34" t="n">
        <f aca="false">IF(DP$8=1,N(Reales!DP19),IF(DP$145=1,INDEX(Vol_V,8,DP$144)/12*(1+V_dVol),0))</f>
        <v>0</v>
      </c>
      <c r="DQ158" s="34" t="n">
        <f aca="false">IF(DQ$8=1,N(Reales!DQ19),IF(DQ$145=1,INDEX(Vol_V,8,DQ$144)/12*(1+V_dVol),0))</f>
        <v>0</v>
      </c>
      <c r="DR158" s="34" t="n">
        <f aca="false">IF(DR$8=1,N(Reales!DR19),IF(DR$145=1,INDEX(Vol_V,8,DR$144)/12*(1+V_dVol),0))</f>
        <v>0</v>
      </c>
      <c r="DS158" s="34" t="n">
        <f aca="false">IF(DS$8=1,N(Reales!DS19),IF(DS$145=1,INDEX(Vol_V,8,DS$144)/12*(1+V_dVol),0))</f>
        <v>0</v>
      </c>
      <c r="DT158" s="34" t="n">
        <f aca="false">IF(DT$8=1,N(Reales!DT19),IF(DT$145=1,INDEX(Vol_V,8,DT$144)/12*(1+V_dVol),0))</f>
        <v>0</v>
      </c>
      <c r="DU158" s="34" t="n">
        <f aca="false">IF(DU$8=1,N(Reales!DU19),IF(DU$145=1,INDEX(Vol_V,8,DU$144)/12*(1+V_dVol),0))</f>
        <v>0</v>
      </c>
      <c r="DV158" s="34" t="n">
        <f aca="false">IF(DV$8=1,N(Reales!DV19),IF(DV$145=1,INDEX(Vol_V,8,DV$144)/12*(1+V_dVol),0))</f>
        <v>0</v>
      </c>
      <c r="DW158" s="34" t="n">
        <f aca="false">IF(DW$8=1,N(Reales!DW19),IF(DW$145=1,INDEX(Vol_V,8,DW$144)/12*(1+V_dVol),0))</f>
        <v>0</v>
      </c>
      <c r="DX158" s="34" t="n">
        <f aca="false">IF(DX$8=1,N(Reales!DX19),IF(DX$145=1,INDEX(Vol_V,8,DX$144)/12*(1+V_dVol),0))</f>
        <v>0</v>
      </c>
      <c r="DY158" s="34" t="n">
        <f aca="false">IF(DY$8=1,N(Reales!DY19),IF(DY$145=1,INDEX(Vol_V,8,DY$144)/12*(1+V_dVol),0))</f>
        <v>0</v>
      </c>
      <c r="DZ158" s="34" t="n">
        <f aca="false">IF(DZ$8=1,N(Reales!DZ19),IF(DZ$145=1,INDEX(Vol_V,8,DZ$144)/12*(1+V_dVol),0))</f>
        <v>0</v>
      </c>
      <c r="EA158" s="34" t="n">
        <f aca="false">IF(EA$8=1,N(Reales!EA19),IF(EA$145=1,INDEX(Vol_V,8,EA$144)/12*(1+V_dVol),0))</f>
        <v>0</v>
      </c>
      <c r="EB158" s="34" t="n">
        <f aca="false">IF(EB$8=1,N(Reales!EB19),IF(EB$145=1,INDEX(Vol_V,8,EB$144)/12*(1+V_dVol),0))</f>
        <v>0</v>
      </c>
      <c r="EC158" s="34" t="n">
        <f aca="false">IF(EC$8=1,N(Reales!EC19),IF(EC$145=1,INDEX(Vol_V,8,EC$144)/12*(1+V_dVol),0))</f>
        <v>0</v>
      </c>
      <c r="ED158" s="34" t="n">
        <f aca="false">IF(ED$8=1,N(Reales!ED19),IF(ED$145=1,INDEX(Vol_V,8,ED$144)/12*(1+V_dVol),0))</f>
        <v>0</v>
      </c>
      <c r="EE158" s="34" t="n">
        <f aca="false">IF(EE$8=1,N(Reales!EE19),IF(EE$145=1,INDEX(Vol_V,8,EE$144)/12*(1+V_dVol),0))</f>
        <v>0</v>
      </c>
      <c r="EF158" s="34" t="n">
        <f aca="false">IF(EF$8=1,N(Reales!EF19),IF(EF$145=1,INDEX(Vol_V,8,EF$144)/12*(1+V_dVol),0))</f>
        <v>0</v>
      </c>
      <c r="EG158" s="34" t="n">
        <f aca="false">IF(EG$8=1,N(Reales!EG19),IF(EG$145=1,INDEX(Vol_V,8,EG$144)/12*(1+V_dVol),0))</f>
        <v>0</v>
      </c>
      <c r="EH158" s="34" t="n">
        <f aca="false">IF(EH$8=1,N(Reales!EH19),IF(EH$145=1,INDEX(Vol_V,8,EH$144)/12*(1+V_dVol),0))</f>
        <v>0</v>
      </c>
      <c r="EI158" s="34" t="n">
        <f aca="false">IF(EI$8=1,N(Reales!EI19),IF(EI$145=1,INDEX(Vol_V,8,EI$144)/12*(1+V_dVol),0))</f>
        <v>0</v>
      </c>
      <c r="EJ158" s="34" t="n">
        <f aca="false">IF(EJ$8=1,N(Reales!EJ19),IF(EJ$145=1,INDEX(Vol_V,8,EJ$144)/12*(1+V_dVol),0))</f>
        <v>0</v>
      </c>
      <c r="EK158" s="34" t="n">
        <f aca="false">IF(EK$8=1,N(Reales!EK19),IF(EK$145=1,INDEX(Vol_V,8,EK$144)/12*(1+V_dVol),0))</f>
        <v>0</v>
      </c>
      <c r="EL158" s="34" t="n">
        <f aca="false">IF(EL$8=1,N(Reales!EL19),IF(EL$145=1,INDEX(Vol_V,8,EL$144)/12*(1+V_dVol),0))</f>
        <v>0</v>
      </c>
      <c r="EM158" s="34" t="n">
        <f aca="false">IF(EM$8=1,N(Reales!EM19),IF(EM$145=1,INDEX(Vol_V,8,EM$144)/12*(1+V_dVol),0))</f>
        <v>0</v>
      </c>
      <c r="EN158" s="34" t="n">
        <f aca="false">IF(EN$8=1,N(Reales!EN19),IF(EN$145=1,INDEX(Vol_V,8,EN$144)/12*(1+V_dVol),0))</f>
        <v>0</v>
      </c>
      <c r="EO158" s="34" t="n">
        <f aca="false">IF(EO$8=1,N(Reales!EO19),IF(EO$145=1,INDEX(Vol_V,8,EO$144)/12*(1+V_dVol),0))</f>
        <v>0</v>
      </c>
      <c r="EP158" s="34" t="n">
        <f aca="false">IF(EP$8=1,N(Reales!EP19),IF(EP$145=1,INDEX(Vol_V,8,EP$144)/12*(1+V_dVol),0))</f>
        <v>0</v>
      </c>
      <c r="EQ158" s="34" t="n">
        <f aca="false">IF(EQ$8=1,N(Reales!EQ19),IF(EQ$145=1,INDEX(Vol_V,8,EQ$144)/12*(1+V_dVol),0))</f>
        <v>0</v>
      </c>
      <c r="ER158" s="34" t="n">
        <f aca="false">IF(ER$8=1,N(Reales!ER19),IF(ER$145=1,INDEX(Vol_V,8,ER$144)/12*(1+V_dVol),0))</f>
        <v>0</v>
      </c>
      <c r="ES158" s="34" t="n">
        <f aca="false">IF(ES$8=1,N(Reales!ES19),IF(ES$145=1,INDEX(Vol_V,8,ES$144)/12*(1+V_dVol),0))</f>
        <v>0</v>
      </c>
    </row>
    <row r="159" customFormat="false" ht="15" hidden="false" customHeight="false" outlineLevel="0" collapsed="false">
      <c r="A159" s="2" t="s">
        <v>775</v>
      </c>
      <c r="B159" s="39" t="str">
        <f aca="false">IF(INDEX(Prod_Nombre,9)="","Producto 9",INDEX(Prod_Nombre,9))&amp;" — unidades"</f>
        <v>Producto 9 — unidades</v>
      </c>
      <c r="C159" s="6" t="s">
        <v>286</v>
      </c>
      <c r="E159" s="40" t="n">
        <f aca="false">SUM(F159:ES159)</f>
        <v>0</v>
      </c>
      <c r="F159" s="34" t="n">
        <f aca="false">IF(F$8=1,N(Reales!F20),IF(F$145=1,INDEX(Vol_V,9,F$144)/12*(1+V_dVol),0))</f>
        <v>0</v>
      </c>
      <c r="G159" s="34" t="n">
        <f aca="false">IF(G$8=1,N(Reales!G20),IF(G$145=1,INDEX(Vol_V,9,G$144)/12*(1+V_dVol),0))</f>
        <v>0</v>
      </c>
      <c r="H159" s="34" t="n">
        <f aca="false">IF(H$8=1,N(Reales!H20),IF(H$145=1,INDEX(Vol_V,9,H$144)/12*(1+V_dVol),0))</f>
        <v>0</v>
      </c>
      <c r="I159" s="34" t="n">
        <f aca="false">IF(I$8=1,N(Reales!I20),IF(I$145=1,INDEX(Vol_V,9,I$144)/12*(1+V_dVol),0))</f>
        <v>0</v>
      </c>
      <c r="J159" s="34" t="n">
        <f aca="false">IF(J$8=1,N(Reales!J20),IF(J$145=1,INDEX(Vol_V,9,J$144)/12*(1+V_dVol),0))</f>
        <v>0</v>
      </c>
      <c r="K159" s="34" t="n">
        <f aca="false">IF(K$8=1,N(Reales!K20),IF(K$145=1,INDEX(Vol_V,9,K$144)/12*(1+V_dVol),0))</f>
        <v>0</v>
      </c>
      <c r="L159" s="34" t="n">
        <f aca="false">IF(L$8=1,N(Reales!L20),IF(L$145=1,INDEX(Vol_V,9,L$144)/12*(1+V_dVol),0))</f>
        <v>0</v>
      </c>
      <c r="M159" s="34" t="n">
        <f aca="false">IF(M$8=1,N(Reales!M20),IF(M$145=1,INDEX(Vol_V,9,M$144)/12*(1+V_dVol),0))</f>
        <v>0</v>
      </c>
      <c r="N159" s="34" t="n">
        <f aca="false">IF(N$8=1,N(Reales!N20),IF(N$145=1,INDEX(Vol_V,9,N$144)/12*(1+V_dVol),0))</f>
        <v>0</v>
      </c>
      <c r="O159" s="34" t="n">
        <f aca="false">IF(O$8=1,N(Reales!O20),IF(O$145=1,INDEX(Vol_V,9,O$144)/12*(1+V_dVol),0))</f>
        <v>0</v>
      </c>
      <c r="P159" s="34" t="n">
        <f aca="false">IF(P$8=1,N(Reales!P20),IF(P$145=1,INDEX(Vol_V,9,P$144)/12*(1+V_dVol),0))</f>
        <v>0</v>
      </c>
      <c r="Q159" s="34" t="n">
        <f aca="false">IF(Q$8=1,N(Reales!Q20),IF(Q$145=1,INDEX(Vol_V,9,Q$144)/12*(1+V_dVol),0))</f>
        <v>0</v>
      </c>
      <c r="R159" s="34" t="n">
        <f aca="false">IF(R$8=1,N(Reales!R20),IF(R$145=1,INDEX(Vol_V,9,R$144)/12*(1+V_dVol),0))</f>
        <v>0</v>
      </c>
      <c r="S159" s="34" t="n">
        <f aca="false">IF(S$8=1,N(Reales!S20),IF(S$145=1,INDEX(Vol_V,9,S$144)/12*(1+V_dVol),0))</f>
        <v>0</v>
      </c>
      <c r="T159" s="34" t="n">
        <f aca="false">IF(T$8=1,N(Reales!T20),IF(T$145=1,INDEX(Vol_V,9,T$144)/12*(1+V_dVol),0))</f>
        <v>0</v>
      </c>
      <c r="U159" s="34" t="n">
        <f aca="false">IF(U$8=1,N(Reales!U20),IF(U$145=1,INDEX(Vol_V,9,U$144)/12*(1+V_dVol),0))</f>
        <v>0</v>
      </c>
      <c r="V159" s="34" t="n">
        <f aca="false">IF(V$8=1,N(Reales!V20),IF(V$145=1,INDEX(Vol_V,9,V$144)/12*(1+V_dVol),0))</f>
        <v>0</v>
      </c>
      <c r="W159" s="34" t="n">
        <f aca="false">IF(W$8=1,N(Reales!W20),IF(W$145=1,INDEX(Vol_V,9,W$144)/12*(1+V_dVol),0))</f>
        <v>0</v>
      </c>
      <c r="X159" s="34" t="n">
        <f aca="false">IF(X$8=1,N(Reales!X20),IF(X$145=1,INDEX(Vol_V,9,X$144)/12*(1+V_dVol),0))</f>
        <v>0</v>
      </c>
      <c r="Y159" s="34" t="n">
        <f aca="false">IF(Y$8=1,N(Reales!Y20),IF(Y$145=1,INDEX(Vol_V,9,Y$144)/12*(1+V_dVol),0))</f>
        <v>0</v>
      </c>
      <c r="Z159" s="34" t="n">
        <f aca="false">IF(Z$8=1,N(Reales!Z20),IF(Z$145=1,INDEX(Vol_V,9,Z$144)/12*(1+V_dVol),0))</f>
        <v>0</v>
      </c>
      <c r="AA159" s="34" t="n">
        <f aca="false">IF(AA$8=1,N(Reales!AA20),IF(AA$145=1,INDEX(Vol_V,9,AA$144)/12*(1+V_dVol),0))</f>
        <v>0</v>
      </c>
      <c r="AB159" s="34" t="n">
        <f aca="false">IF(AB$8=1,N(Reales!AB20),IF(AB$145=1,INDEX(Vol_V,9,AB$144)/12*(1+V_dVol),0))</f>
        <v>0</v>
      </c>
      <c r="AC159" s="34" t="n">
        <f aca="false">IF(AC$8=1,N(Reales!AC20),IF(AC$145=1,INDEX(Vol_V,9,AC$144)/12*(1+V_dVol),0))</f>
        <v>0</v>
      </c>
      <c r="AD159" s="34" t="n">
        <f aca="false">IF(AD$8=1,N(Reales!AD20),IF(AD$145=1,INDEX(Vol_V,9,AD$144)/12*(1+V_dVol),0))</f>
        <v>0</v>
      </c>
      <c r="AE159" s="34" t="n">
        <f aca="false">IF(AE$8=1,N(Reales!AE20),IF(AE$145=1,INDEX(Vol_V,9,AE$144)/12*(1+V_dVol),0))</f>
        <v>0</v>
      </c>
      <c r="AF159" s="34" t="n">
        <f aca="false">IF(AF$8=1,N(Reales!AF20),IF(AF$145=1,INDEX(Vol_V,9,AF$144)/12*(1+V_dVol),0))</f>
        <v>0</v>
      </c>
      <c r="AG159" s="34" t="n">
        <f aca="false">IF(AG$8=1,N(Reales!AG20),IF(AG$145=1,INDEX(Vol_V,9,AG$144)/12*(1+V_dVol),0))</f>
        <v>0</v>
      </c>
      <c r="AH159" s="34" t="n">
        <f aca="false">IF(AH$8=1,N(Reales!AH20),IF(AH$145=1,INDEX(Vol_V,9,AH$144)/12*(1+V_dVol),0))</f>
        <v>0</v>
      </c>
      <c r="AI159" s="34" t="n">
        <f aca="false">IF(AI$8=1,N(Reales!AI20),IF(AI$145=1,INDEX(Vol_V,9,AI$144)/12*(1+V_dVol),0))</f>
        <v>0</v>
      </c>
      <c r="AJ159" s="34" t="n">
        <f aca="false">IF(AJ$8=1,N(Reales!AJ20),IF(AJ$145=1,INDEX(Vol_V,9,AJ$144)/12*(1+V_dVol),0))</f>
        <v>0</v>
      </c>
      <c r="AK159" s="34" t="n">
        <f aca="false">IF(AK$8=1,N(Reales!AK20),IF(AK$145=1,INDEX(Vol_V,9,AK$144)/12*(1+V_dVol),0))</f>
        <v>0</v>
      </c>
      <c r="AL159" s="34" t="n">
        <f aca="false">IF(AL$8=1,N(Reales!AL20),IF(AL$145=1,INDEX(Vol_V,9,AL$144)/12*(1+V_dVol),0))</f>
        <v>0</v>
      </c>
      <c r="AM159" s="34" t="n">
        <f aca="false">IF(AM$8=1,N(Reales!AM20),IF(AM$145=1,INDEX(Vol_V,9,AM$144)/12*(1+V_dVol),0))</f>
        <v>0</v>
      </c>
      <c r="AN159" s="34" t="n">
        <f aca="false">IF(AN$8=1,N(Reales!AN20),IF(AN$145=1,INDEX(Vol_V,9,AN$144)/12*(1+V_dVol),0))</f>
        <v>0</v>
      </c>
      <c r="AO159" s="34" t="n">
        <f aca="false">IF(AO$8=1,N(Reales!AO20),IF(AO$145=1,INDEX(Vol_V,9,AO$144)/12*(1+V_dVol),0))</f>
        <v>0</v>
      </c>
      <c r="AP159" s="34" t="n">
        <f aca="false">IF(AP$8=1,N(Reales!AP20),IF(AP$145=1,INDEX(Vol_V,9,AP$144)/12*(1+V_dVol),0))</f>
        <v>0</v>
      </c>
      <c r="AQ159" s="34" t="n">
        <f aca="false">IF(AQ$8=1,N(Reales!AQ20),IF(AQ$145=1,INDEX(Vol_V,9,AQ$144)/12*(1+V_dVol),0))</f>
        <v>0</v>
      </c>
      <c r="AR159" s="34" t="n">
        <f aca="false">IF(AR$8=1,N(Reales!AR20),IF(AR$145=1,INDEX(Vol_V,9,AR$144)/12*(1+V_dVol),0))</f>
        <v>0</v>
      </c>
      <c r="AS159" s="34" t="n">
        <f aca="false">IF(AS$8=1,N(Reales!AS20),IF(AS$145=1,INDEX(Vol_V,9,AS$144)/12*(1+V_dVol),0))</f>
        <v>0</v>
      </c>
      <c r="AT159" s="34" t="n">
        <f aca="false">IF(AT$8=1,N(Reales!AT20),IF(AT$145=1,INDEX(Vol_V,9,AT$144)/12*(1+V_dVol),0))</f>
        <v>0</v>
      </c>
      <c r="AU159" s="34" t="n">
        <f aca="false">IF(AU$8=1,N(Reales!AU20),IF(AU$145=1,INDEX(Vol_V,9,AU$144)/12*(1+V_dVol),0))</f>
        <v>0</v>
      </c>
      <c r="AV159" s="34" t="n">
        <f aca="false">IF(AV$8=1,N(Reales!AV20),IF(AV$145=1,INDEX(Vol_V,9,AV$144)/12*(1+V_dVol),0))</f>
        <v>0</v>
      </c>
      <c r="AW159" s="34" t="n">
        <f aca="false">IF(AW$8=1,N(Reales!AW20),IF(AW$145=1,INDEX(Vol_V,9,AW$144)/12*(1+V_dVol),0))</f>
        <v>0</v>
      </c>
      <c r="AX159" s="34" t="n">
        <f aca="false">IF(AX$8=1,N(Reales!AX20),IF(AX$145=1,INDEX(Vol_V,9,AX$144)/12*(1+V_dVol),0))</f>
        <v>0</v>
      </c>
      <c r="AY159" s="34" t="n">
        <f aca="false">IF(AY$8=1,N(Reales!AY20),IF(AY$145=1,INDEX(Vol_V,9,AY$144)/12*(1+V_dVol),0))</f>
        <v>0</v>
      </c>
      <c r="AZ159" s="34" t="n">
        <f aca="false">IF(AZ$8=1,N(Reales!AZ20),IF(AZ$145=1,INDEX(Vol_V,9,AZ$144)/12*(1+V_dVol),0))</f>
        <v>0</v>
      </c>
      <c r="BA159" s="34" t="n">
        <f aca="false">IF(BA$8=1,N(Reales!BA20),IF(BA$145=1,INDEX(Vol_V,9,BA$144)/12*(1+V_dVol),0))</f>
        <v>0</v>
      </c>
      <c r="BB159" s="34" t="n">
        <f aca="false">IF(BB$8=1,N(Reales!BB20),IF(BB$145=1,INDEX(Vol_V,9,BB$144)/12*(1+V_dVol),0))</f>
        <v>0</v>
      </c>
      <c r="BC159" s="34" t="n">
        <f aca="false">IF(BC$8=1,N(Reales!BC20),IF(BC$145=1,INDEX(Vol_V,9,BC$144)/12*(1+V_dVol),0))</f>
        <v>0</v>
      </c>
      <c r="BD159" s="34" t="n">
        <f aca="false">IF(BD$8=1,N(Reales!BD20),IF(BD$145=1,INDEX(Vol_V,9,BD$144)/12*(1+V_dVol),0))</f>
        <v>0</v>
      </c>
      <c r="BE159" s="34" t="n">
        <f aca="false">IF(BE$8=1,N(Reales!BE20),IF(BE$145=1,INDEX(Vol_V,9,BE$144)/12*(1+V_dVol),0))</f>
        <v>0</v>
      </c>
      <c r="BF159" s="34" t="n">
        <f aca="false">IF(BF$8=1,N(Reales!BF20),IF(BF$145=1,INDEX(Vol_V,9,BF$144)/12*(1+V_dVol),0))</f>
        <v>0</v>
      </c>
      <c r="BG159" s="34" t="n">
        <f aca="false">IF(BG$8=1,N(Reales!BG20),IF(BG$145=1,INDEX(Vol_V,9,BG$144)/12*(1+V_dVol),0))</f>
        <v>0</v>
      </c>
      <c r="BH159" s="34" t="n">
        <f aca="false">IF(BH$8=1,N(Reales!BH20),IF(BH$145=1,INDEX(Vol_V,9,BH$144)/12*(1+V_dVol),0))</f>
        <v>0</v>
      </c>
      <c r="BI159" s="34" t="n">
        <f aca="false">IF(BI$8=1,N(Reales!BI20),IF(BI$145=1,INDEX(Vol_V,9,BI$144)/12*(1+V_dVol),0))</f>
        <v>0</v>
      </c>
      <c r="BJ159" s="34" t="n">
        <f aca="false">IF(BJ$8=1,N(Reales!BJ20),IF(BJ$145=1,INDEX(Vol_V,9,BJ$144)/12*(1+V_dVol),0))</f>
        <v>0</v>
      </c>
      <c r="BK159" s="34" t="n">
        <f aca="false">IF(BK$8=1,N(Reales!BK20),IF(BK$145=1,INDEX(Vol_V,9,BK$144)/12*(1+V_dVol),0))</f>
        <v>0</v>
      </c>
      <c r="BL159" s="34" t="n">
        <f aca="false">IF(BL$8=1,N(Reales!BL20),IF(BL$145=1,INDEX(Vol_V,9,BL$144)/12*(1+V_dVol),0))</f>
        <v>0</v>
      </c>
      <c r="BM159" s="34" t="n">
        <f aca="false">IF(BM$8=1,N(Reales!BM20),IF(BM$145=1,INDEX(Vol_V,9,BM$144)/12*(1+V_dVol),0))</f>
        <v>0</v>
      </c>
      <c r="BN159" s="34" t="n">
        <f aca="false">IF(BN$8=1,N(Reales!BN20),IF(BN$145=1,INDEX(Vol_V,9,BN$144)/12*(1+V_dVol),0))</f>
        <v>0</v>
      </c>
      <c r="BO159" s="34" t="n">
        <f aca="false">IF(BO$8=1,N(Reales!BO20),IF(BO$145=1,INDEX(Vol_V,9,BO$144)/12*(1+V_dVol),0))</f>
        <v>0</v>
      </c>
      <c r="BP159" s="34" t="n">
        <f aca="false">IF(BP$8=1,N(Reales!BP20),IF(BP$145=1,INDEX(Vol_V,9,BP$144)/12*(1+V_dVol),0))</f>
        <v>0</v>
      </c>
      <c r="BQ159" s="34" t="n">
        <f aca="false">IF(BQ$8=1,N(Reales!BQ20),IF(BQ$145=1,INDEX(Vol_V,9,BQ$144)/12*(1+V_dVol),0))</f>
        <v>0</v>
      </c>
      <c r="BR159" s="34" t="n">
        <f aca="false">IF(BR$8=1,N(Reales!BR20),IF(BR$145=1,INDEX(Vol_V,9,BR$144)/12*(1+V_dVol),0))</f>
        <v>0</v>
      </c>
      <c r="BS159" s="34" t="n">
        <f aca="false">IF(BS$8=1,N(Reales!BS20),IF(BS$145=1,INDEX(Vol_V,9,BS$144)/12*(1+V_dVol),0))</f>
        <v>0</v>
      </c>
      <c r="BT159" s="34" t="n">
        <f aca="false">IF(BT$8=1,N(Reales!BT20),IF(BT$145=1,INDEX(Vol_V,9,BT$144)/12*(1+V_dVol),0))</f>
        <v>0</v>
      </c>
      <c r="BU159" s="34" t="n">
        <f aca="false">IF(BU$8=1,N(Reales!BU20),IF(BU$145=1,INDEX(Vol_V,9,BU$144)/12*(1+V_dVol),0))</f>
        <v>0</v>
      </c>
      <c r="BV159" s="34" t="n">
        <f aca="false">IF(BV$8=1,N(Reales!BV20),IF(BV$145=1,INDEX(Vol_V,9,BV$144)/12*(1+V_dVol),0))</f>
        <v>0</v>
      </c>
      <c r="BW159" s="34" t="n">
        <f aca="false">IF(BW$8=1,N(Reales!BW20),IF(BW$145=1,INDEX(Vol_V,9,BW$144)/12*(1+V_dVol),0))</f>
        <v>0</v>
      </c>
      <c r="BX159" s="34" t="n">
        <f aca="false">IF(BX$8=1,N(Reales!BX20),IF(BX$145=1,INDEX(Vol_V,9,BX$144)/12*(1+V_dVol),0))</f>
        <v>0</v>
      </c>
      <c r="BY159" s="34" t="n">
        <f aca="false">IF(BY$8=1,N(Reales!BY20),IF(BY$145=1,INDEX(Vol_V,9,BY$144)/12*(1+V_dVol),0))</f>
        <v>0</v>
      </c>
      <c r="BZ159" s="34" t="n">
        <f aca="false">IF(BZ$8=1,N(Reales!BZ20),IF(BZ$145=1,INDEX(Vol_V,9,BZ$144)/12*(1+V_dVol),0))</f>
        <v>0</v>
      </c>
      <c r="CA159" s="34" t="n">
        <f aca="false">IF(CA$8=1,N(Reales!CA20),IF(CA$145=1,INDEX(Vol_V,9,CA$144)/12*(1+V_dVol),0))</f>
        <v>0</v>
      </c>
      <c r="CB159" s="34" t="n">
        <f aca="false">IF(CB$8=1,N(Reales!CB20),IF(CB$145=1,INDEX(Vol_V,9,CB$144)/12*(1+V_dVol),0))</f>
        <v>0</v>
      </c>
      <c r="CC159" s="34" t="n">
        <f aca="false">IF(CC$8=1,N(Reales!CC20),IF(CC$145=1,INDEX(Vol_V,9,CC$144)/12*(1+V_dVol),0))</f>
        <v>0</v>
      </c>
      <c r="CD159" s="34" t="n">
        <f aca="false">IF(CD$8=1,N(Reales!CD20),IF(CD$145=1,INDEX(Vol_V,9,CD$144)/12*(1+V_dVol),0))</f>
        <v>0</v>
      </c>
      <c r="CE159" s="34" t="n">
        <f aca="false">IF(CE$8=1,N(Reales!CE20),IF(CE$145=1,INDEX(Vol_V,9,CE$144)/12*(1+V_dVol),0))</f>
        <v>0</v>
      </c>
      <c r="CF159" s="34" t="n">
        <f aca="false">IF(CF$8=1,N(Reales!CF20),IF(CF$145=1,INDEX(Vol_V,9,CF$144)/12*(1+V_dVol),0))</f>
        <v>0</v>
      </c>
      <c r="CG159" s="34" t="n">
        <f aca="false">IF(CG$8=1,N(Reales!CG20),IF(CG$145=1,INDEX(Vol_V,9,CG$144)/12*(1+V_dVol),0))</f>
        <v>0</v>
      </c>
      <c r="CH159" s="34" t="n">
        <f aca="false">IF(CH$8=1,N(Reales!CH20),IF(CH$145=1,INDEX(Vol_V,9,CH$144)/12*(1+V_dVol),0))</f>
        <v>0</v>
      </c>
      <c r="CI159" s="34" t="n">
        <f aca="false">IF(CI$8=1,N(Reales!CI20),IF(CI$145=1,INDEX(Vol_V,9,CI$144)/12*(1+V_dVol),0))</f>
        <v>0</v>
      </c>
      <c r="CJ159" s="34" t="n">
        <f aca="false">IF(CJ$8=1,N(Reales!CJ20),IF(CJ$145=1,INDEX(Vol_V,9,CJ$144)/12*(1+V_dVol),0))</f>
        <v>0</v>
      </c>
      <c r="CK159" s="34" t="n">
        <f aca="false">IF(CK$8=1,N(Reales!CK20),IF(CK$145=1,INDEX(Vol_V,9,CK$144)/12*(1+V_dVol),0))</f>
        <v>0</v>
      </c>
      <c r="CL159" s="34" t="n">
        <f aca="false">IF(CL$8=1,N(Reales!CL20),IF(CL$145=1,INDEX(Vol_V,9,CL$144)/12*(1+V_dVol),0))</f>
        <v>0</v>
      </c>
      <c r="CM159" s="34" t="n">
        <f aca="false">IF(CM$8=1,N(Reales!CM20),IF(CM$145=1,INDEX(Vol_V,9,CM$144)/12*(1+V_dVol),0))</f>
        <v>0</v>
      </c>
      <c r="CN159" s="34" t="n">
        <f aca="false">IF(CN$8=1,N(Reales!CN20),IF(CN$145=1,INDEX(Vol_V,9,CN$144)/12*(1+V_dVol),0))</f>
        <v>0</v>
      </c>
      <c r="CO159" s="34" t="n">
        <f aca="false">IF(CO$8=1,N(Reales!CO20),IF(CO$145=1,INDEX(Vol_V,9,CO$144)/12*(1+V_dVol),0))</f>
        <v>0</v>
      </c>
      <c r="CP159" s="34" t="n">
        <f aca="false">IF(CP$8=1,N(Reales!CP20),IF(CP$145=1,INDEX(Vol_V,9,CP$144)/12*(1+V_dVol),0))</f>
        <v>0</v>
      </c>
      <c r="CQ159" s="34" t="n">
        <f aca="false">IF(CQ$8=1,N(Reales!CQ20),IF(CQ$145=1,INDEX(Vol_V,9,CQ$144)/12*(1+V_dVol),0))</f>
        <v>0</v>
      </c>
      <c r="CR159" s="34" t="n">
        <f aca="false">IF(CR$8=1,N(Reales!CR20),IF(CR$145=1,INDEX(Vol_V,9,CR$144)/12*(1+V_dVol),0))</f>
        <v>0</v>
      </c>
      <c r="CS159" s="34" t="n">
        <f aca="false">IF(CS$8=1,N(Reales!CS20),IF(CS$145=1,INDEX(Vol_V,9,CS$144)/12*(1+V_dVol),0))</f>
        <v>0</v>
      </c>
      <c r="CT159" s="34" t="n">
        <f aca="false">IF(CT$8=1,N(Reales!CT20),IF(CT$145=1,INDEX(Vol_V,9,CT$144)/12*(1+V_dVol),0))</f>
        <v>0</v>
      </c>
      <c r="CU159" s="34" t="n">
        <f aca="false">IF(CU$8=1,N(Reales!CU20),IF(CU$145=1,INDEX(Vol_V,9,CU$144)/12*(1+V_dVol),0))</f>
        <v>0</v>
      </c>
      <c r="CV159" s="34" t="n">
        <f aca="false">IF(CV$8=1,N(Reales!CV20),IF(CV$145=1,INDEX(Vol_V,9,CV$144)/12*(1+V_dVol),0))</f>
        <v>0</v>
      </c>
      <c r="CW159" s="34" t="n">
        <f aca="false">IF(CW$8=1,N(Reales!CW20),IF(CW$145=1,INDEX(Vol_V,9,CW$144)/12*(1+V_dVol),0))</f>
        <v>0</v>
      </c>
      <c r="CX159" s="34" t="n">
        <f aca="false">IF(CX$8=1,N(Reales!CX20),IF(CX$145=1,INDEX(Vol_V,9,CX$144)/12*(1+V_dVol),0))</f>
        <v>0</v>
      </c>
      <c r="CY159" s="34" t="n">
        <f aca="false">IF(CY$8=1,N(Reales!CY20),IF(CY$145=1,INDEX(Vol_V,9,CY$144)/12*(1+V_dVol),0))</f>
        <v>0</v>
      </c>
      <c r="CZ159" s="34" t="n">
        <f aca="false">IF(CZ$8=1,N(Reales!CZ20),IF(CZ$145=1,INDEX(Vol_V,9,CZ$144)/12*(1+V_dVol),0))</f>
        <v>0</v>
      </c>
      <c r="DA159" s="34" t="n">
        <f aca="false">IF(DA$8=1,N(Reales!DA20),IF(DA$145=1,INDEX(Vol_V,9,DA$144)/12*(1+V_dVol),0))</f>
        <v>0</v>
      </c>
      <c r="DB159" s="34" t="n">
        <f aca="false">IF(DB$8=1,N(Reales!DB20),IF(DB$145=1,INDEX(Vol_V,9,DB$144)/12*(1+V_dVol),0))</f>
        <v>0</v>
      </c>
      <c r="DC159" s="34" t="n">
        <f aca="false">IF(DC$8=1,N(Reales!DC20),IF(DC$145=1,INDEX(Vol_V,9,DC$144)/12*(1+V_dVol),0))</f>
        <v>0</v>
      </c>
      <c r="DD159" s="34" t="n">
        <f aca="false">IF(DD$8=1,N(Reales!DD20),IF(DD$145=1,INDEX(Vol_V,9,DD$144)/12*(1+V_dVol),0))</f>
        <v>0</v>
      </c>
      <c r="DE159" s="34" t="n">
        <f aca="false">IF(DE$8=1,N(Reales!DE20),IF(DE$145=1,INDEX(Vol_V,9,DE$144)/12*(1+V_dVol),0))</f>
        <v>0</v>
      </c>
      <c r="DF159" s="34" t="n">
        <f aca="false">IF(DF$8=1,N(Reales!DF20),IF(DF$145=1,INDEX(Vol_V,9,DF$144)/12*(1+V_dVol),0))</f>
        <v>0</v>
      </c>
      <c r="DG159" s="34" t="n">
        <f aca="false">IF(DG$8=1,N(Reales!DG20),IF(DG$145=1,INDEX(Vol_V,9,DG$144)/12*(1+V_dVol),0))</f>
        <v>0</v>
      </c>
      <c r="DH159" s="34" t="n">
        <f aca="false">IF(DH$8=1,N(Reales!DH20),IF(DH$145=1,INDEX(Vol_V,9,DH$144)/12*(1+V_dVol),0))</f>
        <v>0</v>
      </c>
      <c r="DI159" s="34" t="n">
        <f aca="false">IF(DI$8=1,N(Reales!DI20),IF(DI$145=1,INDEX(Vol_V,9,DI$144)/12*(1+V_dVol),0))</f>
        <v>0</v>
      </c>
      <c r="DJ159" s="34" t="n">
        <f aca="false">IF(DJ$8=1,N(Reales!DJ20),IF(DJ$145=1,INDEX(Vol_V,9,DJ$144)/12*(1+V_dVol),0))</f>
        <v>0</v>
      </c>
      <c r="DK159" s="34" t="n">
        <f aca="false">IF(DK$8=1,N(Reales!DK20),IF(DK$145=1,INDEX(Vol_V,9,DK$144)/12*(1+V_dVol),0))</f>
        <v>0</v>
      </c>
      <c r="DL159" s="34" t="n">
        <f aca="false">IF(DL$8=1,N(Reales!DL20),IF(DL$145=1,INDEX(Vol_V,9,DL$144)/12*(1+V_dVol),0))</f>
        <v>0</v>
      </c>
      <c r="DM159" s="34" t="n">
        <f aca="false">IF(DM$8=1,N(Reales!DM20),IF(DM$145=1,INDEX(Vol_V,9,DM$144)/12*(1+V_dVol),0))</f>
        <v>0</v>
      </c>
      <c r="DN159" s="34" t="n">
        <f aca="false">IF(DN$8=1,N(Reales!DN20),IF(DN$145=1,INDEX(Vol_V,9,DN$144)/12*(1+V_dVol),0))</f>
        <v>0</v>
      </c>
      <c r="DO159" s="34" t="n">
        <f aca="false">IF(DO$8=1,N(Reales!DO20),IF(DO$145=1,INDEX(Vol_V,9,DO$144)/12*(1+V_dVol),0))</f>
        <v>0</v>
      </c>
      <c r="DP159" s="34" t="n">
        <f aca="false">IF(DP$8=1,N(Reales!DP20),IF(DP$145=1,INDEX(Vol_V,9,DP$144)/12*(1+V_dVol),0))</f>
        <v>0</v>
      </c>
      <c r="DQ159" s="34" t="n">
        <f aca="false">IF(DQ$8=1,N(Reales!DQ20),IF(DQ$145=1,INDEX(Vol_V,9,DQ$144)/12*(1+V_dVol),0))</f>
        <v>0</v>
      </c>
      <c r="DR159" s="34" t="n">
        <f aca="false">IF(DR$8=1,N(Reales!DR20),IF(DR$145=1,INDEX(Vol_V,9,DR$144)/12*(1+V_dVol),0))</f>
        <v>0</v>
      </c>
      <c r="DS159" s="34" t="n">
        <f aca="false">IF(DS$8=1,N(Reales!DS20),IF(DS$145=1,INDEX(Vol_V,9,DS$144)/12*(1+V_dVol),0))</f>
        <v>0</v>
      </c>
      <c r="DT159" s="34" t="n">
        <f aca="false">IF(DT$8=1,N(Reales!DT20),IF(DT$145=1,INDEX(Vol_V,9,DT$144)/12*(1+V_dVol),0))</f>
        <v>0</v>
      </c>
      <c r="DU159" s="34" t="n">
        <f aca="false">IF(DU$8=1,N(Reales!DU20),IF(DU$145=1,INDEX(Vol_V,9,DU$144)/12*(1+V_dVol),0))</f>
        <v>0</v>
      </c>
      <c r="DV159" s="34" t="n">
        <f aca="false">IF(DV$8=1,N(Reales!DV20),IF(DV$145=1,INDEX(Vol_V,9,DV$144)/12*(1+V_dVol),0))</f>
        <v>0</v>
      </c>
      <c r="DW159" s="34" t="n">
        <f aca="false">IF(DW$8=1,N(Reales!DW20),IF(DW$145=1,INDEX(Vol_V,9,DW$144)/12*(1+V_dVol),0))</f>
        <v>0</v>
      </c>
      <c r="DX159" s="34" t="n">
        <f aca="false">IF(DX$8=1,N(Reales!DX20),IF(DX$145=1,INDEX(Vol_V,9,DX$144)/12*(1+V_dVol),0))</f>
        <v>0</v>
      </c>
      <c r="DY159" s="34" t="n">
        <f aca="false">IF(DY$8=1,N(Reales!DY20),IF(DY$145=1,INDEX(Vol_V,9,DY$144)/12*(1+V_dVol),0))</f>
        <v>0</v>
      </c>
      <c r="DZ159" s="34" t="n">
        <f aca="false">IF(DZ$8=1,N(Reales!DZ20),IF(DZ$145=1,INDEX(Vol_V,9,DZ$144)/12*(1+V_dVol),0))</f>
        <v>0</v>
      </c>
      <c r="EA159" s="34" t="n">
        <f aca="false">IF(EA$8=1,N(Reales!EA20),IF(EA$145=1,INDEX(Vol_V,9,EA$144)/12*(1+V_dVol),0))</f>
        <v>0</v>
      </c>
      <c r="EB159" s="34" t="n">
        <f aca="false">IF(EB$8=1,N(Reales!EB20),IF(EB$145=1,INDEX(Vol_V,9,EB$144)/12*(1+V_dVol),0))</f>
        <v>0</v>
      </c>
      <c r="EC159" s="34" t="n">
        <f aca="false">IF(EC$8=1,N(Reales!EC20),IF(EC$145=1,INDEX(Vol_V,9,EC$144)/12*(1+V_dVol),0))</f>
        <v>0</v>
      </c>
      <c r="ED159" s="34" t="n">
        <f aca="false">IF(ED$8=1,N(Reales!ED20),IF(ED$145=1,INDEX(Vol_V,9,ED$144)/12*(1+V_dVol),0))</f>
        <v>0</v>
      </c>
      <c r="EE159" s="34" t="n">
        <f aca="false">IF(EE$8=1,N(Reales!EE20),IF(EE$145=1,INDEX(Vol_V,9,EE$144)/12*(1+V_dVol),0))</f>
        <v>0</v>
      </c>
      <c r="EF159" s="34" t="n">
        <f aca="false">IF(EF$8=1,N(Reales!EF20),IF(EF$145=1,INDEX(Vol_V,9,EF$144)/12*(1+V_dVol),0))</f>
        <v>0</v>
      </c>
      <c r="EG159" s="34" t="n">
        <f aca="false">IF(EG$8=1,N(Reales!EG20),IF(EG$145=1,INDEX(Vol_V,9,EG$144)/12*(1+V_dVol),0))</f>
        <v>0</v>
      </c>
      <c r="EH159" s="34" t="n">
        <f aca="false">IF(EH$8=1,N(Reales!EH20),IF(EH$145=1,INDEX(Vol_V,9,EH$144)/12*(1+V_dVol),0))</f>
        <v>0</v>
      </c>
      <c r="EI159" s="34" t="n">
        <f aca="false">IF(EI$8=1,N(Reales!EI20),IF(EI$145=1,INDEX(Vol_V,9,EI$144)/12*(1+V_dVol),0))</f>
        <v>0</v>
      </c>
      <c r="EJ159" s="34" t="n">
        <f aca="false">IF(EJ$8=1,N(Reales!EJ20),IF(EJ$145=1,INDEX(Vol_V,9,EJ$144)/12*(1+V_dVol),0))</f>
        <v>0</v>
      </c>
      <c r="EK159" s="34" t="n">
        <f aca="false">IF(EK$8=1,N(Reales!EK20),IF(EK$145=1,INDEX(Vol_V,9,EK$144)/12*(1+V_dVol),0))</f>
        <v>0</v>
      </c>
      <c r="EL159" s="34" t="n">
        <f aca="false">IF(EL$8=1,N(Reales!EL20),IF(EL$145=1,INDEX(Vol_V,9,EL$144)/12*(1+V_dVol),0))</f>
        <v>0</v>
      </c>
      <c r="EM159" s="34" t="n">
        <f aca="false">IF(EM$8=1,N(Reales!EM20),IF(EM$145=1,INDEX(Vol_V,9,EM$144)/12*(1+V_dVol),0))</f>
        <v>0</v>
      </c>
      <c r="EN159" s="34" t="n">
        <f aca="false">IF(EN$8=1,N(Reales!EN20),IF(EN$145=1,INDEX(Vol_V,9,EN$144)/12*(1+V_dVol),0))</f>
        <v>0</v>
      </c>
      <c r="EO159" s="34" t="n">
        <f aca="false">IF(EO$8=1,N(Reales!EO20),IF(EO$145=1,INDEX(Vol_V,9,EO$144)/12*(1+V_dVol),0))</f>
        <v>0</v>
      </c>
      <c r="EP159" s="34" t="n">
        <f aca="false">IF(EP$8=1,N(Reales!EP20),IF(EP$145=1,INDEX(Vol_V,9,EP$144)/12*(1+V_dVol),0))</f>
        <v>0</v>
      </c>
      <c r="EQ159" s="34" t="n">
        <f aca="false">IF(EQ$8=1,N(Reales!EQ20),IF(EQ$145=1,INDEX(Vol_V,9,EQ$144)/12*(1+V_dVol),0))</f>
        <v>0</v>
      </c>
      <c r="ER159" s="34" t="n">
        <f aca="false">IF(ER$8=1,N(Reales!ER20),IF(ER$145=1,INDEX(Vol_V,9,ER$144)/12*(1+V_dVol),0))</f>
        <v>0</v>
      </c>
      <c r="ES159" s="34" t="n">
        <f aca="false">IF(ES$8=1,N(Reales!ES20),IF(ES$145=1,INDEX(Vol_V,9,ES$144)/12*(1+V_dVol),0))</f>
        <v>0</v>
      </c>
    </row>
    <row r="160" customFormat="false" ht="15" hidden="false" customHeight="false" outlineLevel="0" collapsed="false">
      <c r="A160" s="2" t="s">
        <v>776</v>
      </c>
      <c r="B160" s="39" t="str">
        <f aca="false">IF(INDEX(Prod_Nombre,10)="","Producto 10",INDEX(Prod_Nombre,10))&amp;" — unidades"</f>
        <v>Producto 10 — unidades</v>
      </c>
      <c r="C160" s="6" t="s">
        <v>286</v>
      </c>
      <c r="E160" s="40" t="n">
        <f aca="false">SUM(F160:ES160)</f>
        <v>0</v>
      </c>
      <c r="F160" s="34" t="n">
        <f aca="false">IF(F$8=1,N(Reales!F21),IF(F$145=1,INDEX(Vol_V,10,F$144)/12*(1+V_dVol),0))</f>
        <v>0</v>
      </c>
      <c r="G160" s="34" t="n">
        <f aca="false">IF(G$8=1,N(Reales!G21),IF(G$145=1,INDEX(Vol_V,10,G$144)/12*(1+V_dVol),0))</f>
        <v>0</v>
      </c>
      <c r="H160" s="34" t="n">
        <f aca="false">IF(H$8=1,N(Reales!H21),IF(H$145=1,INDEX(Vol_V,10,H$144)/12*(1+V_dVol),0))</f>
        <v>0</v>
      </c>
      <c r="I160" s="34" t="n">
        <f aca="false">IF(I$8=1,N(Reales!I21),IF(I$145=1,INDEX(Vol_V,10,I$144)/12*(1+V_dVol),0))</f>
        <v>0</v>
      </c>
      <c r="J160" s="34" t="n">
        <f aca="false">IF(J$8=1,N(Reales!J21),IF(J$145=1,INDEX(Vol_V,10,J$144)/12*(1+V_dVol),0))</f>
        <v>0</v>
      </c>
      <c r="K160" s="34" t="n">
        <f aca="false">IF(K$8=1,N(Reales!K21),IF(K$145=1,INDEX(Vol_V,10,K$144)/12*(1+V_dVol),0))</f>
        <v>0</v>
      </c>
      <c r="L160" s="34" t="n">
        <f aca="false">IF(L$8=1,N(Reales!L21),IF(L$145=1,INDEX(Vol_V,10,L$144)/12*(1+V_dVol),0))</f>
        <v>0</v>
      </c>
      <c r="M160" s="34" t="n">
        <f aca="false">IF(M$8=1,N(Reales!M21),IF(M$145=1,INDEX(Vol_V,10,M$144)/12*(1+V_dVol),0))</f>
        <v>0</v>
      </c>
      <c r="N160" s="34" t="n">
        <f aca="false">IF(N$8=1,N(Reales!N21),IF(N$145=1,INDEX(Vol_V,10,N$144)/12*(1+V_dVol),0))</f>
        <v>0</v>
      </c>
      <c r="O160" s="34" t="n">
        <f aca="false">IF(O$8=1,N(Reales!O21),IF(O$145=1,INDEX(Vol_V,10,O$144)/12*(1+V_dVol),0))</f>
        <v>0</v>
      </c>
      <c r="P160" s="34" t="n">
        <f aca="false">IF(P$8=1,N(Reales!P21),IF(P$145=1,INDEX(Vol_V,10,P$144)/12*(1+V_dVol),0))</f>
        <v>0</v>
      </c>
      <c r="Q160" s="34" t="n">
        <f aca="false">IF(Q$8=1,N(Reales!Q21),IF(Q$145=1,INDEX(Vol_V,10,Q$144)/12*(1+V_dVol),0))</f>
        <v>0</v>
      </c>
      <c r="R160" s="34" t="n">
        <f aca="false">IF(R$8=1,N(Reales!R21),IF(R$145=1,INDEX(Vol_V,10,R$144)/12*(1+V_dVol),0))</f>
        <v>0</v>
      </c>
      <c r="S160" s="34" t="n">
        <f aca="false">IF(S$8=1,N(Reales!S21),IF(S$145=1,INDEX(Vol_V,10,S$144)/12*(1+V_dVol),0))</f>
        <v>0</v>
      </c>
      <c r="T160" s="34" t="n">
        <f aca="false">IF(T$8=1,N(Reales!T21),IF(T$145=1,INDEX(Vol_V,10,T$144)/12*(1+V_dVol),0))</f>
        <v>0</v>
      </c>
      <c r="U160" s="34" t="n">
        <f aca="false">IF(U$8=1,N(Reales!U21),IF(U$145=1,INDEX(Vol_V,10,U$144)/12*(1+V_dVol),0))</f>
        <v>0</v>
      </c>
      <c r="V160" s="34" t="n">
        <f aca="false">IF(V$8=1,N(Reales!V21),IF(V$145=1,INDEX(Vol_V,10,V$144)/12*(1+V_dVol),0))</f>
        <v>0</v>
      </c>
      <c r="W160" s="34" t="n">
        <f aca="false">IF(W$8=1,N(Reales!W21),IF(W$145=1,INDEX(Vol_V,10,W$144)/12*(1+V_dVol),0))</f>
        <v>0</v>
      </c>
      <c r="X160" s="34" t="n">
        <f aca="false">IF(X$8=1,N(Reales!X21),IF(X$145=1,INDEX(Vol_V,10,X$144)/12*(1+V_dVol),0))</f>
        <v>0</v>
      </c>
      <c r="Y160" s="34" t="n">
        <f aca="false">IF(Y$8=1,N(Reales!Y21),IF(Y$145=1,INDEX(Vol_V,10,Y$144)/12*(1+V_dVol),0))</f>
        <v>0</v>
      </c>
      <c r="Z160" s="34" t="n">
        <f aca="false">IF(Z$8=1,N(Reales!Z21),IF(Z$145=1,INDEX(Vol_V,10,Z$144)/12*(1+V_dVol),0))</f>
        <v>0</v>
      </c>
      <c r="AA160" s="34" t="n">
        <f aca="false">IF(AA$8=1,N(Reales!AA21),IF(AA$145=1,INDEX(Vol_V,10,AA$144)/12*(1+V_dVol),0))</f>
        <v>0</v>
      </c>
      <c r="AB160" s="34" t="n">
        <f aca="false">IF(AB$8=1,N(Reales!AB21),IF(AB$145=1,INDEX(Vol_V,10,AB$144)/12*(1+V_dVol),0))</f>
        <v>0</v>
      </c>
      <c r="AC160" s="34" t="n">
        <f aca="false">IF(AC$8=1,N(Reales!AC21),IF(AC$145=1,INDEX(Vol_V,10,AC$144)/12*(1+V_dVol),0))</f>
        <v>0</v>
      </c>
      <c r="AD160" s="34" t="n">
        <f aca="false">IF(AD$8=1,N(Reales!AD21),IF(AD$145=1,INDEX(Vol_V,10,AD$144)/12*(1+V_dVol),0))</f>
        <v>0</v>
      </c>
      <c r="AE160" s="34" t="n">
        <f aca="false">IF(AE$8=1,N(Reales!AE21),IF(AE$145=1,INDEX(Vol_V,10,AE$144)/12*(1+V_dVol),0))</f>
        <v>0</v>
      </c>
      <c r="AF160" s="34" t="n">
        <f aca="false">IF(AF$8=1,N(Reales!AF21),IF(AF$145=1,INDEX(Vol_V,10,AF$144)/12*(1+V_dVol),0))</f>
        <v>0</v>
      </c>
      <c r="AG160" s="34" t="n">
        <f aca="false">IF(AG$8=1,N(Reales!AG21),IF(AG$145=1,INDEX(Vol_V,10,AG$144)/12*(1+V_dVol),0))</f>
        <v>0</v>
      </c>
      <c r="AH160" s="34" t="n">
        <f aca="false">IF(AH$8=1,N(Reales!AH21),IF(AH$145=1,INDEX(Vol_V,10,AH$144)/12*(1+V_dVol),0))</f>
        <v>0</v>
      </c>
      <c r="AI160" s="34" t="n">
        <f aca="false">IF(AI$8=1,N(Reales!AI21),IF(AI$145=1,INDEX(Vol_V,10,AI$144)/12*(1+V_dVol),0))</f>
        <v>0</v>
      </c>
      <c r="AJ160" s="34" t="n">
        <f aca="false">IF(AJ$8=1,N(Reales!AJ21),IF(AJ$145=1,INDEX(Vol_V,10,AJ$144)/12*(1+V_dVol),0))</f>
        <v>0</v>
      </c>
      <c r="AK160" s="34" t="n">
        <f aca="false">IF(AK$8=1,N(Reales!AK21),IF(AK$145=1,INDEX(Vol_V,10,AK$144)/12*(1+V_dVol),0))</f>
        <v>0</v>
      </c>
      <c r="AL160" s="34" t="n">
        <f aca="false">IF(AL$8=1,N(Reales!AL21),IF(AL$145=1,INDEX(Vol_V,10,AL$144)/12*(1+V_dVol),0))</f>
        <v>0</v>
      </c>
      <c r="AM160" s="34" t="n">
        <f aca="false">IF(AM$8=1,N(Reales!AM21),IF(AM$145=1,INDEX(Vol_V,10,AM$144)/12*(1+V_dVol),0))</f>
        <v>0</v>
      </c>
      <c r="AN160" s="34" t="n">
        <f aca="false">IF(AN$8=1,N(Reales!AN21),IF(AN$145=1,INDEX(Vol_V,10,AN$144)/12*(1+V_dVol),0))</f>
        <v>0</v>
      </c>
      <c r="AO160" s="34" t="n">
        <f aca="false">IF(AO$8=1,N(Reales!AO21),IF(AO$145=1,INDEX(Vol_V,10,AO$144)/12*(1+V_dVol),0))</f>
        <v>0</v>
      </c>
      <c r="AP160" s="34" t="n">
        <f aca="false">IF(AP$8=1,N(Reales!AP21),IF(AP$145=1,INDEX(Vol_V,10,AP$144)/12*(1+V_dVol),0))</f>
        <v>0</v>
      </c>
      <c r="AQ160" s="34" t="n">
        <f aca="false">IF(AQ$8=1,N(Reales!AQ21),IF(AQ$145=1,INDEX(Vol_V,10,AQ$144)/12*(1+V_dVol),0))</f>
        <v>0</v>
      </c>
      <c r="AR160" s="34" t="n">
        <f aca="false">IF(AR$8=1,N(Reales!AR21),IF(AR$145=1,INDEX(Vol_V,10,AR$144)/12*(1+V_dVol),0))</f>
        <v>0</v>
      </c>
      <c r="AS160" s="34" t="n">
        <f aca="false">IF(AS$8=1,N(Reales!AS21),IF(AS$145=1,INDEX(Vol_V,10,AS$144)/12*(1+V_dVol),0))</f>
        <v>0</v>
      </c>
      <c r="AT160" s="34" t="n">
        <f aca="false">IF(AT$8=1,N(Reales!AT21),IF(AT$145=1,INDEX(Vol_V,10,AT$144)/12*(1+V_dVol),0))</f>
        <v>0</v>
      </c>
      <c r="AU160" s="34" t="n">
        <f aca="false">IF(AU$8=1,N(Reales!AU21),IF(AU$145=1,INDEX(Vol_V,10,AU$144)/12*(1+V_dVol),0))</f>
        <v>0</v>
      </c>
      <c r="AV160" s="34" t="n">
        <f aca="false">IF(AV$8=1,N(Reales!AV21),IF(AV$145=1,INDEX(Vol_V,10,AV$144)/12*(1+V_dVol),0))</f>
        <v>0</v>
      </c>
      <c r="AW160" s="34" t="n">
        <f aca="false">IF(AW$8=1,N(Reales!AW21),IF(AW$145=1,INDEX(Vol_V,10,AW$144)/12*(1+V_dVol),0))</f>
        <v>0</v>
      </c>
      <c r="AX160" s="34" t="n">
        <f aca="false">IF(AX$8=1,N(Reales!AX21),IF(AX$145=1,INDEX(Vol_V,10,AX$144)/12*(1+V_dVol),0))</f>
        <v>0</v>
      </c>
      <c r="AY160" s="34" t="n">
        <f aca="false">IF(AY$8=1,N(Reales!AY21),IF(AY$145=1,INDEX(Vol_V,10,AY$144)/12*(1+V_dVol),0))</f>
        <v>0</v>
      </c>
      <c r="AZ160" s="34" t="n">
        <f aca="false">IF(AZ$8=1,N(Reales!AZ21),IF(AZ$145=1,INDEX(Vol_V,10,AZ$144)/12*(1+V_dVol),0))</f>
        <v>0</v>
      </c>
      <c r="BA160" s="34" t="n">
        <f aca="false">IF(BA$8=1,N(Reales!BA21),IF(BA$145=1,INDEX(Vol_V,10,BA$144)/12*(1+V_dVol),0))</f>
        <v>0</v>
      </c>
      <c r="BB160" s="34" t="n">
        <f aca="false">IF(BB$8=1,N(Reales!BB21),IF(BB$145=1,INDEX(Vol_V,10,BB$144)/12*(1+V_dVol),0))</f>
        <v>0</v>
      </c>
      <c r="BC160" s="34" t="n">
        <f aca="false">IF(BC$8=1,N(Reales!BC21),IF(BC$145=1,INDEX(Vol_V,10,BC$144)/12*(1+V_dVol),0))</f>
        <v>0</v>
      </c>
      <c r="BD160" s="34" t="n">
        <f aca="false">IF(BD$8=1,N(Reales!BD21),IF(BD$145=1,INDEX(Vol_V,10,BD$144)/12*(1+V_dVol),0))</f>
        <v>0</v>
      </c>
      <c r="BE160" s="34" t="n">
        <f aca="false">IF(BE$8=1,N(Reales!BE21),IF(BE$145=1,INDEX(Vol_V,10,BE$144)/12*(1+V_dVol),0))</f>
        <v>0</v>
      </c>
      <c r="BF160" s="34" t="n">
        <f aca="false">IF(BF$8=1,N(Reales!BF21),IF(BF$145=1,INDEX(Vol_V,10,BF$144)/12*(1+V_dVol),0))</f>
        <v>0</v>
      </c>
      <c r="BG160" s="34" t="n">
        <f aca="false">IF(BG$8=1,N(Reales!BG21),IF(BG$145=1,INDEX(Vol_V,10,BG$144)/12*(1+V_dVol),0))</f>
        <v>0</v>
      </c>
      <c r="BH160" s="34" t="n">
        <f aca="false">IF(BH$8=1,N(Reales!BH21),IF(BH$145=1,INDEX(Vol_V,10,BH$144)/12*(1+V_dVol),0))</f>
        <v>0</v>
      </c>
      <c r="BI160" s="34" t="n">
        <f aca="false">IF(BI$8=1,N(Reales!BI21),IF(BI$145=1,INDEX(Vol_V,10,BI$144)/12*(1+V_dVol),0))</f>
        <v>0</v>
      </c>
      <c r="BJ160" s="34" t="n">
        <f aca="false">IF(BJ$8=1,N(Reales!BJ21),IF(BJ$145=1,INDEX(Vol_V,10,BJ$144)/12*(1+V_dVol),0))</f>
        <v>0</v>
      </c>
      <c r="BK160" s="34" t="n">
        <f aca="false">IF(BK$8=1,N(Reales!BK21),IF(BK$145=1,INDEX(Vol_V,10,BK$144)/12*(1+V_dVol),0))</f>
        <v>0</v>
      </c>
      <c r="BL160" s="34" t="n">
        <f aca="false">IF(BL$8=1,N(Reales!BL21),IF(BL$145=1,INDEX(Vol_V,10,BL$144)/12*(1+V_dVol),0))</f>
        <v>0</v>
      </c>
      <c r="BM160" s="34" t="n">
        <f aca="false">IF(BM$8=1,N(Reales!BM21),IF(BM$145=1,INDEX(Vol_V,10,BM$144)/12*(1+V_dVol),0))</f>
        <v>0</v>
      </c>
      <c r="BN160" s="34" t="n">
        <f aca="false">IF(BN$8=1,N(Reales!BN21),IF(BN$145=1,INDEX(Vol_V,10,BN$144)/12*(1+V_dVol),0))</f>
        <v>0</v>
      </c>
      <c r="BO160" s="34" t="n">
        <f aca="false">IF(BO$8=1,N(Reales!BO21),IF(BO$145=1,INDEX(Vol_V,10,BO$144)/12*(1+V_dVol),0))</f>
        <v>0</v>
      </c>
      <c r="BP160" s="34" t="n">
        <f aca="false">IF(BP$8=1,N(Reales!BP21),IF(BP$145=1,INDEX(Vol_V,10,BP$144)/12*(1+V_dVol),0))</f>
        <v>0</v>
      </c>
      <c r="BQ160" s="34" t="n">
        <f aca="false">IF(BQ$8=1,N(Reales!BQ21),IF(BQ$145=1,INDEX(Vol_V,10,BQ$144)/12*(1+V_dVol),0))</f>
        <v>0</v>
      </c>
      <c r="BR160" s="34" t="n">
        <f aca="false">IF(BR$8=1,N(Reales!BR21),IF(BR$145=1,INDEX(Vol_V,10,BR$144)/12*(1+V_dVol),0))</f>
        <v>0</v>
      </c>
      <c r="BS160" s="34" t="n">
        <f aca="false">IF(BS$8=1,N(Reales!BS21),IF(BS$145=1,INDEX(Vol_V,10,BS$144)/12*(1+V_dVol),0))</f>
        <v>0</v>
      </c>
      <c r="BT160" s="34" t="n">
        <f aca="false">IF(BT$8=1,N(Reales!BT21),IF(BT$145=1,INDEX(Vol_V,10,BT$144)/12*(1+V_dVol),0))</f>
        <v>0</v>
      </c>
      <c r="BU160" s="34" t="n">
        <f aca="false">IF(BU$8=1,N(Reales!BU21),IF(BU$145=1,INDEX(Vol_V,10,BU$144)/12*(1+V_dVol),0))</f>
        <v>0</v>
      </c>
      <c r="BV160" s="34" t="n">
        <f aca="false">IF(BV$8=1,N(Reales!BV21),IF(BV$145=1,INDEX(Vol_V,10,BV$144)/12*(1+V_dVol),0))</f>
        <v>0</v>
      </c>
      <c r="BW160" s="34" t="n">
        <f aca="false">IF(BW$8=1,N(Reales!BW21),IF(BW$145=1,INDEX(Vol_V,10,BW$144)/12*(1+V_dVol),0))</f>
        <v>0</v>
      </c>
      <c r="BX160" s="34" t="n">
        <f aca="false">IF(BX$8=1,N(Reales!BX21),IF(BX$145=1,INDEX(Vol_V,10,BX$144)/12*(1+V_dVol),0))</f>
        <v>0</v>
      </c>
      <c r="BY160" s="34" t="n">
        <f aca="false">IF(BY$8=1,N(Reales!BY21),IF(BY$145=1,INDEX(Vol_V,10,BY$144)/12*(1+V_dVol),0))</f>
        <v>0</v>
      </c>
      <c r="BZ160" s="34" t="n">
        <f aca="false">IF(BZ$8=1,N(Reales!BZ21),IF(BZ$145=1,INDEX(Vol_V,10,BZ$144)/12*(1+V_dVol),0))</f>
        <v>0</v>
      </c>
      <c r="CA160" s="34" t="n">
        <f aca="false">IF(CA$8=1,N(Reales!CA21),IF(CA$145=1,INDEX(Vol_V,10,CA$144)/12*(1+V_dVol),0))</f>
        <v>0</v>
      </c>
      <c r="CB160" s="34" t="n">
        <f aca="false">IF(CB$8=1,N(Reales!CB21),IF(CB$145=1,INDEX(Vol_V,10,CB$144)/12*(1+V_dVol),0))</f>
        <v>0</v>
      </c>
      <c r="CC160" s="34" t="n">
        <f aca="false">IF(CC$8=1,N(Reales!CC21),IF(CC$145=1,INDEX(Vol_V,10,CC$144)/12*(1+V_dVol),0))</f>
        <v>0</v>
      </c>
      <c r="CD160" s="34" t="n">
        <f aca="false">IF(CD$8=1,N(Reales!CD21),IF(CD$145=1,INDEX(Vol_V,10,CD$144)/12*(1+V_dVol),0))</f>
        <v>0</v>
      </c>
      <c r="CE160" s="34" t="n">
        <f aca="false">IF(CE$8=1,N(Reales!CE21),IF(CE$145=1,INDEX(Vol_V,10,CE$144)/12*(1+V_dVol),0))</f>
        <v>0</v>
      </c>
      <c r="CF160" s="34" t="n">
        <f aca="false">IF(CF$8=1,N(Reales!CF21),IF(CF$145=1,INDEX(Vol_V,10,CF$144)/12*(1+V_dVol),0))</f>
        <v>0</v>
      </c>
      <c r="CG160" s="34" t="n">
        <f aca="false">IF(CG$8=1,N(Reales!CG21),IF(CG$145=1,INDEX(Vol_V,10,CG$144)/12*(1+V_dVol),0))</f>
        <v>0</v>
      </c>
      <c r="CH160" s="34" t="n">
        <f aca="false">IF(CH$8=1,N(Reales!CH21),IF(CH$145=1,INDEX(Vol_V,10,CH$144)/12*(1+V_dVol),0))</f>
        <v>0</v>
      </c>
      <c r="CI160" s="34" t="n">
        <f aca="false">IF(CI$8=1,N(Reales!CI21),IF(CI$145=1,INDEX(Vol_V,10,CI$144)/12*(1+V_dVol),0))</f>
        <v>0</v>
      </c>
      <c r="CJ160" s="34" t="n">
        <f aca="false">IF(CJ$8=1,N(Reales!CJ21),IF(CJ$145=1,INDEX(Vol_V,10,CJ$144)/12*(1+V_dVol),0))</f>
        <v>0</v>
      </c>
      <c r="CK160" s="34" t="n">
        <f aca="false">IF(CK$8=1,N(Reales!CK21),IF(CK$145=1,INDEX(Vol_V,10,CK$144)/12*(1+V_dVol),0))</f>
        <v>0</v>
      </c>
      <c r="CL160" s="34" t="n">
        <f aca="false">IF(CL$8=1,N(Reales!CL21),IF(CL$145=1,INDEX(Vol_V,10,CL$144)/12*(1+V_dVol),0))</f>
        <v>0</v>
      </c>
      <c r="CM160" s="34" t="n">
        <f aca="false">IF(CM$8=1,N(Reales!CM21),IF(CM$145=1,INDEX(Vol_V,10,CM$144)/12*(1+V_dVol),0))</f>
        <v>0</v>
      </c>
      <c r="CN160" s="34" t="n">
        <f aca="false">IF(CN$8=1,N(Reales!CN21),IF(CN$145=1,INDEX(Vol_V,10,CN$144)/12*(1+V_dVol),0))</f>
        <v>0</v>
      </c>
      <c r="CO160" s="34" t="n">
        <f aca="false">IF(CO$8=1,N(Reales!CO21),IF(CO$145=1,INDEX(Vol_V,10,CO$144)/12*(1+V_dVol),0))</f>
        <v>0</v>
      </c>
      <c r="CP160" s="34" t="n">
        <f aca="false">IF(CP$8=1,N(Reales!CP21),IF(CP$145=1,INDEX(Vol_V,10,CP$144)/12*(1+V_dVol),0))</f>
        <v>0</v>
      </c>
      <c r="CQ160" s="34" t="n">
        <f aca="false">IF(CQ$8=1,N(Reales!CQ21),IF(CQ$145=1,INDEX(Vol_V,10,CQ$144)/12*(1+V_dVol),0))</f>
        <v>0</v>
      </c>
      <c r="CR160" s="34" t="n">
        <f aca="false">IF(CR$8=1,N(Reales!CR21),IF(CR$145=1,INDEX(Vol_V,10,CR$144)/12*(1+V_dVol),0))</f>
        <v>0</v>
      </c>
      <c r="CS160" s="34" t="n">
        <f aca="false">IF(CS$8=1,N(Reales!CS21),IF(CS$145=1,INDEX(Vol_V,10,CS$144)/12*(1+V_dVol),0))</f>
        <v>0</v>
      </c>
      <c r="CT160" s="34" t="n">
        <f aca="false">IF(CT$8=1,N(Reales!CT21),IF(CT$145=1,INDEX(Vol_V,10,CT$144)/12*(1+V_dVol),0))</f>
        <v>0</v>
      </c>
      <c r="CU160" s="34" t="n">
        <f aca="false">IF(CU$8=1,N(Reales!CU21),IF(CU$145=1,INDEX(Vol_V,10,CU$144)/12*(1+V_dVol),0))</f>
        <v>0</v>
      </c>
      <c r="CV160" s="34" t="n">
        <f aca="false">IF(CV$8=1,N(Reales!CV21),IF(CV$145=1,INDEX(Vol_V,10,CV$144)/12*(1+V_dVol),0))</f>
        <v>0</v>
      </c>
      <c r="CW160" s="34" t="n">
        <f aca="false">IF(CW$8=1,N(Reales!CW21),IF(CW$145=1,INDEX(Vol_V,10,CW$144)/12*(1+V_dVol),0))</f>
        <v>0</v>
      </c>
      <c r="CX160" s="34" t="n">
        <f aca="false">IF(CX$8=1,N(Reales!CX21),IF(CX$145=1,INDEX(Vol_V,10,CX$144)/12*(1+V_dVol),0))</f>
        <v>0</v>
      </c>
      <c r="CY160" s="34" t="n">
        <f aca="false">IF(CY$8=1,N(Reales!CY21),IF(CY$145=1,INDEX(Vol_V,10,CY$144)/12*(1+V_dVol),0))</f>
        <v>0</v>
      </c>
      <c r="CZ160" s="34" t="n">
        <f aca="false">IF(CZ$8=1,N(Reales!CZ21),IF(CZ$145=1,INDEX(Vol_V,10,CZ$144)/12*(1+V_dVol),0))</f>
        <v>0</v>
      </c>
      <c r="DA160" s="34" t="n">
        <f aca="false">IF(DA$8=1,N(Reales!DA21),IF(DA$145=1,INDEX(Vol_V,10,DA$144)/12*(1+V_dVol),0))</f>
        <v>0</v>
      </c>
      <c r="DB160" s="34" t="n">
        <f aca="false">IF(DB$8=1,N(Reales!DB21),IF(DB$145=1,INDEX(Vol_V,10,DB$144)/12*(1+V_dVol),0))</f>
        <v>0</v>
      </c>
      <c r="DC160" s="34" t="n">
        <f aca="false">IF(DC$8=1,N(Reales!DC21),IF(DC$145=1,INDEX(Vol_V,10,DC$144)/12*(1+V_dVol),0))</f>
        <v>0</v>
      </c>
      <c r="DD160" s="34" t="n">
        <f aca="false">IF(DD$8=1,N(Reales!DD21),IF(DD$145=1,INDEX(Vol_V,10,DD$144)/12*(1+V_dVol),0))</f>
        <v>0</v>
      </c>
      <c r="DE160" s="34" t="n">
        <f aca="false">IF(DE$8=1,N(Reales!DE21),IF(DE$145=1,INDEX(Vol_V,10,DE$144)/12*(1+V_dVol),0))</f>
        <v>0</v>
      </c>
      <c r="DF160" s="34" t="n">
        <f aca="false">IF(DF$8=1,N(Reales!DF21),IF(DF$145=1,INDEX(Vol_V,10,DF$144)/12*(1+V_dVol),0))</f>
        <v>0</v>
      </c>
      <c r="DG160" s="34" t="n">
        <f aca="false">IF(DG$8=1,N(Reales!DG21),IF(DG$145=1,INDEX(Vol_V,10,DG$144)/12*(1+V_dVol),0))</f>
        <v>0</v>
      </c>
      <c r="DH160" s="34" t="n">
        <f aca="false">IF(DH$8=1,N(Reales!DH21),IF(DH$145=1,INDEX(Vol_V,10,DH$144)/12*(1+V_dVol),0))</f>
        <v>0</v>
      </c>
      <c r="DI160" s="34" t="n">
        <f aca="false">IF(DI$8=1,N(Reales!DI21),IF(DI$145=1,INDEX(Vol_V,10,DI$144)/12*(1+V_dVol),0))</f>
        <v>0</v>
      </c>
      <c r="DJ160" s="34" t="n">
        <f aca="false">IF(DJ$8=1,N(Reales!DJ21),IF(DJ$145=1,INDEX(Vol_V,10,DJ$144)/12*(1+V_dVol),0))</f>
        <v>0</v>
      </c>
      <c r="DK160" s="34" t="n">
        <f aca="false">IF(DK$8=1,N(Reales!DK21),IF(DK$145=1,INDEX(Vol_V,10,DK$144)/12*(1+V_dVol),0))</f>
        <v>0</v>
      </c>
      <c r="DL160" s="34" t="n">
        <f aca="false">IF(DL$8=1,N(Reales!DL21),IF(DL$145=1,INDEX(Vol_V,10,DL$144)/12*(1+V_dVol),0))</f>
        <v>0</v>
      </c>
      <c r="DM160" s="34" t="n">
        <f aca="false">IF(DM$8=1,N(Reales!DM21),IF(DM$145=1,INDEX(Vol_V,10,DM$144)/12*(1+V_dVol),0))</f>
        <v>0</v>
      </c>
      <c r="DN160" s="34" t="n">
        <f aca="false">IF(DN$8=1,N(Reales!DN21),IF(DN$145=1,INDEX(Vol_V,10,DN$144)/12*(1+V_dVol),0))</f>
        <v>0</v>
      </c>
      <c r="DO160" s="34" t="n">
        <f aca="false">IF(DO$8=1,N(Reales!DO21),IF(DO$145=1,INDEX(Vol_V,10,DO$144)/12*(1+V_dVol),0))</f>
        <v>0</v>
      </c>
      <c r="DP160" s="34" t="n">
        <f aca="false">IF(DP$8=1,N(Reales!DP21),IF(DP$145=1,INDEX(Vol_V,10,DP$144)/12*(1+V_dVol),0))</f>
        <v>0</v>
      </c>
      <c r="DQ160" s="34" t="n">
        <f aca="false">IF(DQ$8=1,N(Reales!DQ21),IF(DQ$145=1,INDEX(Vol_V,10,DQ$144)/12*(1+V_dVol),0))</f>
        <v>0</v>
      </c>
      <c r="DR160" s="34" t="n">
        <f aca="false">IF(DR$8=1,N(Reales!DR21),IF(DR$145=1,INDEX(Vol_V,10,DR$144)/12*(1+V_dVol),0))</f>
        <v>0</v>
      </c>
      <c r="DS160" s="34" t="n">
        <f aca="false">IF(DS$8=1,N(Reales!DS21),IF(DS$145=1,INDEX(Vol_V,10,DS$144)/12*(1+V_dVol),0))</f>
        <v>0</v>
      </c>
      <c r="DT160" s="34" t="n">
        <f aca="false">IF(DT$8=1,N(Reales!DT21),IF(DT$145=1,INDEX(Vol_V,10,DT$144)/12*(1+V_dVol),0))</f>
        <v>0</v>
      </c>
      <c r="DU160" s="34" t="n">
        <f aca="false">IF(DU$8=1,N(Reales!DU21),IF(DU$145=1,INDEX(Vol_V,10,DU$144)/12*(1+V_dVol),0))</f>
        <v>0</v>
      </c>
      <c r="DV160" s="34" t="n">
        <f aca="false">IF(DV$8=1,N(Reales!DV21),IF(DV$145=1,INDEX(Vol_V,10,DV$144)/12*(1+V_dVol),0))</f>
        <v>0</v>
      </c>
      <c r="DW160" s="34" t="n">
        <f aca="false">IF(DW$8=1,N(Reales!DW21),IF(DW$145=1,INDEX(Vol_V,10,DW$144)/12*(1+V_dVol),0))</f>
        <v>0</v>
      </c>
      <c r="DX160" s="34" t="n">
        <f aca="false">IF(DX$8=1,N(Reales!DX21),IF(DX$145=1,INDEX(Vol_V,10,DX$144)/12*(1+V_dVol),0))</f>
        <v>0</v>
      </c>
      <c r="DY160" s="34" t="n">
        <f aca="false">IF(DY$8=1,N(Reales!DY21),IF(DY$145=1,INDEX(Vol_V,10,DY$144)/12*(1+V_dVol),0))</f>
        <v>0</v>
      </c>
      <c r="DZ160" s="34" t="n">
        <f aca="false">IF(DZ$8=1,N(Reales!DZ21),IF(DZ$145=1,INDEX(Vol_V,10,DZ$144)/12*(1+V_dVol),0))</f>
        <v>0</v>
      </c>
      <c r="EA160" s="34" t="n">
        <f aca="false">IF(EA$8=1,N(Reales!EA21),IF(EA$145=1,INDEX(Vol_V,10,EA$144)/12*(1+V_dVol),0))</f>
        <v>0</v>
      </c>
      <c r="EB160" s="34" t="n">
        <f aca="false">IF(EB$8=1,N(Reales!EB21),IF(EB$145=1,INDEX(Vol_V,10,EB$144)/12*(1+V_dVol),0))</f>
        <v>0</v>
      </c>
      <c r="EC160" s="34" t="n">
        <f aca="false">IF(EC$8=1,N(Reales!EC21),IF(EC$145=1,INDEX(Vol_V,10,EC$144)/12*(1+V_dVol),0))</f>
        <v>0</v>
      </c>
      <c r="ED160" s="34" t="n">
        <f aca="false">IF(ED$8=1,N(Reales!ED21),IF(ED$145=1,INDEX(Vol_V,10,ED$144)/12*(1+V_dVol),0))</f>
        <v>0</v>
      </c>
      <c r="EE160" s="34" t="n">
        <f aca="false">IF(EE$8=1,N(Reales!EE21),IF(EE$145=1,INDEX(Vol_V,10,EE$144)/12*(1+V_dVol),0))</f>
        <v>0</v>
      </c>
      <c r="EF160" s="34" t="n">
        <f aca="false">IF(EF$8=1,N(Reales!EF21),IF(EF$145=1,INDEX(Vol_V,10,EF$144)/12*(1+V_dVol),0))</f>
        <v>0</v>
      </c>
      <c r="EG160" s="34" t="n">
        <f aca="false">IF(EG$8=1,N(Reales!EG21),IF(EG$145=1,INDEX(Vol_V,10,EG$144)/12*(1+V_dVol),0))</f>
        <v>0</v>
      </c>
      <c r="EH160" s="34" t="n">
        <f aca="false">IF(EH$8=1,N(Reales!EH21),IF(EH$145=1,INDEX(Vol_V,10,EH$144)/12*(1+V_dVol),0))</f>
        <v>0</v>
      </c>
      <c r="EI160" s="34" t="n">
        <f aca="false">IF(EI$8=1,N(Reales!EI21),IF(EI$145=1,INDEX(Vol_V,10,EI$144)/12*(1+V_dVol),0))</f>
        <v>0</v>
      </c>
      <c r="EJ160" s="34" t="n">
        <f aca="false">IF(EJ$8=1,N(Reales!EJ21),IF(EJ$145=1,INDEX(Vol_V,10,EJ$144)/12*(1+V_dVol),0))</f>
        <v>0</v>
      </c>
      <c r="EK160" s="34" t="n">
        <f aca="false">IF(EK$8=1,N(Reales!EK21),IF(EK$145=1,INDEX(Vol_V,10,EK$144)/12*(1+V_dVol),0))</f>
        <v>0</v>
      </c>
      <c r="EL160" s="34" t="n">
        <f aca="false">IF(EL$8=1,N(Reales!EL21),IF(EL$145=1,INDEX(Vol_V,10,EL$144)/12*(1+V_dVol),0))</f>
        <v>0</v>
      </c>
      <c r="EM160" s="34" t="n">
        <f aca="false">IF(EM$8=1,N(Reales!EM21),IF(EM$145=1,INDEX(Vol_V,10,EM$144)/12*(1+V_dVol),0))</f>
        <v>0</v>
      </c>
      <c r="EN160" s="34" t="n">
        <f aca="false">IF(EN$8=1,N(Reales!EN21),IF(EN$145=1,INDEX(Vol_V,10,EN$144)/12*(1+V_dVol),0))</f>
        <v>0</v>
      </c>
      <c r="EO160" s="34" t="n">
        <f aca="false">IF(EO$8=1,N(Reales!EO21),IF(EO$145=1,INDEX(Vol_V,10,EO$144)/12*(1+V_dVol),0))</f>
        <v>0</v>
      </c>
      <c r="EP160" s="34" t="n">
        <f aca="false">IF(EP$8=1,N(Reales!EP21),IF(EP$145=1,INDEX(Vol_V,10,EP$144)/12*(1+V_dVol),0))</f>
        <v>0</v>
      </c>
      <c r="EQ160" s="34" t="n">
        <f aca="false">IF(EQ$8=1,N(Reales!EQ21),IF(EQ$145=1,INDEX(Vol_V,10,EQ$144)/12*(1+V_dVol),0))</f>
        <v>0</v>
      </c>
      <c r="ER160" s="34" t="n">
        <f aca="false">IF(ER$8=1,N(Reales!ER21),IF(ER$145=1,INDEX(Vol_V,10,ER$144)/12*(1+V_dVol),0))</f>
        <v>0</v>
      </c>
      <c r="ES160" s="34" t="n">
        <f aca="false">IF(ES$8=1,N(Reales!ES21),IF(ES$145=1,INDEX(Vol_V,10,ES$144)/12*(1+V_dVol),0))</f>
        <v>0</v>
      </c>
    </row>
    <row r="161" customFormat="false" ht="15" hidden="false" customHeight="false" outlineLevel="0" collapsed="false">
      <c r="A161" s="2" t="s">
        <v>777</v>
      </c>
      <c r="B161" s="39" t="str">
        <f aca="false">IF(INDEX(Prod_Nombre,11)="","Producto 11",INDEX(Prod_Nombre,11))&amp;" — unidades"</f>
        <v>Producto 11 — unidades</v>
      </c>
      <c r="C161" s="6" t="s">
        <v>286</v>
      </c>
      <c r="E161" s="40" t="n">
        <f aca="false">SUM(F161:ES161)</f>
        <v>0</v>
      </c>
      <c r="F161" s="34" t="n">
        <f aca="false">IF(F$8=1,N(Reales!F22),IF(F$145=1,INDEX(Vol_V,11,F$144)/12*(1+V_dVol),0))</f>
        <v>0</v>
      </c>
      <c r="G161" s="34" t="n">
        <f aca="false">IF(G$8=1,N(Reales!G22),IF(G$145=1,INDEX(Vol_V,11,G$144)/12*(1+V_dVol),0))</f>
        <v>0</v>
      </c>
      <c r="H161" s="34" t="n">
        <f aca="false">IF(H$8=1,N(Reales!H22),IF(H$145=1,INDEX(Vol_V,11,H$144)/12*(1+V_dVol),0))</f>
        <v>0</v>
      </c>
      <c r="I161" s="34" t="n">
        <f aca="false">IF(I$8=1,N(Reales!I22),IF(I$145=1,INDEX(Vol_V,11,I$144)/12*(1+V_dVol),0))</f>
        <v>0</v>
      </c>
      <c r="J161" s="34" t="n">
        <f aca="false">IF(J$8=1,N(Reales!J22),IF(J$145=1,INDEX(Vol_V,11,J$144)/12*(1+V_dVol),0))</f>
        <v>0</v>
      </c>
      <c r="K161" s="34" t="n">
        <f aca="false">IF(K$8=1,N(Reales!K22),IF(K$145=1,INDEX(Vol_V,11,K$144)/12*(1+V_dVol),0))</f>
        <v>0</v>
      </c>
      <c r="L161" s="34" t="n">
        <f aca="false">IF(L$8=1,N(Reales!L22),IF(L$145=1,INDEX(Vol_V,11,L$144)/12*(1+V_dVol),0))</f>
        <v>0</v>
      </c>
      <c r="M161" s="34" t="n">
        <f aca="false">IF(M$8=1,N(Reales!M22),IF(M$145=1,INDEX(Vol_V,11,M$144)/12*(1+V_dVol),0))</f>
        <v>0</v>
      </c>
      <c r="N161" s="34" t="n">
        <f aca="false">IF(N$8=1,N(Reales!N22),IF(N$145=1,INDEX(Vol_V,11,N$144)/12*(1+V_dVol),0))</f>
        <v>0</v>
      </c>
      <c r="O161" s="34" t="n">
        <f aca="false">IF(O$8=1,N(Reales!O22),IF(O$145=1,INDEX(Vol_V,11,O$144)/12*(1+V_dVol),0))</f>
        <v>0</v>
      </c>
      <c r="P161" s="34" t="n">
        <f aca="false">IF(P$8=1,N(Reales!P22),IF(P$145=1,INDEX(Vol_V,11,P$144)/12*(1+V_dVol),0))</f>
        <v>0</v>
      </c>
      <c r="Q161" s="34" t="n">
        <f aca="false">IF(Q$8=1,N(Reales!Q22),IF(Q$145=1,INDEX(Vol_V,11,Q$144)/12*(1+V_dVol),0))</f>
        <v>0</v>
      </c>
      <c r="R161" s="34" t="n">
        <f aca="false">IF(R$8=1,N(Reales!R22),IF(R$145=1,INDEX(Vol_V,11,R$144)/12*(1+V_dVol),0))</f>
        <v>0</v>
      </c>
      <c r="S161" s="34" t="n">
        <f aca="false">IF(S$8=1,N(Reales!S22),IF(S$145=1,INDEX(Vol_V,11,S$144)/12*(1+V_dVol),0))</f>
        <v>0</v>
      </c>
      <c r="T161" s="34" t="n">
        <f aca="false">IF(T$8=1,N(Reales!T22),IF(T$145=1,INDEX(Vol_V,11,T$144)/12*(1+V_dVol),0))</f>
        <v>0</v>
      </c>
      <c r="U161" s="34" t="n">
        <f aca="false">IF(U$8=1,N(Reales!U22),IF(U$145=1,INDEX(Vol_V,11,U$144)/12*(1+V_dVol),0))</f>
        <v>0</v>
      </c>
      <c r="V161" s="34" t="n">
        <f aca="false">IF(V$8=1,N(Reales!V22),IF(V$145=1,INDEX(Vol_V,11,V$144)/12*(1+V_dVol),0))</f>
        <v>0</v>
      </c>
      <c r="W161" s="34" t="n">
        <f aca="false">IF(W$8=1,N(Reales!W22),IF(W$145=1,INDEX(Vol_V,11,W$144)/12*(1+V_dVol),0))</f>
        <v>0</v>
      </c>
      <c r="X161" s="34" t="n">
        <f aca="false">IF(X$8=1,N(Reales!X22),IF(X$145=1,INDEX(Vol_V,11,X$144)/12*(1+V_dVol),0))</f>
        <v>0</v>
      </c>
      <c r="Y161" s="34" t="n">
        <f aca="false">IF(Y$8=1,N(Reales!Y22),IF(Y$145=1,INDEX(Vol_V,11,Y$144)/12*(1+V_dVol),0))</f>
        <v>0</v>
      </c>
      <c r="Z161" s="34" t="n">
        <f aca="false">IF(Z$8=1,N(Reales!Z22),IF(Z$145=1,INDEX(Vol_V,11,Z$144)/12*(1+V_dVol),0))</f>
        <v>0</v>
      </c>
      <c r="AA161" s="34" t="n">
        <f aca="false">IF(AA$8=1,N(Reales!AA22),IF(AA$145=1,INDEX(Vol_V,11,AA$144)/12*(1+V_dVol),0))</f>
        <v>0</v>
      </c>
      <c r="AB161" s="34" t="n">
        <f aca="false">IF(AB$8=1,N(Reales!AB22),IF(AB$145=1,INDEX(Vol_V,11,AB$144)/12*(1+V_dVol),0))</f>
        <v>0</v>
      </c>
      <c r="AC161" s="34" t="n">
        <f aca="false">IF(AC$8=1,N(Reales!AC22),IF(AC$145=1,INDEX(Vol_V,11,AC$144)/12*(1+V_dVol),0))</f>
        <v>0</v>
      </c>
      <c r="AD161" s="34" t="n">
        <f aca="false">IF(AD$8=1,N(Reales!AD22),IF(AD$145=1,INDEX(Vol_V,11,AD$144)/12*(1+V_dVol),0))</f>
        <v>0</v>
      </c>
      <c r="AE161" s="34" t="n">
        <f aca="false">IF(AE$8=1,N(Reales!AE22),IF(AE$145=1,INDEX(Vol_V,11,AE$144)/12*(1+V_dVol),0))</f>
        <v>0</v>
      </c>
      <c r="AF161" s="34" t="n">
        <f aca="false">IF(AF$8=1,N(Reales!AF22),IF(AF$145=1,INDEX(Vol_V,11,AF$144)/12*(1+V_dVol),0))</f>
        <v>0</v>
      </c>
      <c r="AG161" s="34" t="n">
        <f aca="false">IF(AG$8=1,N(Reales!AG22),IF(AG$145=1,INDEX(Vol_V,11,AG$144)/12*(1+V_dVol),0))</f>
        <v>0</v>
      </c>
      <c r="AH161" s="34" t="n">
        <f aca="false">IF(AH$8=1,N(Reales!AH22),IF(AH$145=1,INDEX(Vol_V,11,AH$144)/12*(1+V_dVol),0))</f>
        <v>0</v>
      </c>
      <c r="AI161" s="34" t="n">
        <f aca="false">IF(AI$8=1,N(Reales!AI22),IF(AI$145=1,INDEX(Vol_V,11,AI$144)/12*(1+V_dVol),0))</f>
        <v>0</v>
      </c>
      <c r="AJ161" s="34" t="n">
        <f aca="false">IF(AJ$8=1,N(Reales!AJ22),IF(AJ$145=1,INDEX(Vol_V,11,AJ$144)/12*(1+V_dVol),0))</f>
        <v>0</v>
      </c>
      <c r="AK161" s="34" t="n">
        <f aca="false">IF(AK$8=1,N(Reales!AK22),IF(AK$145=1,INDEX(Vol_V,11,AK$144)/12*(1+V_dVol),0))</f>
        <v>0</v>
      </c>
      <c r="AL161" s="34" t="n">
        <f aca="false">IF(AL$8=1,N(Reales!AL22),IF(AL$145=1,INDEX(Vol_V,11,AL$144)/12*(1+V_dVol),0))</f>
        <v>0</v>
      </c>
      <c r="AM161" s="34" t="n">
        <f aca="false">IF(AM$8=1,N(Reales!AM22),IF(AM$145=1,INDEX(Vol_V,11,AM$144)/12*(1+V_dVol),0))</f>
        <v>0</v>
      </c>
      <c r="AN161" s="34" t="n">
        <f aca="false">IF(AN$8=1,N(Reales!AN22),IF(AN$145=1,INDEX(Vol_V,11,AN$144)/12*(1+V_dVol),0))</f>
        <v>0</v>
      </c>
      <c r="AO161" s="34" t="n">
        <f aca="false">IF(AO$8=1,N(Reales!AO22),IF(AO$145=1,INDEX(Vol_V,11,AO$144)/12*(1+V_dVol),0))</f>
        <v>0</v>
      </c>
      <c r="AP161" s="34" t="n">
        <f aca="false">IF(AP$8=1,N(Reales!AP22),IF(AP$145=1,INDEX(Vol_V,11,AP$144)/12*(1+V_dVol),0))</f>
        <v>0</v>
      </c>
      <c r="AQ161" s="34" t="n">
        <f aca="false">IF(AQ$8=1,N(Reales!AQ22),IF(AQ$145=1,INDEX(Vol_V,11,AQ$144)/12*(1+V_dVol),0))</f>
        <v>0</v>
      </c>
      <c r="AR161" s="34" t="n">
        <f aca="false">IF(AR$8=1,N(Reales!AR22),IF(AR$145=1,INDEX(Vol_V,11,AR$144)/12*(1+V_dVol),0))</f>
        <v>0</v>
      </c>
      <c r="AS161" s="34" t="n">
        <f aca="false">IF(AS$8=1,N(Reales!AS22),IF(AS$145=1,INDEX(Vol_V,11,AS$144)/12*(1+V_dVol),0))</f>
        <v>0</v>
      </c>
      <c r="AT161" s="34" t="n">
        <f aca="false">IF(AT$8=1,N(Reales!AT22),IF(AT$145=1,INDEX(Vol_V,11,AT$144)/12*(1+V_dVol),0))</f>
        <v>0</v>
      </c>
      <c r="AU161" s="34" t="n">
        <f aca="false">IF(AU$8=1,N(Reales!AU22),IF(AU$145=1,INDEX(Vol_V,11,AU$144)/12*(1+V_dVol),0))</f>
        <v>0</v>
      </c>
      <c r="AV161" s="34" t="n">
        <f aca="false">IF(AV$8=1,N(Reales!AV22),IF(AV$145=1,INDEX(Vol_V,11,AV$144)/12*(1+V_dVol),0))</f>
        <v>0</v>
      </c>
      <c r="AW161" s="34" t="n">
        <f aca="false">IF(AW$8=1,N(Reales!AW22),IF(AW$145=1,INDEX(Vol_V,11,AW$144)/12*(1+V_dVol),0))</f>
        <v>0</v>
      </c>
      <c r="AX161" s="34" t="n">
        <f aca="false">IF(AX$8=1,N(Reales!AX22),IF(AX$145=1,INDEX(Vol_V,11,AX$144)/12*(1+V_dVol),0))</f>
        <v>0</v>
      </c>
      <c r="AY161" s="34" t="n">
        <f aca="false">IF(AY$8=1,N(Reales!AY22),IF(AY$145=1,INDEX(Vol_V,11,AY$144)/12*(1+V_dVol),0))</f>
        <v>0</v>
      </c>
      <c r="AZ161" s="34" t="n">
        <f aca="false">IF(AZ$8=1,N(Reales!AZ22),IF(AZ$145=1,INDEX(Vol_V,11,AZ$144)/12*(1+V_dVol),0))</f>
        <v>0</v>
      </c>
      <c r="BA161" s="34" t="n">
        <f aca="false">IF(BA$8=1,N(Reales!BA22),IF(BA$145=1,INDEX(Vol_V,11,BA$144)/12*(1+V_dVol),0))</f>
        <v>0</v>
      </c>
      <c r="BB161" s="34" t="n">
        <f aca="false">IF(BB$8=1,N(Reales!BB22),IF(BB$145=1,INDEX(Vol_V,11,BB$144)/12*(1+V_dVol),0))</f>
        <v>0</v>
      </c>
      <c r="BC161" s="34" t="n">
        <f aca="false">IF(BC$8=1,N(Reales!BC22),IF(BC$145=1,INDEX(Vol_V,11,BC$144)/12*(1+V_dVol),0))</f>
        <v>0</v>
      </c>
      <c r="BD161" s="34" t="n">
        <f aca="false">IF(BD$8=1,N(Reales!BD22),IF(BD$145=1,INDEX(Vol_V,11,BD$144)/12*(1+V_dVol),0))</f>
        <v>0</v>
      </c>
      <c r="BE161" s="34" t="n">
        <f aca="false">IF(BE$8=1,N(Reales!BE22),IF(BE$145=1,INDEX(Vol_V,11,BE$144)/12*(1+V_dVol),0))</f>
        <v>0</v>
      </c>
      <c r="BF161" s="34" t="n">
        <f aca="false">IF(BF$8=1,N(Reales!BF22),IF(BF$145=1,INDEX(Vol_V,11,BF$144)/12*(1+V_dVol),0))</f>
        <v>0</v>
      </c>
      <c r="BG161" s="34" t="n">
        <f aca="false">IF(BG$8=1,N(Reales!BG22),IF(BG$145=1,INDEX(Vol_V,11,BG$144)/12*(1+V_dVol),0))</f>
        <v>0</v>
      </c>
      <c r="BH161" s="34" t="n">
        <f aca="false">IF(BH$8=1,N(Reales!BH22),IF(BH$145=1,INDEX(Vol_V,11,BH$144)/12*(1+V_dVol),0))</f>
        <v>0</v>
      </c>
      <c r="BI161" s="34" t="n">
        <f aca="false">IF(BI$8=1,N(Reales!BI22),IF(BI$145=1,INDEX(Vol_V,11,BI$144)/12*(1+V_dVol),0))</f>
        <v>0</v>
      </c>
      <c r="BJ161" s="34" t="n">
        <f aca="false">IF(BJ$8=1,N(Reales!BJ22),IF(BJ$145=1,INDEX(Vol_V,11,BJ$144)/12*(1+V_dVol),0))</f>
        <v>0</v>
      </c>
      <c r="BK161" s="34" t="n">
        <f aca="false">IF(BK$8=1,N(Reales!BK22),IF(BK$145=1,INDEX(Vol_V,11,BK$144)/12*(1+V_dVol),0))</f>
        <v>0</v>
      </c>
      <c r="BL161" s="34" t="n">
        <f aca="false">IF(BL$8=1,N(Reales!BL22),IF(BL$145=1,INDEX(Vol_V,11,BL$144)/12*(1+V_dVol),0))</f>
        <v>0</v>
      </c>
      <c r="BM161" s="34" t="n">
        <f aca="false">IF(BM$8=1,N(Reales!BM22),IF(BM$145=1,INDEX(Vol_V,11,BM$144)/12*(1+V_dVol),0))</f>
        <v>0</v>
      </c>
      <c r="BN161" s="34" t="n">
        <f aca="false">IF(BN$8=1,N(Reales!BN22),IF(BN$145=1,INDEX(Vol_V,11,BN$144)/12*(1+V_dVol),0))</f>
        <v>0</v>
      </c>
      <c r="BO161" s="34" t="n">
        <f aca="false">IF(BO$8=1,N(Reales!BO22),IF(BO$145=1,INDEX(Vol_V,11,BO$144)/12*(1+V_dVol),0))</f>
        <v>0</v>
      </c>
      <c r="BP161" s="34" t="n">
        <f aca="false">IF(BP$8=1,N(Reales!BP22),IF(BP$145=1,INDEX(Vol_V,11,BP$144)/12*(1+V_dVol),0))</f>
        <v>0</v>
      </c>
      <c r="BQ161" s="34" t="n">
        <f aca="false">IF(BQ$8=1,N(Reales!BQ22),IF(BQ$145=1,INDEX(Vol_V,11,BQ$144)/12*(1+V_dVol),0))</f>
        <v>0</v>
      </c>
      <c r="BR161" s="34" t="n">
        <f aca="false">IF(BR$8=1,N(Reales!BR22),IF(BR$145=1,INDEX(Vol_V,11,BR$144)/12*(1+V_dVol),0))</f>
        <v>0</v>
      </c>
      <c r="BS161" s="34" t="n">
        <f aca="false">IF(BS$8=1,N(Reales!BS22),IF(BS$145=1,INDEX(Vol_V,11,BS$144)/12*(1+V_dVol),0))</f>
        <v>0</v>
      </c>
      <c r="BT161" s="34" t="n">
        <f aca="false">IF(BT$8=1,N(Reales!BT22),IF(BT$145=1,INDEX(Vol_V,11,BT$144)/12*(1+V_dVol),0))</f>
        <v>0</v>
      </c>
      <c r="BU161" s="34" t="n">
        <f aca="false">IF(BU$8=1,N(Reales!BU22),IF(BU$145=1,INDEX(Vol_V,11,BU$144)/12*(1+V_dVol),0))</f>
        <v>0</v>
      </c>
      <c r="BV161" s="34" t="n">
        <f aca="false">IF(BV$8=1,N(Reales!BV22),IF(BV$145=1,INDEX(Vol_V,11,BV$144)/12*(1+V_dVol),0))</f>
        <v>0</v>
      </c>
      <c r="BW161" s="34" t="n">
        <f aca="false">IF(BW$8=1,N(Reales!BW22),IF(BW$145=1,INDEX(Vol_V,11,BW$144)/12*(1+V_dVol),0))</f>
        <v>0</v>
      </c>
      <c r="BX161" s="34" t="n">
        <f aca="false">IF(BX$8=1,N(Reales!BX22),IF(BX$145=1,INDEX(Vol_V,11,BX$144)/12*(1+V_dVol),0))</f>
        <v>0</v>
      </c>
      <c r="BY161" s="34" t="n">
        <f aca="false">IF(BY$8=1,N(Reales!BY22),IF(BY$145=1,INDEX(Vol_V,11,BY$144)/12*(1+V_dVol),0))</f>
        <v>0</v>
      </c>
      <c r="BZ161" s="34" t="n">
        <f aca="false">IF(BZ$8=1,N(Reales!BZ22),IF(BZ$145=1,INDEX(Vol_V,11,BZ$144)/12*(1+V_dVol),0))</f>
        <v>0</v>
      </c>
      <c r="CA161" s="34" t="n">
        <f aca="false">IF(CA$8=1,N(Reales!CA22),IF(CA$145=1,INDEX(Vol_V,11,CA$144)/12*(1+V_dVol),0))</f>
        <v>0</v>
      </c>
      <c r="CB161" s="34" t="n">
        <f aca="false">IF(CB$8=1,N(Reales!CB22),IF(CB$145=1,INDEX(Vol_V,11,CB$144)/12*(1+V_dVol),0))</f>
        <v>0</v>
      </c>
      <c r="CC161" s="34" t="n">
        <f aca="false">IF(CC$8=1,N(Reales!CC22),IF(CC$145=1,INDEX(Vol_V,11,CC$144)/12*(1+V_dVol),0))</f>
        <v>0</v>
      </c>
      <c r="CD161" s="34" t="n">
        <f aca="false">IF(CD$8=1,N(Reales!CD22),IF(CD$145=1,INDEX(Vol_V,11,CD$144)/12*(1+V_dVol),0))</f>
        <v>0</v>
      </c>
      <c r="CE161" s="34" t="n">
        <f aca="false">IF(CE$8=1,N(Reales!CE22),IF(CE$145=1,INDEX(Vol_V,11,CE$144)/12*(1+V_dVol),0))</f>
        <v>0</v>
      </c>
      <c r="CF161" s="34" t="n">
        <f aca="false">IF(CF$8=1,N(Reales!CF22),IF(CF$145=1,INDEX(Vol_V,11,CF$144)/12*(1+V_dVol),0))</f>
        <v>0</v>
      </c>
      <c r="CG161" s="34" t="n">
        <f aca="false">IF(CG$8=1,N(Reales!CG22),IF(CG$145=1,INDEX(Vol_V,11,CG$144)/12*(1+V_dVol),0))</f>
        <v>0</v>
      </c>
      <c r="CH161" s="34" t="n">
        <f aca="false">IF(CH$8=1,N(Reales!CH22),IF(CH$145=1,INDEX(Vol_V,11,CH$144)/12*(1+V_dVol),0))</f>
        <v>0</v>
      </c>
      <c r="CI161" s="34" t="n">
        <f aca="false">IF(CI$8=1,N(Reales!CI22),IF(CI$145=1,INDEX(Vol_V,11,CI$144)/12*(1+V_dVol),0))</f>
        <v>0</v>
      </c>
      <c r="CJ161" s="34" t="n">
        <f aca="false">IF(CJ$8=1,N(Reales!CJ22),IF(CJ$145=1,INDEX(Vol_V,11,CJ$144)/12*(1+V_dVol),0))</f>
        <v>0</v>
      </c>
      <c r="CK161" s="34" t="n">
        <f aca="false">IF(CK$8=1,N(Reales!CK22),IF(CK$145=1,INDEX(Vol_V,11,CK$144)/12*(1+V_dVol),0))</f>
        <v>0</v>
      </c>
      <c r="CL161" s="34" t="n">
        <f aca="false">IF(CL$8=1,N(Reales!CL22),IF(CL$145=1,INDEX(Vol_V,11,CL$144)/12*(1+V_dVol),0))</f>
        <v>0</v>
      </c>
      <c r="CM161" s="34" t="n">
        <f aca="false">IF(CM$8=1,N(Reales!CM22),IF(CM$145=1,INDEX(Vol_V,11,CM$144)/12*(1+V_dVol),0))</f>
        <v>0</v>
      </c>
      <c r="CN161" s="34" t="n">
        <f aca="false">IF(CN$8=1,N(Reales!CN22),IF(CN$145=1,INDEX(Vol_V,11,CN$144)/12*(1+V_dVol),0))</f>
        <v>0</v>
      </c>
      <c r="CO161" s="34" t="n">
        <f aca="false">IF(CO$8=1,N(Reales!CO22),IF(CO$145=1,INDEX(Vol_V,11,CO$144)/12*(1+V_dVol),0))</f>
        <v>0</v>
      </c>
      <c r="CP161" s="34" t="n">
        <f aca="false">IF(CP$8=1,N(Reales!CP22),IF(CP$145=1,INDEX(Vol_V,11,CP$144)/12*(1+V_dVol),0))</f>
        <v>0</v>
      </c>
      <c r="CQ161" s="34" t="n">
        <f aca="false">IF(CQ$8=1,N(Reales!CQ22),IF(CQ$145=1,INDEX(Vol_V,11,CQ$144)/12*(1+V_dVol),0))</f>
        <v>0</v>
      </c>
      <c r="CR161" s="34" t="n">
        <f aca="false">IF(CR$8=1,N(Reales!CR22),IF(CR$145=1,INDEX(Vol_V,11,CR$144)/12*(1+V_dVol),0))</f>
        <v>0</v>
      </c>
      <c r="CS161" s="34" t="n">
        <f aca="false">IF(CS$8=1,N(Reales!CS22),IF(CS$145=1,INDEX(Vol_V,11,CS$144)/12*(1+V_dVol),0))</f>
        <v>0</v>
      </c>
      <c r="CT161" s="34" t="n">
        <f aca="false">IF(CT$8=1,N(Reales!CT22),IF(CT$145=1,INDEX(Vol_V,11,CT$144)/12*(1+V_dVol),0))</f>
        <v>0</v>
      </c>
      <c r="CU161" s="34" t="n">
        <f aca="false">IF(CU$8=1,N(Reales!CU22),IF(CU$145=1,INDEX(Vol_V,11,CU$144)/12*(1+V_dVol),0))</f>
        <v>0</v>
      </c>
      <c r="CV161" s="34" t="n">
        <f aca="false">IF(CV$8=1,N(Reales!CV22),IF(CV$145=1,INDEX(Vol_V,11,CV$144)/12*(1+V_dVol),0))</f>
        <v>0</v>
      </c>
      <c r="CW161" s="34" t="n">
        <f aca="false">IF(CW$8=1,N(Reales!CW22),IF(CW$145=1,INDEX(Vol_V,11,CW$144)/12*(1+V_dVol),0))</f>
        <v>0</v>
      </c>
      <c r="CX161" s="34" t="n">
        <f aca="false">IF(CX$8=1,N(Reales!CX22),IF(CX$145=1,INDEX(Vol_V,11,CX$144)/12*(1+V_dVol),0))</f>
        <v>0</v>
      </c>
      <c r="CY161" s="34" t="n">
        <f aca="false">IF(CY$8=1,N(Reales!CY22),IF(CY$145=1,INDEX(Vol_V,11,CY$144)/12*(1+V_dVol),0))</f>
        <v>0</v>
      </c>
      <c r="CZ161" s="34" t="n">
        <f aca="false">IF(CZ$8=1,N(Reales!CZ22),IF(CZ$145=1,INDEX(Vol_V,11,CZ$144)/12*(1+V_dVol),0))</f>
        <v>0</v>
      </c>
      <c r="DA161" s="34" t="n">
        <f aca="false">IF(DA$8=1,N(Reales!DA22),IF(DA$145=1,INDEX(Vol_V,11,DA$144)/12*(1+V_dVol),0))</f>
        <v>0</v>
      </c>
      <c r="DB161" s="34" t="n">
        <f aca="false">IF(DB$8=1,N(Reales!DB22),IF(DB$145=1,INDEX(Vol_V,11,DB$144)/12*(1+V_dVol),0))</f>
        <v>0</v>
      </c>
      <c r="DC161" s="34" t="n">
        <f aca="false">IF(DC$8=1,N(Reales!DC22),IF(DC$145=1,INDEX(Vol_V,11,DC$144)/12*(1+V_dVol),0))</f>
        <v>0</v>
      </c>
      <c r="DD161" s="34" t="n">
        <f aca="false">IF(DD$8=1,N(Reales!DD22),IF(DD$145=1,INDEX(Vol_V,11,DD$144)/12*(1+V_dVol),0))</f>
        <v>0</v>
      </c>
      <c r="DE161" s="34" t="n">
        <f aca="false">IF(DE$8=1,N(Reales!DE22),IF(DE$145=1,INDEX(Vol_V,11,DE$144)/12*(1+V_dVol),0))</f>
        <v>0</v>
      </c>
      <c r="DF161" s="34" t="n">
        <f aca="false">IF(DF$8=1,N(Reales!DF22),IF(DF$145=1,INDEX(Vol_V,11,DF$144)/12*(1+V_dVol),0))</f>
        <v>0</v>
      </c>
      <c r="DG161" s="34" t="n">
        <f aca="false">IF(DG$8=1,N(Reales!DG22),IF(DG$145=1,INDEX(Vol_V,11,DG$144)/12*(1+V_dVol),0))</f>
        <v>0</v>
      </c>
      <c r="DH161" s="34" t="n">
        <f aca="false">IF(DH$8=1,N(Reales!DH22),IF(DH$145=1,INDEX(Vol_V,11,DH$144)/12*(1+V_dVol),0))</f>
        <v>0</v>
      </c>
      <c r="DI161" s="34" t="n">
        <f aca="false">IF(DI$8=1,N(Reales!DI22),IF(DI$145=1,INDEX(Vol_V,11,DI$144)/12*(1+V_dVol),0))</f>
        <v>0</v>
      </c>
      <c r="DJ161" s="34" t="n">
        <f aca="false">IF(DJ$8=1,N(Reales!DJ22),IF(DJ$145=1,INDEX(Vol_V,11,DJ$144)/12*(1+V_dVol),0))</f>
        <v>0</v>
      </c>
      <c r="DK161" s="34" t="n">
        <f aca="false">IF(DK$8=1,N(Reales!DK22),IF(DK$145=1,INDEX(Vol_V,11,DK$144)/12*(1+V_dVol),0))</f>
        <v>0</v>
      </c>
      <c r="DL161" s="34" t="n">
        <f aca="false">IF(DL$8=1,N(Reales!DL22),IF(DL$145=1,INDEX(Vol_V,11,DL$144)/12*(1+V_dVol),0))</f>
        <v>0</v>
      </c>
      <c r="DM161" s="34" t="n">
        <f aca="false">IF(DM$8=1,N(Reales!DM22),IF(DM$145=1,INDEX(Vol_V,11,DM$144)/12*(1+V_dVol),0))</f>
        <v>0</v>
      </c>
      <c r="DN161" s="34" t="n">
        <f aca="false">IF(DN$8=1,N(Reales!DN22),IF(DN$145=1,INDEX(Vol_V,11,DN$144)/12*(1+V_dVol),0))</f>
        <v>0</v>
      </c>
      <c r="DO161" s="34" t="n">
        <f aca="false">IF(DO$8=1,N(Reales!DO22),IF(DO$145=1,INDEX(Vol_V,11,DO$144)/12*(1+V_dVol),0))</f>
        <v>0</v>
      </c>
      <c r="DP161" s="34" t="n">
        <f aca="false">IF(DP$8=1,N(Reales!DP22),IF(DP$145=1,INDEX(Vol_V,11,DP$144)/12*(1+V_dVol),0))</f>
        <v>0</v>
      </c>
      <c r="DQ161" s="34" t="n">
        <f aca="false">IF(DQ$8=1,N(Reales!DQ22),IF(DQ$145=1,INDEX(Vol_V,11,DQ$144)/12*(1+V_dVol),0))</f>
        <v>0</v>
      </c>
      <c r="DR161" s="34" t="n">
        <f aca="false">IF(DR$8=1,N(Reales!DR22),IF(DR$145=1,INDEX(Vol_V,11,DR$144)/12*(1+V_dVol),0))</f>
        <v>0</v>
      </c>
      <c r="DS161" s="34" t="n">
        <f aca="false">IF(DS$8=1,N(Reales!DS22),IF(DS$145=1,INDEX(Vol_V,11,DS$144)/12*(1+V_dVol),0))</f>
        <v>0</v>
      </c>
      <c r="DT161" s="34" t="n">
        <f aca="false">IF(DT$8=1,N(Reales!DT22),IF(DT$145=1,INDEX(Vol_V,11,DT$144)/12*(1+V_dVol),0))</f>
        <v>0</v>
      </c>
      <c r="DU161" s="34" t="n">
        <f aca="false">IF(DU$8=1,N(Reales!DU22),IF(DU$145=1,INDEX(Vol_V,11,DU$144)/12*(1+V_dVol),0))</f>
        <v>0</v>
      </c>
      <c r="DV161" s="34" t="n">
        <f aca="false">IF(DV$8=1,N(Reales!DV22),IF(DV$145=1,INDEX(Vol_V,11,DV$144)/12*(1+V_dVol),0))</f>
        <v>0</v>
      </c>
      <c r="DW161" s="34" t="n">
        <f aca="false">IF(DW$8=1,N(Reales!DW22),IF(DW$145=1,INDEX(Vol_V,11,DW$144)/12*(1+V_dVol),0))</f>
        <v>0</v>
      </c>
      <c r="DX161" s="34" t="n">
        <f aca="false">IF(DX$8=1,N(Reales!DX22),IF(DX$145=1,INDEX(Vol_V,11,DX$144)/12*(1+V_dVol),0))</f>
        <v>0</v>
      </c>
      <c r="DY161" s="34" t="n">
        <f aca="false">IF(DY$8=1,N(Reales!DY22),IF(DY$145=1,INDEX(Vol_V,11,DY$144)/12*(1+V_dVol),0))</f>
        <v>0</v>
      </c>
      <c r="DZ161" s="34" t="n">
        <f aca="false">IF(DZ$8=1,N(Reales!DZ22),IF(DZ$145=1,INDEX(Vol_V,11,DZ$144)/12*(1+V_dVol),0))</f>
        <v>0</v>
      </c>
      <c r="EA161" s="34" t="n">
        <f aca="false">IF(EA$8=1,N(Reales!EA22),IF(EA$145=1,INDEX(Vol_V,11,EA$144)/12*(1+V_dVol),0))</f>
        <v>0</v>
      </c>
      <c r="EB161" s="34" t="n">
        <f aca="false">IF(EB$8=1,N(Reales!EB22),IF(EB$145=1,INDEX(Vol_V,11,EB$144)/12*(1+V_dVol),0))</f>
        <v>0</v>
      </c>
      <c r="EC161" s="34" t="n">
        <f aca="false">IF(EC$8=1,N(Reales!EC22),IF(EC$145=1,INDEX(Vol_V,11,EC$144)/12*(1+V_dVol),0))</f>
        <v>0</v>
      </c>
      <c r="ED161" s="34" t="n">
        <f aca="false">IF(ED$8=1,N(Reales!ED22),IF(ED$145=1,INDEX(Vol_V,11,ED$144)/12*(1+V_dVol),0))</f>
        <v>0</v>
      </c>
      <c r="EE161" s="34" t="n">
        <f aca="false">IF(EE$8=1,N(Reales!EE22),IF(EE$145=1,INDEX(Vol_V,11,EE$144)/12*(1+V_dVol),0))</f>
        <v>0</v>
      </c>
      <c r="EF161" s="34" t="n">
        <f aca="false">IF(EF$8=1,N(Reales!EF22),IF(EF$145=1,INDEX(Vol_V,11,EF$144)/12*(1+V_dVol),0))</f>
        <v>0</v>
      </c>
      <c r="EG161" s="34" t="n">
        <f aca="false">IF(EG$8=1,N(Reales!EG22),IF(EG$145=1,INDEX(Vol_V,11,EG$144)/12*(1+V_dVol),0))</f>
        <v>0</v>
      </c>
      <c r="EH161" s="34" t="n">
        <f aca="false">IF(EH$8=1,N(Reales!EH22),IF(EH$145=1,INDEX(Vol_V,11,EH$144)/12*(1+V_dVol),0))</f>
        <v>0</v>
      </c>
      <c r="EI161" s="34" t="n">
        <f aca="false">IF(EI$8=1,N(Reales!EI22),IF(EI$145=1,INDEX(Vol_V,11,EI$144)/12*(1+V_dVol),0))</f>
        <v>0</v>
      </c>
      <c r="EJ161" s="34" t="n">
        <f aca="false">IF(EJ$8=1,N(Reales!EJ22),IF(EJ$145=1,INDEX(Vol_V,11,EJ$144)/12*(1+V_dVol),0))</f>
        <v>0</v>
      </c>
      <c r="EK161" s="34" t="n">
        <f aca="false">IF(EK$8=1,N(Reales!EK22),IF(EK$145=1,INDEX(Vol_V,11,EK$144)/12*(1+V_dVol),0))</f>
        <v>0</v>
      </c>
      <c r="EL161" s="34" t="n">
        <f aca="false">IF(EL$8=1,N(Reales!EL22),IF(EL$145=1,INDEX(Vol_V,11,EL$144)/12*(1+V_dVol),0))</f>
        <v>0</v>
      </c>
      <c r="EM161" s="34" t="n">
        <f aca="false">IF(EM$8=1,N(Reales!EM22),IF(EM$145=1,INDEX(Vol_V,11,EM$144)/12*(1+V_dVol),0))</f>
        <v>0</v>
      </c>
      <c r="EN161" s="34" t="n">
        <f aca="false">IF(EN$8=1,N(Reales!EN22),IF(EN$145=1,INDEX(Vol_V,11,EN$144)/12*(1+V_dVol),0))</f>
        <v>0</v>
      </c>
      <c r="EO161" s="34" t="n">
        <f aca="false">IF(EO$8=1,N(Reales!EO22),IF(EO$145=1,INDEX(Vol_V,11,EO$144)/12*(1+V_dVol),0))</f>
        <v>0</v>
      </c>
      <c r="EP161" s="34" t="n">
        <f aca="false">IF(EP$8=1,N(Reales!EP22),IF(EP$145=1,INDEX(Vol_V,11,EP$144)/12*(1+V_dVol),0))</f>
        <v>0</v>
      </c>
      <c r="EQ161" s="34" t="n">
        <f aca="false">IF(EQ$8=1,N(Reales!EQ22),IF(EQ$145=1,INDEX(Vol_V,11,EQ$144)/12*(1+V_dVol),0))</f>
        <v>0</v>
      </c>
      <c r="ER161" s="34" t="n">
        <f aca="false">IF(ER$8=1,N(Reales!ER22),IF(ER$145=1,INDEX(Vol_V,11,ER$144)/12*(1+V_dVol),0))</f>
        <v>0</v>
      </c>
      <c r="ES161" s="34" t="n">
        <f aca="false">IF(ES$8=1,N(Reales!ES22),IF(ES$145=1,INDEX(Vol_V,11,ES$144)/12*(1+V_dVol),0))</f>
        <v>0</v>
      </c>
    </row>
    <row r="162" customFormat="false" ht="15" hidden="false" customHeight="false" outlineLevel="0" collapsed="false">
      <c r="A162" s="2" t="s">
        <v>778</v>
      </c>
      <c r="B162" s="39" t="str">
        <f aca="false">IF(INDEX(Prod_Nombre,12)="","Producto 12",INDEX(Prod_Nombre,12))&amp;" — unidades"</f>
        <v>Producto 12 — unidades</v>
      </c>
      <c r="C162" s="6" t="s">
        <v>286</v>
      </c>
      <c r="E162" s="40" t="n">
        <f aca="false">SUM(F162:ES162)</f>
        <v>0</v>
      </c>
      <c r="F162" s="34" t="n">
        <f aca="false">IF(F$8=1,N(Reales!F23),IF(F$145=1,INDEX(Vol_V,12,F$144)/12*(1+V_dVol),0))</f>
        <v>0</v>
      </c>
      <c r="G162" s="34" t="n">
        <f aca="false">IF(G$8=1,N(Reales!G23),IF(G$145=1,INDEX(Vol_V,12,G$144)/12*(1+V_dVol),0))</f>
        <v>0</v>
      </c>
      <c r="H162" s="34" t="n">
        <f aca="false">IF(H$8=1,N(Reales!H23),IF(H$145=1,INDEX(Vol_V,12,H$144)/12*(1+V_dVol),0))</f>
        <v>0</v>
      </c>
      <c r="I162" s="34" t="n">
        <f aca="false">IF(I$8=1,N(Reales!I23),IF(I$145=1,INDEX(Vol_V,12,I$144)/12*(1+V_dVol),0))</f>
        <v>0</v>
      </c>
      <c r="J162" s="34" t="n">
        <f aca="false">IF(J$8=1,N(Reales!J23),IF(J$145=1,INDEX(Vol_V,12,J$144)/12*(1+V_dVol),0))</f>
        <v>0</v>
      </c>
      <c r="K162" s="34" t="n">
        <f aca="false">IF(K$8=1,N(Reales!K23),IF(K$145=1,INDEX(Vol_V,12,K$144)/12*(1+V_dVol),0))</f>
        <v>0</v>
      </c>
      <c r="L162" s="34" t="n">
        <f aca="false">IF(L$8=1,N(Reales!L23),IF(L$145=1,INDEX(Vol_V,12,L$144)/12*(1+V_dVol),0))</f>
        <v>0</v>
      </c>
      <c r="M162" s="34" t="n">
        <f aca="false">IF(M$8=1,N(Reales!M23),IF(M$145=1,INDEX(Vol_V,12,M$144)/12*(1+V_dVol),0))</f>
        <v>0</v>
      </c>
      <c r="N162" s="34" t="n">
        <f aca="false">IF(N$8=1,N(Reales!N23),IF(N$145=1,INDEX(Vol_V,12,N$144)/12*(1+V_dVol),0))</f>
        <v>0</v>
      </c>
      <c r="O162" s="34" t="n">
        <f aca="false">IF(O$8=1,N(Reales!O23),IF(O$145=1,INDEX(Vol_V,12,O$144)/12*(1+V_dVol),0))</f>
        <v>0</v>
      </c>
      <c r="P162" s="34" t="n">
        <f aca="false">IF(P$8=1,N(Reales!P23),IF(P$145=1,INDEX(Vol_V,12,P$144)/12*(1+V_dVol),0))</f>
        <v>0</v>
      </c>
      <c r="Q162" s="34" t="n">
        <f aca="false">IF(Q$8=1,N(Reales!Q23),IF(Q$145=1,INDEX(Vol_V,12,Q$144)/12*(1+V_dVol),0))</f>
        <v>0</v>
      </c>
      <c r="R162" s="34" t="n">
        <f aca="false">IF(R$8=1,N(Reales!R23),IF(R$145=1,INDEX(Vol_V,12,R$144)/12*(1+V_dVol),0))</f>
        <v>0</v>
      </c>
      <c r="S162" s="34" t="n">
        <f aca="false">IF(S$8=1,N(Reales!S23),IF(S$145=1,INDEX(Vol_V,12,S$144)/12*(1+V_dVol),0))</f>
        <v>0</v>
      </c>
      <c r="T162" s="34" t="n">
        <f aca="false">IF(T$8=1,N(Reales!T23),IF(T$145=1,INDEX(Vol_V,12,T$144)/12*(1+V_dVol),0))</f>
        <v>0</v>
      </c>
      <c r="U162" s="34" t="n">
        <f aca="false">IF(U$8=1,N(Reales!U23),IF(U$145=1,INDEX(Vol_V,12,U$144)/12*(1+V_dVol),0))</f>
        <v>0</v>
      </c>
      <c r="V162" s="34" t="n">
        <f aca="false">IF(V$8=1,N(Reales!V23),IF(V$145=1,INDEX(Vol_V,12,V$144)/12*(1+V_dVol),0))</f>
        <v>0</v>
      </c>
      <c r="W162" s="34" t="n">
        <f aca="false">IF(W$8=1,N(Reales!W23),IF(W$145=1,INDEX(Vol_V,12,W$144)/12*(1+V_dVol),0))</f>
        <v>0</v>
      </c>
      <c r="X162" s="34" t="n">
        <f aca="false">IF(X$8=1,N(Reales!X23),IF(X$145=1,INDEX(Vol_V,12,X$144)/12*(1+V_dVol),0))</f>
        <v>0</v>
      </c>
      <c r="Y162" s="34" t="n">
        <f aca="false">IF(Y$8=1,N(Reales!Y23),IF(Y$145=1,INDEX(Vol_V,12,Y$144)/12*(1+V_dVol),0))</f>
        <v>0</v>
      </c>
      <c r="Z162" s="34" t="n">
        <f aca="false">IF(Z$8=1,N(Reales!Z23),IF(Z$145=1,INDEX(Vol_V,12,Z$144)/12*(1+V_dVol),0))</f>
        <v>0</v>
      </c>
      <c r="AA162" s="34" t="n">
        <f aca="false">IF(AA$8=1,N(Reales!AA23),IF(AA$145=1,INDEX(Vol_V,12,AA$144)/12*(1+V_dVol),0))</f>
        <v>0</v>
      </c>
      <c r="AB162" s="34" t="n">
        <f aca="false">IF(AB$8=1,N(Reales!AB23),IF(AB$145=1,INDEX(Vol_V,12,AB$144)/12*(1+V_dVol),0))</f>
        <v>0</v>
      </c>
      <c r="AC162" s="34" t="n">
        <f aca="false">IF(AC$8=1,N(Reales!AC23),IF(AC$145=1,INDEX(Vol_V,12,AC$144)/12*(1+V_dVol),0))</f>
        <v>0</v>
      </c>
      <c r="AD162" s="34" t="n">
        <f aca="false">IF(AD$8=1,N(Reales!AD23),IF(AD$145=1,INDEX(Vol_V,12,AD$144)/12*(1+V_dVol),0))</f>
        <v>0</v>
      </c>
      <c r="AE162" s="34" t="n">
        <f aca="false">IF(AE$8=1,N(Reales!AE23),IF(AE$145=1,INDEX(Vol_V,12,AE$144)/12*(1+V_dVol),0))</f>
        <v>0</v>
      </c>
      <c r="AF162" s="34" t="n">
        <f aca="false">IF(AF$8=1,N(Reales!AF23),IF(AF$145=1,INDEX(Vol_V,12,AF$144)/12*(1+V_dVol),0))</f>
        <v>0</v>
      </c>
      <c r="AG162" s="34" t="n">
        <f aca="false">IF(AG$8=1,N(Reales!AG23),IF(AG$145=1,INDEX(Vol_V,12,AG$144)/12*(1+V_dVol),0))</f>
        <v>0</v>
      </c>
      <c r="AH162" s="34" t="n">
        <f aca="false">IF(AH$8=1,N(Reales!AH23),IF(AH$145=1,INDEX(Vol_V,12,AH$144)/12*(1+V_dVol),0))</f>
        <v>0</v>
      </c>
      <c r="AI162" s="34" t="n">
        <f aca="false">IF(AI$8=1,N(Reales!AI23),IF(AI$145=1,INDEX(Vol_V,12,AI$144)/12*(1+V_dVol),0))</f>
        <v>0</v>
      </c>
      <c r="AJ162" s="34" t="n">
        <f aca="false">IF(AJ$8=1,N(Reales!AJ23),IF(AJ$145=1,INDEX(Vol_V,12,AJ$144)/12*(1+V_dVol),0))</f>
        <v>0</v>
      </c>
      <c r="AK162" s="34" t="n">
        <f aca="false">IF(AK$8=1,N(Reales!AK23),IF(AK$145=1,INDEX(Vol_V,12,AK$144)/12*(1+V_dVol),0))</f>
        <v>0</v>
      </c>
      <c r="AL162" s="34" t="n">
        <f aca="false">IF(AL$8=1,N(Reales!AL23),IF(AL$145=1,INDEX(Vol_V,12,AL$144)/12*(1+V_dVol),0))</f>
        <v>0</v>
      </c>
      <c r="AM162" s="34" t="n">
        <f aca="false">IF(AM$8=1,N(Reales!AM23),IF(AM$145=1,INDEX(Vol_V,12,AM$144)/12*(1+V_dVol),0))</f>
        <v>0</v>
      </c>
      <c r="AN162" s="34" t="n">
        <f aca="false">IF(AN$8=1,N(Reales!AN23),IF(AN$145=1,INDEX(Vol_V,12,AN$144)/12*(1+V_dVol),0))</f>
        <v>0</v>
      </c>
      <c r="AO162" s="34" t="n">
        <f aca="false">IF(AO$8=1,N(Reales!AO23),IF(AO$145=1,INDEX(Vol_V,12,AO$144)/12*(1+V_dVol),0))</f>
        <v>0</v>
      </c>
      <c r="AP162" s="34" t="n">
        <f aca="false">IF(AP$8=1,N(Reales!AP23),IF(AP$145=1,INDEX(Vol_V,12,AP$144)/12*(1+V_dVol),0))</f>
        <v>0</v>
      </c>
      <c r="AQ162" s="34" t="n">
        <f aca="false">IF(AQ$8=1,N(Reales!AQ23),IF(AQ$145=1,INDEX(Vol_V,12,AQ$144)/12*(1+V_dVol),0))</f>
        <v>0</v>
      </c>
      <c r="AR162" s="34" t="n">
        <f aca="false">IF(AR$8=1,N(Reales!AR23),IF(AR$145=1,INDEX(Vol_V,12,AR$144)/12*(1+V_dVol),0))</f>
        <v>0</v>
      </c>
      <c r="AS162" s="34" t="n">
        <f aca="false">IF(AS$8=1,N(Reales!AS23),IF(AS$145=1,INDEX(Vol_V,12,AS$144)/12*(1+V_dVol),0))</f>
        <v>0</v>
      </c>
      <c r="AT162" s="34" t="n">
        <f aca="false">IF(AT$8=1,N(Reales!AT23),IF(AT$145=1,INDEX(Vol_V,12,AT$144)/12*(1+V_dVol),0))</f>
        <v>0</v>
      </c>
      <c r="AU162" s="34" t="n">
        <f aca="false">IF(AU$8=1,N(Reales!AU23),IF(AU$145=1,INDEX(Vol_V,12,AU$144)/12*(1+V_dVol),0))</f>
        <v>0</v>
      </c>
      <c r="AV162" s="34" t="n">
        <f aca="false">IF(AV$8=1,N(Reales!AV23),IF(AV$145=1,INDEX(Vol_V,12,AV$144)/12*(1+V_dVol),0))</f>
        <v>0</v>
      </c>
      <c r="AW162" s="34" t="n">
        <f aca="false">IF(AW$8=1,N(Reales!AW23),IF(AW$145=1,INDEX(Vol_V,12,AW$144)/12*(1+V_dVol),0))</f>
        <v>0</v>
      </c>
      <c r="AX162" s="34" t="n">
        <f aca="false">IF(AX$8=1,N(Reales!AX23),IF(AX$145=1,INDEX(Vol_V,12,AX$144)/12*(1+V_dVol),0))</f>
        <v>0</v>
      </c>
      <c r="AY162" s="34" t="n">
        <f aca="false">IF(AY$8=1,N(Reales!AY23),IF(AY$145=1,INDEX(Vol_V,12,AY$144)/12*(1+V_dVol),0))</f>
        <v>0</v>
      </c>
      <c r="AZ162" s="34" t="n">
        <f aca="false">IF(AZ$8=1,N(Reales!AZ23),IF(AZ$145=1,INDEX(Vol_V,12,AZ$144)/12*(1+V_dVol),0))</f>
        <v>0</v>
      </c>
      <c r="BA162" s="34" t="n">
        <f aca="false">IF(BA$8=1,N(Reales!BA23),IF(BA$145=1,INDEX(Vol_V,12,BA$144)/12*(1+V_dVol),0))</f>
        <v>0</v>
      </c>
      <c r="BB162" s="34" t="n">
        <f aca="false">IF(BB$8=1,N(Reales!BB23),IF(BB$145=1,INDEX(Vol_V,12,BB$144)/12*(1+V_dVol),0))</f>
        <v>0</v>
      </c>
      <c r="BC162" s="34" t="n">
        <f aca="false">IF(BC$8=1,N(Reales!BC23),IF(BC$145=1,INDEX(Vol_V,12,BC$144)/12*(1+V_dVol),0))</f>
        <v>0</v>
      </c>
      <c r="BD162" s="34" t="n">
        <f aca="false">IF(BD$8=1,N(Reales!BD23),IF(BD$145=1,INDEX(Vol_V,12,BD$144)/12*(1+V_dVol),0))</f>
        <v>0</v>
      </c>
      <c r="BE162" s="34" t="n">
        <f aca="false">IF(BE$8=1,N(Reales!BE23),IF(BE$145=1,INDEX(Vol_V,12,BE$144)/12*(1+V_dVol),0))</f>
        <v>0</v>
      </c>
      <c r="BF162" s="34" t="n">
        <f aca="false">IF(BF$8=1,N(Reales!BF23),IF(BF$145=1,INDEX(Vol_V,12,BF$144)/12*(1+V_dVol),0))</f>
        <v>0</v>
      </c>
      <c r="BG162" s="34" t="n">
        <f aca="false">IF(BG$8=1,N(Reales!BG23),IF(BG$145=1,INDEX(Vol_V,12,BG$144)/12*(1+V_dVol),0))</f>
        <v>0</v>
      </c>
      <c r="BH162" s="34" t="n">
        <f aca="false">IF(BH$8=1,N(Reales!BH23),IF(BH$145=1,INDEX(Vol_V,12,BH$144)/12*(1+V_dVol),0))</f>
        <v>0</v>
      </c>
      <c r="BI162" s="34" t="n">
        <f aca="false">IF(BI$8=1,N(Reales!BI23),IF(BI$145=1,INDEX(Vol_V,12,BI$144)/12*(1+V_dVol),0))</f>
        <v>0</v>
      </c>
      <c r="BJ162" s="34" t="n">
        <f aca="false">IF(BJ$8=1,N(Reales!BJ23),IF(BJ$145=1,INDEX(Vol_V,12,BJ$144)/12*(1+V_dVol),0))</f>
        <v>0</v>
      </c>
      <c r="BK162" s="34" t="n">
        <f aca="false">IF(BK$8=1,N(Reales!BK23),IF(BK$145=1,INDEX(Vol_V,12,BK$144)/12*(1+V_dVol),0))</f>
        <v>0</v>
      </c>
      <c r="BL162" s="34" t="n">
        <f aca="false">IF(BL$8=1,N(Reales!BL23),IF(BL$145=1,INDEX(Vol_V,12,BL$144)/12*(1+V_dVol),0))</f>
        <v>0</v>
      </c>
      <c r="BM162" s="34" t="n">
        <f aca="false">IF(BM$8=1,N(Reales!BM23),IF(BM$145=1,INDEX(Vol_V,12,BM$144)/12*(1+V_dVol),0))</f>
        <v>0</v>
      </c>
      <c r="BN162" s="34" t="n">
        <f aca="false">IF(BN$8=1,N(Reales!BN23),IF(BN$145=1,INDEX(Vol_V,12,BN$144)/12*(1+V_dVol),0))</f>
        <v>0</v>
      </c>
      <c r="BO162" s="34" t="n">
        <f aca="false">IF(BO$8=1,N(Reales!BO23),IF(BO$145=1,INDEX(Vol_V,12,BO$144)/12*(1+V_dVol),0))</f>
        <v>0</v>
      </c>
      <c r="BP162" s="34" t="n">
        <f aca="false">IF(BP$8=1,N(Reales!BP23),IF(BP$145=1,INDEX(Vol_V,12,BP$144)/12*(1+V_dVol),0))</f>
        <v>0</v>
      </c>
      <c r="BQ162" s="34" t="n">
        <f aca="false">IF(BQ$8=1,N(Reales!BQ23),IF(BQ$145=1,INDEX(Vol_V,12,BQ$144)/12*(1+V_dVol),0))</f>
        <v>0</v>
      </c>
      <c r="BR162" s="34" t="n">
        <f aca="false">IF(BR$8=1,N(Reales!BR23),IF(BR$145=1,INDEX(Vol_V,12,BR$144)/12*(1+V_dVol),0))</f>
        <v>0</v>
      </c>
      <c r="BS162" s="34" t="n">
        <f aca="false">IF(BS$8=1,N(Reales!BS23),IF(BS$145=1,INDEX(Vol_V,12,BS$144)/12*(1+V_dVol),0))</f>
        <v>0</v>
      </c>
      <c r="BT162" s="34" t="n">
        <f aca="false">IF(BT$8=1,N(Reales!BT23),IF(BT$145=1,INDEX(Vol_V,12,BT$144)/12*(1+V_dVol),0))</f>
        <v>0</v>
      </c>
      <c r="BU162" s="34" t="n">
        <f aca="false">IF(BU$8=1,N(Reales!BU23),IF(BU$145=1,INDEX(Vol_V,12,BU$144)/12*(1+V_dVol),0))</f>
        <v>0</v>
      </c>
      <c r="BV162" s="34" t="n">
        <f aca="false">IF(BV$8=1,N(Reales!BV23),IF(BV$145=1,INDEX(Vol_V,12,BV$144)/12*(1+V_dVol),0))</f>
        <v>0</v>
      </c>
      <c r="BW162" s="34" t="n">
        <f aca="false">IF(BW$8=1,N(Reales!BW23),IF(BW$145=1,INDEX(Vol_V,12,BW$144)/12*(1+V_dVol),0))</f>
        <v>0</v>
      </c>
      <c r="BX162" s="34" t="n">
        <f aca="false">IF(BX$8=1,N(Reales!BX23),IF(BX$145=1,INDEX(Vol_V,12,BX$144)/12*(1+V_dVol),0))</f>
        <v>0</v>
      </c>
      <c r="BY162" s="34" t="n">
        <f aca="false">IF(BY$8=1,N(Reales!BY23),IF(BY$145=1,INDEX(Vol_V,12,BY$144)/12*(1+V_dVol),0))</f>
        <v>0</v>
      </c>
      <c r="BZ162" s="34" t="n">
        <f aca="false">IF(BZ$8=1,N(Reales!BZ23),IF(BZ$145=1,INDEX(Vol_V,12,BZ$144)/12*(1+V_dVol),0))</f>
        <v>0</v>
      </c>
      <c r="CA162" s="34" t="n">
        <f aca="false">IF(CA$8=1,N(Reales!CA23),IF(CA$145=1,INDEX(Vol_V,12,CA$144)/12*(1+V_dVol),0))</f>
        <v>0</v>
      </c>
      <c r="CB162" s="34" t="n">
        <f aca="false">IF(CB$8=1,N(Reales!CB23),IF(CB$145=1,INDEX(Vol_V,12,CB$144)/12*(1+V_dVol),0))</f>
        <v>0</v>
      </c>
      <c r="CC162" s="34" t="n">
        <f aca="false">IF(CC$8=1,N(Reales!CC23),IF(CC$145=1,INDEX(Vol_V,12,CC$144)/12*(1+V_dVol),0))</f>
        <v>0</v>
      </c>
      <c r="CD162" s="34" t="n">
        <f aca="false">IF(CD$8=1,N(Reales!CD23),IF(CD$145=1,INDEX(Vol_V,12,CD$144)/12*(1+V_dVol),0))</f>
        <v>0</v>
      </c>
      <c r="CE162" s="34" t="n">
        <f aca="false">IF(CE$8=1,N(Reales!CE23),IF(CE$145=1,INDEX(Vol_V,12,CE$144)/12*(1+V_dVol),0))</f>
        <v>0</v>
      </c>
      <c r="CF162" s="34" t="n">
        <f aca="false">IF(CF$8=1,N(Reales!CF23),IF(CF$145=1,INDEX(Vol_V,12,CF$144)/12*(1+V_dVol),0))</f>
        <v>0</v>
      </c>
      <c r="CG162" s="34" t="n">
        <f aca="false">IF(CG$8=1,N(Reales!CG23),IF(CG$145=1,INDEX(Vol_V,12,CG$144)/12*(1+V_dVol),0))</f>
        <v>0</v>
      </c>
      <c r="CH162" s="34" t="n">
        <f aca="false">IF(CH$8=1,N(Reales!CH23),IF(CH$145=1,INDEX(Vol_V,12,CH$144)/12*(1+V_dVol),0))</f>
        <v>0</v>
      </c>
      <c r="CI162" s="34" t="n">
        <f aca="false">IF(CI$8=1,N(Reales!CI23),IF(CI$145=1,INDEX(Vol_V,12,CI$144)/12*(1+V_dVol),0))</f>
        <v>0</v>
      </c>
      <c r="CJ162" s="34" t="n">
        <f aca="false">IF(CJ$8=1,N(Reales!CJ23),IF(CJ$145=1,INDEX(Vol_V,12,CJ$144)/12*(1+V_dVol),0))</f>
        <v>0</v>
      </c>
      <c r="CK162" s="34" t="n">
        <f aca="false">IF(CK$8=1,N(Reales!CK23),IF(CK$145=1,INDEX(Vol_V,12,CK$144)/12*(1+V_dVol),0))</f>
        <v>0</v>
      </c>
      <c r="CL162" s="34" t="n">
        <f aca="false">IF(CL$8=1,N(Reales!CL23),IF(CL$145=1,INDEX(Vol_V,12,CL$144)/12*(1+V_dVol),0))</f>
        <v>0</v>
      </c>
      <c r="CM162" s="34" t="n">
        <f aca="false">IF(CM$8=1,N(Reales!CM23),IF(CM$145=1,INDEX(Vol_V,12,CM$144)/12*(1+V_dVol),0))</f>
        <v>0</v>
      </c>
      <c r="CN162" s="34" t="n">
        <f aca="false">IF(CN$8=1,N(Reales!CN23),IF(CN$145=1,INDEX(Vol_V,12,CN$144)/12*(1+V_dVol),0))</f>
        <v>0</v>
      </c>
      <c r="CO162" s="34" t="n">
        <f aca="false">IF(CO$8=1,N(Reales!CO23),IF(CO$145=1,INDEX(Vol_V,12,CO$144)/12*(1+V_dVol),0))</f>
        <v>0</v>
      </c>
      <c r="CP162" s="34" t="n">
        <f aca="false">IF(CP$8=1,N(Reales!CP23),IF(CP$145=1,INDEX(Vol_V,12,CP$144)/12*(1+V_dVol),0))</f>
        <v>0</v>
      </c>
      <c r="CQ162" s="34" t="n">
        <f aca="false">IF(CQ$8=1,N(Reales!CQ23),IF(CQ$145=1,INDEX(Vol_V,12,CQ$144)/12*(1+V_dVol),0))</f>
        <v>0</v>
      </c>
      <c r="CR162" s="34" t="n">
        <f aca="false">IF(CR$8=1,N(Reales!CR23),IF(CR$145=1,INDEX(Vol_V,12,CR$144)/12*(1+V_dVol),0))</f>
        <v>0</v>
      </c>
      <c r="CS162" s="34" t="n">
        <f aca="false">IF(CS$8=1,N(Reales!CS23),IF(CS$145=1,INDEX(Vol_V,12,CS$144)/12*(1+V_dVol),0))</f>
        <v>0</v>
      </c>
      <c r="CT162" s="34" t="n">
        <f aca="false">IF(CT$8=1,N(Reales!CT23),IF(CT$145=1,INDEX(Vol_V,12,CT$144)/12*(1+V_dVol),0))</f>
        <v>0</v>
      </c>
      <c r="CU162" s="34" t="n">
        <f aca="false">IF(CU$8=1,N(Reales!CU23),IF(CU$145=1,INDEX(Vol_V,12,CU$144)/12*(1+V_dVol),0))</f>
        <v>0</v>
      </c>
      <c r="CV162" s="34" t="n">
        <f aca="false">IF(CV$8=1,N(Reales!CV23),IF(CV$145=1,INDEX(Vol_V,12,CV$144)/12*(1+V_dVol),0))</f>
        <v>0</v>
      </c>
      <c r="CW162" s="34" t="n">
        <f aca="false">IF(CW$8=1,N(Reales!CW23),IF(CW$145=1,INDEX(Vol_V,12,CW$144)/12*(1+V_dVol),0))</f>
        <v>0</v>
      </c>
      <c r="CX162" s="34" t="n">
        <f aca="false">IF(CX$8=1,N(Reales!CX23),IF(CX$145=1,INDEX(Vol_V,12,CX$144)/12*(1+V_dVol),0))</f>
        <v>0</v>
      </c>
      <c r="CY162" s="34" t="n">
        <f aca="false">IF(CY$8=1,N(Reales!CY23),IF(CY$145=1,INDEX(Vol_V,12,CY$144)/12*(1+V_dVol),0))</f>
        <v>0</v>
      </c>
      <c r="CZ162" s="34" t="n">
        <f aca="false">IF(CZ$8=1,N(Reales!CZ23),IF(CZ$145=1,INDEX(Vol_V,12,CZ$144)/12*(1+V_dVol),0))</f>
        <v>0</v>
      </c>
      <c r="DA162" s="34" t="n">
        <f aca="false">IF(DA$8=1,N(Reales!DA23),IF(DA$145=1,INDEX(Vol_V,12,DA$144)/12*(1+V_dVol),0))</f>
        <v>0</v>
      </c>
      <c r="DB162" s="34" t="n">
        <f aca="false">IF(DB$8=1,N(Reales!DB23),IF(DB$145=1,INDEX(Vol_V,12,DB$144)/12*(1+V_dVol),0))</f>
        <v>0</v>
      </c>
      <c r="DC162" s="34" t="n">
        <f aca="false">IF(DC$8=1,N(Reales!DC23),IF(DC$145=1,INDEX(Vol_V,12,DC$144)/12*(1+V_dVol),0))</f>
        <v>0</v>
      </c>
      <c r="DD162" s="34" t="n">
        <f aca="false">IF(DD$8=1,N(Reales!DD23),IF(DD$145=1,INDEX(Vol_V,12,DD$144)/12*(1+V_dVol),0))</f>
        <v>0</v>
      </c>
      <c r="DE162" s="34" t="n">
        <f aca="false">IF(DE$8=1,N(Reales!DE23),IF(DE$145=1,INDEX(Vol_V,12,DE$144)/12*(1+V_dVol),0))</f>
        <v>0</v>
      </c>
      <c r="DF162" s="34" t="n">
        <f aca="false">IF(DF$8=1,N(Reales!DF23),IF(DF$145=1,INDEX(Vol_V,12,DF$144)/12*(1+V_dVol),0))</f>
        <v>0</v>
      </c>
      <c r="DG162" s="34" t="n">
        <f aca="false">IF(DG$8=1,N(Reales!DG23),IF(DG$145=1,INDEX(Vol_V,12,DG$144)/12*(1+V_dVol),0))</f>
        <v>0</v>
      </c>
      <c r="DH162" s="34" t="n">
        <f aca="false">IF(DH$8=1,N(Reales!DH23),IF(DH$145=1,INDEX(Vol_V,12,DH$144)/12*(1+V_dVol),0))</f>
        <v>0</v>
      </c>
      <c r="DI162" s="34" t="n">
        <f aca="false">IF(DI$8=1,N(Reales!DI23),IF(DI$145=1,INDEX(Vol_V,12,DI$144)/12*(1+V_dVol),0))</f>
        <v>0</v>
      </c>
      <c r="DJ162" s="34" t="n">
        <f aca="false">IF(DJ$8=1,N(Reales!DJ23),IF(DJ$145=1,INDEX(Vol_V,12,DJ$144)/12*(1+V_dVol),0))</f>
        <v>0</v>
      </c>
      <c r="DK162" s="34" t="n">
        <f aca="false">IF(DK$8=1,N(Reales!DK23),IF(DK$145=1,INDEX(Vol_V,12,DK$144)/12*(1+V_dVol),0))</f>
        <v>0</v>
      </c>
      <c r="DL162" s="34" t="n">
        <f aca="false">IF(DL$8=1,N(Reales!DL23),IF(DL$145=1,INDEX(Vol_V,12,DL$144)/12*(1+V_dVol),0))</f>
        <v>0</v>
      </c>
      <c r="DM162" s="34" t="n">
        <f aca="false">IF(DM$8=1,N(Reales!DM23),IF(DM$145=1,INDEX(Vol_V,12,DM$144)/12*(1+V_dVol),0))</f>
        <v>0</v>
      </c>
      <c r="DN162" s="34" t="n">
        <f aca="false">IF(DN$8=1,N(Reales!DN23),IF(DN$145=1,INDEX(Vol_V,12,DN$144)/12*(1+V_dVol),0))</f>
        <v>0</v>
      </c>
      <c r="DO162" s="34" t="n">
        <f aca="false">IF(DO$8=1,N(Reales!DO23),IF(DO$145=1,INDEX(Vol_V,12,DO$144)/12*(1+V_dVol),0))</f>
        <v>0</v>
      </c>
      <c r="DP162" s="34" t="n">
        <f aca="false">IF(DP$8=1,N(Reales!DP23),IF(DP$145=1,INDEX(Vol_V,12,DP$144)/12*(1+V_dVol),0))</f>
        <v>0</v>
      </c>
      <c r="DQ162" s="34" t="n">
        <f aca="false">IF(DQ$8=1,N(Reales!DQ23),IF(DQ$145=1,INDEX(Vol_V,12,DQ$144)/12*(1+V_dVol),0))</f>
        <v>0</v>
      </c>
      <c r="DR162" s="34" t="n">
        <f aca="false">IF(DR$8=1,N(Reales!DR23),IF(DR$145=1,INDEX(Vol_V,12,DR$144)/12*(1+V_dVol),0))</f>
        <v>0</v>
      </c>
      <c r="DS162" s="34" t="n">
        <f aca="false">IF(DS$8=1,N(Reales!DS23),IF(DS$145=1,INDEX(Vol_V,12,DS$144)/12*(1+V_dVol),0))</f>
        <v>0</v>
      </c>
      <c r="DT162" s="34" t="n">
        <f aca="false">IF(DT$8=1,N(Reales!DT23),IF(DT$145=1,INDEX(Vol_V,12,DT$144)/12*(1+V_dVol),0))</f>
        <v>0</v>
      </c>
      <c r="DU162" s="34" t="n">
        <f aca="false">IF(DU$8=1,N(Reales!DU23),IF(DU$145=1,INDEX(Vol_V,12,DU$144)/12*(1+V_dVol),0))</f>
        <v>0</v>
      </c>
      <c r="DV162" s="34" t="n">
        <f aca="false">IF(DV$8=1,N(Reales!DV23),IF(DV$145=1,INDEX(Vol_V,12,DV$144)/12*(1+V_dVol),0))</f>
        <v>0</v>
      </c>
      <c r="DW162" s="34" t="n">
        <f aca="false">IF(DW$8=1,N(Reales!DW23),IF(DW$145=1,INDEX(Vol_V,12,DW$144)/12*(1+V_dVol),0))</f>
        <v>0</v>
      </c>
      <c r="DX162" s="34" t="n">
        <f aca="false">IF(DX$8=1,N(Reales!DX23),IF(DX$145=1,INDEX(Vol_V,12,DX$144)/12*(1+V_dVol),0))</f>
        <v>0</v>
      </c>
      <c r="DY162" s="34" t="n">
        <f aca="false">IF(DY$8=1,N(Reales!DY23),IF(DY$145=1,INDEX(Vol_V,12,DY$144)/12*(1+V_dVol),0))</f>
        <v>0</v>
      </c>
      <c r="DZ162" s="34" t="n">
        <f aca="false">IF(DZ$8=1,N(Reales!DZ23),IF(DZ$145=1,INDEX(Vol_V,12,DZ$144)/12*(1+V_dVol),0))</f>
        <v>0</v>
      </c>
      <c r="EA162" s="34" t="n">
        <f aca="false">IF(EA$8=1,N(Reales!EA23),IF(EA$145=1,INDEX(Vol_V,12,EA$144)/12*(1+V_dVol),0))</f>
        <v>0</v>
      </c>
      <c r="EB162" s="34" t="n">
        <f aca="false">IF(EB$8=1,N(Reales!EB23),IF(EB$145=1,INDEX(Vol_V,12,EB$144)/12*(1+V_dVol),0))</f>
        <v>0</v>
      </c>
      <c r="EC162" s="34" t="n">
        <f aca="false">IF(EC$8=1,N(Reales!EC23),IF(EC$145=1,INDEX(Vol_V,12,EC$144)/12*(1+V_dVol),0))</f>
        <v>0</v>
      </c>
      <c r="ED162" s="34" t="n">
        <f aca="false">IF(ED$8=1,N(Reales!ED23),IF(ED$145=1,INDEX(Vol_V,12,ED$144)/12*(1+V_dVol),0))</f>
        <v>0</v>
      </c>
      <c r="EE162" s="34" t="n">
        <f aca="false">IF(EE$8=1,N(Reales!EE23),IF(EE$145=1,INDEX(Vol_V,12,EE$144)/12*(1+V_dVol),0))</f>
        <v>0</v>
      </c>
      <c r="EF162" s="34" t="n">
        <f aca="false">IF(EF$8=1,N(Reales!EF23),IF(EF$145=1,INDEX(Vol_V,12,EF$144)/12*(1+V_dVol),0))</f>
        <v>0</v>
      </c>
      <c r="EG162" s="34" t="n">
        <f aca="false">IF(EG$8=1,N(Reales!EG23),IF(EG$145=1,INDEX(Vol_V,12,EG$144)/12*(1+V_dVol),0))</f>
        <v>0</v>
      </c>
      <c r="EH162" s="34" t="n">
        <f aca="false">IF(EH$8=1,N(Reales!EH23),IF(EH$145=1,INDEX(Vol_V,12,EH$144)/12*(1+V_dVol),0))</f>
        <v>0</v>
      </c>
      <c r="EI162" s="34" t="n">
        <f aca="false">IF(EI$8=1,N(Reales!EI23),IF(EI$145=1,INDEX(Vol_V,12,EI$144)/12*(1+V_dVol),0))</f>
        <v>0</v>
      </c>
      <c r="EJ162" s="34" t="n">
        <f aca="false">IF(EJ$8=1,N(Reales!EJ23),IF(EJ$145=1,INDEX(Vol_V,12,EJ$144)/12*(1+V_dVol),0))</f>
        <v>0</v>
      </c>
      <c r="EK162" s="34" t="n">
        <f aca="false">IF(EK$8=1,N(Reales!EK23),IF(EK$145=1,INDEX(Vol_V,12,EK$144)/12*(1+V_dVol),0))</f>
        <v>0</v>
      </c>
      <c r="EL162" s="34" t="n">
        <f aca="false">IF(EL$8=1,N(Reales!EL23),IF(EL$145=1,INDEX(Vol_V,12,EL$144)/12*(1+V_dVol),0))</f>
        <v>0</v>
      </c>
      <c r="EM162" s="34" t="n">
        <f aca="false">IF(EM$8=1,N(Reales!EM23),IF(EM$145=1,INDEX(Vol_V,12,EM$144)/12*(1+V_dVol),0))</f>
        <v>0</v>
      </c>
      <c r="EN162" s="34" t="n">
        <f aca="false">IF(EN$8=1,N(Reales!EN23),IF(EN$145=1,INDEX(Vol_V,12,EN$144)/12*(1+V_dVol),0))</f>
        <v>0</v>
      </c>
      <c r="EO162" s="34" t="n">
        <f aca="false">IF(EO$8=1,N(Reales!EO23),IF(EO$145=1,INDEX(Vol_V,12,EO$144)/12*(1+V_dVol),0))</f>
        <v>0</v>
      </c>
      <c r="EP162" s="34" t="n">
        <f aca="false">IF(EP$8=1,N(Reales!EP23),IF(EP$145=1,INDEX(Vol_V,12,EP$144)/12*(1+V_dVol),0))</f>
        <v>0</v>
      </c>
      <c r="EQ162" s="34" t="n">
        <f aca="false">IF(EQ$8=1,N(Reales!EQ23),IF(EQ$145=1,INDEX(Vol_V,12,EQ$144)/12*(1+V_dVol),0))</f>
        <v>0</v>
      </c>
      <c r="ER162" s="34" t="n">
        <f aca="false">IF(ER$8=1,N(Reales!ER23),IF(ER$145=1,INDEX(Vol_V,12,ER$144)/12*(1+V_dVol),0))</f>
        <v>0</v>
      </c>
      <c r="ES162" s="34" t="n">
        <f aca="false">IF(ES$8=1,N(Reales!ES23),IF(ES$145=1,INDEX(Vol_V,12,ES$144)/12*(1+V_dVol),0))</f>
        <v>0</v>
      </c>
    </row>
    <row r="163" customFormat="false" ht="15" hidden="false" customHeight="false" outlineLevel="0" collapsed="false">
      <c r="A163" s="2" t="s">
        <v>779</v>
      </c>
      <c r="B163" s="39" t="str">
        <f aca="false">IF(INDEX(Prod_Nombre,1)="","Producto 1",INDEX(Prod_Nombre,1))&amp;" — ventas USD"</f>
        <v>Gabinetes metálicos 153 kg — ventas USD</v>
      </c>
      <c r="C163" s="6" t="s">
        <v>250</v>
      </c>
      <c r="E163" s="40" t="n">
        <f aca="false">SUM(F163:ES163)</f>
        <v>54428264.108153</v>
      </c>
      <c r="F163" s="34" t="n">
        <f aca="false">IF(F$8=1,IF(Reales!$C$25="PYG",IF(F$10&gt;0,N(Reales!F25)/F$10,0),N(Reales!F25)),F$151*INDEX(Precio_V,1)*INDEX(IdxPrecio_V,1,MIN(10,F$147))*(1+V_dPrecio))</f>
        <v>270000</v>
      </c>
      <c r="G163" s="34" t="n">
        <f aca="false">IF(G$8=1,IF(Reales!$C$25="PYG",IF(G$10&gt;0,N(Reales!G25)/G$10,0),N(Reales!G25)),G$151*INDEX(Precio_V,1)*INDEX(IdxPrecio_V,1,MIN(10,G$147))*(1+V_dPrecio))</f>
        <v>270000</v>
      </c>
      <c r="H163" s="34" t="n">
        <f aca="false">IF(H$8=1,IF(Reales!$C$25="PYG",IF(H$10&gt;0,N(Reales!H25)/H$10,0),N(Reales!H25)),H$151*INDEX(Precio_V,1)*INDEX(IdxPrecio_V,1,MIN(10,H$147))*(1+V_dPrecio))</f>
        <v>270000</v>
      </c>
      <c r="I163" s="34" t="n">
        <f aca="false">IF(I$8=1,IF(Reales!$C$25="PYG",IF(I$10&gt;0,N(Reales!I25)/I$10,0),N(Reales!I25)),I$151*INDEX(Precio_V,1)*INDEX(IdxPrecio_V,1,MIN(10,I$147))*(1+V_dPrecio))</f>
        <v>270000</v>
      </c>
      <c r="J163" s="34" t="n">
        <f aca="false">IF(J$8=1,IF(Reales!$C$25="PYG",IF(J$10&gt;0,N(Reales!J25)/J$10,0),N(Reales!J25)),J$151*INDEX(Precio_V,1)*INDEX(IdxPrecio_V,1,MIN(10,J$147))*(1+V_dPrecio))</f>
        <v>270000</v>
      </c>
      <c r="K163" s="34" t="n">
        <f aca="false">IF(K$8=1,IF(Reales!$C$25="PYG",IF(K$10&gt;0,N(Reales!K25)/K$10,0),N(Reales!K25)),K$151*INDEX(Precio_V,1)*INDEX(IdxPrecio_V,1,MIN(10,K$147))*(1+V_dPrecio))</f>
        <v>270000</v>
      </c>
      <c r="L163" s="34" t="n">
        <f aca="false">IF(L$8=1,IF(Reales!$C$25="PYG",IF(L$10&gt;0,N(Reales!L25)/L$10,0),N(Reales!L25)),L$151*INDEX(Precio_V,1)*INDEX(IdxPrecio_V,1,MIN(10,L$147))*(1+V_dPrecio))</f>
        <v>270000</v>
      </c>
      <c r="M163" s="34" t="n">
        <f aca="false">IF(M$8=1,IF(Reales!$C$25="PYG",IF(M$10&gt;0,N(Reales!M25)/M$10,0),N(Reales!M25)),M$151*INDEX(Precio_V,1)*INDEX(IdxPrecio_V,1,MIN(10,M$147))*(1+V_dPrecio))</f>
        <v>270000</v>
      </c>
      <c r="N163" s="34" t="n">
        <f aca="false">IF(N$8=1,IF(Reales!$C$25="PYG",IF(N$10&gt;0,N(Reales!N25)/N$10,0),N(Reales!N25)),N$151*INDEX(Precio_V,1)*INDEX(IdxPrecio_V,1,MIN(10,N$147))*(1+V_dPrecio))</f>
        <v>270000</v>
      </c>
      <c r="O163" s="34" t="n">
        <f aca="false">IF(O$8=1,IF(Reales!$C$25="PYG",IF(O$10&gt;0,N(Reales!O25)/O$10,0),N(Reales!O25)),O$151*INDEX(Precio_V,1)*INDEX(IdxPrecio_V,1,MIN(10,O$147))*(1+V_dPrecio))</f>
        <v>270000</v>
      </c>
      <c r="P163" s="34" t="n">
        <f aca="false">IF(P$8=1,IF(Reales!$C$25="PYG",IF(P$10&gt;0,N(Reales!P25)/P$10,0),N(Reales!P25)),P$151*INDEX(Precio_V,1)*INDEX(IdxPrecio_V,1,MIN(10,P$147))*(1+V_dPrecio))</f>
        <v>270000</v>
      </c>
      <c r="Q163" s="34" t="n">
        <f aca="false">IF(Q$8=1,IF(Reales!$C$25="PYG",IF(Q$10&gt;0,N(Reales!Q25)/Q$10,0),N(Reales!Q25)),Q$151*INDEX(Precio_V,1)*INDEX(IdxPrecio_V,1,MIN(10,Q$147))*(1+V_dPrecio))</f>
        <v>270000</v>
      </c>
      <c r="R163" s="34" t="n">
        <f aca="false">IF(R$8=1,IF(Reales!$C$25="PYG",IF(R$10&gt;0,N(Reales!R25)/R$10,0),N(Reales!R25)),R$151*INDEX(Precio_V,1)*INDEX(IdxPrecio_V,1,MIN(10,R$147))*(1+V_dPrecio))</f>
        <v>340875</v>
      </c>
      <c r="S163" s="34" t="n">
        <f aca="false">IF(S$8=1,IF(Reales!$C$25="PYG",IF(S$10&gt;0,N(Reales!S25)/S$10,0),N(Reales!S25)),S$151*INDEX(Precio_V,1)*INDEX(IdxPrecio_V,1,MIN(10,S$147))*(1+V_dPrecio))</f>
        <v>340875</v>
      </c>
      <c r="T163" s="34" t="n">
        <f aca="false">IF(T$8=1,IF(Reales!$C$25="PYG",IF(T$10&gt;0,N(Reales!T25)/T$10,0),N(Reales!T25)),T$151*INDEX(Precio_V,1)*INDEX(IdxPrecio_V,1,MIN(10,T$147))*(1+V_dPrecio))</f>
        <v>340875</v>
      </c>
      <c r="U163" s="34" t="n">
        <f aca="false">IF(U$8=1,IF(Reales!$C$25="PYG",IF(U$10&gt;0,N(Reales!U25)/U$10,0),N(Reales!U25)),U$151*INDEX(Precio_V,1)*INDEX(IdxPrecio_V,1,MIN(10,U$147))*(1+V_dPrecio))</f>
        <v>340875</v>
      </c>
      <c r="V163" s="34" t="n">
        <f aca="false">IF(V$8=1,IF(Reales!$C$25="PYG",IF(V$10&gt;0,N(Reales!V25)/V$10,0),N(Reales!V25)),V$151*INDEX(Precio_V,1)*INDEX(IdxPrecio_V,1,MIN(10,V$147))*(1+V_dPrecio))</f>
        <v>340875</v>
      </c>
      <c r="W163" s="34" t="n">
        <f aca="false">IF(W$8=1,IF(Reales!$C$25="PYG",IF(W$10&gt;0,N(Reales!W25)/W$10,0),N(Reales!W25)),W$151*INDEX(Precio_V,1)*INDEX(IdxPrecio_V,1,MIN(10,W$147))*(1+V_dPrecio))</f>
        <v>340875</v>
      </c>
      <c r="X163" s="34" t="n">
        <f aca="false">IF(X$8=1,IF(Reales!$C$25="PYG",IF(X$10&gt;0,N(Reales!X25)/X$10,0),N(Reales!X25)),X$151*INDEX(Precio_V,1)*INDEX(IdxPrecio_V,1,MIN(10,X$147))*(1+V_dPrecio))</f>
        <v>340875</v>
      </c>
      <c r="Y163" s="34" t="n">
        <f aca="false">IF(Y$8=1,IF(Reales!$C$25="PYG",IF(Y$10&gt;0,N(Reales!Y25)/Y$10,0),N(Reales!Y25)),Y$151*INDEX(Precio_V,1)*INDEX(IdxPrecio_V,1,MIN(10,Y$147))*(1+V_dPrecio))</f>
        <v>340875</v>
      </c>
      <c r="Z163" s="34" t="n">
        <f aca="false">IF(Z$8=1,IF(Reales!$C$25="PYG",IF(Z$10&gt;0,N(Reales!Z25)/Z$10,0),N(Reales!Z25)),Z$151*INDEX(Precio_V,1)*INDEX(IdxPrecio_V,1,MIN(10,Z$147))*(1+V_dPrecio))</f>
        <v>340875</v>
      </c>
      <c r="AA163" s="34" t="n">
        <f aca="false">IF(AA$8=1,IF(Reales!$C$25="PYG",IF(AA$10&gt;0,N(Reales!AA25)/AA$10,0),N(Reales!AA25)),AA$151*INDEX(Precio_V,1)*INDEX(IdxPrecio_V,1,MIN(10,AA$147))*(1+V_dPrecio))</f>
        <v>340875</v>
      </c>
      <c r="AB163" s="34" t="n">
        <f aca="false">IF(AB$8=1,IF(Reales!$C$25="PYG",IF(AB$10&gt;0,N(Reales!AB25)/AB$10,0),N(Reales!AB25)),AB$151*INDEX(Precio_V,1)*INDEX(IdxPrecio_V,1,MIN(10,AB$147))*(1+V_dPrecio))</f>
        <v>340875</v>
      </c>
      <c r="AC163" s="34" t="n">
        <f aca="false">IF(AC$8=1,IF(Reales!$C$25="PYG",IF(AC$10&gt;0,N(Reales!AC25)/AC$10,0),N(Reales!AC25)),AC$151*INDEX(Precio_V,1)*INDEX(IdxPrecio_V,1,MIN(10,AC$147))*(1+V_dPrecio))</f>
        <v>340875</v>
      </c>
      <c r="AD163" s="34" t="n">
        <f aca="false">IF(AD$8=1,IF(Reales!$C$25="PYG",IF(AD$10&gt;0,N(Reales!AD25)/AD$10,0),N(Reales!AD25)),AD$151*INDEX(Precio_V,1)*INDEX(IdxPrecio_V,1,MIN(10,AD$147))*(1+V_dPrecio))</f>
        <v>413140.5</v>
      </c>
      <c r="AE163" s="34" t="n">
        <f aca="false">IF(AE$8=1,IF(Reales!$C$25="PYG",IF(AE$10&gt;0,N(Reales!AE25)/AE$10,0),N(Reales!AE25)),AE$151*INDEX(Precio_V,1)*INDEX(IdxPrecio_V,1,MIN(10,AE$147))*(1+V_dPrecio))</f>
        <v>413140.5</v>
      </c>
      <c r="AF163" s="34" t="n">
        <f aca="false">IF(AF$8=1,IF(Reales!$C$25="PYG",IF(AF$10&gt;0,N(Reales!AF25)/AF$10,0),N(Reales!AF25)),AF$151*INDEX(Precio_V,1)*INDEX(IdxPrecio_V,1,MIN(10,AF$147))*(1+V_dPrecio))</f>
        <v>413140.5</v>
      </c>
      <c r="AG163" s="34" t="n">
        <f aca="false">IF(AG$8=1,IF(Reales!$C$25="PYG",IF(AG$10&gt;0,N(Reales!AG25)/AG$10,0),N(Reales!AG25)),AG$151*INDEX(Precio_V,1)*INDEX(IdxPrecio_V,1,MIN(10,AG$147))*(1+V_dPrecio))</f>
        <v>413140.5</v>
      </c>
      <c r="AH163" s="34" t="n">
        <f aca="false">IF(AH$8=1,IF(Reales!$C$25="PYG",IF(AH$10&gt;0,N(Reales!AH25)/AH$10,0),N(Reales!AH25)),AH$151*INDEX(Precio_V,1)*INDEX(IdxPrecio_V,1,MIN(10,AH$147))*(1+V_dPrecio))</f>
        <v>413140.5</v>
      </c>
      <c r="AI163" s="34" t="n">
        <f aca="false">IF(AI$8=1,IF(Reales!$C$25="PYG",IF(AI$10&gt;0,N(Reales!AI25)/AI$10,0),N(Reales!AI25)),AI$151*INDEX(Precio_V,1)*INDEX(IdxPrecio_V,1,MIN(10,AI$147))*(1+V_dPrecio))</f>
        <v>413140.5</v>
      </c>
      <c r="AJ163" s="34" t="n">
        <f aca="false">IF(AJ$8=1,IF(Reales!$C$25="PYG",IF(AJ$10&gt;0,N(Reales!AJ25)/AJ$10,0),N(Reales!AJ25)),AJ$151*INDEX(Precio_V,1)*INDEX(IdxPrecio_V,1,MIN(10,AJ$147))*(1+V_dPrecio))</f>
        <v>413140.5</v>
      </c>
      <c r="AK163" s="34" t="n">
        <f aca="false">IF(AK$8=1,IF(Reales!$C$25="PYG",IF(AK$10&gt;0,N(Reales!AK25)/AK$10,0),N(Reales!AK25)),AK$151*INDEX(Precio_V,1)*INDEX(IdxPrecio_V,1,MIN(10,AK$147))*(1+V_dPrecio))</f>
        <v>413140.5</v>
      </c>
      <c r="AL163" s="34" t="n">
        <f aca="false">IF(AL$8=1,IF(Reales!$C$25="PYG",IF(AL$10&gt;0,N(Reales!AL25)/AL$10,0),N(Reales!AL25)),AL$151*INDEX(Precio_V,1)*INDEX(IdxPrecio_V,1,MIN(10,AL$147))*(1+V_dPrecio))</f>
        <v>413140.5</v>
      </c>
      <c r="AM163" s="34" t="n">
        <f aca="false">IF(AM$8=1,IF(Reales!$C$25="PYG",IF(AM$10&gt;0,N(Reales!AM25)/AM$10,0),N(Reales!AM25)),AM$151*INDEX(Precio_V,1)*INDEX(IdxPrecio_V,1,MIN(10,AM$147))*(1+V_dPrecio))</f>
        <v>413140.5</v>
      </c>
      <c r="AN163" s="34" t="n">
        <f aca="false">IF(AN$8=1,IF(Reales!$C$25="PYG",IF(AN$10&gt;0,N(Reales!AN25)/AN$10,0),N(Reales!AN25)),AN$151*INDEX(Precio_V,1)*INDEX(IdxPrecio_V,1,MIN(10,AN$147))*(1+V_dPrecio))</f>
        <v>413140.5</v>
      </c>
      <c r="AO163" s="34" t="n">
        <f aca="false">IF(AO$8=1,IF(Reales!$C$25="PYG",IF(AO$10&gt;0,N(Reales!AO25)/AO$10,0),N(Reales!AO25)),AO$151*INDEX(Precio_V,1)*INDEX(IdxPrecio_V,1,MIN(10,AO$147))*(1+V_dPrecio))</f>
        <v>413140.5</v>
      </c>
      <c r="AP163" s="34" t="n">
        <f aca="false">IF(AP$8=1,IF(Reales!$C$25="PYG",IF(AP$10&gt;0,N(Reales!AP25)/AP$10,0),N(Reales!AP25)),AP$151*INDEX(Precio_V,1)*INDEX(IdxPrecio_V,1,MIN(10,AP$147))*(1+V_dPrecio))</f>
        <v>486817.2225</v>
      </c>
      <c r="AQ163" s="34" t="n">
        <f aca="false">IF(AQ$8=1,IF(Reales!$C$25="PYG",IF(AQ$10&gt;0,N(Reales!AQ25)/AQ$10,0),N(Reales!AQ25)),AQ$151*INDEX(Precio_V,1)*INDEX(IdxPrecio_V,1,MIN(10,AQ$147))*(1+V_dPrecio))</f>
        <v>486817.2225</v>
      </c>
      <c r="AR163" s="34" t="n">
        <f aca="false">IF(AR$8=1,IF(Reales!$C$25="PYG",IF(AR$10&gt;0,N(Reales!AR25)/AR$10,0),N(Reales!AR25)),AR$151*INDEX(Precio_V,1)*INDEX(IdxPrecio_V,1,MIN(10,AR$147))*(1+V_dPrecio))</f>
        <v>486817.2225</v>
      </c>
      <c r="AS163" s="34" t="n">
        <f aca="false">IF(AS$8=1,IF(Reales!$C$25="PYG",IF(AS$10&gt;0,N(Reales!AS25)/AS$10,0),N(Reales!AS25)),AS$151*INDEX(Precio_V,1)*INDEX(IdxPrecio_V,1,MIN(10,AS$147))*(1+V_dPrecio))</f>
        <v>486817.2225</v>
      </c>
      <c r="AT163" s="34" t="n">
        <f aca="false">IF(AT$8=1,IF(Reales!$C$25="PYG",IF(AT$10&gt;0,N(Reales!AT25)/AT$10,0),N(Reales!AT25)),AT$151*INDEX(Precio_V,1)*INDEX(IdxPrecio_V,1,MIN(10,AT$147))*(1+V_dPrecio))</f>
        <v>486817.2225</v>
      </c>
      <c r="AU163" s="34" t="n">
        <f aca="false">IF(AU$8=1,IF(Reales!$C$25="PYG",IF(AU$10&gt;0,N(Reales!AU25)/AU$10,0),N(Reales!AU25)),AU$151*INDEX(Precio_V,1)*INDEX(IdxPrecio_V,1,MIN(10,AU$147))*(1+V_dPrecio))</f>
        <v>486817.2225</v>
      </c>
      <c r="AV163" s="34" t="n">
        <f aca="false">IF(AV$8=1,IF(Reales!$C$25="PYG",IF(AV$10&gt;0,N(Reales!AV25)/AV$10,0),N(Reales!AV25)),AV$151*INDEX(Precio_V,1)*INDEX(IdxPrecio_V,1,MIN(10,AV$147))*(1+V_dPrecio))</f>
        <v>486817.2225</v>
      </c>
      <c r="AW163" s="34" t="n">
        <f aca="false">IF(AW$8=1,IF(Reales!$C$25="PYG",IF(AW$10&gt;0,N(Reales!AW25)/AW$10,0),N(Reales!AW25)),AW$151*INDEX(Precio_V,1)*INDEX(IdxPrecio_V,1,MIN(10,AW$147))*(1+V_dPrecio))</f>
        <v>486817.2225</v>
      </c>
      <c r="AX163" s="34" t="n">
        <f aca="false">IF(AX$8=1,IF(Reales!$C$25="PYG",IF(AX$10&gt;0,N(Reales!AX25)/AX$10,0),N(Reales!AX25)),AX$151*INDEX(Precio_V,1)*INDEX(IdxPrecio_V,1,MIN(10,AX$147))*(1+V_dPrecio))</f>
        <v>486817.2225</v>
      </c>
      <c r="AY163" s="34" t="n">
        <f aca="false">IF(AY$8=1,IF(Reales!$C$25="PYG",IF(AY$10&gt;0,N(Reales!AY25)/AY$10,0),N(Reales!AY25)),AY$151*INDEX(Precio_V,1)*INDEX(IdxPrecio_V,1,MIN(10,AY$147))*(1+V_dPrecio))</f>
        <v>486817.2225</v>
      </c>
      <c r="AZ163" s="34" t="n">
        <f aca="false">IF(AZ$8=1,IF(Reales!$C$25="PYG",IF(AZ$10&gt;0,N(Reales!AZ25)/AZ$10,0),N(Reales!AZ25)),AZ$151*INDEX(Precio_V,1)*INDEX(IdxPrecio_V,1,MIN(10,AZ$147))*(1+V_dPrecio))</f>
        <v>486817.2225</v>
      </c>
      <c r="BA163" s="34" t="n">
        <f aca="false">IF(BA$8=1,IF(Reales!$C$25="PYG",IF(BA$10&gt;0,N(Reales!BA25)/BA$10,0),N(Reales!BA25)),BA$151*INDEX(Precio_V,1)*INDEX(IdxPrecio_V,1,MIN(10,BA$147))*(1+V_dPrecio))</f>
        <v>486817.2225</v>
      </c>
      <c r="BB163" s="34" t="n">
        <f aca="false">IF(BB$8=1,IF(Reales!$C$25="PYG",IF(BB$10&gt;0,N(Reales!BB25)/BB$10,0),N(Reales!BB25)),BB$151*INDEX(Precio_V,1)*INDEX(IdxPrecio_V,1,MIN(10,BB$147))*(1+V_dPrecio))</f>
        <v>491685.394725</v>
      </c>
      <c r="BC163" s="34" t="n">
        <f aca="false">IF(BC$8=1,IF(Reales!$C$25="PYG",IF(BC$10&gt;0,N(Reales!BC25)/BC$10,0),N(Reales!BC25)),BC$151*INDEX(Precio_V,1)*INDEX(IdxPrecio_V,1,MIN(10,BC$147))*(1+V_dPrecio))</f>
        <v>491685.394725</v>
      </c>
      <c r="BD163" s="34" t="n">
        <f aca="false">IF(BD$8=1,IF(Reales!$C$25="PYG",IF(BD$10&gt;0,N(Reales!BD25)/BD$10,0),N(Reales!BD25)),BD$151*INDEX(Precio_V,1)*INDEX(IdxPrecio_V,1,MIN(10,BD$147))*(1+V_dPrecio))</f>
        <v>491685.394725</v>
      </c>
      <c r="BE163" s="34" t="n">
        <f aca="false">IF(BE$8=1,IF(Reales!$C$25="PYG",IF(BE$10&gt;0,N(Reales!BE25)/BE$10,0),N(Reales!BE25)),BE$151*INDEX(Precio_V,1)*INDEX(IdxPrecio_V,1,MIN(10,BE$147))*(1+V_dPrecio))</f>
        <v>491685.394725</v>
      </c>
      <c r="BF163" s="34" t="n">
        <f aca="false">IF(BF$8=1,IF(Reales!$C$25="PYG",IF(BF$10&gt;0,N(Reales!BF25)/BF$10,0),N(Reales!BF25)),BF$151*INDEX(Precio_V,1)*INDEX(IdxPrecio_V,1,MIN(10,BF$147))*(1+V_dPrecio))</f>
        <v>491685.394725</v>
      </c>
      <c r="BG163" s="34" t="n">
        <f aca="false">IF(BG$8=1,IF(Reales!$C$25="PYG",IF(BG$10&gt;0,N(Reales!BG25)/BG$10,0),N(Reales!BG25)),BG$151*INDEX(Precio_V,1)*INDEX(IdxPrecio_V,1,MIN(10,BG$147))*(1+V_dPrecio))</f>
        <v>491685.394725</v>
      </c>
      <c r="BH163" s="34" t="n">
        <f aca="false">IF(BH$8=1,IF(Reales!$C$25="PYG",IF(BH$10&gt;0,N(Reales!BH25)/BH$10,0),N(Reales!BH25)),BH$151*INDEX(Precio_V,1)*INDEX(IdxPrecio_V,1,MIN(10,BH$147))*(1+V_dPrecio))</f>
        <v>491685.394725</v>
      </c>
      <c r="BI163" s="34" t="n">
        <f aca="false">IF(BI$8=1,IF(Reales!$C$25="PYG",IF(BI$10&gt;0,N(Reales!BI25)/BI$10,0),N(Reales!BI25)),BI$151*INDEX(Precio_V,1)*INDEX(IdxPrecio_V,1,MIN(10,BI$147))*(1+V_dPrecio))</f>
        <v>491685.394725</v>
      </c>
      <c r="BJ163" s="34" t="n">
        <f aca="false">IF(BJ$8=1,IF(Reales!$C$25="PYG",IF(BJ$10&gt;0,N(Reales!BJ25)/BJ$10,0),N(Reales!BJ25)),BJ$151*INDEX(Precio_V,1)*INDEX(IdxPrecio_V,1,MIN(10,BJ$147))*(1+V_dPrecio))</f>
        <v>491685.394725</v>
      </c>
      <c r="BK163" s="34" t="n">
        <f aca="false">IF(BK$8=1,IF(Reales!$C$25="PYG",IF(BK$10&gt;0,N(Reales!BK25)/BK$10,0),N(Reales!BK25)),BK$151*INDEX(Precio_V,1)*INDEX(IdxPrecio_V,1,MIN(10,BK$147))*(1+V_dPrecio))</f>
        <v>491685.394725</v>
      </c>
      <c r="BL163" s="34" t="n">
        <f aca="false">IF(BL$8=1,IF(Reales!$C$25="PYG",IF(BL$10&gt;0,N(Reales!BL25)/BL$10,0),N(Reales!BL25)),BL$151*INDEX(Precio_V,1)*INDEX(IdxPrecio_V,1,MIN(10,BL$147))*(1+V_dPrecio))</f>
        <v>491685.394725</v>
      </c>
      <c r="BM163" s="34" t="n">
        <f aca="false">IF(BM$8=1,IF(Reales!$C$25="PYG",IF(BM$10&gt;0,N(Reales!BM25)/BM$10,0),N(Reales!BM25)),BM$151*INDEX(Precio_V,1)*INDEX(IdxPrecio_V,1,MIN(10,BM$147))*(1+V_dPrecio))</f>
        <v>491685.394725</v>
      </c>
      <c r="BN163" s="34" t="n">
        <f aca="false">IF(BN$8=1,IF(Reales!$C$25="PYG",IF(BN$10&gt;0,N(Reales!BN25)/BN$10,0),N(Reales!BN25)),BN$151*INDEX(Precio_V,1)*INDEX(IdxPrecio_V,1,MIN(10,BN$147))*(1+V_dPrecio))</f>
        <v>496602.24867225</v>
      </c>
      <c r="BO163" s="34" t="n">
        <f aca="false">IF(BO$8=1,IF(Reales!$C$25="PYG",IF(BO$10&gt;0,N(Reales!BO25)/BO$10,0),N(Reales!BO25)),BO$151*INDEX(Precio_V,1)*INDEX(IdxPrecio_V,1,MIN(10,BO$147))*(1+V_dPrecio))</f>
        <v>496602.24867225</v>
      </c>
      <c r="BP163" s="34" t="n">
        <f aca="false">IF(BP$8=1,IF(Reales!$C$25="PYG",IF(BP$10&gt;0,N(Reales!BP25)/BP$10,0),N(Reales!BP25)),BP$151*INDEX(Precio_V,1)*INDEX(IdxPrecio_V,1,MIN(10,BP$147))*(1+V_dPrecio))</f>
        <v>496602.24867225</v>
      </c>
      <c r="BQ163" s="34" t="n">
        <f aca="false">IF(BQ$8=1,IF(Reales!$C$25="PYG",IF(BQ$10&gt;0,N(Reales!BQ25)/BQ$10,0),N(Reales!BQ25)),BQ$151*INDEX(Precio_V,1)*INDEX(IdxPrecio_V,1,MIN(10,BQ$147))*(1+V_dPrecio))</f>
        <v>496602.24867225</v>
      </c>
      <c r="BR163" s="34" t="n">
        <f aca="false">IF(BR$8=1,IF(Reales!$C$25="PYG",IF(BR$10&gt;0,N(Reales!BR25)/BR$10,0),N(Reales!BR25)),BR$151*INDEX(Precio_V,1)*INDEX(IdxPrecio_V,1,MIN(10,BR$147))*(1+V_dPrecio))</f>
        <v>496602.24867225</v>
      </c>
      <c r="BS163" s="34" t="n">
        <f aca="false">IF(BS$8=1,IF(Reales!$C$25="PYG",IF(BS$10&gt;0,N(Reales!BS25)/BS$10,0),N(Reales!BS25)),BS$151*INDEX(Precio_V,1)*INDEX(IdxPrecio_V,1,MIN(10,BS$147))*(1+V_dPrecio))</f>
        <v>496602.24867225</v>
      </c>
      <c r="BT163" s="34" t="n">
        <f aca="false">IF(BT$8=1,IF(Reales!$C$25="PYG",IF(BT$10&gt;0,N(Reales!BT25)/BT$10,0),N(Reales!BT25)),BT$151*INDEX(Precio_V,1)*INDEX(IdxPrecio_V,1,MIN(10,BT$147))*(1+V_dPrecio))</f>
        <v>496602.24867225</v>
      </c>
      <c r="BU163" s="34" t="n">
        <f aca="false">IF(BU$8=1,IF(Reales!$C$25="PYG",IF(BU$10&gt;0,N(Reales!BU25)/BU$10,0),N(Reales!BU25)),BU$151*INDEX(Precio_V,1)*INDEX(IdxPrecio_V,1,MIN(10,BU$147))*(1+V_dPrecio))</f>
        <v>496602.24867225</v>
      </c>
      <c r="BV163" s="34" t="n">
        <f aca="false">IF(BV$8=1,IF(Reales!$C$25="PYG",IF(BV$10&gt;0,N(Reales!BV25)/BV$10,0),N(Reales!BV25)),BV$151*INDEX(Precio_V,1)*INDEX(IdxPrecio_V,1,MIN(10,BV$147))*(1+V_dPrecio))</f>
        <v>496602.24867225</v>
      </c>
      <c r="BW163" s="34" t="n">
        <f aca="false">IF(BW$8=1,IF(Reales!$C$25="PYG",IF(BW$10&gt;0,N(Reales!BW25)/BW$10,0),N(Reales!BW25)),BW$151*INDEX(Precio_V,1)*INDEX(IdxPrecio_V,1,MIN(10,BW$147))*(1+V_dPrecio))</f>
        <v>496602.24867225</v>
      </c>
      <c r="BX163" s="34" t="n">
        <f aca="false">IF(BX$8=1,IF(Reales!$C$25="PYG",IF(BX$10&gt;0,N(Reales!BX25)/BX$10,0),N(Reales!BX25)),BX$151*INDEX(Precio_V,1)*INDEX(IdxPrecio_V,1,MIN(10,BX$147))*(1+V_dPrecio))</f>
        <v>496602.24867225</v>
      </c>
      <c r="BY163" s="34" t="n">
        <f aca="false">IF(BY$8=1,IF(Reales!$C$25="PYG",IF(BY$10&gt;0,N(Reales!BY25)/BY$10,0),N(Reales!BY25)),BY$151*INDEX(Precio_V,1)*INDEX(IdxPrecio_V,1,MIN(10,BY$147))*(1+V_dPrecio))</f>
        <v>496602.24867225</v>
      </c>
      <c r="BZ163" s="34" t="n">
        <f aca="false">IF(BZ$8=1,IF(Reales!$C$25="PYG",IF(BZ$10&gt;0,N(Reales!BZ25)/BZ$10,0),N(Reales!BZ25)),BZ$151*INDEX(Precio_V,1)*INDEX(IdxPrecio_V,1,MIN(10,BZ$147))*(1+V_dPrecio))</f>
        <v>501568.271158972</v>
      </c>
      <c r="CA163" s="34" t="n">
        <f aca="false">IF(CA$8=1,IF(Reales!$C$25="PYG",IF(CA$10&gt;0,N(Reales!CA25)/CA$10,0),N(Reales!CA25)),CA$151*INDEX(Precio_V,1)*INDEX(IdxPrecio_V,1,MIN(10,CA$147))*(1+V_dPrecio))</f>
        <v>501568.271158972</v>
      </c>
      <c r="CB163" s="34" t="n">
        <f aca="false">IF(CB$8=1,IF(Reales!$C$25="PYG",IF(CB$10&gt;0,N(Reales!CB25)/CB$10,0),N(Reales!CB25)),CB$151*INDEX(Precio_V,1)*INDEX(IdxPrecio_V,1,MIN(10,CB$147))*(1+V_dPrecio))</f>
        <v>501568.271158972</v>
      </c>
      <c r="CC163" s="34" t="n">
        <f aca="false">IF(CC$8=1,IF(Reales!$C$25="PYG",IF(CC$10&gt;0,N(Reales!CC25)/CC$10,0),N(Reales!CC25)),CC$151*INDEX(Precio_V,1)*INDEX(IdxPrecio_V,1,MIN(10,CC$147))*(1+V_dPrecio))</f>
        <v>501568.271158972</v>
      </c>
      <c r="CD163" s="34" t="n">
        <f aca="false">IF(CD$8=1,IF(Reales!$C$25="PYG",IF(CD$10&gt;0,N(Reales!CD25)/CD$10,0),N(Reales!CD25)),CD$151*INDEX(Precio_V,1)*INDEX(IdxPrecio_V,1,MIN(10,CD$147))*(1+V_dPrecio))</f>
        <v>501568.271158972</v>
      </c>
      <c r="CE163" s="34" t="n">
        <f aca="false">IF(CE$8=1,IF(Reales!$C$25="PYG",IF(CE$10&gt;0,N(Reales!CE25)/CE$10,0),N(Reales!CE25)),CE$151*INDEX(Precio_V,1)*INDEX(IdxPrecio_V,1,MIN(10,CE$147))*(1+V_dPrecio))</f>
        <v>501568.271158972</v>
      </c>
      <c r="CF163" s="34" t="n">
        <f aca="false">IF(CF$8=1,IF(Reales!$C$25="PYG",IF(CF$10&gt;0,N(Reales!CF25)/CF$10,0),N(Reales!CF25)),CF$151*INDEX(Precio_V,1)*INDEX(IdxPrecio_V,1,MIN(10,CF$147))*(1+V_dPrecio))</f>
        <v>501568.271158972</v>
      </c>
      <c r="CG163" s="34" t="n">
        <f aca="false">IF(CG$8=1,IF(Reales!$C$25="PYG",IF(CG$10&gt;0,N(Reales!CG25)/CG$10,0),N(Reales!CG25)),CG$151*INDEX(Precio_V,1)*INDEX(IdxPrecio_V,1,MIN(10,CG$147))*(1+V_dPrecio))</f>
        <v>501568.271158972</v>
      </c>
      <c r="CH163" s="34" t="n">
        <f aca="false">IF(CH$8=1,IF(Reales!$C$25="PYG",IF(CH$10&gt;0,N(Reales!CH25)/CH$10,0),N(Reales!CH25)),CH$151*INDEX(Precio_V,1)*INDEX(IdxPrecio_V,1,MIN(10,CH$147))*(1+V_dPrecio))</f>
        <v>501568.271158972</v>
      </c>
      <c r="CI163" s="34" t="n">
        <f aca="false">IF(CI$8=1,IF(Reales!$C$25="PYG",IF(CI$10&gt;0,N(Reales!CI25)/CI$10,0),N(Reales!CI25)),CI$151*INDEX(Precio_V,1)*INDEX(IdxPrecio_V,1,MIN(10,CI$147))*(1+V_dPrecio))</f>
        <v>501568.271158972</v>
      </c>
      <c r="CJ163" s="34" t="n">
        <f aca="false">IF(CJ$8=1,IF(Reales!$C$25="PYG",IF(CJ$10&gt;0,N(Reales!CJ25)/CJ$10,0),N(Reales!CJ25)),CJ$151*INDEX(Precio_V,1)*INDEX(IdxPrecio_V,1,MIN(10,CJ$147))*(1+V_dPrecio))</f>
        <v>501568.271158972</v>
      </c>
      <c r="CK163" s="34" t="n">
        <f aca="false">IF(CK$8=1,IF(Reales!$C$25="PYG",IF(CK$10&gt;0,N(Reales!CK25)/CK$10,0),N(Reales!CK25)),CK$151*INDEX(Precio_V,1)*INDEX(IdxPrecio_V,1,MIN(10,CK$147))*(1+V_dPrecio))</f>
        <v>501568.271158972</v>
      </c>
      <c r="CL163" s="34" t="n">
        <f aca="false">IF(CL$8=1,IF(Reales!$C$25="PYG",IF(CL$10&gt;0,N(Reales!CL25)/CL$10,0),N(Reales!CL25)),CL$151*INDEX(Precio_V,1)*INDEX(IdxPrecio_V,1,MIN(10,CL$147))*(1+V_dPrecio))</f>
        <v>506583.953870562</v>
      </c>
      <c r="CM163" s="34" t="n">
        <f aca="false">IF(CM$8=1,IF(Reales!$C$25="PYG",IF(CM$10&gt;0,N(Reales!CM25)/CM$10,0),N(Reales!CM25)),CM$151*INDEX(Precio_V,1)*INDEX(IdxPrecio_V,1,MIN(10,CM$147))*(1+V_dPrecio))</f>
        <v>506583.953870562</v>
      </c>
      <c r="CN163" s="34" t="n">
        <f aca="false">IF(CN$8=1,IF(Reales!$C$25="PYG",IF(CN$10&gt;0,N(Reales!CN25)/CN$10,0),N(Reales!CN25)),CN$151*INDEX(Precio_V,1)*INDEX(IdxPrecio_V,1,MIN(10,CN$147))*(1+V_dPrecio))</f>
        <v>506583.953870562</v>
      </c>
      <c r="CO163" s="34" t="n">
        <f aca="false">IF(CO$8=1,IF(Reales!$C$25="PYG",IF(CO$10&gt;0,N(Reales!CO25)/CO$10,0),N(Reales!CO25)),CO$151*INDEX(Precio_V,1)*INDEX(IdxPrecio_V,1,MIN(10,CO$147))*(1+V_dPrecio))</f>
        <v>506583.953870562</v>
      </c>
      <c r="CP163" s="34" t="n">
        <f aca="false">IF(CP$8=1,IF(Reales!$C$25="PYG",IF(CP$10&gt;0,N(Reales!CP25)/CP$10,0),N(Reales!CP25)),CP$151*INDEX(Precio_V,1)*INDEX(IdxPrecio_V,1,MIN(10,CP$147))*(1+V_dPrecio))</f>
        <v>506583.953870562</v>
      </c>
      <c r="CQ163" s="34" t="n">
        <f aca="false">IF(CQ$8=1,IF(Reales!$C$25="PYG",IF(CQ$10&gt;0,N(Reales!CQ25)/CQ$10,0),N(Reales!CQ25)),CQ$151*INDEX(Precio_V,1)*INDEX(IdxPrecio_V,1,MIN(10,CQ$147))*(1+V_dPrecio))</f>
        <v>506583.953870562</v>
      </c>
      <c r="CR163" s="34" t="n">
        <f aca="false">IF(CR$8=1,IF(Reales!$C$25="PYG",IF(CR$10&gt;0,N(Reales!CR25)/CR$10,0),N(Reales!CR25)),CR$151*INDEX(Precio_V,1)*INDEX(IdxPrecio_V,1,MIN(10,CR$147))*(1+V_dPrecio))</f>
        <v>506583.953870562</v>
      </c>
      <c r="CS163" s="34" t="n">
        <f aca="false">IF(CS$8=1,IF(Reales!$C$25="PYG",IF(CS$10&gt;0,N(Reales!CS25)/CS$10,0),N(Reales!CS25)),CS$151*INDEX(Precio_V,1)*INDEX(IdxPrecio_V,1,MIN(10,CS$147))*(1+V_dPrecio))</f>
        <v>506583.953870562</v>
      </c>
      <c r="CT163" s="34" t="n">
        <f aca="false">IF(CT$8=1,IF(Reales!$C$25="PYG",IF(CT$10&gt;0,N(Reales!CT25)/CT$10,0),N(Reales!CT25)),CT$151*INDEX(Precio_V,1)*INDEX(IdxPrecio_V,1,MIN(10,CT$147))*(1+V_dPrecio))</f>
        <v>506583.953870562</v>
      </c>
      <c r="CU163" s="34" t="n">
        <f aca="false">IF(CU$8=1,IF(Reales!$C$25="PYG",IF(CU$10&gt;0,N(Reales!CU25)/CU$10,0),N(Reales!CU25)),CU$151*INDEX(Precio_V,1)*INDEX(IdxPrecio_V,1,MIN(10,CU$147))*(1+V_dPrecio))</f>
        <v>506583.953870562</v>
      </c>
      <c r="CV163" s="34" t="n">
        <f aca="false">IF(CV$8=1,IF(Reales!$C$25="PYG",IF(CV$10&gt;0,N(Reales!CV25)/CV$10,0),N(Reales!CV25)),CV$151*INDEX(Precio_V,1)*INDEX(IdxPrecio_V,1,MIN(10,CV$147))*(1+V_dPrecio))</f>
        <v>506583.953870562</v>
      </c>
      <c r="CW163" s="34" t="n">
        <f aca="false">IF(CW$8=1,IF(Reales!$C$25="PYG",IF(CW$10&gt;0,N(Reales!CW25)/CW$10,0),N(Reales!CW25)),CW$151*INDEX(Precio_V,1)*INDEX(IdxPrecio_V,1,MIN(10,CW$147))*(1+V_dPrecio))</f>
        <v>506583.953870562</v>
      </c>
      <c r="CX163" s="34" t="n">
        <f aca="false">IF(CX$8=1,IF(Reales!$C$25="PYG",IF(CX$10&gt;0,N(Reales!CX25)/CX$10,0),N(Reales!CX25)),CX$151*INDEX(Precio_V,1)*INDEX(IdxPrecio_V,1,MIN(10,CX$147))*(1+V_dPrecio))</f>
        <v>511649.793409268</v>
      </c>
      <c r="CY163" s="34" t="n">
        <f aca="false">IF(CY$8=1,IF(Reales!$C$25="PYG",IF(CY$10&gt;0,N(Reales!CY25)/CY$10,0),N(Reales!CY25)),CY$151*INDEX(Precio_V,1)*INDEX(IdxPrecio_V,1,MIN(10,CY$147))*(1+V_dPrecio))</f>
        <v>511649.793409268</v>
      </c>
      <c r="CZ163" s="34" t="n">
        <f aca="false">IF(CZ$8=1,IF(Reales!$C$25="PYG",IF(CZ$10&gt;0,N(Reales!CZ25)/CZ$10,0),N(Reales!CZ25)),CZ$151*INDEX(Precio_V,1)*INDEX(IdxPrecio_V,1,MIN(10,CZ$147))*(1+V_dPrecio))</f>
        <v>511649.793409268</v>
      </c>
      <c r="DA163" s="34" t="n">
        <f aca="false">IF(DA$8=1,IF(Reales!$C$25="PYG",IF(DA$10&gt;0,N(Reales!DA25)/DA$10,0),N(Reales!DA25)),DA$151*INDEX(Precio_V,1)*INDEX(IdxPrecio_V,1,MIN(10,DA$147))*(1+V_dPrecio))</f>
        <v>511649.793409268</v>
      </c>
      <c r="DB163" s="34" t="n">
        <f aca="false">IF(DB$8=1,IF(Reales!$C$25="PYG",IF(DB$10&gt;0,N(Reales!DB25)/DB$10,0),N(Reales!DB25)),DB$151*INDEX(Precio_V,1)*INDEX(IdxPrecio_V,1,MIN(10,DB$147))*(1+V_dPrecio))</f>
        <v>511649.793409268</v>
      </c>
      <c r="DC163" s="34" t="n">
        <f aca="false">IF(DC$8=1,IF(Reales!$C$25="PYG",IF(DC$10&gt;0,N(Reales!DC25)/DC$10,0),N(Reales!DC25)),DC$151*INDEX(Precio_V,1)*INDEX(IdxPrecio_V,1,MIN(10,DC$147))*(1+V_dPrecio))</f>
        <v>511649.793409268</v>
      </c>
      <c r="DD163" s="34" t="n">
        <f aca="false">IF(DD$8=1,IF(Reales!$C$25="PYG",IF(DD$10&gt;0,N(Reales!DD25)/DD$10,0),N(Reales!DD25)),DD$151*INDEX(Precio_V,1)*INDEX(IdxPrecio_V,1,MIN(10,DD$147))*(1+V_dPrecio))</f>
        <v>511649.793409268</v>
      </c>
      <c r="DE163" s="34" t="n">
        <f aca="false">IF(DE$8=1,IF(Reales!$C$25="PYG",IF(DE$10&gt;0,N(Reales!DE25)/DE$10,0),N(Reales!DE25)),DE$151*INDEX(Precio_V,1)*INDEX(IdxPrecio_V,1,MIN(10,DE$147))*(1+V_dPrecio))</f>
        <v>511649.793409268</v>
      </c>
      <c r="DF163" s="34" t="n">
        <f aca="false">IF(DF$8=1,IF(Reales!$C$25="PYG",IF(DF$10&gt;0,N(Reales!DF25)/DF$10,0),N(Reales!DF25)),DF$151*INDEX(Precio_V,1)*INDEX(IdxPrecio_V,1,MIN(10,DF$147))*(1+V_dPrecio))</f>
        <v>511649.793409268</v>
      </c>
      <c r="DG163" s="34" t="n">
        <f aca="false">IF(DG$8=1,IF(Reales!$C$25="PYG",IF(DG$10&gt;0,N(Reales!DG25)/DG$10,0),N(Reales!DG25)),DG$151*INDEX(Precio_V,1)*INDEX(IdxPrecio_V,1,MIN(10,DG$147))*(1+V_dPrecio))</f>
        <v>511649.793409268</v>
      </c>
      <c r="DH163" s="34" t="n">
        <f aca="false">IF(DH$8=1,IF(Reales!$C$25="PYG",IF(DH$10&gt;0,N(Reales!DH25)/DH$10,0),N(Reales!DH25)),DH$151*INDEX(Precio_V,1)*INDEX(IdxPrecio_V,1,MIN(10,DH$147))*(1+V_dPrecio))</f>
        <v>511649.793409268</v>
      </c>
      <c r="DI163" s="34" t="n">
        <f aca="false">IF(DI$8=1,IF(Reales!$C$25="PYG",IF(DI$10&gt;0,N(Reales!DI25)/DI$10,0),N(Reales!DI25)),DI$151*INDEX(Precio_V,1)*INDEX(IdxPrecio_V,1,MIN(10,DI$147))*(1+V_dPrecio))</f>
        <v>511649.793409268</v>
      </c>
      <c r="DJ163" s="34" t="n">
        <f aca="false">IF(DJ$8=1,IF(Reales!$C$25="PYG",IF(DJ$10&gt;0,N(Reales!DJ25)/DJ$10,0),N(Reales!DJ25)),DJ$151*INDEX(Precio_V,1)*INDEX(IdxPrecio_V,1,MIN(10,DJ$147))*(1+V_dPrecio))</f>
        <v>516766.291343361</v>
      </c>
      <c r="DK163" s="34" t="n">
        <f aca="false">IF(DK$8=1,IF(Reales!$C$25="PYG",IF(DK$10&gt;0,N(Reales!DK25)/DK$10,0),N(Reales!DK25)),DK$151*INDEX(Precio_V,1)*INDEX(IdxPrecio_V,1,MIN(10,DK$147))*(1+V_dPrecio))</f>
        <v>516766.291343361</v>
      </c>
      <c r="DL163" s="34" t="n">
        <f aca="false">IF(DL$8=1,IF(Reales!$C$25="PYG",IF(DL$10&gt;0,N(Reales!DL25)/DL$10,0),N(Reales!DL25)),DL$151*INDEX(Precio_V,1)*INDEX(IdxPrecio_V,1,MIN(10,DL$147))*(1+V_dPrecio))</f>
        <v>516766.291343361</v>
      </c>
      <c r="DM163" s="34" t="n">
        <f aca="false">IF(DM$8=1,IF(Reales!$C$25="PYG",IF(DM$10&gt;0,N(Reales!DM25)/DM$10,0),N(Reales!DM25)),DM$151*INDEX(Precio_V,1)*INDEX(IdxPrecio_V,1,MIN(10,DM$147))*(1+V_dPrecio))</f>
        <v>516766.291343361</v>
      </c>
      <c r="DN163" s="34" t="n">
        <f aca="false">IF(DN$8=1,IF(Reales!$C$25="PYG",IF(DN$10&gt;0,N(Reales!DN25)/DN$10,0),N(Reales!DN25)),DN$151*INDEX(Precio_V,1)*INDEX(IdxPrecio_V,1,MIN(10,DN$147))*(1+V_dPrecio))</f>
        <v>516766.291343361</v>
      </c>
      <c r="DO163" s="34" t="n">
        <f aca="false">IF(DO$8=1,IF(Reales!$C$25="PYG",IF(DO$10&gt;0,N(Reales!DO25)/DO$10,0),N(Reales!DO25)),DO$151*INDEX(Precio_V,1)*INDEX(IdxPrecio_V,1,MIN(10,DO$147))*(1+V_dPrecio))</f>
        <v>516766.291343361</v>
      </c>
      <c r="DP163" s="34" t="n">
        <f aca="false">IF(DP$8=1,IF(Reales!$C$25="PYG",IF(DP$10&gt;0,N(Reales!DP25)/DP$10,0),N(Reales!DP25)),DP$151*INDEX(Precio_V,1)*INDEX(IdxPrecio_V,1,MIN(10,DP$147))*(1+V_dPrecio))</f>
        <v>516766.291343361</v>
      </c>
      <c r="DQ163" s="34" t="n">
        <f aca="false">IF(DQ$8=1,IF(Reales!$C$25="PYG",IF(DQ$10&gt;0,N(Reales!DQ25)/DQ$10,0),N(Reales!DQ25)),DQ$151*INDEX(Precio_V,1)*INDEX(IdxPrecio_V,1,MIN(10,DQ$147))*(1+V_dPrecio))</f>
        <v>516766.291343361</v>
      </c>
      <c r="DR163" s="34" t="n">
        <f aca="false">IF(DR$8=1,IF(Reales!$C$25="PYG",IF(DR$10&gt;0,N(Reales!DR25)/DR$10,0),N(Reales!DR25)),DR$151*INDEX(Precio_V,1)*INDEX(IdxPrecio_V,1,MIN(10,DR$147))*(1+V_dPrecio))</f>
        <v>516766.291343361</v>
      </c>
      <c r="DS163" s="34" t="n">
        <f aca="false">IF(DS$8=1,IF(Reales!$C$25="PYG",IF(DS$10&gt;0,N(Reales!DS25)/DS$10,0),N(Reales!DS25)),DS$151*INDEX(Precio_V,1)*INDEX(IdxPrecio_V,1,MIN(10,DS$147))*(1+V_dPrecio))</f>
        <v>516766.291343361</v>
      </c>
      <c r="DT163" s="34" t="n">
        <f aca="false">IF(DT$8=1,IF(Reales!$C$25="PYG",IF(DT$10&gt;0,N(Reales!DT25)/DT$10,0),N(Reales!DT25)),DT$151*INDEX(Precio_V,1)*INDEX(IdxPrecio_V,1,MIN(10,DT$147))*(1+V_dPrecio))</f>
        <v>516766.291343361</v>
      </c>
      <c r="DU163" s="34" t="n">
        <f aca="false">IF(DU$8=1,IF(Reales!$C$25="PYG",IF(DU$10&gt;0,N(Reales!DU25)/DU$10,0),N(Reales!DU25)),DU$151*INDEX(Precio_V,1)*INDEX(IdxPrecio_V,1,MIN(10,DU$147))*(1+V_dPrecio))</f>
        <v>516766.291343361</v>
      </c>
      <c r="DV163" s="34" t="n">
        <f aca="false">IF(DV$8=1,IF(Reales!$C$25="PYG",IF(DV$10&gt;0,N(Reales!DV25)/DV$10,0),N(Reales!DV25)),DV$151*INDEX(Precio_V,1)*INDEX(IdxPrecio_V,1,MIN(10,DV$147))*(1+V_dPrecio))</f>
        <v>0</v>
      </c>
      <c r="DW163" s="34" t="n">
        <f aca="false">IF(DW$8=1,IF(Reales!$C$25="PYG",IF(DW$10&gt;0,N(Reales!DW25)/DW$10,0),N(Reales!DW25)),DW$151*INDEX(Precio_V,1)*INDEX(IdxPrecio_V,1,MIN(10,DW$147))*(1+V_dPrecio))</f>
        <v>0</v>
      </c>
      <c r="DX163" s="34" t="n">
        <f aca="false">IF(DX$8=1,IF(Reales!$C$25="PYG",IF(DX$10&gt;0,N(Reales!DX25)/DX$10,0),N(Reales!DX25)),DX$151*INDEX(Precio_V,1)*INDEX(IdxPrecio_V,1,MIN(10,DX$147))*(1+V_dPrecio))</f>
        <v>0</v>
      </c>
      <c r="DY163" s="34" t="n">
        <f aca="false">IF(DY$8=1,IF(Reales!$C$25="PYG",IF(DY$10&gt;0,N(Reales!DY25)/DY$10,0),N(Reales!DY25)),DY$151*INDEX(Precio_V,1)*INDEX(IdxPrecio_V,1,MIN(10,DY$147))*(1+V_dPrecio))</f>
        <v>0</v>
      </c>
      <c r="DZ163" s="34" t="n">
        <f aca="false">IF(DZ$8=1,IF(Reales!$C$25="PYG",IF(DZ$10&gt;0,N(Reales!DZ25)/DZ$10,0),N(Reales!DZ25)),DZ$151*INDEX(Precio_V,1)*INDEX(IdxPrecio_V,1,MIN(10,DZ$147))*(1+V_dPrecio))</f>
        <v>0</v>
      </c>
      <c r="EA163" s="34" t="n">
        <f aca="false">IF(EA$8=1,IF(Reales!$C$25="PYG",IF(EA$10&gt;0,N(Reales!EA25)/EA$10,0),N(Reales!EA25)),EA$151*INDEX(Precio_V,1)*INDEX(IdxPrecio_V,1,MIN(10,EA$147))*(1+V_dPrecio))</f>
        <v>0</v>
      </c>
      <c r="EB163" s="34" t="n">
        <f aca="false">IF(EB$8=1,IF(Reales!$C$25="PYG",IF(EB$10&gt;0,N(Reales!EB25)/EB$10,0),N(Reales!EB25)),EB$151*INDEX(Precio_V,1)*INDEX(IdxPrecio_V,1,MIN(10,EB$147))*(1+V_dPrecio))</f>
        <v>0</v>
      </c>
      <c r="EC163" s="34" t="n">
        <f aca="false">IF(EC$8=1,IF(Reales!$C$25="PYG",IF(EC$10&gt;0,N(Reales!EC25)/EC$10,0),N(Reales!EC25)),EC$151*INDEX(Precio_V,1)*INDEX(IdxPrecio_V,1,MIN(10,EC$147))*(1+V_dPrecio))</f>
        <v>0</v>
      </c>
      <c r="ED163" s="34" t="n">
        <f aca="false">IF(ED$8=1,IF(Reales!$C$25="PYG",IF(ED$10&gt;0,N(Reales!ED25)/ED$10,0),N(Reales!ED25)),ED$151*INDEX(Precio_V,1)*INDEX(IdxPrecio_V,1,MIN(10,ED$147))*(1+V_dPrecio))</f>
        <v>0</v>
      </c>
      <c r="EE163" s="34" t="n">
        <f aca="false">IF(EE$8=1,IF(Reales!$C$25="PYG",IF(EE$10&gt;0,N(Reales!EE25)/EE$10,0),N(Reales!EE25)),EE$151*INDEX(Precio_V,1)*INDEX(IdxPrecio_V,1,MIN(10,EE$147))*(1+V_dPrecio))</f>
        <v>0</v>
      </c>
      <c r="EF163" s="34" t="n">
        <f aca="false">IF(EF$8=1,IF(Reales!$C$25="PYG",IF(EF$10&gt;0,N(Reales!EF25)/EF$10,0),N(Reales!EF25)),EF$151*INDEX(Precio_V,1)*INDEX(IdxPrecio_V,1,MIN(10,EF$147))*(1+V_dPrecio))</f>
        <v>0</v>
      </c>
      <c r="EG163" s="34" t="n">
        <f aca="false">IF(EG$8=1,IF(Reales!$C$25="PYG",IF(EG$10&gt;0,N(Reales!EG25)/EG$10,0),N(Reales!EG25)),EG$151*INDEX(Precio_V,1)*INDEX(IdxPrecio_V,1,MIN(10,EG$147))*(1+V_dPrecio))</f>
        <v>0</v>
      </c>
      <c r="EH163" s="34" t="n">
        <f aca="false">IF(EH$8=1,IF(Reales!$C$25="PYG",IF(EH$10&gt;0,N(Reales!EH25)/EH$10,0),N(Reales!EH25)),EH$151*INDEX(Precio_V,1)*INDEX(IdxPrecio_V,1,MIN(10,EH$147))*(1+V_dPrecio))</f>
        <v>0</v>
      </c>
      <c r="EI163" s="34" t="n">
        <f aca="false">IF(EI$8=1,IF(Reales!$C$25="PYG",IF(EI$10&gt;0,N(Reales!EI25)/EI$10,0),N(Reales!EI25)),EI$151*INDEX(Precio_V,1)*INDEX(IdxPrecio_V,1,MIN(10,EI$147))*(1+V_dPrecio))</f>
        <v>0</v>
      </c>
      <c r="EJ163" s="34" t="n">
        <f aca="false">IF(EJ$8=1,IF(Reales!$C$25="PYG",IF(EJ$10&gt;0,N(Reales!EJ25)/EJ$10,0),N(Reales!EJ25)),EJ$151*INDEX(Precio_V,1)*INDEX(IdxPrecio_V,1,MIN(10,EJ$147))*(1+V_dPrecio))</f>
        <v>0</v>
      </c>
      <c r="EK163" s="34" t="n">
        <f aca="false">IF(EK$8=1,IF(Reales!$C$25="PYG",IF(EK$10&gt;0,N(Reales!EK25)/EK$10,0),N(Reales!EK25)),EK$151*INDEX(Precio_V,1)*INDEX(IdxPrecio_V,1,MIN(10,EK$147))*(1+V_dPrecio))</f>
        <v>0</v>
      </c>
      <c r="EL163" s="34" t="n">
        <f aca="false">IF(EL$8=1,IF(Reales!$C$25="PYG",IF(EL$10&gt;0,N(Reales!EL25)/EL$10,0),N(Reales!EL25)),EL$151*INDEX(Precio_V,1)*INDEX(IdxPrecio_V,1,MIN(10,EL$147))*(1+V_dPrecio))</f>
        <v>0</v>
      </c>
      <c r="EM163" s="34" t="n">
        <f aca="false">IF(EM$8=1,IF(Reales!$C$25="PYG",IF(EM$10&gt;0,N(Reales!EM25)/EM$10,0),N(Reales!EM25)),EM$151*INDEX(Precio_V,1)*INDEX(IdxPrecio_V,1,MIN(10,EM$147))*(1+V_dPrecio))</f>
        <v>0</v>
      </c>
      <c r="EN163" s="34" t="n">
        <f aca="false">IF(EN$8=1,IF(Reales!$C$25="PYG",IF(EN$10&gt;0,N(Reales!EN25)/EN$10,0),N(Reales!EN25)),EN$151*INDEX(Precio_V,1)*INDEX(IdxPrecio_V,1,MIN(10,EN$147))*(1+V_dPrecio))</f>
        <v>0</v>
      </c>
      <c r="EO163" s="34" t="n">
        <f aca="false">IF(EO$8=1,IF(Reales!$C$25="PYG",IF(EO$10&gt;0,N(Reales!EO25)/EO$10,0),N(Reales!EO25)),EO$151*INDEX(Precio_V,1)*INDEX(IdxPrecio_V,1,MIN(10,EO$147))*(1+V_dPrecio))</f>
        <v>0</v>
      </c>
      <c r="EP163" s="34" t="n">
        <f aca="false">IF(EP$8=1,IF(Reales!$C$25="PYG",IF(EP$10&gt;0,N(Reales!EP25)/EP$10,0),N(Reales!EP25)),EP$151*INDEX(Precio_V,1)*INDEX(IdxPrecio_V,1,MIN(10,EP$147))*(1+V_dPrecio))</f>
        <v>0</v>
      </c>
      <c r="EQ163" s="34" t="n">
        <f aca="false">IF(EQ$8=1,IF(Reales!$C$25="PYG",IF(EQ$10&gt;0,N(Reales!EQ25)/EQ$10,0),N(Reales!EQ25)),EQ$151*INDEX(Precio_V,1)*INDEX(IdxPrecio_V,1,MIN(10,EQ$147))*(1+V_dPrecio))</f>
        <v>0</v>
      </c>
      <c r="ER163" s="34" t="n">
        <f aca="false">IF(ER$8=1,IF(Reales!$C$25="PYG",IF(ER$10&gt;0,N(Reales!ER25)/ER$10,0),N(Reales!ER25)),ER$151*INDEX(Precio_V,1)*INDEX(IdxPrecio_V,1,MIN(10,ER$147))*(1+V_dPrecio))</f>
        <v>0</v>
      </c>
      <c r="ES163" s="34" t="n">
        <f aca="false">IF(ES$8=1,IF(Reales!$C$25="PYG",IF(ES$10&gt;0,N(Reales!ES25)/ES$10,0),N(Reales!ES25)),ES$151*INDEX(Precio_V,1)*INDEX(IdxPrecio_V,1,MIN(10,ES$147))*(1+V_dPrecio))</f>
        <v>0</v>
      </c>
    </row>
    <row r="164" customFormat="false" ht="15" hidden="false" customHeight="false" outlineLevel="0" collapsed="false">
      <c r="A164" s="2" t="s">
        <v>780</v>
      </c>
      <c r="B164" s="39" t="str">
        <f aca="false">IF(INDEX(Prod_Nombre,2)="","Producto 2",INDEX(Prod_Nombre,2))&amp;" — ventas USD"</f>
        <v>Cajas metálicas 13 kg — ventas USD</v>
      </c>
      <c r="C164" s="6" t="s">
        <v>250</v>
      </c>
      <c r="E164" s="40" t="n">
        <f aca="false">SUM(F164:ES164)</f>
        <v>26794183.6134924</v>
      </c>
      <c r="F164" s="34" t="n">
        <f aca="false">IF(F$8=1,IF(Reales!$C$26="PYG",IF(F$10&gt;0,N(Reales!F26)/F$10,0),N(Reales!F26)),F$152*INDEX(Precio_V,2)*INDEX(IdxPrecio_V,1,MIN(10,F$147))*(1+V_dPrecio))</f>
        <v>134166.666666667</v>
      </c>
      <c r="G164" s="34" t="n">
        <f aca="false">IF(G$8=1,IF(Reales!$C$26="PYG",IF(G$10&gt;0,N(Reales!G26)/G$10,0),N(Reales!G26)),G$152*INDEX(Precio_V,2)*INDEX(IdxPrecio_V,1,MIN(10,G$147))*(1+V_dPrecio))</f>
        <v>134166.666666667</v>
      </c>
      <c r="H164" s="34" t="n">
        <f aca="false">IF(H$8=1,IF(Reales!$C$26="PYG",IF(H$10&gt;0,N(Reales!H26)/H$10,0),N(Reales!H26)),H$152*INDEX(Precio_V,2)*INDEX(IdxPrecio_V,1,MIN(10,H$147))*(1+V_dPrecio))</f>
        <v>134166.666666667</v>
      </c>
      <c r="I164" s="34" t="n">
        <f aca="false">IF(I$8=1,IF(Reales!$C$26="PYG",IF(I$10&gt;0,N(Reales!I26)/I$10,0),N(Reales!I26)),I$152*INDEX(Precio_V,2)*INDEX(IdxPrecio_V,1,MIN(10,I$147))*(1+V_dPrecio))</f>
        <v>134166.666666667</v>
      </c>
      <c r="J164" s="34" t="n">
        <f aca="false">IF(J$8=1,IF(Reales!$C$26="PYG",IF(J$10&gt;0,N(Reales!J26)/J$10,0),N(Reales!J26)),J$152*INDEX(Precio_V,2)*INDEX(IdxPrecio_V,1,MIN(10,J$147))*(1+V_dPrecio))</f>
        <v>134166.666666667</v>
      </c>
      <c r="K164" s="34" t="n">
        <f aca="false">IF(K$8=1,IF(Reales!$C$26="PYG",IF(K$10&gt;0,N(Reales!K26)/K$10,0),N(Reales!K26)),K$152*INDEX(Precio_V,2)*INDEX(IdxPrecio_V,1,MIN(10,K$147))*(1+V_dPrecio))</f>
        <v>134166.666666667</v>
      </c>
      <c r="L164" s="34" t="n">
        <f aca="false">IF(L$8=1,IF(Reales!$C$26="PYG",IF(L$10&gt;0,N(Reales!L26)/L$10,0),N(Reales!L26)),L$152*INDEX(Precio_V,2)*INDEX(IdxPrecio_V,1,MIN(10,L$147))*(1+V_dPrecio))</f>
        <v>134166.666666667</v>
      </c>
      <c r="M164" s="34" t="n">
        <f aca="false">IF(M$8=1,IF(Reales!$C$26="PYG",IF(M$10&gt;0,N(Reales!M26)/M$10,0),N(Reales!M26)),M$152*INDEX(Precio_V,2)*INDEX(IdxPrecio_V,1,MIN(10,M$147))*(1+V_dPrecio))</f>
        <v>134166.666666667</v>
      </c>
      <c r="N164" s="34" t="n">
        <f aca="false">IF(N$8=1,IF(Reales!$C$26="PYG",IF(N$10&gt;0,N(Reales!N26)/N$10,0),N(Reales!N26)),N$152*INDEX(Precio_V,2)*INDEX(IdxPrecio_V,1,MIN(10,N$147))*(1+V_dPrecio))</f>
        <v>134166.666666667</v>
      </c>
      <c r="O164" s="34" t="n">
        <f aca="false">IF(O$8=1,IF(Reales!$C$26="PYG",IF(O$10&gt;0,N(Reales!O26)/O$10,0),N(Reales!O26)),O$152*INDEX(Precio_V,2)*INDEX(IdxPrecio_V,1,MIN(10,O$147))*(1+V_dPrecio))</f>
        <v>134166.666666667</v>
      </c>
      <c r="P164" s="34" t="n">
        <f aca="false">IF(P$8=1,IF(Reales!$C$26="PYG",IF(P$10&gt;0,N(Reales!P26)/P$10,0),N(Reales!P26)),P$152*INDEX(Precio_V,2)*INDEX(IdxPrecio_V,1,MIN(10,P$147))*(1+V_dPrecio))</f>
        <v>134166.666666667</v>
      </c>
      <c r="Q164" s="34" t="n">
        <f aca="false">IF(Q$8=1,IF(Reales!$C$26="PYG",IF(Q$10&gt;0,N(Reales!Q26)/Q$10,0),N(Reales!Q26)),Q$152*INDEX(Precio_V,2)*INDEX(IdxPrecio_V,1,MIN(10,Q$147))*(1+V_dPrecio))</f>
        <v>134166.666666667</v>
      </c>
      <c r="R164" s="34" t="n">
        <f aca="false">IF(R$8=1,IF(Reales!$C$26="PYG",IF(R$10&gt;0,N(Reales!R26)/R$10,0),N(Reales!R26)),R$152*INDEX(Precio_V,2)*INDEX(IdxPrecio_V,1,MIN(10,R$147))*(1+V_dPrecio))</f>
        <v>174225</v>
      </c>
      <c r="S164" s="34" t="n">
        <f aca="false">IF(S$8=1,IF(Reales!$C$26="PYG",IF(S$10&gt;0,N(Reales!S26)/S$10,0),N(Reales!S26)),S$152*INDEX(Precio_V,2)*INDEX(IdxPrecio_V,1,MIN(10,S$147))*(1+V_dPrecio))</f>
        <v>174225</v>
      </c>
      <c r="T164" s="34" t="n">
        <f aca="false">IF(T$8=1,IF(Reales!$C$26="PYG",IF(T$10&gt;0,N(Reales!T26)/T$10,0),N(Reales!T26)),T$152*INDEX(Precio_V,2)*INDEX(IdxPrecio_V,1,MIN(10,T$147))*(1+V_dPrecio))</f>
        <v>174225</v>
      </c>
      <c r="U164" s="34" t="n">
        <f aca="false">IF(U$8=1,IF(Reales!$C$26="PYG",IF(U$10&gt;0,N(Reales!U26)/U$10,0),N(Reales!U26)),U$152*INDEX(Precio_V,2)*INDEX(IdxPrecio_V,1,MIN(10,U$147))*(1+V_dPrecio))</f>
        <v>174225</v>
      </c>
      <c r="V164" s="34" t="n">
        <f aca="false">IF(V$8=1,IF(Reales!$C$26="PYG",IF(V$10&gt;0,N(Reales!V26)/V$10,0),N(Reales!V26)),V$152*INDEX(Precio_V,2)*INDEX(IdxPrecio_V,1,MIN(10,V$147))*(1+V_dPrecio))</f>
        <v>174225</v>
      </c>
      <c r="W164" s="34" t="n">
        <f aca="false">IF(W$8=1,IF(Reales!$C$26="PYG",IF(W$10&gt;0,N(Reales!W26)/W$10,0),N(Reales!W26)),W$152*INDEX(Precio_V,2)*INDEX(IdxPrecio_V,1,MIN(10,W$147))*(1+V_dPrecio))</f>
        <v>174225</v>
      </c>
      <c r="X164" s="34" t="n">
        <f aca="false">IF(X$8=1,IF(Reales!$C$26="PYG",IF(X$10&gt;0,N(Reales!X26)/X$10,0),N(Reales!X26)),X$152*INDEX(Precio_V,2)*INDEX(IdxPrecio_V,1,MIN(10,X$147))*(1+V_dPrecio))</f>
        <v>174225</v>
      </c>
      <c r="Y164" s="34" t="n">
        <f aca="false">IF(Y$8=1,IF(Reales!$C$26="PYG",IF(Y$10&gt;0,N(Reales!Y26)/Y$10,0),N(Reales!Y26)),Y$152*INDEX(Precio_V,2)*INDEX(IdxPrecio_V,1,MIN(10,Y$147))*(1+V_dPrecio))</f>
        <v>174225</v>
      </c>
      <c r="Z164" s="34" t="n">
        <f aca="false">IF(Z$8=1,IF(Reales!$C$26="PYG",IF(Z$10&gt;0,N(Reales!Z26)/Z$10,0),N(Reales!Z26)),Z$152*INDEX(Precio_V,2)*INDEX(IdxPrecio_V,1,MIN(10,Z$147))*(1+V_dPrecio))</f>
        <v>174225</v>
      </c>
      <c r="AA164" s="34" t="n">
        <f aca="false">IF(AA$8=1,IF(Reales!$C$26="PYG",IF(AA$10&gt;0,N(Reales!AA26)/AA$10,0),N(Reales!AA26)),AA$152*INDEX(Precio_V,2)*INDEX(IdxPrecio_V,1,MIN(10,AA$147))*(1+V_dPrecio))</f>
        <v>174225</v>
      </c>
      <c r="AB164" s="34" t="n">
        <f aca="false">IF(AB$8=1,IF(Reales!$C$26="PYG",IF(AB$10&gt;0,N(Reales!AB26)/AB$10,0),N(Reales!AB26)),AB$152*INDEX(Precio_V,2)*INDEX(IdxPrecio_V,1,MIN(10,AB$147))*(1+V_dPrecio))</f>
        <v>174225</v>
      </c>
      <c r="AC164" s="34" t="n">
        <f aca="false">IF(AC$8=1,IF(Reales!$C$26="PYG",IF(AC$10&gt;0,N(Reales!AC26)/AC$10,0),N(Reales!AC26)),AC$152*INDEX(Precio_V,2)*INDEX(IdxPrecio_V,1,MIN(10,AC$147))*(1+V_dPrecio))</f>
        <v>174225</v>
      </c>
      <c r="AD164" s="34" t="n">
        <f aca="false">IF(AD$8=1,IF(Reales!$C$26="PYG",IF(AD$10&gt;0,N(Reales!AD26)/AD$10,0),N(Reales!AD26)),AD$152*INDEX(Precio_V,2)*INDEX(IdxPrecio_V,1,MIN(10,AD$147))*(1+V_dPrecio))</f>
        <v>215071.083333333</v>
      </c>
      <c r="AE164" s="34" t="n">
        <f aca="false">IF(AE$8=1,IF(Reales!$C$26="PYG",IF(AE$10&gt;0,N(Reales!AE26)/AE$10,0),N(Reales!AE26)),AE$152*INDEX(Precio_V,2)*INDEX(IdxPrecio_V,1,MIN(10,AE$147))*(1+V_dPrecio))</f>
        <v>215071.083333333</v>
      </c>
      <c r="AF164" s="34" t="n">
        <f aca="false">IF(AF$8=1,IF(Reales!$C$26="PYG",IF(AF$10&gt;0,N(Reales!AF26)/AF$10,0),N(Reales!AF26)),AF$152*INDEX(Precio_V,2)*INDEX(IdxPrecio_V,1,MIN(10,AF$147))*(1+V_dPrecio))</f>
        <v>215071.083333333</v>
      </c>
      <c r="AG164" s="34" t="n">
        <f aca="false">IF(AG$8=1,IF(Reales!$C$26="PYG",IF(AG$10&gt;0,N(Reales!AG26)/AG$10,0),N(Reales!AG26)),AG$152*INDEX(Precio_V,2)*INDEX(IdxPrecio_V,1,MIN(10,AG$147))*(1+V_dPrecio))</f>
        <v>215071.083333333</v>
      </c>
      <c r="AH164" s="34" t="n">
        <f aca="false">IF(AH$8=1,IF(Reales!$C$26="PYG",IF(AH$10&gt;0,N(Reales!AH26)/AH$10,0),N(Reales!AH26)),AH$152*INDEX(Precio_V,2)*INDEX(IdxPrecio_V,1,MIN(10,AH$147))*(1+V_dPrecio))</f>
        <v>215071.083333333</v>
      </c>
      <c r="AI164" s="34" t="n">
        <f aca="false">IF(AI$8=1,IF(Reales!$C$26="PYG",IF(AI$10&gt;0,N(Reales!AI26)/AI$10,0),N(Reales!AI26)),AI$152*INDEX(Precio_V,2)*INDEX(IdxPrecio_V,1,MIN(10,AI$147))*(1+V_dPrecio))</f>
        <v>215071.083333333</v>
      </c>
      <c r="AJ164" s="34" t="n">
        <f aca="false">IF(AJ$8=1,IF(Reales!$C$26="PYG",IF(AJ$10&gt;0,N(Reales!AJ26)/AJ$10,0),N(Reales!AJ26)),AJ$152*INDEX(Precio_V,2)*INDEX(IdxPrecio_V,1,MIN(10,AJ$147))*(1+V_dPrecio))</f>
        <v>215071.083333333</v>
      </c>
      <c r="AK164" s="34" t="n">
        <f aca="false">IF(AK$8=1,IF(Reales!$C$26="PYG",IF(AK$10&gt;0,N(Reales!AK26)/AK$10,0),N(Reales!AK26)),AK$152*INDEX(Precio_V,2)*INDEX(IdxPrecio_V,1,MIN(10,AK$147))*(1+V_dPrecio))</f>
        <v>215071.083333333</v>
      </c>
      <c r="AL164" s="34" t="n">
        <f aca="false">IF(AL$8=1,IF(Reales!$C$26="PYG",IF(AL$10&gt;0,N(Reales!AL26)/AL$10,0),N(Reales!AL26)),AL$152*INDEX(Precio_V,2)*INDEX(IdxPrecio_V,1,MIN(10,AL$147))*(1+V_dPrecio))</f>
        <v>215071.083333333</v>
      </c>
      <c r="AM164" s="34" t="n">
        <f aca="false">IF(AM$8=1,IF(Reales!$C$26="PYG",IF(AM$10&gt;0,N(Reales!AM26)/AM$10,0),N(Reales!AM26)),AM$152*INDEX(Precio_V,2)*INDEX(IdxPrecio_V,1,MIN(10,AM$147))*(1+V_dPrecio))</f>
        <v>215071.083333333</v>
      </c>
      <c r="AN164" s="34" t="n">
        <f aca="false">IF(AN$8=1,IF(Reales!$C$26="PYG",IF(AN$10&gt;0,N(Reales!AN26)/AN$10,0),N(Reales!AN26)),AN$152*INDEX(Precio_V,2)*INDEX(IdxPrecio_V,1,MIN(10,AN$147))*(1+V_dPrecio))</f>
        <v>215071.083333333</v>
      </c>
      <c r="AO164" s="34" t="n">
        <f aca="false">IF(AO$8=1,IF(Reales!$C$26="PYG",IF(AO$10&gt;0,N(Reales!AO26)/AO$10,0),N(Reales!AO26)),AO$152*INDEX(Precio_V,2)*INDEX(IdxPrecio_V,1,MIN(10,AO$147))*(1+V_dPrecio))</f>
        <v>215071.083333333</v>
      </c>
      <c r="AP164" s="34" t="n">
        <f aca="false">IF(AP$8=1,IF(Reales!$C$26="PYG",IF(AP$10&gt;0,N(Reales!AP26)/AP$10,0),N(Reales!AP26)),AP$152*INDEX(Precio_V,2)*INDEX(IdxPrecio_V,1,MIN(10,AP$147))*(1+V_dPrecio))</f>
        <v>236969.23</v>
      </c>
      <c r="AQ164" s="34" t="n">
        <f aca="false">IF(AQ$8=1,IF(Reales!$C$26="PYG",IF(AQ$10&gt;0,N(Reales!AQ26)/AQ$10,0),N(Reales!AQ26)),AQ$152*INDEX(Precio_V,2)*INDEX(IdxPrecio_V,1,MIN(10,AQ$147))*(1+V_dPrecio))</f>
        <v>236969.23</v>
      </c>
      <c r="AR164" s="34" t="n">
        <f aca="false">IF(AR$8=1,IF(Reales!$C$26="PYG",IF(AR$10&gt;0,N(Reales!AR26)/AR$10,0),N(Reales!AR26)),AR$152*INDEX(Precio_V,2)*INDEX(IdxPrecio_V,1,MIN(10,AR$147))*(1+V_dPrecio))</f>
        <v>236969.23</v>
      </c>
      <c r="AS164" s="34" t="n">
        <f aca="false">IF(AS$8=1,IF(Reales!$C$26="PYG",IF(AS$10&gt;0,N(Reales!AS26)/AS$10,0),N(Reales!AS26)),AS$152*INDEX(Precio_V,2)*INDEX(IdxPrecio_V,1,MIN(10,AS$147))*(1+V_dPrecio))</f>
        <v>236969.23</v>
      </c>
      <c r="AT164" s="34" t="n">
        <f aca="false">IF(AT$8=1,IF(Reales!$C$26="PYG",IF(AT$10&gt;0,N(Reales!AT26)/AT$10,0),N(Reales!AT26)),AT$152*INDEX(Precio_V,2)*INDEX(IdxPrecio_V,1,MIN(10,AT$147))*(1+V_dPrecio))</f>
        <v>236969.23</v>
      </c>
      <c r="AU164" s="34" t="n">
        <f aca="false">IF(AU$8=1,IF(Reales!$C$26="PYG",IF(AU$10&gt;0,N(Reales!AU26)/AU$10,0),N(Reales!AU26)),AU$152*INDEX(Precio_V,2)*INDEX(IdxPrecio_V,1,MIN(10,AU$147))*(1+V_dPrecio))</f>
        <v>236969.23</v>
      </c>
      <c r="AV164" s="34" t="n">
        <f aca="false">IF(AV$8=1,IF(Reales!$C$26="PYG",IF(AV$10&gt;0,N(Reales!AV26)/AV$10,0),N(Reales!AV26)),AV$152*INDEX(Precio_V,2)*INDEX(IdxPrecio_V,1,MIN(10,AV$147))*(1+V_dPrecio))</f>
        <v>236969.23</v>
      </c>
      <c r="AW164" s="34" t="n">
        <f aca="false">IF(AW$8=1,IF(Reales!$C$26="PYG",IF(AW$10&gt;0,N(Reales!AW26)/AW$10,0),N(Reales!AW26)),AW$152*INDEX(Precio_V,2)*INDEX(IdxPrecio_V,1,MIN(10,AW$147))*(1+V_dPrecio))</f>
        <v>236969.23</v>
      </c>
      <c r="AX164" s="34" t="n">
        <f aca="false">IF(AX$8=1,IF(Reales!$C$26="PYG",IF(AX$10&gt;0,N(Reales!AX26)/AX$10,0),N(Reales!AX26)),AX$152*INDEX(Precio_V,2)*INDEX(IdxPrecio_V,1,MIN(10,AX$147))*(1+V_dPrecio))</f>
        <v>236969.23</v>
      </c>
      <c r="AY164" s="34" t="n">
        <f aca="false">IF(AY$8=1,IF(Reales!$C$26="PYG",IF(AY$10&gt;0,N(Reales!AY26)/AY$10,0),N(Reales!AY26)),AY$152*INDEX(Precio_V,2)*INDEX(IdxPrecio_V,1,MIN(10,AY$147))*(1+V_dPrecio))</f>
        <v>236969.23</v>
      </c>
      <c r="AZ164" s="34" t="n">
        <f aca="false">IF(AZ$8=1,IF(Reales!$C$26="PYG",IF(AZ$10&gt;0,N(Reales!AZ26)/AZ$10,0),N(Reales!AZ26)),AZ$152*INDEX(Precio_V,2)*INDEX(IdxPrecio_V,1,MIN(10,AZ$147))*(1+V_dPrecio))</f>
        <v>236969.23</v>
      </c>
      <c r="BA164" s="34" t="n">
        <f aca="false">IF(BA$8=1,IF(Reales!$C$26="PYG",IF(BA$10&gt;0,N(Reales!BA26)/BA$10,0),N(Reales!BA26)),BA$152*INDEX(Precio_V,2)*INDEX(IdxPrecio_V,1,MIN(10,BA$147))*(1+V_dPrecio))</f>
        <v>236969.23</v>
      </c>
      <c r="BB164" s="34" t="n">
        <f aca="false">IF(BB$8=1,IF(Reales!$C$26="PYG",IF(BB$10&gt;0,N(Reales!BB26)/BB$10,0),N(Reales!BB26)),BB$152*INDEX(Precio_V,2)*INDEX(IdxPrecio_V,1,MIN(10,BB$147))*(1+V_dPrecio))</f>
        <v>239338.9223</v>
      </c>
      <c r="BC164" s="34" t="n">
        <f aca="false">IF(BC$8=1,IF(Reales!$C$26="PYG",IF(BC$10&gt;0,N(Reales!BC26)/BC$10,0),N(Reales!BC26)),BC$152*INDEX(Precio_V,2)*INDEX(IdxPrecio_V,1,MIN(10,BC$147))*(1+V_dPrecio))</f>
        <v>239338.9223</v>
      </c>
      <c r="BD164" s="34" t="n">
        <f aca="false">IF(BD$8=1,IF(Reales!$C$26="PYG",IF(BD$10&gt;0,N(Reales!BD26)/BD$10,0),N(Reales!BD26)),BD$152*INDEX(Precio_V,2)*INDEX(IdxPrecio_V,1,MIN(10,BD$147))*(1+V_dPrecio))</f>
        <v>239338.9223</v>
      </c>
      <c r="BE164" s="34" t="n">
        <f aca="false">IF(BE$8=1,IF(Reales!$C$26="PYG",IF(BE$10&gt;0,N(Reales!BE26)/BE$10,0),N(Reales!BE26)),BE$152*INDEX(Precio_V,2)*INDEX(IdxPrecio_V,1,MIN(10,BE$147))*(1+V_dPrecio))</f>
        <v>239338.9223</v>
      </c>
      <c r="BF164" s="34" t="n">
        <f aca="false">IF(BF$8=1,IF(Reales!$C$26="PYG",IF(BF$10&gt;0,N(Reales!BF26)/BF$10,0),N(Reales!BF26)),BF$152*INDEX(Precio_V,2)*INDEX(IdxPrecio_V,1,MIN(10,BF$147))*(1+V_dPrecio))</f>
        <v>239338.9223</v>
      </c>
      <c r="BG164" s="34" t="n">
        <f aca="false">IF(BG$8=1,IF(Reales!$C$26="PYG",IF(BG$10&gt;0,N(Reales!BG26)/BG$10,0),N(Reales!BG26)),BG$152*INDEX(Precio_V,2)*INDEX(IdxPrecio_V,1,MIN(10,BG$147))*(1+V_dPrecio))</f>
        <v>239338.9223</v>
      </c>
      <c r="BH164" s="34" t="n">
        <f aca="false">IF(BH$8=1,IF(Reales!$C$26="PYG",IF(BH$10&gt;0,N(Reales!BH26)/BH$10,0),N(Reales!BH26)),BH$152*INDEX(Precio_V,2)*INDEX(IdxPrecio_V,1,MIN(10,BH$147))*(1+V_dPrecio))</f>
        <v>239338.9223</v>
      </c>
      <c r="BI164" s="34" t="n">
        <f aca="false">IF(BI$8=1,IF(Reales!$C$26="PYG",IF(BI$10&gt;0,N(Reales!BI26)/BI$10,0),N(Reales!BI26)),BI$152*INDEX(Precio_V,2)*INDEX(IdxPrecio_V,1,MIN(10,BI$147))*(1+V_dPrecio))</f>
        <v>239338.9223</v>
      </c>
      <c r="BJ164" s="34" t="n">
        <f aca="false">IF(BJ$8=1,IF(Reales!$C$26="PYG",IF(BJ$10&gt;0,N(Reales!BJ26)/BJ$10,0),N(Reales!BJ26)),BJ$152*INDEX(Precio_V,2)*INDEX(IdxPrecio_V,1,MIN(10,BJ$147))*(1+V_dPrecio))</f>
        <v>239338.9223</v>
      </c>
      <c r="BK164" s="34" t="n">
        <f aca="false">IF(BK$8=1,IF(Reales!$C$26="PYG",IF(BK$10&gt;0,N(Reales!BK26)/BK$10,0),N(Reales!BK26)),BK$152*INDEX(Precio_V,2)*INDEX(IdxPrecio_V,1,MIN(10,BK$147))*(1+V_dPrecio))</f>
        <v>239338.9223</v>
      </c>
      <c r="BL164" s="34" t="n">
        <f aca="false">IF(BL$8=1,IF(Reales!$C$26="PYG",IF(BL$10&gt;0,N(Reales!BL26)/BL$10,0),N(Reales!BL26)),BL$152*INDEX(Precio_V,2)*INDEX(IdxPrecio_V,1,MIN(10,BL$147))*(1+V_dPrecio))</f>
        <v>239338.9223</v>
      </c>
      <c r="BM164" s="34" t="n">
        <f aca="false">IF(BM$8=1,IF(Reales!$C$26="PYG",IF(BM$10&gt;0,N(Reales!BM26)/BM$10,0),N(Reales!BM26)),BM$152*INDEX(Precio_V,2)*INDEX(IdxPrecio_V,1,MIN(10,BM$147))*(1+V_dPrecio))</f>
        <v>239338.9223</v>
      </c>
      <c r="BN164" s="34" t="n">
        <f aca="false">IF(BN$8=1,IF(Reales!$C$26="PYG",IF(BN$10&gt;0,N(Reales!BN26)/BN$10,0),N(Reales!BN26)),BN$152*INDEX(Precio_V,2)*INDEX(IdxPrecio_V,1,MIN(10,BN$147))*(1+V_dPrecio))</f>
        <v>241732.311523</v>
      </c>
      <c r="BO164" s="34" t="n">
        <f aca="false">IF(BO$8=1,IF(Reales!$C$26="PYG",IF(BO$10&gt;0,N(Reales!BO26)/BO$10,0),N(Reales!BO26)),BO$152*INDEX(Precio_V,2)*INDEX(IdxPrecio_V,1,MIN(10,BO$147))*(1+V_dPrecio))</f>
        <v>241732.311523</v>
      </c>
      <c r="BP164" s="34" t="n">
        <f aca="false">IF(BP$8=1,IF(Reales!$C$26="PYG",IF(BP$10&gt;0,N(Reales!BP26)/BP$10,0),N(Reales!BP26)),BP$152*INDEX(Precio_V,2)*INDEX(IdxPrecio_V,1,MIN(10,BP$147))*(1+V_dPrecio))</f>
        <v>241732.311523</v>
      </c>
      <c r="BQ164" s="34" t="n">
        <f aca="false">IF(BQ$8=1,IF(Reales!$C$26="PYG",IF(BQ$10&gt;0,N(Reales!BQ26)/BQ$10,0),N(Reales!BQ26)),BQ$152*INDEX(Precio_V,2)*INDEX(IdxPrecio_V,1,MIN(10,BQ$147))*(1+V_dPrecio))</f>
        <v>241732.311523</v>
      </c>
      <c r="BR164" s="34" t="n">
        <f aca="false">IF(BR$8=1,IF(Reales!$C$26="PYG",IF(BR$10&gt;0,N(Reales!BR26)/BR$10,0),N(Reales!BR26)),BR$152*INDEX(Precio_V,2)*INDEX(IdxPrecio_V,1,MIN(10,BR$147))*(1+V_dPrecio))</f>
        <v>241732.311523</v>
      </c>
      <c r="BS164" s="34" t="n">
        <f aca="false">IF(BS$8=1,IF(Reales!$C$26="PYG",IF(BS$10&gt;0,N(Reales!BS26)/BS$10,0),N(Reales!BS26)),BS$152*INDEX(Precio_V,2)*INDEX(IdxPrecio_V,1,MIN(10,BS$147))*(1+V_dPrecio))</f>
        <v>241732.311523</v>
      </c>
      <c r="BT164" s="34" t="n">
        <f aca="false">IF(BT$8=1,IF(Reales!$C$26="PYG",IF(BT$10&gt;0,N(Reales!BT26)/BT$10,0),N(Reales!BT26)),BT$152*INDEX(Precio_V,2)*INDEX(IdxPrecio_V,1,MIN(10,BT$147))*(1+V_dPrecio))</f>
        <v>241732.311523</v>
      </c>
      <c r="BU164" s="34" t="n">
        <f aca="false">IF(BU$8=1,IF(Reales!$C$26="PYG",IF(BU$10&gt;0,N(Reales!BU26)/BU$10,0),N(Reales!BU26)),BU$152*INDEX(Precio_V,2)*INDEX(IdxPrecio_V,1,MIN(10,BU$147))*(1+V_dPrecio))</f>
        <v>241732.311523</v>
      </c>
      <c r="BV164" s="34" t="n">
        <f aca="false">IF(BV$8=1,IF(Reales!$C$26="PYG",IF(BV$10&gt;0,N(Reales!BV26)/BV$10,0),N(Reales!BV26)),BV$152*INDEX(Precio_V,2)*INDEX(IdxPrecio_V,1,MIN(10,BV$147))*(1+V_dPrecio))</f>
        <v>241732.311523</v>
      </c>
      <c r="BW164" s="34" t="n">
        <f aca="false">IF(BW$8=1,IF(Reales!$C$26="PYG",IF(BW$10&gt;0,N(Reales!BW26)/BW$10,0),N(Reales!BW26)),BW$152*INDEX(Precio_V,2)*INDEX(IdxPrecio_V,1,MIN(10,BW$147))*(1+V_dPrecio))</f>
        <v>241732.311523</v>
      </c>
      <c r="BX164" s="34" t="n">
        <f aca="false">IF(BX$8=1,IF(Reales!$C$26="PYG",IF(BX$10&gt;0,N(Reales!BX26)/BX$10,0),N(Reales!BX26)),BX$152*INDEX(Precio_V,2)*INDEX(IdxPrecio_V,1,MIN(10,BX$147))*(1+V_dPrecio))</f>
        <v>241732.311523</v>
      </c>
      <c r="BY164" s="34" t="n">
        <f aca="false">IF(BY$8=1,IF(Reales!$C$26="PYG",IF(BY$10&gt;0,N(Reales!BY26)/BY$10,0),N(Reales!BY26)),BY$152*INDEX(Precio_V,2)*INDEX(IdxPrecio_V,1,MIN(10,BY$147))*(1+V_dPrecio))</f>
        <v>241732.311523</v>
      </c>
      <c r="BZ164" s="34" t="n">
        <f aca="false">IF(BZ$8=1,IF(Reales!$C$26="PYG",IF(BZ$10&gt;0,N(Reales!BZ26)/BZ$10,0),N(Reales!BZ26)),BZ$152*INDEX(Precio_V,2)*INDEX(IdxPrecio_V,1,MIN(10,BZ$147))*(1+V_dPrecio))</f>
        <v>244149.63463823</v>
      </c>
      <c r="CA164" s="34" t="n">
        <f aca="false">IF(CA$8=1,IF(Reales!$C$26="PYG",IF(CA$10&gt;0,N(Reales!CA26)/CA$10,0),N(Reales!CA26)),CA$152*INDEX(Precio_V,2)*INDEX(IdxPrecio_V,1,MIN(10,CA$147))*(1+V_dPrecio))</f>
        <v>244149.63463823</v>
      </c>
      <c r="CB164" s="34" t="n">
        <f aca="false">IF(CB$8=1,IF(Reales!$C$26="PYG",IF(CB$10&gt;0,N(Reales!CB26)/CB$10,0),N(Reales!CB26)),CB$152*INDEX(Precio_V,2)*INDEX(IdxPrecio_V,1,MIN(10,CB$147))*(1+V_dPrecio))</f>
        <v>244149.63463823</v>
      </c>
      <c r="CC164" s="34" t="n">
        <f aca="false">IF(CC$8=1,IF(Reales!$C$26="PYG",IF(CC$10&gt;0,N(Reales!CC26)/CC$10,0),N(Reales!CC26)),CC$152*INDEX(Precio_V,2)*INDEX(IdxPrecio_V,1,MIN(10,CC$147))*(1+V_dPrecio))</f>
        <v>244149.63463823</v>
      </c>
      <c r="CD164" s="34" t="n">
        <f aca="false">IF(CD$8=1,IF(Reales!$C$26="PYG",IF(CD$10&gt;0,N(Reales!CD26)/CD$10,0),N(Reales!CD26)),CD$152*INDEX(Precio_V,2)*INDEX(IdxPrecio_V,1,MIN(10,CD$147))*(1+V_dPrecio))</f>
        <v>244149.63463823</v>
      </c>
      <c r="CE164" s="34" t="n">
        <f aca="false">IF(CE$8=1,IF(Reales!$C$26="PYG",IF(CE$10&gt;0,N(Reales!CE26)/CE$10,0),N(Reales!CE26)),CE$152*INDEX(Precio_V,2)*INDEX(IdxPrecio_V,1,MIN(10,CE$147))*(1+V_dPrecio))</f>
        <v>244149.63463823</v>
      </c>
      <c r="CF164" s="34" t="n">
        <f aca="false">IF(CF$8=1,IF(Reales!$C$26="PYG",IF(CF$10&gt;0,N(Reales!CF26)/CF$10,0),N(Reales!CF26)),CF$152*INDEX(Precio_V,2)*INDEX(IdxPrecio_V,1,MIN(10,CF$147))*(1+V_dPrecio))</f>
        <v>244149.63463823</v>
      </c>
      <c r="CG164" s="34" t="n">
        <f aca="false">IF(CG$8=1,IF(Reales!$C$26="PYG",IF(CG$10&gt;0,N(Reales!CG26)/CG$10,0),N(Reales!CG26)),CG$152*INDEX(Precio_V,2)*INDEX(IdxPrecio_V,1,MIN(10,CG$147))*(1+V_dPrecio))</f>
        <v>244149.63463823</v>
      </c>
      <c r="CH164" s="34" t="n">
        <f aca="false">IF(CH$8=1,IF(Reales!$C$26="PYG",IF(CH$10&gt;0,N(Reales!CH26)/CH$10,0),N(Reales!CH26)),CH$152*INDEX(Precio_V,2)*INDEX(IdxPrecio_V,1,MIN(10,CH$147))*(1+V_dPrecio))</f>
        <v>244149.63463823</v>
      </c>
      <c r="CI164" s="34" t="n">
        <f aca="false">IF(CI$8=1,IF(Reales!$C$26="PYG",IF(CI$10&gt;0,N(Reales!CI26)/CI$10,0),N(Reales!CI26)),CI$152*INDEX(Precio_V,2)*INDEX(IdxPrecio_V,1,MIN(10,CI$147))*(1+V_dPrecio))</f>
        <v>244149.63463823</v>
      </c>
      <c r="CJ164" s="34" t="n">
        <f aca="false">IF(CJ$8=1,IF(Reales!$C$26="PYG",IF(CJ$10&gt;0,N(Reales!CJ26)/CJ$10,0),N(Reales!CJ26)),CJ$152*INDEX(Precio_V,2)*INDEX(IdxPrecio_V,1,MIN(10,CJ$147))*(1+V_dPrecio))</f>
        <v>244149.63463823</v>
      </c>
      <c r="CK164" s="34" t="n">
        <f aca="false">IF(CK$8=1,IF(Reales!$C$26="PYG",IF(CK$10&gt;0,N(Reales!CK26)/CK$10,0),N(Reales!CK26)),CK$152*INDEX(Precio_V,2)*INDEX(IdxPrecio_V,1,MIN(10,CK$147))*(1+V_dPrecio))</f>
        <v>244149.63463823</v>
      </c>
      <c r="CL164" s="34" t="n">
        <f aca="false">IF(CL$8=1,IF(Reales!$C$26="PYG",IF(CL$10&gt;0,N(Reales!CL26)/CL$10,0),N(Reales!CL26)),CL$152*INDEX(Precio_V,2)*INDEX(IdxPrecio_V,1,MIN(10,CL$147))*(1+V_dPrecio))</f>
        <v>246591.130984612</v>
      </c>
      <c r="CM164" s="34" t="n">
        <f aca="false">IF(CM$8=1,IF(Reales!$C$26="PYG",IF(CM$10&gt;0,N(Reales!CM26)/CM$10,0),N(Reales!CM26)),CM$152*INDEX(Precio_V,2)*INDEX(IdxPrecio_V,1,MIN(10,CM$147))*(1+V_dPrecio))</f>
        <v>246591.130984612</v>
      </c>
      <c r="CN164" s="34" t="n">
        <f aca="false">IF(CN$8=1,IF(Reales!$C$26="PYG",IF(CN$10&gt;0,N(Reales!CN26)/CN$10,0),N(Reales!CN26)),CN$152*INDEX(Precio_V,2)*INDEX(IdxPrecio_V,1,MIN(10,CN$147))*(1+V_dPrecio))</f>
        <v>246591.130984612</v>
      </c>
      <c r="CO164" s="34" t="n">
        <f aca="false">IF(CO$8=1,IF(Reales!$C$26="PYG",IF(CO$10&gt;0,N(Reales!CO26)/CO$10,0),N(Reales!CO26)),CO$152*INDEX(Precio_V,2)*INDEX(IdxPrecio_V,1,MIN(10,CO$147))*(1+V_dPrecio))</f>
        <v>246591.130984612</v>
      </c>
      <c r="CP164" s="34" t="n">
        <f aca="false">IF(CP$8=1,IF(Reales!$C$26="PYG",IF(CP$10&gt;0,N(Reales!CP26)/CP$10,0),N(Reales!CP26)),CP$152*INDEX(Precio_V,2)*INDEX(IdxPrecio_V,1,MIN(10,CP$147))*(1+V_dPrecio))</f>
        <v>246591.130984612</v>
      </c>
      <c r="CQ164" s="34" t="n">
        <f aca="false">IF(CQ$8=1,IF(Reales!$C$26="PYG",IF(CQ$10&gt;0,N(Reales!CQ26)/CQ$10,0),N(Reales!CQ26)),CQ$152*INDEX(Precio_V,2)*INDEX(IdxPrecio_V,1,MIN(10,CQ$147))*(1+V_dPrecio))</f>
        <v>246591.130984612</v>
      </c>
      <c r="CR164" s="34" t="n">
        <f aca="false">IF(CR$8=1,IF(Reales!$C$26="PYG",IF(CR$10&gt;0,N(Reales!CR26)/CR$10,0),N(Reales!CR26)),CR$152*INDEX(Precio_V,2)*INDEX(IdxPrecio_V,1,MIN(10,CR$147))*(1+V_dPrecio))</f>
        <v>246591.130984612</v>
      </c>
      <c r="CS164" s="34" t="n">
        <f aca="false">IF(CS$8=1,IF(Reales!$C$26="PYG",IF(CS$10&gt;0,N(Reales!CS26)/CS$10,0),N(Reales!CS26)),CS$152*INDEX(Precio_V,2)*INDEX(IdxPrecio_V,1,MIN(10,CS$147))*(1+V_dPrecio))</f>
        <v>246591.130984612</v>
      </c>
      <c r="CT164" s="34" t="n">
        <f aca="false">IF(CT$8=1,IF(Reales!$C$26="PYG",IF(CT$10&gt;0,N(Reales!CT26)/CT$10,0),N(Reales!CT26)),CT$152*INDEX(Precio_V,2)*INDEX(IdxPrecio_V,1,MIN(10,CT$147))*(1+V_dPrecio))</f>
        <v>246591.130984612</v>
      </c>
      <c r="CU164" s="34" t="n">
        <f aca="false">IF(CU$8=1,IF(Reales!$C$26="PYG",IF(CU$10&gt;0,N(Reales!CU26)/CU$10,0),N(Reales!CU26)),CU$152*INDEX(Precio_V,2)*INDEX(IdxPrecio_V,1,MIN(10,CU$147))*(1+V_dPrecio))</f>
        <v>246591.130984612</v>
      </c>
      <c r="CV164" s="34" t="n">
        <f aca="false">IF(CV$8=1,IF(Reales!$C$26="PYG",IF(CV$10&gt;0,N(Reales!CV26)/CV$10,0),N(Reales!CV26)),CV$152*INDEX(Precio_V,2)*INDEX(IdxPrecio_V,1,MIN(10,CV$147))*(1+V_dPrecio))</f>
        <v>246591.130984612</v>
      </c>
      <c r="CW164" s="34" t="n">
        <f aca="false">IF(CW$8=1,IF(Reales!$C$26="PYG",IF(CW$10&gt;0,N(Reales!CW26)/CW$10,0),N(Reales!CW26)),CW$152*INDEX(Precio_V,2)*INDEX(IdxPrecio_V,1,MIN(10,CW$147))*(1+V_dPrecio))</f>
        <v>246591.130984612</v>
      </c>
      <c r="CX164" s="34" t="n">
        <f aca="false">IF(CX$8=1,IF(Reales!$C$26="PYG",IF(CX$10&gt;0,N(Reales!CX26)/CX$10,0),N(Reales!CX26)),CX$152*INDEX(Precio_V,2)*INDEX(IdxPrecio_V,1,MIN(10,CX$147))*(1+V_dPrecio))</f>
        <v>249057.042294458</v>
      </c>
      <c r="CY164" s="34" t="n">
        <f aca="false">IF(CY$8=1,IF(Reales!$C$26="PYG",IF(CY$10&gt;0,N(Reales!CY26)/CY$10,0),N(Reales!CY26)),CY$152*INDEX(Precio_V,2)*INDEX(IdxPrecio_V,1,MIN(10,CY$147))*(1+V_dPrecio))</f>
        <v>249057.042294458</v>
      </c>
      <c r="CZ164" s="34" t="n">
        <f aca="false">IF(CZ$8=1,IF(Reales!$C$26="PYG",IF(CZ$10&gt;0,N(Reales!CZ26)/CZ$10,0),N(Reales!CZ26)),CZ$152*INDEX(Precio_V,2)*INDEX(IdxPrecio_V,1,MIN(10,CZ$147))*(1+V_dPrecio))</f>
        <v>249057.042294458</v>
      </c>
      <c r="DA164" s="34" t="n">
        <f aca="false">IF(DA$8=1,IF(Reales!$C$26="PYG",IF(DA$10&gt;0,N(Reales!DA26)/DA$10,0),N(Reales!DA26)),DA$152*INDEX(Precio_V,2)*INDEX(IdxPrecio_V,1,MIN(10,DA$147))*(1+V_dPrecio))</f>
        <v>249057.042294458</v>
      </c>
      <c r="DB164" s="34" t="n">
        <f aca="false">IF(DB$8=1,IF(Reales!$C$26="PYG",IF(DB$10&gt;0,N(Reales!DB26)/DB$10,0),N(Reales!DB26)),DB$152*INDEX(Precio_V,2)*INDEX(IdxPrecio_V,1,MIN(10,DB$147))*(1+V_dPrecio))</f>
        <v>249057.042294458</v>
      </c>
      <c r="DC164" s="34" t="n">
        <f aca="false">IF(DC$8=1,IF(Reales!$C$26="PYG",IF(DC$10&gt;0,N(Reales!DC26)/DC$10,0),N(Reales!DC26)),DC$152*INDEX(Precio_V,2)*INDEX(IdxPrecio_V,1,MIN(10,DC$147))*(1+V_dPrecio))</f>
        <v>249057.042294458</v>
      </c>
      <c r="DD164" s="34" t="n">
        <f aca="false">IF(DD$8=1,IF(Reales!$C$26="PYG",IF(DD$10&gt;0,N(Reales!DD26)/DD$10,0),N(Reales!DD26)),DD$152*INDEX(Precio_V,2)*INDEX(IdxPrecio_V,1,MIN(10,DD$147))*(1+V_dPrecio))</f>
        <v>249057.042294458</v>
      </c>
      <c r="DE164" s="34" t="n">
        <f aca="false">IF(DE$8=1,IF(Reales!$C$26="PYG",IF(DE$10&gt;0,N(Reales!DE26)/DE$10,0),N(Reales!DE26)),DE$152*INDEX(Precio_V,2)*INDEX(IdxPrecio_V,1,MIN(10,DE$147))*(1+V_dPrecio))</f>
        <v>249057.042294458</v>
      </c>
      <c r="DF164" s="34" t="n">
        <f aca="false">IF(DF$8=1,IF(Reales!$C$26="PYG",IF(DF$10&gt;0,N(Reales!DF26)/DF$10,0),N(Reales!DF26)),DF$152*INDEX(Precio_V,2)*INDEX(IdxPrecio_V,1,MIN(10,DF$147))*(1+V_dPrecio))</f>
        <v>249057.042294458</v>
      </c>
      <c r="DG164" s="34" t="n">
        <f aca="false">IF(DG$8=1,IF(Reales!$C$26="PYG",IF(DG$10&gt;0,N(Reales!DG26)/DG$10,0),N(Reales!DG26)),DG$152*INDEX(Precio_V,2)*INDEX(IdxPrecio_V,1,MIN(10,DG$147))*(1+V_dPrecio))</f>
        <v>249057.042294458</v>
      </c>
      <c r="DH164" s="34" t="n">
        <f aca="false">IF(DH$8=1,IF(Reales!$C$26="PYG",IF(DH$10&gt;0,N(Reales!DH26)/DH$10,0),N(Reales!DH26)),DH$152*INDEX(Precio_V,2)*INDEX(IdxPrecio_V,1,MIN(10,DH$147))*(1+V_dPrecio))</f>
        <v>249057.042294458</v>
      </c>
      <c r="DI164" s="34" t="n">
        <f aca="false">IF(DI$8=1,IF(Reales!$C$26="PYG",IF(DI$10&gt;0,N(Reales!DI26)/DI$10,0),N(Reales!DI26)),DI$152*INDEX(Precio_V,2)*INDEX(IdxPrecio_V,1,MIN(10,DI$147))*(1+V_dPrecio))</f>
        <v>249057.042294458</v>
      </c>
      <c r="DJ164" s="34" t="n">
        <f aca="false">IF(DJ$8=1,IF(Reales!$C$26="PYG",IF(DJ$10&gt;0,N(Reales!DJ26)/DJ$10,0),N(Reales!DJ26)),DJ$152*INDEX(Precio_V,2)*INDEX(IdxPrecio_V,1,MIN(10,DJ$147))*(1+V_dPrecio))</f>
        <v>251547.612717403</v>
      </c>
      <c r="DK164" s="34" t="n">
        <f aca="false">IF(DK$8=1,IF(Reales!$C$26="PYG",IF(DK$10&gt;0,N(Reales!DK26)/DK$10,0),N(Reales!DK26)),DK$152*INDEX(Precio_V,2)*INDEX(IdxPrecio_V,1,MIN(10,DK$147))*(1+V_dPrecio))</f>
        <v>251547.612717403</v>
      </c>
      <c r="DL164" s="34" t="n">
        <f aca="false">IF(DL$8=1,IF(Reales!$C$26="PYG",IF(DL$10&gt;0,N(Reales!DL26)/DL$10,0),N(Reales!DL26)),DL$152*INDEX(Precio_V,2)*INDEX(IdxPrecio_V,1,MIN(10,DL$147))*(1+V_dPrecio))</f>
        <v>251547.612717403</v>
      </c>
      <c r="DM164" s="34" t="n">
        <f aca="false">IF(DM$8=1,IF(Reales!$C$26="PYG",IF(DM$10&gt;0,N(Reales!DM26)/DM$10,0),N(Reales!DM26)),DM$152*INDEX(Precio_V,2)*INDEX(IdxPrecio_V,1,MIN(10,DM$147))*(1+V_dPrecio))</f>
        <v>251547.612717403</v>
      </c>
      <c r="DN164" s="34" t="n">
        <f aca="false">IF(DN$8=1,IF(Reales!$C$26="PYG",IF(DN$10&gt;0,N(Reales!DN26)/DN$10,0),N(Reales!DN26)),DN$152*INDEX(Precio_V,2)*INDEX(IdxPrecio_V,1,MIN(10,DN$147))*(1+V_dPrecio))</f>
        <v>251547.612717403</v>
      </c>
      <c r="DO164" s="34" t="n">
        <f aca="false">IF(DO$8=1,IF(Reales!$C$26="PYG",IF(DO$10&gt;0,N(Reales!DO26)/DO$10,0),N(Reales!DO26)),DO$152*INDEX(Precio_V,2)*INDEX(IdxPrecio_V,1,MIN(10,DO$147))*(1+V_dPrecio))</f>
        <v>251547.612717403</v>
      </c>
      <c r="DP164" s="34" t="n">
        <f aca="false">IF(DP$8=1,IF(Reales!$C$26="PYG",IF(DP$10&gt;0,N(Reales!DP26)/DP$10,0),N(Reales!DP26)),DP$152*INDEX(Precio_V,2)*INDEX(IdxPrecio_V,1,MIN(10,DP$147))*(1+V_dPrecio))</f>
        <v>251547.612717403</v>
      </c>
      <c r="DQ164" s="34" t="n">
        <f aca="false">IF(DQ$8=1,IF(Reales!$C$26="PYG",IF(DQ$10&gt;0,N(Reales!DQ26)/DQ$10,0),N(Reales!DQ26)),DQ$152*INDEX(Precio_V,2)*INDEX(IdxPrecio_V,1,MIN(10,DQ$147))*(1+V_dPrecio))</f>
        <v>251547.612717403</v>
      </c>
      <c r="DR164" s="34" t="n">
        <f aca="false">IF(DR$8=1,IF(Reales!$C$26="PYG",IF(DR$10&gt;0,N(Reales!DR26)/DR$10,0),N(Reales!DR26)),DR$152*INDEX(Precio_V,2)*INDEX(IdxPrecio_V,1,MIN(10,DR$147))*(1+V_dPrecio))</f>
        <v>251547.612717403</v>
      </c>
      <c r="DS164" s="34" t="n">
        <f aca="false">IF(DS$8=1,IF(Reales!$C$26="PYG",IF(DS$10&gt;0,N(Reales!DS26)/DS$10,0),N(Reales!DS26)),DS$152*INDEX(Precio_V,2)*INDEX(IdxPrecio_V,1,MIN(10,DS$147))*(1+V_dPrecio))</f>
        <v>251547.612717403</v>
      </c>
      <c r="DT164" s="34" t="n">
        <f aca="false">IF(DT$8=1,IF(Reales!$C$26="PYG",IF(DT$10&gt;0,N(Reales!DT26)/DT$10,0),N(Reales!DT26)),DT$152*INDEX(Precio_V,2)*INDEX(IdxPrecio_V,1,MIN(10,DT$147))*(1+V_dPrecio))</f>
        <v>251547.612717403</v>
      </c>
      <c r="DU164" s="34" t="n">
        <f aca="false">IF(DU$8=1,IF(Reales!$C$26="PYG",IF(DU$10&gt;0,N(Reales!DU26)/DU$10,0),N(Reales!DU26)),DU$152*INDEX(Precio_V,2)*INDEX(IdxPrecio_V,1,MIN(10,DU$147))*(1+V_dPrecio))</f>
        <v>251547.612717403</v>
      </c>
      <c r="DV164" s="34" t="n">
        <f aca="false">IF(DV$8=1,IF(Reales!$C$26="PYG",IF(DV$10&gt;0,N(Reales!DV26)/DV$10,0),N(Reales!DV26)),DV$152*INDEX(Precio_V,2)*INDEX(IdxPrecio_V,1,MIN(10,DV$147))*(1+V_dPrecio))</f>
        <v>0</v>
      </c>
      <c r="DW164" s="34" t="n">
        <f aca="false">IF(DW$8=1,IF(Reales!$C$26="PYG",IF(DW$10&gt;0,N(Reales!DW26)/DW$10,0),N(Reales!DW26)),DW$152*INDEX(Precio_V,2)*INDEX(IdxPrecio_V,1,MIN(10,DW$147))*(1+V_dPrecio))</f>
        <v>0</v>
      </c>
      <c r="DX164" s="34" t="n">
        <f aca="false">IF(DX$8=1,IF(Reales!$C$26="PYG",IF(DX$10&gt;0,N(Reales!DX26)/DX$10,0),N(Reales!DX26)),DX$152*INDEX(Precio_V,2)*INDEX(IdxPrecio_V,1,MIN(10,DX$147))*(1+V_dPrecio))</f>
        <v>0</v>
      </c>
      <c r="DY164" s="34" t="n">
        <f aca="false">IF(DY$8=1,IF(Reales!$C$26="PYG",IF(DY$10&gt;0,N(Reales!DY26)/DY$10,0),N(Reales!DY26)),DY$152*INDEX(Precio_V,2)*INDEX(IdxPrecio_V,1,MIN(10,DY$147))*(1+V_dPrecio))</f>
        <v>0</v>
      </c>
      <c r="DZ164" s="34" t="n">
        <f aca="false">IF(DZ$8=1,IF(Reales!$C$26="PYG",IF(DZ$10&gt;0,N(Reales!DZ26)/DZ$10,0),N(Reales!DZ26)),DZ$152*INDEX(Precio_V,2)*INDEX(IdxPrecio_V,1,MIN(10,DZ$147))*(1+V_dPrecio))</f>
        <v>0</v>
      </c>
      <c r="EA164" s="34" t="n">
        <f aca="false">IF(EA$8=1,IF(Reales!$C$26="PYG",IF(EA$10&gt;0,N(Reales!EA26)/EA$10,0),N(Reales!EA26)),EA$152*INDEX(Precio_V,2)*INDEX(IdxPrecio_V,1,MIN(10,EA$147))*(1+V_dPrecio))</f>
        <v>0</v>
      </c>
      <c r="EB164" s="34" t="n">
        <f aca="false">IF(EB$8=1,IF(Reales!$C$26="PYG",IF(EB$10&gt;0,N(Reales!EB26)/EB$10,0),N(Reales!EB26)),EB$152*INDEX(Precio_V,2)*INDEX(IdxPrecio_V,1,MIN(10,EB$147))*(1+V_dPrecio))</f>
        <v>0</v>
      </c>
      <c r="EC164" s="34" t="n">
        <f aca="false">IF(EC$8=1,IF(Reales!$C$26="PYG",IF(EC$10&gt;0,N(Reales!EC26)/EC$10,0),N(Reales!EC26)),EC$152*INDEX(Precio_V,2)*INDEX(IdxPrecio_V,1,MIN(10,EC$147))*(1+V_dPrecio))</f>
        <v>0</v>
      </c>
      <c r="ED164" s="34" t="n">
        <f aca="false">IF(ED$8=1,IF(Reales!$C$26="PYG",IF(ED$10&gt;0,N(Reales!ED26)/ED$10,0),N(Reales!ED26)),ED$152*INDEX(Precio_V,2)*INDEX(IdxPrecio_V,1,MIN(10,ED$147))*(1+V_dPrecio))</f>
        <v>0</v>
      </c>
      <c r="EE164" s="34" t="n">
        <f aca="false">IF(EE$8=1,IF(Reales!$C$26="PYG",IF(EE$10&gt;0,N(Reales!EE26)/EE$10,0),N(Reales!EE26)),EE$152*INDEX(Precio_V,2)*INDEX(IdxPrecio_V,1,MIN(10,EE$147))*(1+V_dPrecio))</f>
        <v>0</v>
      </c>
      <c r="EF164" s="34" t="n">
        <f aca="false">IF(EF$8=1,IF(Reales!$C$26="PYG",IF(EF$10&gt;0,N(Reales!EF26)/EF$10,0),N(Reales!EF26)),EF$152*INDEX(Precio_V,2)*INDEX(IdxPrecio_V,1,MIN(10,EF$147))*(1+V_dPrecio))</f>
        <v>0</v>
      </c>
      <c r="EG164" s="34" t="n">
        <f aca="false">IF(EG$8=1,IF(Reales!$C$26="PYG",IF(EG$10&gt;0,N(Reales!EG26)/EG$10,0),N(Reales!EG26)),EG$152*INDEX(Precio_V,2)*INDEX(IdxPrecio_V,1,MIN(10,EG$147))*(1+V_dPrecio))</f>
        <v>0</v>
      </c>
      <c r="EH164" s="34" t="n">
        <f aca="false">IF(EH$8=1,IF(Reales!$C$26="PYG",IF(EH$10&gt;0,N(Reales!EH26)/EH$10,0),N(Reales!EH26)),EH$152*INDEX(Precio_V,2)*INDEX(IdxPrecio_V,1,MIN(10,EH$147))*(1+V_dPrecio))</f>
        <v>0</v>
      </c>
      <c r="EI164" s="34" t="n">
        <f aca="false">IF(EI$8=1,IF(Reales!$C$26="PYG",IF(EI$10&gt;0,N(Reales!EI26)/EI$10,0),N(Reales!EI26)),EI$152*INDEX(Precio_V,2)*INDEX(IdxPrecio_V,1,MIN(10,EI$147))*(1+V_dPrecio))</f>
        <v>0</v>
      </c>
      <c r="EJ164" s="34" t="n">
        <f aca="false">IF(EJ$8=1,IF(Reales!$C$26="PYG",IF(EJ$10&gt;0,N(Reales!EJ26)/EJ$10,0),N(Reales!EJ26)),EJ$152*INDEX(Precio_V,2)*INDEX(IdxPrecio_V,1,MIN(10,EJ$147))*(1+V_dPrecio))</f>
        <v>0</v>
      </c>
      <c r="EK164" s="34" t="n">
        <f aca="false">IF(EK$8=1,IF(Reales!$C$26="PYG",IF(EK$10&gt;0,N(Reales!EK26)/EK$10,0),N(Reales!EK26)),EK$152*INDEX(Precio_V,2)*INDEX(IdxPrecio_V,1,MIN(10,EK$147))*(1+V_dPrecio))</f>
        <v>0</v>
      </c>
      <c r="EL164" s="34" t="n">
        <f aca="false">IF(EL$8=1,IF(Reales!$C$26="PYG",IF(EL$10&gt;0,N(Reales!EL26)/EL$10,0),N(Reales!EL26)),EL$152*INDEX(Precio_V,2)*INDEX(IdxPrecio_V,1,MIN(10,EL$147))*(1+V_dPrecio))</f>
        <v>0</v>
      </c>
      <c r="EM164" s="34" t="n">
        <f aca="false">IF(EM$8=1,IF(Reales!$C$26="PYG",IF(EM$10&gt;0,N(Reales!EM26)/EM$10,0),N(Reales!EM26)),EM$152*INDEX(Precio_V,2)*INDEX(IdxPrecio_V,1,MIN(10,EM$147))*(1+V_dPrecio))</f>
        <v>0</v>
      </c>
      <c r="EN164" s="34" t="n">
        <f aca="false">IF(EN$8=1,IF(Reales!$C$26="PYG",IF(EN$10&gt;0,N(Reales!EN26)/EN$10,0),N(Reales!EN26)),EN$152*INDEX(Precio_V,2)*INDEX(IdxPrecio_V,1,MIN(10,EN$147))*(1+V_dPrecio))</f>
        <v>0</v>
      </c>
      <c r="EO164" s="34" t="n">
        <f aca="false">IF(EO$8=1,IF(Reales!$C$26="PYG",IF(EO$10&gt;0,N(Reales!EO26)/EO$10,0),N(Reales!EO26)),EO$152*INDEX(Precio_V,2)*INDEX(IdxPrecio_V,1,MIN(10,EO$147))*(1+V_dPrecio))</f>
        <v>0</v>
      </c>
      <c r="EP164" s="34" t="n">
        <f aca="false">IF(EP$8=1,IF(Reales!$C$26="PYG",IF(EP$10&gt;0,N(Reales!EP26)/EP$10,0),N(Reales!EP26)),EP$152*INDEX(Precio_V,2)*INDEX(IdxPrecio_V,1,MIN(10,EP$147))*(1+V_dPrecio))</f>
        <v>0</v>
      </c>
      <c r="EQ164" s="34" t="n">
        <f aca="false">IF(EQ$8=1,IF(Reales!$C$26="PYG",IF(EQ$10&gt;0,N(Reales!EQ26)/EQ$10,0),N(Reales!EQ26)),EQ$152*INDEX(Precio_V,2)*INDEX(IdxPrecio_V,1,MIN(10,EQ$147))*(1+V_dPrecio))</f>
        <v>0</v>
      </c>
      <c r="ER164" s="34" t="n">
        <f aca="false">IF(ER$8=1,IF(Reales!$C$26="PYG",IF(ER$10&gt;0,N(Reales!ER26)/ER$10,0),N(Reales!ER26)),ER$152*INDEX(Precio_V,2)*INDEX(IdxPrecio_V,1,MIN(10,ER$147))*(1+V_dPrecio))</f>
        <v>0</v>
      </c>
      <c r="ES164" s="34" t="n">
        <f aca="false">IF(ES$8=1,IF(Reales!$C$26="PYG",IF(ES$10&gt;0,N(Reales!ES26)/ES$10,0),N(Reales!ES26)),ES$152*INDEX(Precio_V,2)*INDEX(IdxPrecio_V,1,MIN(10,ES$147))*(1+V_dPrecio))</f>
        <v>0</v>
      </c>
    </row>
    <row r="165" customFormat="false" ht="15" hidden="false" customHeight="false" outlineLevel="0" collapsed="false">
      <c r="A165" s="2" t="s">
        <v>781</v>
      </c>
      <c r="B165" s="39" t="str">
        <f aca="false">IF(INDEX(Prod_Nombre,3)="","Producto 3",INDEX(Prod_Nombre,3))&amp;" — ventas USD"</f>
        <v>Producto 3 — ventas USD</v>
      </c>
      <c r="C165" s="6" t="s">
        <v>250</v>
      </c>
      <c r="E165" s="40" t="n">
        <f aca="false">SUM(F165:ES165)</f>
        <v>0</v>
      </c>
      <c r="F165" s="34" t="n">
        <f aca="false">IF(F$8=1,IF(Reales!$C$27="PYG",IF(F$10&gt;0,N(Reales!F27)/F$10,0),N(Reales!F27)),F$153*INDEX(Precio_V,3)*INDEX(IdxPrecio_V,1,MIN(10,F$147))*(1+V_dPrecio))</f>
        <v>0</v>
      </c>
      <c r="G165" s="34" t="n">
        <f aca="false">IF(G$8=1,IF(Reales!$C$27="PYG",IF(G$10&gt;0,N(Reales!G27)/G$10,0),N(Reales!G27)),G$153*INDEX(Precio_V,3)*INDEX(IdxPrecio_V,1,MIN(10,G$147))*(1+V_dPrecio))</f>
        <v>0</v>
      </c>
      <c r="H165" s="34" t="n">
        <f aca="false">IF(H$8=1,IF(Reales!$C$27="PYG",IF(H$10&gt;0,N(Reales!H27)/H$10,0),N(Reales!H27)),H$153*INDEX(Precio_V,3)*INDEX(IdxPrecio_V,1,MIN(10,H$147))*(1+V_dPrecio))</f>
        <v>0</v>
      </c>
      <c r="I165" s="34" t="n">
        <f aca="false">IF(I$8=1,IF(Reales!$C$27="PYG",IF(I$10&gt;0,N(Reales!I27)/I$10,0),N(Reales!I27)),I$153*INDEX(Precio_V,3)*INDEX(IdxPrecio_V,1,MIN(10,I$147))*(1+V_dPrecio))</f>
        <v>0</v>
      </c>
      <c r="J165" s="34" t="n">
        <f aca="false">IF(J$8=1,IF(Reales!$C$27="PYG",IF(J$10&gt;0,N(Reales!J27)/J$10,0),N(Reales!J27)),J$153*INDEX(Precio_V,3)*INDEX(IdxPrecio_V,1,MIN(10,J$147))*(1+V_dPrecio))</f>
        <v>0</v>
      </c>
      <c r="K165" s="34" t="n">
        <f aca="false">IF(K$8=1,IF(Reales!$C$27="PYG",IF(K$10&gt;0,N(Reales!K27)/K$10,0),N(Reales!K27)),K$153*INDEX(Precio_V,3)*INDEX(IdxPrecio_V,1,MIN(10,K$147))*(1+V_dPrecio))</f>
        <v>0</v>
      </c>
      <c r="L165" s="34" t="n">
        <f aca="false">IF(L$8=1,IF(Reales!$C$27="PYG",IF(L$10&gt;0,N(Reales!L27)/L$10,0),N(Reales!L27)),L$153*INDEX(Precio_V,3)*INDEX(IdxPrecio_V,1,MIN(10,L$147))*(1+V_dPrecio))</f>
        <v>0</v>
      </c>
      <c r="M165" s="34" t="n">
        <f aca="false">IF(M$8=1,IF(Reales!$C$27="PYG",IF(M$10&gt;0,N(Reales!M27)/M$10,0),N(Reales!M27)),M$153*INDEX(Precio_V,3)*INDEX(IdxPrecio_V,1,MIN(10,M$147))*(1+V_dPrecio))</f>
        <v>0</v>
      </c>
      <c r="N165" s="34" t="n">
        <f aca="false">IF(N$8=1,IF(Reales!$C$27="PYG",IF(N$10&gt;0,N(Reales!N27)/N$10,0),N(Reales!N27)),N$153*INDEX(Precio_V,3)*INDEX(IdxPrecio_V,1,MIN(10,N$147))*(1+V_dPrecio))</f>
        <v>0</v>
      </c>
      <c r="O165" s="34" t="n">
        <f aca="false">IF(O$8=1,IF(Reales!$C$27="PYG",IF(O$10&gt;0,N(Reales!O27)/O$10,0),N(Reales!O27)),O$153*INDEX(Precio_V,3)*INDEX(IdxPrecio_V,1,MIN(10,O$147))*(1+V_dPrecio))</f>
        <v>0</v>
      </c>
      <c r="P165" s="34" t="n">
        <f aca="false">IF(P$8=1,IF(Reales!$C$27="PYG",IF(P$10&gt;0,N(Reales!P27)/P$10,0),N(Reales!P27)),P$153*INDEX(Precio_V,3)*INDEX(IdxPrecio_V,1,MIN(10,P$147))*(1+V_dPrecio))</f>
        <v>0</v>
      </c>
      <c r="Q165" s="34" t="n">
        <f aca="false">IF(Q$8=1,IF(Reales!$C$27="PYG",IF(Q$10&gt;0,N(Reales!Q27)/Q$10,0),N(Reales!Q27)),Q$153*INDEX(Precio_V,3)*INDEX(IdxPrecio_V,1,MIN(10,Q$147))*(1+V_dPrecio))</f>
        <v>0</v>
      </c>
      <c r="R165" s="34" t="n">
        <f aca="false">IF(R$8=1,IF(Reales!$C$27="PYG",IF(R$10&gt;0,N(Reales!R27)/R$10,0),N(Reales!R27)),R$153*INDEX(Precio_V,3)*INDEX(IdxPrecio_V,1,MIN(10,R$147))*(1+V_dPrecio))</f>
        <v>0</v>
      </c>
      <c r="S165" s="34" t="n">
        <f aca="false">IF(S$8=1,IF(Reales!$C$27="PYG",IF(S$10&gt;0,N(Reales!S27)/S$10,0),N(Reales!S27)),S$153*INDEX(Precio_V,3)*INDEX(IdxPrecio_V,1,MIN(10,S$147))*(1+V_dPrecio))</f>
        <v>0</v>
      </c>
      <c r="T165" s="34" t="n">
        <f aca="false">IF(T$8=1,IF(Reales!$C$27="PYG",IF(T$10&gt;0,N(Reales!T27)/T$10,0),N(Reales!T27)),T$153*INDEX(Precio_V,3)*INDEX(IdxPrecio_V,1,MIN(10,T$147))*(1+V_dPrecio))</f>
        <v>0</v>
      </c>
      <c r="U165" s="34" t="n">
        <f aca="false">IF(U$8=1,IF(Reales!$C$27="PYG",IF(U$10&gt;0,N(Reales!U27)/U$10,0),N(Reales!U27)),U$153*INDEX(Precio_V,3)*INDEX(IdxPrecio_V,1,MIN(10,U$147))*(1+V_dPrecio))</f>
        <v>0</v>
      </c>
      <c r="V165" s="34" t="n">
        <f aca="false">IF(V$8=1,IF(Reales!$C$27="PYG",IF(V$10&gt;0,N(Reales!V27)/V$10,0),N(Reales!V27)),V$153*INDEX(Precio_V,3)*INDEX(IdxPrecio_V,1,MIN(10,V$147))*(1+V_dPrecio))</f>
        <v>0</v>
      </c>
      <c r="W165" s="34" t="n">
        <f aca="false">IF(W$8=1,IF(Reales!$C$27="PYG",IF(W$10&gt;0,N(Reales!W27)/W$10,0),N(Reales!W27)),W$153*INDEX(Precio_V,3)*INDEX(IdxPrecio_V,1,MIN(10,W$147))*(1+V_dPrecio))</f>
        <v>0</v>
      </c>
      <c r="X165" s="34" t="n">
        <f aca="false">IF(X$8=1,IF(Reales!$C$27="PYG",IF(X$10&gt;0,N(Reales!X27)/X$10,0),N(Reales!X27)),X$153*INDEX(Precio_V,3)*INDEX(IdxPrecio_V,1,MIN(10,X$147))*(1+V_dPrecio))</f>
        <v>0</v>
      </c>
      <c r="Y165" s="34" t="n">
        <f aca="false">IF(Y$8=1,IF(Reales!$C$27="PYG",IF(Y$10&gt;0,N(Reales!Y27)/Y$10,0),N(Reales!Y27)),Y$153*INDEX(Precio_V,3)*INDEX(IdxPrecio_V,1,MIN(10,Y$147))*(1+V_dPrecio))</f>
        <v>0</v>
      </c>
      <c r="Z165" s="34" t="n">
        <f aca="false">IF(Z$8=1,IF(Reales!$C$27="PYG",IF(Z$10&gt;0,N(Reales!Z27)/Z$10,0),N(Reales!Z27)),Z$153*INDEX(Precio_V,3)*INDEX(IdxPrecio_V,1,MIN(10,Z$147))*(1+V_dPrecio))</f>
        <v>0</v>
      </c>
      <c r="AA165" s="34" t="n">
        <f aca="false">IF(AA$8=1,IF(Reales!$C$27="PYG",IF(AA$10&gt;0,N(Reales!AA27)/AA$10,0),N(Reales!AA27)),AA$153*INDEX(Precio_V,3)*INDEX(IdxPrecio_V,1,MIN(10,AA$147))*(1+V_dPrecio))</f>
        <v>0</v>
      </c>
      <c r="AB165" s="34" t="n">
        <f aca="false">IF(AB$8=1,IF(Reales!$C$27="PYG",IF(AB$10&gt;0,N(Reales!AB27)/AB$10,0),N(Reales!AB27)),AB$153*INDEX(Precio_V,3)*INDEX(IdxPrecio_V,1,MIN(10,AB$147))*(1+V_dPrecio))</f>
        <v>0</v>
      </c>
      <c r="AC165" s="34" t="n">
        <f aca="false">IF(AC$8=1,IF(Reales!$C$27="PYG",IF(AC$10&gt;0,N(Reales!AC27)/AC$10,0),N(Reales!AC27)),AC$153*INDEX(Precio_V,3)*INDEX(IdxPrecio_V,1,MIN(10,AC$147))*(1+V_dPrecio))</f>
        <v>0</v>
      </c>
      <c r="AD165" s="34" t="n">
        <f aca="false">IF(AD$8=1,IF(Reales!$C$27="PYG",IF(AD$10&gt;0,N(Reales!AD27)/AD$10,0),N(Reales!AD27)),AD$153*INDEX(Precio_V,3)*INDEX(IdxPrecio_V,1,MIN(10,AD$147))*(1+V_dPrecio))</f>
        <v>0</v>
      </c>
      <c r="AE165" s="34" t="n">
        <f aca="false">IF(AE$8=1,IF(Reales!$C$27="PYG",IF(AE$10&gt;0,N(Reales!AE27)/AE$10,0),N(Reales!AE27)),AE$153*INDEX(Precio_V,3)*INDEX(IdxPrecio_V,1,MIN(10,AE$147))*(1+V_dPrecio))</f>
        <v>0</v>
      </c>
      <c r="AF165" s="34" t="n">
        <f aca="false">IF(AF$8=1,IF(Reales!$C$27="PYG",IF(AF$10&gt;0,N(Reales!AF27)/AF$10,0),N(Reales!AF27)),AF$153*INDEX(Precio_V,3)*INDEX(IdxPrecio_V,1,MIN(10,AF$147))*(1+V_dPrecio))</f>
        <v>0</v>
      </c>
      <c r="AG165" s="34" t="n">
        <f aca="false">IF(AG$8=1,IF(Reales!$C$27="PYG",IF(AG$10&gt;0,N(Reales!AG27)/AG$10,0),N(Reales!AG27)),AG$153*INDEX(Precio_V,3)*INDEX(IdxPrecio_V,1,MIN(10,AG$147))*(1+V_dPrecio))</f>
        <v>0</v>
      </c>
      <c r="AH165" s="34" t="n">
        <f aca="false">IF(AH$8=1,IF(Reales!$C$27="PYG",IF(AH$10&gt;0,N(Reales!AH27)/AH$10,0),N(Reales!AH27)),AH$153*INDEX(Precio_V,3)*INDEX(IdxPrecio_V,1,MIN(10,AH$147))*(1+V_dPrecio))</f>
        <v>0</v>
      </c>
      <c r="AI165" s="34" t="n">
        <f aca="false">IF(AI$8=1,IF(Reales!$C$27="PYG",IF(AI$10&gt;0,N(Reales!AI27)/AI$10,0),N(Reales!AI27)),AI$153*INDEX(Precio_V,3)*INDEX(IdxPrecio_V,1,MIN(10,AI$147))*(1+V_dPrecio))</f>
        <v>0</v>
      </c>
      <c r="AJ165" s="34" t="n">
        <f aca="false">IF(AJ$8=1,IF(Reales!$C$27="PYG",IF(AJ$10&gt;0,N(Reales!AJ27)/AJ$10,0),N(Reales!AJ27)),AJ$153*INDEX(Precio_V,3)*INDEX(IdxPrecio_V,1,MIN(10,AJ$147))*(1+V_dPrecio))</f>
        <v>0</v>
      </c>
      <c r="AK165" s="34" t="n">
        <f aca="false">IF(AK$8=1,IF(Reales!$C$27="PYG",IF(AK$10&gt;0,N(Reales!AK27)/AK$10,0),N(Reales!AK27)),AK$153*INDEX(Precio_V,3)*INDEX(IdxPrecio_V,1,MIN(10,AK$147))*(1+V_dPrecio))</f>
        <v>0</v>
      </c>
      <c r="AL165" s="34" t="n">
        <f aca="false">IF(AL$8=1,IF(Reales!$C$27="PYG",IF(AL$10&gt;0,N(Reales!AL27)/AL$10,0),N(Reales!AL27)),AL$153*INDEX(Precio_V,3)*INDEX(IdxPrecio_V,1,MIN(10,AL$147))*(1+V_dPrecio))</f>
        <v>0</v>
      </c>
      <c r="AM165" s="34" t="n">
        <f aca="false">IF(AM$8=1,IF(Reales!$C$27="PYG",IF(AM$10&gt;0,N(Reales!AM27)/AM$10,0),N(Reales!AM27)),AM$153*INDEX(Precio_V,3)*INDEX(IdxPrecio_V,1,MIN(10,AM$147))*(1+V_dPrecio))</f>
        <v>0</v>
      </c>
      <c r="AN165" s="34" t="n">
        <f aca="false">IF(AN$8=1,IF(Reales!$C$27="PYG",IF(AN$10&gt;0,N(Reales!AN27)/AN$10,0),N(Reales!AN27)),AN$153*INDEX(Precio_V,3)*INDEX(IdxPrecio_V,1,MIN(10,AN$147))*(1+V_dPrecio))</f>
        <v>0</v>
      </c>
      <c r="AO165" s="34" t="n">
        <f aca="false">IF(AO$8=1,IF(Reales!$C$27="PYG",IF(AO$10&gt;0,N(Reales!AO27)/AO$10,0),N(Reales!AO27)),AO$153*INDEX(Precio_V,3)*INDEX(IdxPrecio_V,1,MIN(10,AO$147))*(1+V_dPrecio))</f>
        <v>0</v>
      </c>
      <c r="AP165" s="34" t="n">
        <f aca="false">IF(AP$8=1,IF(Reales!$C$27="PYG",IF(AP$10&gt;0,N(Reales!AP27)/AP$10,0),N(Reales!AP27)),AP$153*INDEX(Precio_V,3)*INDEX(IdxPrecio_V,1,MIN(10,AP$147))*(1+V_dPrecio))</f>
        <v>0</v>
      </c>
      <c r="AQ165" s="34" t="n">
        <f aca="false">IF(AQ$8=1,IF(Reales!$C$27="PYG",IF(AQ$10&gt;0,N(Reales!AQ27)/AQ$10,0),N(Reales!AQ27)),AQ$153*INDEX(Precio_V,3)*INDEX(IdxPrecio_V,1,MIN(10,AQ$147))*(1+V_dPrecio))</f>
        <v>0</v>
      </c>
      <c r="AR165" s="34" t="n">
        <f aca="false">IF(AR$8=1,IF(Reales!$C$27="PYG",IF(AR$10&gt;0,N(Reales!AR27)/AR$10,0),N(Reales!AR27)),AR$153*INDEX(Precio_V,3)*INDEX(IdxPrecio_V,1,MIN(10,AR$147))*(1+V_dPrecio))</f>
        <v>0</v>
      </c>
      <c r="AS165" s="34" t="n">
        <f aca="false">IF(AS$8=1,IF(Reales!$C$27="PYG",IF(AS$10&gt;0,N(Reales!AS27)/AS$10,0),N(Reales!AS27)),AS$153*INDEX(Precio_V,3)*INDEX(IdxPrecio_V,1,MIN(10,AS$147))*(1+V_dPrecio))</f>
        <v>0</v>
      </c>
      <c r="AT165" s="34" t="n">
        <f aca="false">IF(AT$8=1,IF(Reales!$C$27="PYG",IF(AT$10&gt;0,N(Reales!AT27)/AT$10,0),N(Reales!AT27)),AT$153*INDEX(Precio_V,3)*INDEX(IdxPrecio_V,1,MIN(10,AT$147))*(1+V_dPrecio))</f>
        <v>0</v>
      </c>
      <c r="AU165" s="34" t="n">
        <f aca="false">IF(AU$8=1,IF(Reales!$C$27="PYG",IF(AU$10&gt;0,N(Reales!AU27)/AU$10,0),N(Reales!AU27)),AU$153*INDEX(Precio_V,3)*INDEX(IdxPrecio_V,1,MIN(10,AU$147))*(1+V_dPrecio))</f>
        <v>0</v>
      </c>
      <c r="AV165" s="34" t="n">
        <f aca="false">IF(AV$8=1,IF(Reales!$C$27="PYG",IF(AV$10&gt;0,N(Reales!AV27)/AV$10,0),N(Reales!AV27)),AV$153*INDEX(Precio_V,3)*INDEX(IdxPrecio_V,1,MIN(10,AV$147))*(1+V_dPrecio))</f>
        <v>0</v>
      </c>
      <c r="AW165" s="34" t="n">
        <f aca="false">IF(AW$8=1,IF(Reales!$C$27="PYG",IF(AW$10&gt;0,N(Reales!AW27)/AW$10,0),N(Reales!AW27)),AW$153*INDEX(Precio_V,3)*INDEX(IdxPrecio_V,1,MIN(10,AW$147))*(1+V_dPrecio))</f>
        <v>0</v>
      </c>
      <c r="AX165" s="34" t="n">
        <f aca="false">IF(AX$8=1,IF(Reales!$C$27="PYG",IF(AX$10&gt;0,N(Reales!AX27)/AX$10,0),N(Reales!AX27)),AX$153*INDEX(Precio_V,3)*INDEX(IdxPrecio_V,1,MIN(10,AX$147))*(1+V_dPrecio))</f>
        <v>0</v>
      </c>
      <c r="AY165" s="34" t="n">
        <f aca="false">IF(AY$8=1,IF(Reales!$C$27="PYG",IF(AY$10&gt;0,N(Reales!AY27)/AY$10,0),N(Reales!AY27)),AY$153*INDEX(Precio_V,3)*INDEX(IdxPrecio_V,1,MIN(10,AY$147))*(1+V_dPrecio))</f>
        <v>0</v>
      </c>
      <c r="AZ165" s="34" t="n">
        <f aca="false">IF(AZ$8=1,IF(Reales!$C$27="PYG",IF(AZ$10&gt;0,N(Reales!AZ27)/AZ$10,0),N(Reales!AZ27)),AZ$153*INDEX(Precio_V,3)*INDEX(IdxPrecio_V,1,MIN(10,AZ$147))*(1+V_dPrecio))</f>
        <v>0</v>
      </c>
      <c r="BA165" s="34" t="n">
        <f aca="false">IF(BA$8=1,IF(Reales!$C$27="PYG",IF(BA$10&gt;0,N(Reales!BA27)/BA$10,0),N(Reales!BA27)),BA$153*INDEX(Precio_V,3)*INDEX(IdxPrecio_V,1,MIN(10,BA$147))*(1+V_dPrecio))</f>
        <v>0</v>
      </c>
      <c r="BB165" s="34" t="n">
        <f aca="false">IF(BB$8=1,IF(Reales!$C$27="PYG",IF(BB$10&gt;0,N(Reales!BB27)/BB$10,0),N(Reales!BB27)),BB$153*INDEX(Precio_V,3)*INDEX(IdxPrecio_V,1,MIN(10,BB$147))*(1+V_dPrecio))</f>
        <v>0</v>
      </c>
      <c r="BC165" s="34" t="n">
        <f aca="false">IF(BC$8=1,IF(Reales!$C$27="PYG",IF(BC$10&gt;0,N(Reales!BC27)/BC$10,0),N(Reales!BC27)),BC$153*INDEX(Precio_V,3)*INDEX(IdxPrecio_V,1,MIN(10,BC$147))*(1+V_dPrecio))</f>
        <v>0</v>
      </c>
      <c r="BD165" s="34" t="n">
        <f aca="false">IF(BD$8=1,IF(Reales!$C$27="PYG",IF(BD$10&gt;0,N(Reales!BD27)/BD$10,0),N(Reales!BD27)),BD$153*INDEX(Precio_V,3)*INDEX(IdxPrecio_V,1,MIN(10,BD$147))*(1+V_dPrecio))</f>
        <v>0</v>
      </c>
      <c r="BE165" s="34" t="n">
        <f aca="false">IF(BE$8=1,IF(Reales!$C$27="PYG",IF(BE$10&gt;0,N(Reales!BE27)/BE$10,0),N(Reales!BE27)),BE$153*INDEX(Precio_V,3)*INDEX(IdxPrecio_V,1,MIN(10,BE$147))*(1+V_dPrecio))</f>
        <v>0</v>
      </c>
      <c r="BF165" s="34" t="n">
        <f aca="false">IF(BF$8=1,IF(Reales!$C$27="PYG",IF(BF$10&gt;0,N(Reales!BF27)/BF$10,0),N(Reales!BF27)),BF$153*INDEX(Precio_V,3)*INDEX(IdxPrecio_V,1,MIN(10,BF$147))*(1+V_dPrecio))</f>
        <v>0</v>
      </c>
      <c r="BG165" s="34" t="n">
        <f aca="false">IF(BG$8=1,IF(Reales!$C$27="PYG",IF(BG$10&gt;0,N(Reales!BG27)/BG$10,0),N(Reales!BG27)),BG$153*INDEX(Precio_V,3)*INDEX(IdxPrecio_V,1,MIN(10,BG$147))*(1+V_dPrecio))</f>
        <v>0</v>
      </c>
      <c r="BH165" s="34" t="n">
        <f aca="false">IF(BH$8=1,IF(Reales!$C$27="PYG",IF(BH$10&gt;0,N(Reales!BH27)/BH$10,0),N(Reales!BH27)),BH$153*INDEX(Precio_V,3)*INDEX(IdxPrecio_V,1,MIN(10,BH$147))*(1+V_dPrecio))</f>
        <v>0</v>
      </c>
      <c r="BI165" s="34" t="n">
        <f aca="false">IF(BI$8=1,IF(Reales!$C$27="PYG",IF(BI$10&gt;0,N(Reales!BI27)/BI$10,0),N(Reales!BI27)),BI$153*INDEX(Precio_V,3)*INDEX(IdxPrecio_V,1,MIN(10,BI$147))*(1+V_dPrecio))</f>
        <v>0</v>
      </c>
      <c r="BJ165" s="34" t="n">
        <f aca="false">IF(BJ$8=1,IF(Reales!$C$27="PYG",IF(BJ$10&gt;0,N(Reales!BJ27)/BJ$10,0),N(Reales!BJ27)),BJ$153*INDEX(Precio_V,3)*INDEX(IdxPrecio_V,1,MIN(10,BJ$147))*(1+V_dPrecio))</f>
        <v>0</v>
      </c>
      <c r="BK165" s="34" t="n">
        <f aca="false">IF(BK$8=1,IF(Reales!$C$27="PYG",IF(BK$10&gt;0,N(Reales!BK27)/BK$10,0),N(Reales!BK27)),BK$153*INDEX(Precio_V,3)*INDEX(IdxPrecio_V,1,MIN(10,BK$147))*(1+V_dPrecio))</f>
        <v>0</v>
      </c>
      <c r="BL165" s="34" t="n">
        <f aca="false">IF(BL$8=1,IF(Reales!$C$27="PYG",IF(BL$10&gt;0,N(Reales!BL27)/BL$10,0),N(Reales!BL27)),BL$153*INDEX(Precio_V,3)*INDEX(IdxPrecio_V,1,MIN(10,BL$147))*(1+V_dPrecio))</f>
        <v>0</v>
      </c>
      <c r="BM165" s="34" t="n">
        <f aca="false">IF(BM$8=1,IF(Reales!$C$27="PYG",IF(BM$10&gt;0,N(Reales!BM27)/BM$10,0),N(Reales!BM27)),BM$153*INDEX(Precio_V,3)*INDEX(IdxPrecio_V,1,MIN(10,BM$147))*(1+V_dPrecio))</f>
        <v>0</v>
      </c>
      <c r="BN165" s="34" t="n">
        <f aca="false">IF(BN$8=1,IF(Reales!$C$27="PYG",IF(BN$10&gt;0,N(Reales!BN27)/BN$10,0),N(Reales!BN27)),BN$153*INDEX(Precio_V,3)*INDEX(IdxPrecio_V,1,MIN(10,BN$147))*(1+V_dPrecio))</f>
        <v>0</v>
      </c>
      <c r="BO165" s="34" t="n">
        <f aca="false">IF(BO$8=1,IF(Reales!$C$27="PYG",IF(BO$10&gt;0,N(Reales!BO27)/BO$10,0),N(Reales!BO27)),BO$153*INDEX(Precio_V,3)*INDEX(IdxPrecio_V,1,MIN(10,BO$147))*(1+V_dPrecio))</f>
        <v>0</v>
      </c>
      <c r="BP165" s="34" t="n">
        <f aca="false">IF(BP$8=1,IF(Reales!$C$27="PYG",IF(BP$10&gt;0,N(Reales!BP27)/BP$10,0),N(Reales!BP27)),BP$153*INDEX(Precio_V,3)*INDEX(IdxPrecio_V,1,MIN(10,BP$147))*(1+V_dPrecio))</f>
        <v>0</v>
      </c>
      <c r="BQ165" s="34" t="n">
        <f aca="false">IF(BQ$8=1,IF(Reales!$C$27="PYG",IF(BQ$10&gt;0,N(Reales!BQ27)/BQ$10,0),N(Reales!BQ27)),BQ$153*INDEX(Precio_V,3)*INDEX(IdxPrecio_V,1,MIN(10,BQ$147))*(1+V_dPrecio))</f>
        <v>0</v>
      </c>
      <c r="BR165" s="34" t="n">
        <f aca="false">IF(BR$8=1,IF(Reales!$C$27="PYG",IF(BR$10&gt;0,N(Reales!BR27)/BR$10,0),N(Reales!BR27)),BR$153*INDEX(Precio_V,3)*INDEX(IdxPrecio_V,1,MIN(10,BR$147))*(1+V_dPrecio))</f>
        <v>0</v>
      </c>
      <c r="BS165" s="34" t="n">
        <f aca="false">IF(BS$8=1,IF(Reales!$C$27="PYG",IF(BS$10&gt;0,N(Reales!BS27)/BS$10,0),N(Reales!BS27)),BS$153*INDEX(Precio_V,3)*INDEX(IdxPrecio_V,1,MIN(10,BS$147))*(1+V_dPrecio))</f>
        <v>0</v>
      </c>
      <c r="BT165" s="34" t="n">
        <f aca="false">IF(BT$8=1,IF(Reales!$C$27="PYG",IF(BT$10&gt;0,N(Reales!BT27)/BT$10,0),N(Reales!BT27)),BT$153*INDEX(Precio_V,3)*INDEX(IdxPrecio_V,1,MIN(10,BT$147))*(1+V_dPrecio))</f>
        <v>0</v>
      </c>
      <c r="BU165" s="34" t="n">
        <f aca="false">IF(BU$8=1,IF(Reales!$C$27="PYG",IF(BU$10&gt;0,N(Reales!BU27)/BU$10,0),N(Reales!BU27)),BU$153*INDEX(Precio_V,3)*INDEX(IdxPrecio_V,1,MIN(10,BU$147))*(1+V_dPrecio))</f>
        <v>0</v>
      </c>
      <c r="BV165" s="34" t="n">
        <f aca="false">IF(BV$8=1,IF(Reales!$C$27="PYG",IF(BV$10&gt;0,N(Reales!BV27)/BV$10,0),N(Reales!BV27)),BV$153*INDEX(Precio_V,3)*INDEX(IdxPrecio_V,1,MIN(10,BV$147))*(1+V_dPrecio))</f>
        <v>0</v>
      </c>
      <c r="BW165" s="34" t="n">
        <f aca="false">IF(BW$8=1,IF(Reales!$C$27="PYG",IF(BW$10&gt;0,N(Reales!BW27)/BW$10,0),N(Reales!BW27)),BW$153*INDEX(Precio_V,3)*INDEX(IdxPrecio_V,1,MIN(10,BW$147))*(1+V_dPrecio))</f>
        <v>0</v>
      </c>
      <c r="BX165" s="34" t="n">
        <f aca="false">IF(BX$8=1,IF(Reales!$C$27="PYG",IF(BX$10&gt;0,N(Reales!BX27)/BX$10,0),N(Reales!BX27)),BX$153*INDEX(Precio_V,3)*INDEX(IdxPrecio_V,1,MIN(10,BX$147))*(1+V_dPrecio))</f>
        <v>0</v>
      </c>
      <c r="BY165" s="34" t="n">
        <f aca="false">IF(BY$8=1,IF(Reales!$C$27="PYG",IF(BY$10&gt;0,N(Reales!BY27)/BY$10,0),N(Reales!BY27)),BY$153*INDEX(Precio_V,3)*INDEX(IdxPrecio_V,1,MIN(10,BY$147))*(1+V_dPrecio))</f>
        <v>0</v>
      </c>
      <c r="BZ165" s="34" t="n">
        <f aca="false">IF(BZ$8=1,IF(Reales!$C$27="PYG",IF(BZ$10&gt;0,N(Reales!BZ27)/BZ$10,0),N(Reales!BZ27)),BZ$153*INDEX(Precio_V,3)*INDEX(IdxPrecio_V,1,MIN(10,BZ$147))*(1+V_dPrecio))</f>
        <v>0</v>
      </c>
      <c r="CA165" s="34" t="n">
        <f aca="false">IF(CA$8=1,IF(Reales!$C$27="PYG",IF(CA$10&gt;0,N(Reales!CA27)/CA$10,0),N(Reales!CA27)),CA$153*INDEX(Precio_V,3)*INDEX(IdxPrecio_V,1,MIN(10,CA$147))*(1+V_dPrecio))</f>
        <v>0</v>
      </c>
      <c r="CB165" s="34" t="n">
        <f aca="false">IF(CB$8=1,IF(Reales!$C$27="PYG",IF(CB$10&gt;0,N(Reales!CB27)/CB$10,0),N(Reales!CB27)),CB$153*INDEX(Precio_V,3)*INDEX(IdxPrecio_V,1,MIN(10,CB$147))*(1+V_dPrecio))</f>
        <v>0</v>
      </c>
      <c r="CC165" s="34" t="n">
        <f aca="false">IF(CC$8=1,IF(Reales!$C$27="PYG",IF(CC$10&gt;0,N(Reales!CC27)/CC$10,0),N(Reales!CC27)),CC$153*INDEX(Precio_V,3)*INDEX(IdxPrecio_V,1,MIN(10,CC$147))*(1+V_dPrecio))</f>
        <v>0</v>
      </c>
      <c r="CD165" s="34" t="n">
        <f aca="false">IF(CD$8=1,IF(Reales!$C$27="PYG",IF(CD$10&gt;0,N(Reales!CD27)/CD$10,0),N(Reales!CD27)),CD$153*INDEX(Precio_V,3)*INDEX(IdxPrecio_V,1,MIN(10,CD$147))*(1+V_dPrecio))</f>
        <v>0</v>
      </c>
      <c r="CE165" s="34" t="n">
        <f aca="false">IF(CE$8=1,IF(Reales!$C$27="PYG",IF(CE$10&gt;0,N(Reales!CE27)/CE$10,0),N(Reales!CE27)),CE$153*INDEX(Precio_V,3)*INDEX(IdxPrecio_V,1,MIN(10,CE$147))*(1+V_dPrecio))</f>
        <v>0</v>
      </c>
      <c r="CF165" s="34" t="n">
        <f aca="false">IF(CF$8=1,IF(Reales!$C$27="PYG",IF(CF$10&gt;0,N(Reales!CF27)/CF$10,0),N(Reales!CF27)),CF$153*INDEX(Precio_V,3)*INDEX(IdxPrecio_V,1,MIN(10,CF$147))*(1+V_dPrecio))</f>
        <v>0</v>
      </c>
      <c r="CG165" s="34" t="n">
        <f aca="false">IF(CG$8=1,IF(Reales!$C$27="PYG",IF(CG$10&gt;0,N(Reales!CG27)/CG$10,0),N(Reales!CG27)),CG$153*INDEX(Precio_V,3)*INDEX(IdxPrecio_V,1,MIN(10,CG$147))*(1+V_dPrecio))</f>
        <v>0</v>
      </c>
      <c r="CH165" s="34" t="n">
        <f aca="false">IF(CH$8=1,IF(Reales!$C$27="PYG",IF(CH$10&gt;0,N(Reales!CH27)/CH$10,0),N(Reales!CH27)),CH$153*INDEX(Precio_V,3)*INDEX(IdxPrecio_V,1,MIN(10,CH$147))*(1+V_dPrecio))</f>
        <v>0</v>
      </c>
      <c r="CI165" s="34" t="n">
        <f aca="false">IF(CI$8=1,IF(Reales!$C$27="PYG",IF(CI$10&gt;0,N(Reales!CI27)/CI$10,0),N(Reales!CI27)),CI$153*INDEX(Precio_V,3)*INDEX(IdxPrecio_V,1,MIN(10,CI$147))*(1+V_dPrecio))</f>
        <v>0</v>
      </c>
      <c r="CJ165" s="34" t="n">
        <f aca="false">IF(CJ$8=1,IF(Reales!$C$27="PYG",IF(CJ$10&gt;0,N(Reales!CJ27)/CJ$10,0),N(Reales!CJ27)),CJ$153*INDEX(Precio_V,3)*INDEX(IdxPrecio_V,1,MIN(10,CJ$147))*(1+V_dPrecio))</f>
        <v>0</v>
      </c>
      <c r="CK165" s="34" t="n">
        <f aca="false">IF(CK$8=1,IF(Reales!$C$27="PYG",IF(CK$10&gt;0,N(Reales!CK27)/CK$10,0),N(Reales!CK27)),CK$153*INDEX(Precio_V,3)*INDEX(IdxPrecio_V,1,MIN(10,CK$147))*(1+V_dPrecio))</f>
        <v>0</v>
      </c>
      <c r="CL165" s="34" t="n">
        <f aca="false">IF(CL$8=1,IF(Reales!$C$27="PYG",IF(CL$10&gt;0,N(Reales!CL27)/CL$10,0),N(Reales!CL27)),CL$153*INDEX(Precio_V,3)*INDEX(IdxPrecio_V,1,MIN(10,CL$147))*(1+V_dPrecio))</f>
        <v>0</v>
      </c>
      <c r="CM165" s="34" t="n">
        <f aca="false">IF(CM$8=1,IF(Reales!$C$27="PYG",IF(CM$10&gt;0,N(Reales!CM27)/CM$10,0),N(Reales!CM27)),CM$153*INDEX(Precio_V,3)*INDEX(IdxPrecio_V,1,MIN(10,CM$147))*(1+V_dPrecio))</f>
        <v>0</v>
      </c>
      <c r="CN165" s="34" t="n">
        <f aca="false">IF(CN$8=1,IF(Reales!$C$27="PYG",IF(CN$10&gt;0,N(Reales!CN27)/CN$10,0),N(Reales!CN27)),CN$153*INDEX(Precio_V,3)*INDEX(IdxPrecio_V,1,MIN(10,CN$147))*(1+V_dPrecio))</f>
        <v>0</v>
      </c>
      <c r="CO165" s="34" t="n">
        <f aca="false">IF(CO$8=1,IF(Reales!$C$27="PYG",IF(CO$10&gt;0,N(Reales!CO27)/CO$10,0),N(Reales!CO27)),CO$153*INDEX(Precio_V,3)*INDEX(IdxPrecio_V,1,MIN(10,CO$147))*(1+V_dPrecio))</f>
        <v>0</v>
      </c>
      <c r="CP165" s="34" t="n">
        <f aca="false">IF(CP$8=1,IF(Reales!$C$27="PYG",IF(CP$10&gt;0,N(Reales!CP27)/CP$10,0),N(Reales!CP27)),CP$153*INDEX(Precio_V,3)*INDEX(IdxPrecio_V,1,MIN(10,CP$147))*(1+V_dPrecio))</f>
        <v>0</v>
      </c>
      <c r="CQ165" s="34" t="n">
        <f aca="false">IF(CQ$8=1,IF(Reales!$C$27="PYG",IF(CQ$10&gt;0,N(Reales!CQ27)/CQ$10,0),N(Reales!CQ27)),CQ$153*INDEX(Precio_V,3)*INDEX(IdxPrecio_V,1,MIN(10,CQ$147))*(1+V_dPrecio))</f>
        <v>0</v>
      </c>
      <c r="CR165" s="34" t="n">
        <f aca="false">IF(CR$8=1,IF(Reales!$C$27="PYG",IF(CR$10&gt;0,N(Reales!CR27)/CR$10,0),N(Reales!CR27)),CR$153*INDEX(Precio_V,3)*INDEX(IdxPrecio_V,1,MIN(10,CR$147))*(1+V_dPrecio))</f>
        <v>0</v>
      </c>
      <c r="CS165" s="34" t="n">
        <f aca="false">IF(CS$8=1,IF(Reales!$C$27="PYG",IF(CS$10&gt;0,N(Reales!CS27)/CS$10,0),N(Reales!CS27)),CS$153*INDEX(Precio_V,3)*INDEX(IdxPrecio_V,1,MIN(10,CS$147))*(1+V_dPrecio))</f>
        <v>0</v>
      </c>
      <c r="CT165" s="34" t="n">
        <f aca="false">IF(CT$8=1,IF(Reales!$C$27="PYG",IF(CT$10&gt;0,N(Reales!CT27)/CT$10,0),N(Reales!CT27)),CT$153*INDEX(Precio_V,3)*INDEX(IdxPrecio_V,1,MIN(10,CT$147))*(1+V_dPrecio))</f>
        <v>0</v>
      </c>
      <c r="CU165" s="34" t="n">
        <f aca="false">IF(CU$8=1,IF(Reales!$C$27="PYG",IF(CU$10&gt;0,N(Reales!CU27)/CU$10,0),N(Reales!CU27)),CU$153*INDEX(Precio_V,3)*INDEX(IdxPrecio_V,1,MIN(10,CU$147))*(1+V_dPrecio))</f>
        <v>0</v>
      </c>
      <c r="CV165" s="34" t="n">
        <f aca="false">IF(CV$8=1,IF(Reales!$C$27="PYG",IF(CV$10&gt;0,N(Reales!CV27)/CV$10,0),N(Reales!CV27)),CV$153*INDEX(Precio_V,3)*INDEX(IdxPrecio_V,1,MIN(10,CV$147))*(1+V_dPrecio))</f>
        <v>0</v>
      </c>
      <c r="CW165" s="34" t="n">
        <f aca="false">IF(CW$8=1,IF(Reales!$C$27="PYG",IF(CW$10&gt;0,N(Reales!CW27)/CW$10,0),N(Reales!CW27)),CW$153*INDEX(Precio_V,3)*INDEX(IdxPrecio_V,1,MIN(10,CW$147))*(1+V_dPrecio))</f>
        <v>0</v>
      </c>
      <c r="CX165" s="34" t="n">
        <f aca="false">IF(CX$8=1,IF(Reales!$C$27="PYG",IF(CX$10&gt;0,N(Reales!CX27)/CX$10,0),N(Reales!CX27)),CX$153*INDEX(Precio_V,3)*INDEX(IdxPrecio_V,1,MIN(10,CX$147))*(1+V_dPrecio))</f>
        <v>0</v>
      </c>
      <c r="CY165" s="34" t="n">
        <f aca="false">IF(CY$8=1,IF(Reales!$C$27="PYG",IF(CY$10&gt;0,N(Reales!CY27)/CY$10,0),N(Reales!CY27)),CY$153*INDEX(Precio_V,3)*INDEX(IdxPrecio_V,1,MIN(10,CY$147))*(1+V_dPrecio))</f>
        <v>0</v>
      </c>
      <c r="CZ165" s="34" t="n">
        <f aca="false">IF(CZ$8=1,IF(Reales!$C$27="PYG",IF(CZ$10&gt;0,N(Reales!CZ27)/CZ$10,0),N(Reales!CZ27)),CZ$153*INDEX(Precio_V,3)*INDEX(IdxPrecio_V,1,MIN(10,CZ$147))*(1+V_dPrecio))</f>
        <v>0</v>
      </c>
      <c r="DA165" s="34" t="n">
        <f aca="false">IF(DA$8=1,IF(Reales!$C$27="PYG",IF(DA$10&gt;0,N(Reales!DA27)/DA$10,0),N(Reales!DA27)),DA$153*INDEX(Precio_V,3)*INDEX(IdxPrecio_V,1,MIN(10,DA$147))*(1+V_dPrecio))</f>
        <v>0</v>
      </c>
      <c r="DB165" s="34" t="n">
        <f aca="false">IF(DB$8=1,IF(Reales!$C$27="PYG",IF(DB$10&gt;0,N(Reales!DB27)/DB$10,0),N(Reales!DB27)),DB$153*INDEX(Precio_V,3)*INDEX(IdxPrecio_V,1,MIN(10,DB$147))*(1+V_dPrecio))</f>
        <v>0</v>
      </c>
      <c r="DC165" s="34" t="n">
        <f aca="false">IF(DC$8=1,IF(Reales!$C$27="PYG",IF(DC$10&gt;0,N(Reales!DC27)/DC$10,0),N(Reales!DC27)),DC$153*INDEX(Precio_V,3)*INDEX(IdxPrecio_V,1,MIN(10,DC$147))*(1+V_dPrecio))</f>
        <v>0</v>
      </c>
      <c r="DD165" s="34" t="n">
        <f aca="false">IF(DD$8=1,IF(Reales!$C$27="PYG",IF(DD$10&gt;0,N(Reales!DD27)/DD$10,0),N(Reales!DD27)),DD$153*INDEX(Precio_V,3)*INDEX(IdxPrecio_V,1,MIN(10,DD$147))*(1+V_dPrecio))</f>
        <v>0</v>
      </c>
      <c r="DE165" s="34" t="n">
        <f aca="false">IF(DE$8=1,IF(Reales!$C$27="PYG",IF(DE$10&gt;0,N(Reales!DE27)/DE$10,0),N(Reales!DE27)),DE$153*INDEX(Precio_V,3)*INDEX(IdxPrecio_V,1,MIN(10,DE$147))*(1+V_dPrecio))</f>
        <v>0</v>
      </c>
      <c r="DF165" s="34" t="n">
        <f aca="false">IF(DF$8=1,IF(Reales!$C$27="PYG",IF(DF$10&gt;0,N(Reales!DF27)/DF$10,0),N(Reales!DF27)),DF$153*INDEX(Precio_V,3)*INDEX(IdxPrecio_V,1,MIN(10,DF$147))*(1+V_dPrecio))</f>
        <v>0</v>
      </c>
      <c r="DG165" s="34" t="n">
        <f aca="false">IF(DG$8=1,IF(Reales!$C$27="PYG",IF(DG$10&gt;0,N(Reales!DG27)/DG$10,0),N(Reales!DG27)),DG$153*INDEX(Precio_V,3)*INDEX(IdxPrecio_V,1,MIN(10,DG$147))*(1+V_dPrecio))</f>
        <v>0</v>
      </c>
      <c r="DH165" s="34" t="n">
        <f aca="false">IF(DH$8=1,IF(Reales!$C$27="PYG",IF(DH$10&gt;0,N(Reales!DH27)/DH$10,0),N(Reales!DH27)),DH$153*INDEX(Precio_V,3)*INDEX(IdxPrecio_V,1,MIN(10,DH$147))*(1+V_dPrecio))</f>
        <v>0</v>
      </c>
      <c r="DI165" s="34" t="n">
        <f aca="false">IF(DI$8=1,IF(Reales!$C$27="PYG",IF(DI$10&gt;0,N(Reales!DI27)/DI$10,0),N(Reales!DI27)),DI$153*INDEX(Precio_V,3)*INDEX(IdxPrecio_V,1,MIN(10,DI$147))*(1+V_dPrecio))</f>
        <v>0</v>
      </c>
      <c r="DJ165" s="34" t="n">
        <f aca="false">IF(DJ$8=1,IF(Reales!$C$27="PYG",IF(DJ$10&gt;0,N(Reales!DJ27)/DJ$10,0),N(Reales!DJ27)),DJ$153*INDEX(Precio_V,3)*INDEX(IdxPrecio_V,1,MIN(10,DJ$147))*(1+V_dPrecio))</f>
        <v>0</v>
      </c>
      <c r="DK165" s="34" t="n">
        <f aca="false">IF(DK$8=1,IF(Reales!$C$27="PYG",IF(DK$10&gt;0,N(Reales!DK27)/DK$10,0),N(Reales!DK27)),DK$153*INDEX(Precio_V,3)*INDEX(IdxPrecio_V,1,MIN(10,DK$147))*(1+V_dPrecio))</f>
        <v>0</v>
      </c>
      <c r="DL165" s="34" t="n">
        <f aca="false">IF(DL$8=1,IF(Reales!$C$27="PYG",IF(DL$10&gt;0,N(Reales!DL27)/DL$10,0),N(Reales!DL27)),DL$153*INDEX(Precio_V,3)*INDEX(IdxPrecio_V,1,MIN(10,DL$147))*(1+V_dPrecio))</f>
        <v>0</v>
      </c>
      <c r="DM165" s="34" t="n">
        <f aca="false">IF(DM$8=1,IF(Reales!$C$27="PYG",IF(DM$10&gt;0,N(Reales!DM27)/DM$10,0),N(Reales!DM27)),DM$153*INDEX(Precio_V,3)*INDEX(IdxPrecio_V,1,MIN(10,DM$147))*(1+V_dPrecio))</f>
        <v>0</v>
      </c>
      <c r="DN165" s="34" t="n">
        <f aca="false">IF(DN$8=1,IF(Reales!$C$27="PYG",IF(DN$10&gt;0,N(Reales!DN27)/DN$10,0),N(Reales!DN27)),DN$153*INDEX(Precio_V,3)*INDEX(IdxPrecio_V,1,MIN(10,DN$147))*(1+V_dPrecio))</f>
        <v>0</v>
      </c>
      <c r="DO165" s="34" t="n">
        <f aca="false">IF(DO$8=1,IF(Reales!$C$27="PYG",IF(DO$10&gt;0,N(Reales!DO27)/DO$10,0),N(Reales!DO27)),DO$153*INDEX(Precio_V,3)*INDEX(IdxPrecio_V,1,MIN(10,DO$147))*(1+V_dPrecio))</f>
        <v>0</v>
      </c>
      <c r="DP165" s="34" t="n">
        <f aca="false">IF(DP$8=1,IF(Reales!$C$27="PYG",IF(DP$10&gt;0,N(Reales!DP27)/DP$10,0),N(Reales!DP27)),DP$153*INDEX(Precio_V,3)*INDEX(IdxPrecio_V,1,MIN(10,DP$147))*(1+V_dPrecio))</f>
        <v>0</v>
      </c>
      <c r="DQ165" s="34" t="n">
        <f aca="false">IF(DQ$8=1,IF(Reales!$C$27="PYG",IF(DQ$10&gt;0,N(Reales!DQ27)/DQ$10,0),N(Reales!DQ27)),DQ$153*INDEX(Precio_V,3)*INDEX(IdxPrecio_V,1,MIN(10,DQ$147))*(1+V_dPrecio))</f>
        <v>0</v>
      </c>
      <c r="DR165" s="34" t="n">
        <f aca="false">IF(DR$8=1,IF(Reales!$C$27="PYG",IF(DR$10&gt;0,N(Reales!DR27)/DR$10,0),N(Reales!DR27)),DR$153*INDEX(Precio_V,3)*INDEX(IdxPrecio_V,1,MIN(10,DR$147))*(1+V_dPrecio))</f>
        <v>0</v>
      </c>
      <c r="DS165" s="34" t="n">
        <f aca="false">IF(DS$8=1,IF(Reales!$C$27="PYG",IF(DS$10&gt;0,N(Reales!DS27)/DS$10,0),N(Reales!DS27)),DS$153*INDEX(Precio_V,3)*INDEX(IdxPrecio_V,1,MIN(10,DS$147))*(1+V_dPrecio))</f>
        <v>0</v>
      </c>
      <c r="DT165" s="34" t="n">
        <f aca="false">IF(DT$8=1,IF(Reales!$C$27="PYG",IF(DT$10&gt;0,N(Reales!DT27)/DT$10,0),N(Reales!DT27)),DT$153*INDEX(Precio_V,3)*INDEX(IdxPrecio_V,1,MIN(10,DT$147))*(1+V_dPrecio))</f>
        <v>0</v>
      </c>
      <c r="DU165" s="34" t="n">
        <f aca="false">IF(DU$8=1,IF(Reales!$C$27="PYG",IF(DU$10&gt;0,N(Reales!DU27)/DU$10,0),N(Reales!DU27)),DU$153*INDEX(Precio_V,3)*INDEX(IdxPrecio_V,1,MIN(10,DU$147))*(1+V_dPrecio))</f>
        <v>0</v>
      </c>
      <c r="DV165" s="34" t="n">
        <f aca="false">IF(DV$8=1,IF(Reales!$C$27="PYG",IF(DV$10&gt;0,N(Reales!DV27)/DV$10,0),N(Reales!DV27)),DV$153*INDEX(Precio_V,3)*INDEX(IdxPrecio_V,1,MIN(10,DV$147))*(1+V_dPrecio))</f>
        <v>0</v>
      </c>
      <c r="DW165" s="34" t="n">
        <f aca="false">IF(DW$8=1,IF(Reales!$C$27="PYG",IF(DW$10&gt;0,N(Reales!DW27)/DW$10,0),N(Reales!DW27)),DW$153*INDEX(Precio_V,3)*INDEX(IdxPrecio_V,1,MIN(10,DW$147))*(1+V_dPrecio))</f>
        <v>0</v>
      </c>
      <c r="DX165" s="34" t="n">
        <f aca="false">IF(DX$8=1,IF(Reales!$C$27="PYG",IF(DX$10&gt;0,N(Reales!DX27)/DX$10,0),N(Reales!DX27)),DX$153*INDEX(Precio_V,3)*INDEX(IdxPrecio_V,1,MIN(10,DX$147))*(1+V_dPrecio))</f>
        <v>0</v>
      </c>
      <c r="DY165" s="34" t="n">
        <f aca="false">IF(DY$8=1,IF(Reales!$C$27="PYG",IF(DY$10&gt;0,N(Reales!DY27)/DY$10,0),N(Reales!DY27)),DY$153*INDEX(Precio_V,3)*INDEX(IdxPrecio_V,1,MIN(10,DY$147))*(1+V_dPrecio))</f>
        <v>0</v>
      </c>
      <c r="DZ165" s="34" t="n">
        <f aca="false">IF(DZ$8=1,IF(Reales!$C$27="PYG",IF(DZ$10&gt;0,N(Reales!DZ27)/DZ$10,0),N(Reales!DZ27)),DZ$153*INDEX(Precio_V,3)*INDEX(IdxPrecio_V,1,MIN(10,DZ$147))*(1+V_dPrecio))</f>
        <v>0</v>
      </c>
      <c r="EA165" s="34" t="n">
        <f aca="false">IF(EA$8=1,IF(Reales!$C$27="PYG",IF(EA$10&gt;0,N(Reales!EA27)/EA$10,0),N(Reales!EA27)),EA$153*INDEX(Precio_V,3)*INDEX(IdxPrecio_V,1,MIN(10,EA$147))*(1+V_dPrecio))</f>
        <v>0</v>
      </c>
      <c r="EB165" s="34" t="n">
        <f aca="false">IF(EB$8=1,IF(Reales!$C$27="PYG",IF(EB$10&gt;0,N(Reales!EB27)/EB$10,0),N(Reales!EB27)),EB$153*INDEX(Precio_V,3)*INDEX(IdxPrecio_V,1,MIN(10,EB$147))*(1+V_dPrecio))</f>
        <v>0</v>
      </c>
      <c r="EC165" s="34" t="n">
        <f aca="false">IF(EC$8=1,IF(Reales!$C$27="PYG",IF(EC$10&gt;0,N(Reales!EC27)/EC$10,0),N(Reales!EC27)),EC$153*INDEX(Precio_V,3)*INDEX(IdxPrecio_V,1,MIN(10,EC$147))*(1+V_dPrecio))</f>
        <v>0</v>
      </c>
      <c r="ED165" s="34" t="n">
        <f aca="false">IF(ED$8=1,IF(Reales!$C$27="PYG",IF(ED$10&gt;0,N(Reales!ED27)/ED$10,0),N(Reales!ED27)),ED$153*INDEX(Precio_V,3)*INDEX(IdxPrecio_V,1,MIN(10,ED$147))*(1+V_dPrecio))</f>
        <v>0</v>
      </c>
      <c r="EE165" s="34" t="n">
        <f aca="false">IF(EE$8=1,IF(Reales!$C$27="PYG",IF(EE$10&gt;0,N(Reales!EE27)/EE$10,0),N(Reales!EE27)),EE$153*INDEX(Precio_V,3)*INDEX(IdxPrecio_V,1,MIN(10,EE$147))*(1+V_dPrecio))</f>
        <v>0</v>
      </c>
      <c r="EF165" s="34" t="n">
        <f aca="false">IF(EF$8=1,IF(Reales!$C$27="PYG",IF(EF$10&gt;0,N(Reales!EF27)/EF$10,0),N(Reales!EF27)),EF$153*INDEX(Precio_V,3)*INDEX(IdxPrecio_V,1,MIN(10,EF$147))*(1+V_dPrecio))</f>
        <v>0</v>
      </c>
      <c r="EG165" s="34" t="n">
        <f aca="false">IF(EG$8=1,IF(Reales!$C$27="PYG",IF(EG$10&gt;0,N(Reales!EG27)/EG$10,0),N(Reales!EG27)),EG$153*INDEX(Precio_V,3)*INDEX(IdxPrecio_V,1,MIN(10,EG$147))*(1+V_dPrecio))</f>
        <v>0</v>
      </c>
      <c r="EH165" s="34" t="n">
        <f aca="false">IF(EH$8=1,IF(Reales!$C$27="PYG",IF(EH$10&gt;0,N(Reales!EH27)/EH$10,0),N(Reales!EH27)),EH$153*INDEX(Precio_V,3)*INDEX(IdxPrecio_V,1,MIN(10,EH$147))*(1+V_dPrecio))</f>
        <v>0</v>
      </c>
      <c r="EI165" s="34" t="n">
        <f aca="false">IF(EI$8=1,IF(Reales!$C$27="PYG",IF(EI$10&gt;0,N(Reales!EI27)/EI$10,0),N(Reales!EI27)),EI$153*INDEX(Precio_V,3)*INDEX(IdxPrecio_V,1,MIN(10,EI$147))*(1+V_dPrecio))</f>
        <v>0</v>
      </c>
      <c r="EJ165" s="34" t="n">
        <f aca="false">IF(EJ$8=1,IF(Reales!$C$27="PYG",IF(EJ$10&gt;0,N(Reales!EJ27)/EJ$10,0),N(Reales!EJ27)),EJ$153*INDEX(Precio_V,3)*INDEX(IdxPrecio_V,1,MIN(10,EJ$147))*(1+V_dPrecio))</f>
        <v>0</v>
      </c>
      <c r="EK165" s="34" t="n">
        <f aca="false">IF(EK$8=1,IF(Reales!$C$27="PYG",IF(EK$10&gt;0,N(Reales!EK27)/EK$10,0),N(Reales!EK27)),EK$153*INDEX(Precio_V,3)*INDEX(IdxPrecio_V,1,MIN(10,EK$147))*(1+V_dPrecio))</f>
        <v>0</v>
      </c>
      <c r="EL165" s="34" t="n">
        <f aca="false">IF(EL$8=1,IF(Reales!$C$27="PYG",IF(EL$10&gt;0,N(Reales!EL27)/EL$10,0),N(Reales!EL27)),EL$153*INDEX(Precio_V,3)*INDEX(IdxPrecio_V,1,MIN(10,EL$147))*(1+V_dPrecio))</f>
        <v>0</v>
      </c>
      <c r="EM165" s="34" t="n">
        <f aca="false">IF(EM$8=1,IF(Reales!$C$27="PYG",IF(EM$10&gt;0,N(Reales!EM27)/EM$10,0),N(Reales!EM27)),EM$153*INDEX(Precio_V,3)*INDEX(IdxPrecio_V,1,MIN(10,EM$147))*(1+V_dPrecio))</f>
        <v>0</v>
      </c>
      <c r="EN165" s="34" t="n">
        <f aca="false">IF(EN$8=1,IF(Reales!$C$27="PYG",IF(EN$10&gt;0,N(Reales!EN27)/EN$10,0),N(Reales!EN27)),EN$153*INDEX(Precio_V,3)*INDEX(IdxPrecio_V,1,MIN(10,EN$147))*(1+V_dPrecio))</f>
        <v>0</v>
      </c>
      <c r="EO165" s="34" t="n">
        <f aca="false">IF(EO$8=1,IF(Reales!$C$27="PYG",IF(EO$10&gt;0,N(Reales!EO27)/EO$10,0),N(Reales!EO27)),EO$153*INDEX(Precio_V,3)*INDEX(IdxPrecio_V,1,MIN(10,EO$147))*(1+V_dPrecio))</f>
        <v>0</v>
      </c>
      <c r="EP165" s="34" t="n">
        <f aca="false">IF(EP$8=1,IF(Reales!$C$27="PYG",IF(EP$10&gt;0,N(Reales!EP27)/EP$10,0),N(Reales!EP27)),EP$153*INDEX(Precio_V,3)*INDEX(IdxPrecio_V,1,MIN(10,EP$147))*(1+V_dPrecio))</f>
        <v>0</v>
      </c>
      <c r="EQ165" s="34" t="n">
        <f aca="false">IF(EQ$8=1,IF(Reales!$C$27="PYG",IF(EQ$10&gt;0,N(Reales!EQ27)/EQ$10,0),N(Reales!EQ27)),EQ$153*INDEX(Precio_V,3)*INDEX(IdxPrecio_V,1,MIN(10,EQ$147))*(1+V_dPrecio))</f>
        <v>0</v>
      </c>
      <c r="ER165" s="34" t="n">
        <f aca="false">IF(ER$8=1,IF(Reales!$C$27="PYG",IF(ER$10&gt;0,N(Reales!ER27)/ER$10,0),N(Reales!ER27)),ER$153*INDEX(Precio_V,3)*INDEX(IdxPrecio_V,1,MIN(10,ER$147))*(1+V_dPrecio))</f>
        <v>0</v>
      </c>
      <c r="ES165" s="34" t="n">
        <f aca="false">IF(ES$8=1,IF(Reales!$C$27="PYG",IF(ES$10&gt;0,N(Reales!ES27)/ES$10,0),N(Reales!ES27)),ES$153*INDEX(Precio_V,3)*INDEX(IdxPrecio_V,1,MIN(10,ES$147))*(1+V_dPrecio))</f>
        <v>0</v>
      </c>
    </row>
    <row r="166" customFormat="false" ht="15" hidden="false" customHeight="false" outlineLevel="0" collapsed="false">
      <c r="A166" s="2" t="s">
        <v>782</v>
      </c>
      <c r="B166" s="39" t="str">
        <f aca="false">IF(INDEX(Prod_Nombre,4)="","Producto 4",INDEX(Prod_Nombre,4))&amp;" — ventas USD"</f>
        <v>Producto 4 — ventas USD</v>
      </c>
      <c r="C166" s="6" t="s">
        <v>250</v>
      </c>
      <c r="E166" s="40" t="n">
        <f aca="false">SUM(F166:ES166)</f>
        <v>0</v>
      </c>
      <c r="F166" s="34" t="n">
        <f aca="false">IF(F$8=1,IF(Reales!$C$28="PYG",IF(F$10&gt;0,N(Reales!F28)/F$10,0),N(Reales!F28)),F$154*INDEX(Precio_V,4)*INDEX(IdxPrecio_V,1,MIN(10,F$147))*(1+V_dPrecio))</f>
        <v>0</v>
      </c>
      <c r="G166" s="34" t="n">
        <f aca="false">IF(G$8=1,IF(Reales!$C$28="PYG",IF(G$10&gt;0,N(Reales!G28)/G$10,0),N(Reales!G28)),G$154*INDEX(Precio_V,4)*INDEX(IdxPrecio_V,1,MIN(10,G$147))*(1+V_dPrecio))</f>
        <v>0</v>
      </c>
      <c r="H166" s="34" t="n">
        <f aca="false">IF(H$8=1,IF(Reales!$C$28="PYG",IF(H$10&gt;0,N(Reales!H28)/H$10,0),N(Reales!H28)),H$154*INDEX(Precio_V,4)*INDEX(IdxPrecio_V,1,MIN(10,H$147))*(1+V_dPrecio))</f>
        <v>0</v>
      </c>
      <c r="I166" s="34" t="n">
        <f aca="false">IF(I$8=1,IF(Reales!$C$28="PYG",IF(I$10&gt;0,N(Reales!I28)/I$10,0),N(Reales!I28)),I$154*INDEX(Precio_V,4)*INDEX(IdxPrecio_V,1,MIN(10,I$147))*(1+V_dPrecio))</f>
        <v>0</v>
      </c>
      <c r="J166" s="34" t="n">
        <f aca="false">IF(J$8=1,IF(Reales!$C$28="PYG",IF(J$10&gt;0,N(Reales!J28)/J$10,0),N(Reales!J28)),J$154*INDEX(Precio_V,4)*INDEX(IdxPrecio_V,1,MIN(10,J$147))*(1+V_dPrecio))</f>
        <v>0</v>
      </c>
      <c r="K166" s="34" t="n">
        <f aca="false">IF(K$8=1,IF(Reales!$C$28="PYG",IF(K$10&gt;0,N(Reales!K28)/K$10,0),N(Reales!K28)),K$154*INDEX(Precio_V,4)*INDEX(IdxPrecio_V,1,MIN(10,K$147))*(1+V_dPrecio))</f>
        <v>0</v>
      </c>
      <c r="L166" s="34" t="n">
        <f aca="false">IF(L$8=1,IF(Reales!$C$28="PYG",IF(L$10&gt;0,N(Reales!L28)/L$10,0),N(Reales!L28)),L$154*INDEX(Precio_V,4)*INDEX(IdxPrecio_V,1,MIN(10,L$147))*(1+V_dPrecio))</f>
        <v>0</v>
      </c>
      <c r="M166" s="34" t="n">
        <f aca="false">IF(M$8=1,IF(Reales!$C$28="PYG",IF(M$10&gt;0,N(Reales!M28)/M$10,0),N(Reales!M28)),M$154*INDEX(Precio_V,4)*INDEX(IdxPrecio_V,1,MIN(10,M$147))*(1+V_dPrecio))</f>
        <v>0</v>
      </c>
      <c r="N166" s="34" t="n">
        <f aca="false">IF(N$8=1,IF(Reales!$C$28="PYG",IF(N$10&gt;0,N(Reales!N28)/N$10,0),N(Reales!N28)),N$154*INDEX(Precio_V,4)*INDEX(IdxPrecio_V,1,MIN(10,N$147))*(1+V_dPrecio))</f>
        <v>0</v>
      </c>
      <c r="O166" s="34" t="n">
        <f aca="false">IF(O$8=1,IF(Reales!$C$28="PYG",IF(O$10&gt;0,N(Reales!O28)/O$10,0),N(Reales!O28)),O$154*INDEX(Precio_V,4)*INDEX(IdxPrecio_V,1,MIN(10,O$147))*(1+V_dPrecio))</f>
        <v>0</v>
      </c>
      <c r="P166" s="34" t="n">
        <f aca="false">IF(P$8=1,IF(Reales!$C$28="PYG",IF(P$10&gt;0,N(Reales!P28)/P$10,0),N(Reales!P28)),P$154*INDEX(Precio_V,4)*INDEX(IdxPrecio_V,1,MIN(10,P$147))*(1+V_dPrecio))</f>
        <v>0</v>
      </c>
      <c r="Q166" s="34" t="n">
        <f aca="false">IF(Q$8=1,IF(Reales!$C$28="PYG",IF(Q$10&gt;0,N(Reales!Q28)/Q$10,0),N(Reales!Q28)),Q$154*INDEX(Precio_V,4)*INDEX(IdxPrecio_V,1,MIN(10,Q$147))*(1+V_dPrecio))</f>
        <v>0</v>
      </c>
      <c r="R166" s="34" t="n">
        <f aca="false">IF(R$8=1,IF(Reales!$C$28="PYG",IF(R$10&gt;0,N(Reales!R28)/R$10,0),N(Reales!R28)),R$154*INDEX(Precio_V,4)*INDEX(IdxPrecio_V,1,MIN(10,R$147))*(1+V_dPrecio))</f>
        <v>0</v>
      </c>
      <c r="S166" s="34" t="n">
        <f aca="false">IF(S$8=1,IF(Reales!$C$28="PYG",IF(S$10&gt;0,N(Reales!S28)/S$10,0),N(Reales!S28)),S$154*INDEX(Precio_V,4)*INDEX(IdxPrecio_V,1,MIN(10,S$147))*(1+V_dPrecio))</f>
        <v>0</v>
      </c>
      <c r="T166" s="34" t="n">
        <f aca="false">IF(T$8=1,IF(Reales!$C$28="PYG",IF(T$10&gt;0,N(Reales!T28)/T$10,0),N(Reales!T28)),T$154*INDEX(Precio_V,4)*INDEX(IdxPrecio_V,1,MIN(10,T$147))*(1+V_dPrecio))</f>
        <v>0</v>
      </c>
      <c r="U166" s="34" t="n">
        <f aca="false">IF(U$8=1,IF(Reales!$C$28="PYG",IF(U$10&gt;0,N(Reales!U28)/U$10,0),N(Reales!U28)),U$154*INDEX(Precio_V,4)*INDEX(IdxPrecio_V,1,MIN(10,U$147))*(1+V_dPrecio))</f>
        <v>0</v>
      </c>
      <c r="V166" s="34" t="n">
        <f aca="false">IF(V$8=1,IF(Reales!$C$28="PYG",IF(V$10&gt;0,N(Reales!V28)/V$10,0),N(Reales!V28)),V$154*INDEX(Precio_V,4)*INDEX(IdxPrecio_V,1,MIN(10,V$147))*(1+V_dPrecio))</f>
        <v>0</v>
      </c>
      <c r="W166" s="34" t="n">
        <f aca="false">IF(W$8=1,IF(Reales!$C$28="PYG",IF(W$10&gt;0,N(Reales!W28)/W$10,0),N(Reales!W28)),W$154*INDEX(Precio_V,4)*INDEX(IdxPrecio_V,1,MIN(10,W$147))*(1+V_dPrecio))</f>
        <v>0</v>
      </c>
      <c r="X166" s="34" t="n">
        <f aca="false">IF(X$8=1,IF(Reales!$C$28="PYG",IF(X$10&gt;0,N(Reales!X28)/X$10,0),N(Reales!X28)),X$154*INDEX(Precio_V,4)*INDEX(IdxPrecio_V,1,MIN(10,X$147))*(1+V_dPrecio))</f>
        <v>0</v>
      </c>
      <c r="Y166" s="34" t="n">
        <f aca="false">IF(Y$8=1,IF(Reales!$C$28="PYG",IF(Y$10&gt;0,N(Reales!Y28)/Y$10,0),N(Reales!Y28)),Y$154*INDEX(Precio_V,4)*INDEX(IdxPrecio_V,1,MIN(10,Y$147))*(1+V_dPrecio))</f>
        <v>0</v>
      </c>
      <c r="Z166" s="34" t="n">
        <f aca="false">IF(Z$8=1,IF(Reales!$C$28="PYG",IF(Z$10&gt;0,N(Reales!Z28)/Z$10,0),N(Reales!Z28)),Z$154*INDEX(Precio_V,4)*INDEX(IdxPrecio_V,1,MIN(10,Z$147))*(1+V_dPrecio))</f>
        <v>0</v>
      </c>
      <c r="AA166" s="34" t="n">
        <f aca="false">IF(AA$8=1,IF(Reales!$C$28="PYG",IF(AA$10&gt;0,N(Reales!AA28)/AA$10,0),N(Reales!AA28)),AA$154*INDEX(Precio_V,4)*INDEX(IdxPrecio_V,1,MIN(10,AA$147))*(1+V_dPrecio))</f>
        <v>0</v>
      </c>
      <c r="AB166" s="34" t="n">
        <f aca="false">IF(AB$8=1,IF(Reales!$C$28="PYG",IF(AB$10&gt;0,N(Reales!AB28)/AB$10,0),N(Reales!AB28)),AB$154*INDEX(Precio_V,4)*INDEX(IdxPrecio_V,1,MIN(10,AB$147))*(1+V_dPrecio))</f>
        <v>0</v>
      </c>
      <c r="AC166" s="34" t="n">
        <f aca="false">IF(AC$8=1,IF(Reales!$C$28="PYG",IF(AC$10&gt;0,N(Reales!AC28)/AC$10,0),N(Reales!AC28)),AC$154*INDEX(Precio_V,4)*INDEX(IdxPrecio_V,1,MIN(10,AC$147))*(1+V_dPrecio))</f>
        <v>0</v>
      </c>
      <c r="AD166" s="34" t="n">
        <f aca="false">IF(AD$8=1,IF(Reales!$C$28="PYG",IF(AD$10&gt;0,N(Reales!AD28)/AD$10,0),N(Reales!AD28)),AD$154*INDEX(Precio_V,4)*INDEX(IdxPrecio_V,1,MIN(10,AD$147))*(1+V_dPrecio))</f>
        <v>0</v>
      </c>
      <c r="AE166" s="34" t="n">
        <f aca="false">IF(AE$8=1,IF(Reales!$C$28="PYG",IF(AE$10&gt;0,N(Reales!AE28)/AE$10,0),N(Reales!AE28)),AE$154*INDEX(Precio_V,4)*INDEX(IdxPrecio_V,1,MIN(10,AE$147))*(1+V_dPrecio))</f>
        <v>0</v>
      </c>
      <c r="AF166" s="34" t="n">
        <f aca="false">IF(AF$8=1,IF(Reales!$C$28="PYG",IF(AF$10&gt;0,N(Reales!AF28)/AF$10,0),N(Reales!AF28)),AF$154*INDEX(Precio_V,4)*INDEX(IdxPrecio_V,1,MIN(10,AF$147))*(1+V_dPrecio))</f>
        <v>0</v>
      </c>
      <c r="AG166" s="34" t="n">
        <f aca="false">IF(AG$8=1,IF(Reales!$C$28="PYG",IF(AG$10&gt;0,N(Reales!AG28)/AG$10,0),N(Reales!AG28)),AG$154*INDEX(Precio_V,4)*INDEX(IdxPrecio_V,1,MIN(10,AG$147))*(1+V_dPrecio))</f>
        <v>0</v>
      </c>
      <c r="AH166" s="34" t="n">
        <f aca="false">IF(AH$8=1,IF(Reales!$C$28="PYG",IF(AH$10&gt;0,N(Reales!AH28)/AH$10,0),N(Reales!AH28)),AH$154*INDEX(Precio_V,4)*INDEX(IdxPrecio_V,1,MIN(10,AH$147))*(1+V_dPrecio))</f>
        <v>0</v>
      </c>
      <c r="AI166" s="34" t="n">
        <f aca="false">IF(AI$8=1,IF(Reales!$C$28="PYG",IF(AI$10&gt;0,N(Reales!AI28)/AI$10,0),N(Reales!AI28)),AI$154*INDEX(Precio_V,4)*INDEX(IdxPrecio_V,1,MIN(10,AI$147))*(1+V_dPrecio))</f>
        <v>0</v>
      </c>
      <c r="AJ166" s="34" t="n">
        <f aca="false">IF(AJ$8=1,IF(Reales!$C$28="PYG",IF(AJ$10&gt;0,N(Reales!AJ28)/AJ$10,0),N(Reales!AJ28)),AJ$154*INDEX(Precio_V,4)*INDEX(IdxPrecio_V,1,MIN(10,AJ$147))*(1+V_dPrecio))</f>
        <v>0</v>
      </c>
      <c r="AK166" s="34" t="n">
        <f aca="false">IF(AK$8=1,IF(Reales!$C$28="PYG",IF(AK$10&gt;0,N(Reales!AK28)/AK$10,0),N(Reales!AK28)),AK$154*INDEX(Precio_V,4)*INDEX(IdxPrecio_V,1,MIN(10,AK$147))*(1+V_dPrecio))</f>
        <v>0</v>
      </c>
      <c r="AL166" s="34" t="n">
        <f aca="false">IF(AL$8=1,IF(Reales!$C$28="PYG",IF(AL$10&gt;0,N(Reales!AL28)/AL$10,0),N(Reales!AL28)),AL$154*INDEX(Precio_V,4)*INDEX(IdxPrecio_V,1,MIN(10,AL$147))*(1+V_dPrecio))</f>
        <v>0</v>
      </c>
      <c r="AM166" s="34" t="n">
        <f aca="false">IF(AM$8=1,IF(Reales!$C$28="PYG",IF(AM$10&gt;0,N(Reales!AM28)/AM$10,0),N(Reales!AM28)),AM$154*INDEX(Precio_V,4)*INDEX(IdxPrecio_V,1,MIN(10,AM$147))*(1+V_dPrecio))</f>
        <v>0</v>
      </c>
      <c r="AN166" s="34" t="n">
        <f aca="false">IF(AN$8=1,IF(Reales!$C$28="PYG",IF(AN$10&gt;0,N(Reales!AN28)/AN$10,0),N(Reales!AN28)),AN$154*INDEX(Precio_V,4)*INDEX(IdxPrecio_V,1,MIN(10,AN$147))*(1+V_dPrecio))</f>
        <v>0</v>
      </c>
      <c r="AO166" s="34" t="n">
        <f aca="false">IF(AO$8=1,IF(Reales!$C$28="PYG",IF(AO$10&gt;0,N(Reales!AO28)/AO$10,0),N(Reales!AO28)),AO$154*INDEX(Precio_V,4)*INDEX(IdxPrecio_V,1,MIN(10,AO$147))*(1+V_dPrecio))</f>
        <v>0</v>
      </c>
      <c r="AP166" s="34" t="n">
        <f aca="false">IF(AP$8=1,IF(Reales!$C$28="PYG",IF(AP$10&gt;0,N(Reales!AP28)/AP$10,0),N(Reales!AP28)),AP$154*INDEX(Precio_V,4)*INDEX(IdxPrecio_V,1,MIN(10,AP$147))*(1+V_dPrecio))</f>
        <v>0</v>
      </c>
      <c r="AQ166" s="34" t="n">
        <f aca="false">IF(AQ$8=1,IF(Reales!$C$28="PYG",IF(AQ$10&gt;0,N(Reales!AQ28)/AQ$10,0),N(Reales!AQ28)),AQ$154*INDEX(Precio_V,4)*INDEX(IdxPrecio_V,1,MIN(10,AQ$147))*(1+V_dPrecio))</f>
        <v>0</v>
      </c>
      <c r="AR166" s="34" t="n">
        <f aca="false">IF(AR$8=1,IF(Reales!$C$28="PYG",IF(AR$10&gt;0,N(Reales!AR28)/AR$10,0),N(Reales!AR28)),AR$154*INDEX(Precio_V,4)*INDEX(IdxPrecio_V,1,MIN(10,AR$147))*(1+V_dPrecio))</f>
        <v>0</v>
      </c>
      <c r="AS166" s="34" t="n">
        <f aca="false">IF(AS$8=1,IF(Reales!$C$28="PYG",IF(AS$10&gt;0,N(Reales!AS28)/AS$10,0),N(Reales!AS28)),AS$154*INDEX(Precio_V,4)*INDEX(IdxPrecio_V,1,MIN(10,AS$147))*(1+V_dPrecio))</f>
        <v>0</v>
      </c>
      <c r="AT166" s="34" t="n">
        <f aca="false">IF(AT$8=1,IF(Reales!$C$28="PYG",IF(AT$10&gt;0,N(Reales!AT28)/AT$10,0),N(Reales!AT28)),AT$154*INDEX(Precio_V,4)*INDEX(IdxPrecio_V,1,MIN(10,AT$147))*(1+V_dPrecio))</f>
        <v>0</v>
      </c>
      <c r="AU166" s="34" t="n">
        <f aca="false">IF(AU$8=1,IF(Reales!$C$28="PYG",IF(AU$10&gt;0,N(Reales!AU28)/AU$10,0),N(Reales!AU28)),AU$154*INDEX(Precio_V,4)*INDEX(IdxPrecio_V,1,MIN(10,AU$147))*(1+V_dPrecio))</f>
        <v>0</v>
      </c>
      <c r="AV166" s="34" t="n">
        <f aca="false">IF(AV$8=1,IF(Reales!$C$28="PYG",IF(AV$10&gt;0,N(Reales!AV28)/AV$10,0),N(Reales!AV28)),AV$154*INDEX(Precio_V,4)*INDEX(IdxPrecio_V,1,MIN(10,AV$147))*(1+V_dPrecio))</f>
        <v>0</v>
      </c>
      <c r="AW166" s="34" t="n">
        <f aca="false">IF(AW$8=1,IF(Reales!$C$28="PYG",IF(AW$10&gt;0,N(Reales!AW28)/AW$10,0),N(Reales!AW28)),AW$154*INDEX(Precio_V,4)*INDEX(IdxPrecio_V,1,MIN(10,AW$147))*(1+V_dPrecio))</f>
        <v>0</v>
      </c>
      <c r="AX166" s="34" t="n">
        <f aca="false">IF(AX$8=1,IF(Reales!$C$28="PYG",IF(AX$10&gt;0,N(Reales!AX28)/AX$10,0),N(Reales!AX28)),AX$154*INDEX(Precio_V,4)*INDEX(IdxPrecio_V,1,MIN(10,AX$147))*(1+V_dPrecio))</f>
        <v>0</v>
      </c>
      <c r="AY166" s="34" t="n">
        <f aca="false">IF(AY$8=1,IF(Reales!$C$28="PYG",IF(AY$10&gt;0,N(Reales!AY28)/AY$10,0),N(Reales!AY28)),AY$154*INDEX(Precio_V,4)*INDEX(IdxPrecio_V,1,MIN(10,AY$147))*(1+V_dPrecio))</f>
        <v>0</v>
      </c>
      <c r="AZ166" s="34" t="n">
        <f aca="false">IF(AZ$8=1,IF(Reales!$C$28="PYG",IF(AZ$10&gt;0,N(Reales!AZ28)/AZ$10,0),N(Reales!AZ28)),AZ$154*INDEX(Precio_V,4)*INDEX(IdxPrecio_V,1,MIN(10,AZ$147))*(1+V_dPrecio))</f>
        <v>0</v>
      </c>
      <c r="BA166" s="34" t="n">
        <f aca="false">IF(BA$8=1,IF(Reales!$C$28="PYG",IF(BA$10&gt;0,N(Reales!BA28)/BA$10,0),N(Reales!BA28)),BA$154*INDEX(Precio_V,4)*INDEX(IdxPrecio_V,1,MIN(10,BA$147))*(1+V_dPrecio))</f>
        <v>0</v>
      </c>
      <c r="BB166" s="34" t="n">
        <f aca="false">IF(BB$8=1,IF(Reales!$C$28="PYG",IF(BB$10&gt;0,N(Reales!BB28)/BB$10,0),N(Reales!BB28)),BB$154*INDEX(Precio_V,4)*INDEX(IdxPrecio_V,1,MIN(10,BB$147))*(1+V_dPrecio))</f>
        <v>0</v>
      </c>
      <c r="BC166" s="34" t="n">
        <f aca="false">IF(BC$8=1,IF(Reales!$C$28="PYG",IF(BC$10&gt;0,N(Reales!BC28)/BC$10,0),N(Reales!BC28)),BC$154*INDEX(Precio_V,4)*INDEX(IdxPrecio_V,1,MIN(10,BC$147))*(1+V_dPrecio))</f>
        <v>0</v>
      </c>
      <c r="BD166" s="34" t="n">
        <f aca="false">IF(BD$8=1,IF(Reales!$C$28="PYG",IF(BD$10&gt;0,N(Reales!BD28)/BD$10,0),N(Reales!BD28)),BD$154*INDEX(Precio_V,4)*INDEX(IdxPrecio_V,1,MIN(10,BD$147))*(1+V_dPrecio))</f>
        <v>0</v>
      </c>
      <c r="BE166" s="34" t="n">
        <f aca="false">IF(BE$8=1,IF(Reales!$C$28="PYG",IF(BE$10&gt;0,N(Reales!BE28)/BE$10,0),N(Reales!BE28)),BE$154*INDEX(Precio_V,4)*INDEX(IdxPrecio_V,1,MIN(10,BE$147))*(1+V_dPrecio))</f>
        <v>0</v>
      </c>
      <c r="BF166" s="34" t="n">
        <f aca="false">IF(BF$8=1,IF(Reales!$C$28="PYG",IF(BF$10&gt;0,N(Reales!BF28)/BF$10,0),N(Reales!BF28)),BF$154*INDEX(Precio_V,4)*INDEX(IdxPrecio_V,1,MIN(10,BF$147))*(1+V_dPrecio))</f>
        <v>0</v>
      </c>
      <c r="BG166" s="34" t="n">
        <f aca="false">IF(BG$8=1,IF(Reales!$C$28="PYG",IF(BG$10&gt;0,N(Reales!BG28)/BG$10,0),N(Reales!BG28)),BG$154*INDEX(Precio_V,4)*INDEX(IdxPrecio_V,1,MIN(10,BG$147))*(1+V_dPrecio))</f>
        <v>0</v>
      </c>
      <c r="BH166" s="34" t="n">
        <f aca="false">IF(BH$8=1,IF(Reales!$C$28="PYG",IF(BH$10&gt;0,N(Reales!BH28)/BH$10,0),N(Reales!BH28)),BH$154*INDEX(Precio_V,4)*INDEX(IdxPrecio_V,1,MIN(10,BH$147))*(1+V_dPrecio))</f>
        <v>0</v>
      </c>
      <c r="BI166" s="34" t="n">
        <f aca="false">IF(BI$8=1,IF(Reales!$C$28="PYG",IF(BI$10&gt;0,N(Reales!BI28)/BI$10,0),N(Reales!BI28)),BI$154*INDEX(Precio_V,4)*INDEX(IdxPrecio_V,1,MIN(10,BI$147))*(1+V_dPrecio))</f>
        <v>0</v>
      </c>
      <c r="BJ166" s="34" t="n">
        <f aca="false">IF(BJ$8=1,IF(Reales!$C$28="PYG",IF(BJ$10&gt;0,N(Reales!BJ28)/BJ$10,0),N(Reales!BJ28)),BJ$154*INDEX(Precio_V,4)*INDEX(IdxPrecio_V,1,MIN(10,BJ$147))*(1+V_dPrecio))</f>
        <v>0</v>
      </c>
      <c r="BK166" s="34" t="n">
        <f aca="false">IF(BK$8=1,IF(Reales!$C$28="PYG",IF(BK$10&gt;0,N(Reales!BK28)/BK$10,0),N(Reales!BK28)),BK$154*INDEX(Precio_V,4)*INDEX(IdxPrecio_V,1,MIN(10,BK$147))*(1+V_dPrecio))</f>
        <v>0</v>
      </c>
      <c r="BL166" s="34" t="n">
        <f aca="false">IF(BL$8=1,IF(Reales!$C$28="PYG",IF(BL$10&gt;0,N(Reales!BL28)/BL$10,0),N(Reales!BL28)),BL$154*INDEX(Precio_V,4)*INDEX(IdxPrecio_V,1,MIN(10,BL$147))*(1+V_dPrecio))</f>
        <v>0</v>
      </c>
      <c r="BM166" s="34" t="n">
        <f aca="false">IF(BM$8=1,IF(Reales!$C$28="PYG",IF(BM$10&gt;0,N(Reales!BM28)/BM$10,0),N(Reales!BM28)),BM$154*INDEX(Precio_V,4)*INDEX(IdxPrecio_V,1,MIN(10,BM$147))*(1+V_dPrecio))</f>
        <v>0</v>
      </c>
      <c r="BN166" s="34" t="n">
        <f aca="false">IF(BN$8=1,IF(Reales!$C$28="PYG",IF(BN$10&gt;0,N(Reales!BN28)/BN$10,0),N(Reales!BN28)),BN$154*INDEX(Precio_V,4)*INDEX(IdxPrecio_V,1,MIN(10,BN$147))*(1+V_dPrecio))</f>
        <v>0</v>
      </c>
      <c r="BO166" s="34" t="n">
        <f aca="false">IF(BO$8=1,IF(Reales!$C$28="PYG",IF(BO$10&gt;0,N(Reales!BO28)/BO$10,0),N(Reales!BO28)),BO$154*INDEX(Precio_V,4)*INDEX(IdxPrecio_V,1,MIN(10,BO$147))*(1+V_dPrecio))</f>
        <v>0</v>
      </c>
      <c r="BP166" s="34" t="n">
        <f aca="false">IF(BP$8=1,IF(Reales!$C$28="PYG",IF(BP$10&gt;0,N(Reales!BP28)/BP$10,0),N(Reales!BP28)),BP$154*INDEX(Precio_V,4)*INDEX(IdxPrecio_V,1,MIN(10,BP$147))*(1+V_dPrecio))</f>
        <v>0</v>
      </c>
      <c r="BQ166" s="34" t="n">
        <f aca="false">IF(BQ$8=1,IF(Reales!$C$28="PYG",IF(BQ$10&gt;0,N(Reales!BQ28)/BQ$10,0),N(Reales!BQ28)),BQ$154*INDEX(Precio_V,4)*INDEX(IdxPrecio_V,1,MIN(10,BQ$147))*(1+V_dPrecio))</f>
        <v>0</v>
      </c>
      <c r="BR166" s="34" t="n">
        <f aca="false">IF(BR$8=1,IF(Reales!$C$28="PYG",IF(BR$10&gt;0,N(Reales!BR28)/BR$10,0),N(Reales!BR28)),BR$154*INDEX(Precio_V,4)*INDEX(IdxPrecio_V,1,MIN(10,BR$147))*(1+V_dPrecio))</f>
        <v>0</v>
      </c>
      <c r="BS166" s="34" t="n">
        <f aca="false">IF(BS$8=1,IF(Reales!$C$28="PYG",IF(BS$10&gt;0,N(Reales!BS28)/BS$10,0),N(Reales!BS28)),BS$154*INDEX(Precio_V,4)*INDEX(IdxPrecio_V,1,MIN(10,BS$147))*(1+V_dPrecio))</f>
        <v>0</v>
      </c>
      <c r="BT166" s="34" t="n">
        <f aca="false">IF(BT$8=1,IF(Reales!$C$28="PYG",IF(BT$10&gt;0,N(Reales!BT28)/BT$10,0),N(Reales!BT28)),BT$154*INDEX(Precio_V,4)*INDEX(IdxPrecio_V,1,MIN(10,BT$147))*(1+V_dPrecio))</f>
        <v>0</v>
      </c>
      <c r="BU166" s="34" t="n">
        <f aca="false">IF(BU$8=1,IF(Reales!$C$28="PYG",IF(BU$10&gt;0,N(Reales!BU28)/BU$10,0),N(Reales!BU28)),BU$154*INDEX(Precio_V,4)*INDEX(IdxPrecio_V,1,MIN(10,BU$147))*(1+V_dPrecio))</f>
        <v>0</v>
      </c>
      <c r="BV166" s="34" t="n">
        <f aca="false">IF(BV$8=1,IF(Reales!$C$28="PYG",IF(BV$10&gt;0,N(Reales!BV28)/BV$10,0),N(Reales!BV28)),BV$154*INDEX(Precio_V,4)*INDEX(IdxPrecio_V,1,MIN(10,BV$147))*(1+V_dPrecio))</f>
        <v>0</v>
      </c>
      <c r="BW166" s="34" t="n">
        <f aca="false">IF(BW$8=1,IF(Reales!$C$28="PYG",IF(BW$10&gt;0,N(Reales!BW28)/BW$10,0),N(Reales!BW28)),BW$154*INDEX(Precio_V,4)*INDEX(IdxPrecio_V,1,MIN(10,BW$147))*(1+V_dPrecio))</f>
        <v>0</v>
      </c>
      <c r="BX166" s="34" t="n">
        <f aca="false">IF(BX$8=1,IF(Reales!$C$28="PYG",IF(BX$10&gt;0,N(Reales!BX28)/BX$10,0),N(Reales!BX28)),BX$154*INDEX(Precio_V,4)*INDEX(IdxPrecio_V,1,MIN(10,BX$147))*(1+V_dPrecio))</f>
        <v>0</v>
      </c>
      <c r="BY166" s="34" t="n">
        <f aca="false">IF(BY$8=1,IF(Reales!$C$28="PYG",IF(BY$10&gt;0,N(Reales!BY28)/BY$10,0),N(Reales!BY28)),BY$154*INDEX(Precio_V,4)*INDEX(IdxPrecio_V,1,MIN(10,BY$147))*(1+V_dPrecio))</f>
        <v>0</v>
      </c>
      <c r="BZ166" s="34" t="n">
        <f aca="false">IF(BZ$8=1,IF(Reales!$C$28="PYG",IF(BZ$10&gt;0,N(Reales!BZ28)/BZ$10,0),N(Reales!BZ28)),BZ$154*INDEX(Precio_V,4)*INDEX(IdxPrecio_V,1,MIN(10,BZ$147))*(1+V_dPrecio))</f>
        <v>0</v>
      </c>
      <c r="CA166" s="34" t="n">
        <f aca="false">IF(CA$8=1,IF(Reales!$C$28="PYG",IF(CA$10&gt;0,N(Reales!CA28)/CA$10,0),N(Reales!CA28)),CA$154*INDEX(Precio_V,4)*INDEX(IdxPrecio_V,1,MIN(10,CA$147))*(1+V_dPrecio))</f>
        <v>0</v>
      </c>
      <c r="CB166" s="34" t="n">
        <f aca="false">IF(CB$8=1,IF(Reales!$C$28="PYG",IF(CB$10&gt;0,N(Reales!CB28)/CB$10,0),N(Reales!CB28)),CB$154*INDEX(Precio_V,4)*INDEX(IdxPrecio_V,1,MIN(10,CB$147))*(1+V_dPrecio))</f>
        <v>0</v>
      </c>
      <c r="CC166" s="34" t="n">
        <f aca="false">IF(CC$8=1,IF(Reales!$C$28="PYG",IF(CC$10&gt;0,N(Reales!CC28)/CC$10,0),N(Reales!CC28)),CC$154*INDEX(Precio_V,4)*INDEX(IdxPrecio_V,1,MIN(10,CC$147))*(1+V_dPrecio))</f>
        <v>0</v>
      </c>
      <c r="CD166" s="34" t="n">
        <f aca="false">IF(CD$8=1,IF(Reales!$C$28="PYG",IF(CD$10&gt;0,N(Reales!CD28)/CD$10,0),N(Reales!CD28)),CD$154*INDEX(Precio_V,4)*INDEX(IdxPrecio_V,1,MIN(10,CD$147))*(1+V_dPrecio))</f>
        <v>0</v>
      </c>
      <c r="CE166" s="34" t="n">
        <f aca="false">IF(CE$8=1,IF(Reales!$C$28="PYG",IF(CE$10&gt;0,N(Reales!CE28)/CE$10,0),N(Reales!CE28)),CE$154*INDEX(Precio_V,4)*INDEX(IdxPrecio_V,1,MIN(10,CE$147))*(1+V_dPrecio))</f>
        <v>0</v>
      </c>
      <c r="CF166" s="34" t="n">
        <f aca="false">IF(CF$8=1,IF(Reales!$C$28="PYG",IF(CF$10&gt;0,N(Reales!CF28)/CF$10,0),N(Reales!CF28)),CF$154*INDEX(Precio_V,4)*INDEX(IdxPrecio_V,1,MIN(10,CF$147))*(1+V_dPrecio))</f>
        <v>0</v>
      </c>
      <c r="CG166" s="34" t="n">
        <f aca="false">IF(CG$8=1,IF(Reales!$C$28="PYG",IF(CG$10&gt;0,N(Reales!CG28)/CG$10,0),N(Reales!CG28)),CG$154*INDEX(Precio_V,4)*INDEX(IdxPrecio_V,1,MIN(10,CG$147))*(1+V_dPrecio))</f>
        <v>0</v>
      </c>
      <c r="CH166" s="34" t="n">
        <f aca="false">IF(CH$8=1,IF(Reales!$C$28="PYG",IF(CH$10&gt;0,N(Reales!CH28)/CH$10,0),N(Reales!CH28)),CH$154*INDEX(Precio_V,4)*INDEX(IdxPrecio_V,1,MIN(10,CH$147))*(1+V_dPrecio))</f>
        <v>0</v>
      </c>
      <c r="CI166" s="34" t="n">
        <f aca="false">IF(CI$8=1,IF(Reales!$C$28="PYG",IF(CI$10&gt;0,N(Reales!CI28)/CI$10,0),N(Reales!CI28)),CI$154*INDEX(Precio_V,4)*INDEX(IdxPrecio_V,1,MIN(10,CI$147))*(1+V_dPrecio))</f>
        <v>0</v>
      </c>
      <c r="CJ166" s="34" t="n">
        <f aca="false">IF(CJ$8=1,IF(Reales!$C$28="PYG",IF(CJ$10&gt;0,N(Reales!CJ28)/CJ$10,0),N(Reales!CJ28)),CJ$154*INDEX(Precio_V,4)*INDEX(IdxPrecio_V,1,MIN(10,CJ$147))*(1+V_dPrecio))</f>
        <v>0</v>
      </c>
      <c r="CK166" s="34" t="n">
        <f aca="false">IF(CK$8=1,IF(Reales!$C$28="PYG",IF(CK$10&gt;0,N(Reales!CK28)/CK$10,0),N(Reales!CK28)),CK$154*INDEX(Precio_V,4)*INDEX(IdxPrecio_V,1,MIN(10,CK$147))*(1+V_dPrecio))</f>
        <v>0</v>
      </c>
      <c r="CL166" s="34" t="n">
        <f aca="false">IF(CL$8=1,IF(Reales!$C$28="PYG",IF(CL$10&gt;0,N(Reales!CL28)/CL$10,0),N(Reales!CL28)),CL$154*INDEX(Precio_V,4)*INDEX(IdxPrecio_V,1,MIN(10,CL$147))*(1+V_dPrecio))</f>
        <v>0</v>
      </c>
      <c r="CM166" s="34" t="n">
        <f aca="false">IF(CM$8=1,IF(Reales!$C$28="PYG",IF(CM$10&gt;0,N(Reales!CM28)/CM$10,0),N(Reales!CM28)),CM$154*INDEX(Precio_V,4)*INDEX(IdxPrecio_V,1,MIN(10,CM$147))*(1+V_dPrecio))</f>
        <v>0</v>
      </c>
      <c r="CN166" s="34" t="n">
        <f aca="false">IF(CN$8=1,IF(Reales!$C$28="PYG",IF(CN$10&gt;0,N(Reales!CN28)/CN$10,0),N(Reales!CN28)),CN$154*INDEX(Precio_V,4)*INDEX(IdxPrecio_V,1,MIN(10,CN$147))*(1+V_dPrecio))</f>
        <v>0</v>
      </c>
      <c r="CO166" s="34" t="n">
        <f aca="false">IF(CO$8=1,IF(Reales!$C$28="PYG",IF(CO$10&gt;0,N(Reales!CO28)/CO$10,0),N(Reales!CO28)),CO$154*INDEX(Precio_V,4)*INDEX(IdxPrecio_V,1,MIN(10,CO$147))*(1+V_dPrecio))</f>
        <v>0</v>
      </c>
      <c r="CP166" s="34" t="n">
        <f aca="false">IF(CP$8=1,IF(Reales!$C$28="PYG",IF(CP$10&gt;0,N(Reales!CP28)/CP$10,0),N(Reales!CP28)),CP$154*INDEX(Precio_V,4)*INDEX(IdxPrecio_V,1,MIN(10,CP$147))*(1+V_dPrecio))</f>
        <v>0</v>
      </c>
      <c r="CQ166" s="34" t="n">
        <f aca="false">IF(CQ$8=1,IF(Reales!$C$28="PYG",IF(CQ$10&gt;0,N(Reales!CQ28)/CQ$10,0),N(Reales!CQ28)),CQ$154*INDEX(Precio_V,4)*INDEX(IdxPrecio_V,1,MIN(10,CQ$147))*(1+V_dPrecio))</f>
        <v>0</v>
      </c>
      <c r="CR166" s="34" t="n">
        <f aca="false">IF(CR$8=1,IF(Reales!$C$28="PYG",IF(CR$10&gt;0,N(Reales!CR28)/CR$10,0),N(Reales!CR28)),CR$154*INDEX(Precio_V,4)*INDEX(IdxPrecio_V,1,MIN(10,CR$147))*(1+V_dPrecio))</f>
        <v>0</v>
      </c>
      <c r="CS166" s="34" t="n">
        <f aca="false">IF(CS$8=1,IF(Reales!$C$28="PYG",IF(CS$10&gt;0,N(Reales!CS28)/CS$10,0),N(Reales!CS28)),CS$154*INDEX(Precio_V,4)*INDEX(IdxPrecio_V,1,MIN(10,CS$147))*(1+V_dPrecio))</f>
        <v>0</v>
      </c>
      <c r="CT166" s="34" t="n">
        <f aca="false">IF(CT$8=1,IF(Reales!$C$28="PYG",IF(CT$10&gt;0,N(Reales!CT28)/CT$10,0),N(Reales!CT28)),CT$154*INDEX(Precio_V,4)*INDEX(IdxPrecio_V,1,MIN(10,CT$147))*(1+V_dPrecio))</f>
        <v>0</v>
      </c>
      <c r="CU166" s="34" t="n">
        <f aca="false">IF(CU$8=1,IF(Reales!$C$28="PYG",IF(CU$10&gt;0,N(Reales!CU28)/CU$10,0),N(Reales!CU28)),CU$154*INDEX(Precio_V,4)*INDEX(IdxPrecio_V,1,MIN(10,CU$147))*(1+V_dPrecio))</f>
        <v>0</v>
      </c>
      <c r="CV166" s="34" t="n">
        <f aca="false">IF(CV$8=1,IF(Reales!$C$28="PYG",IF(CV$10&gt;0,N(Reales!CV28)/CV$10,0),N(Reales!CV28)),CV$154*INDEX(Precio_V,4)*INDEX(IdxPrecio_V,1,MIN(10,CV$147))*(1+V_dPrecio))</f>
        <v>0</v>
      </c>
      <c r="CW166" s="34" t="n">
        <f aca="false">IF(CW$8=1,IF(Reales!$C$28="PYG",IF(CW$10&gt;0,N(Reales!CW28)/CW$10,0),N(Reales!CW28)),CW$154*INDEX(Precio_V,4)*INDEX(IdxPrecio_V,1,MIN(10,CW$147))*(1+V_dPrecio))</f>
        <v>0</v>
      </c>
      <c r="CX166" s="34" t="n">
        <f aca="false">IF(CX$8=1,IF(Reales!$C$28="PYG",IF(CX$10&gt;0,N(Reales!CX28)/CX$10,0),N(Reales!CX28)),CX$154*INDEX(Precio_V,4)*INDEX(IdxPrecio_V,1,MIN(10,CX$147))*(1+V_dPrecio))</f>
        <v>0</v>
      </c>
      <c r="CY166" s="34" t="n">
        <f aca="false">IF(CY$8=1,IF(Reales!$C$28="PYG",IF(CY$10&gt;0,N(Reales!CY28)/CY$10,0),N(Reales!CY28)),CY$154*INDEX(Precio_V,4)*INDEX(IdxPrecio_V,1,MIN(10,CY$147))*(1+V_dPrecio))</f>
        <v>0</v>
      </c>
      <c r="CZ166" s="34" t="n">
        <f aca="false">IF(CZ$8=1,IF(Reales!$C$28="PYG",IF(CZ$10&gt;0,N(Reales!CZ28)/CZ$10,0),N(Reales!CZ28)),CZ$154*INDEX(Precio_V,4)*INDEX(IdxPrecio_V,1,MIN(10,CZ$147))*(1+V_dPrecio))</f>
        <v>0</v>
      </c>
      <c r="DA166" s="34" t="n">
        <f aca="false">IF(DA$8=1,IF(Reales!$C$28="PYG",IF(DA$10&gt;0,N(Reales!DA28)/DA$10,0),N(Reales!DA28)),DA$154*INDEX(Precio_V,4)*INDEX(IdxPrecio_V,1,MIN(10,DA$147))*(1+V_dPrecio))</f>
        <v>0</v>
      </c>
      <c r="DB166" s="34" t="n">
        <f aca="false">IF(DB$8=1,IF(Reales!$C$28="PYG",IF(DB$10&gt;0,N(Reales!DB28)/DB$10,0),N(Reales!DB28)),DB$154*INDEX(Precio_V,4)*INDEX(IdxPrecio_V,1,MIN(10,DB$147))*(1+V_dPrecio))</f>
        <v>0</v>
      </c>
      <c r="DC166" s="34" t="n">
        <f aca="false">IF(DC$8=1,IF(Reales!$C$28="PYG",IF(DC$10&gt;0,N(Reales!DC28)/DC$10,0),N(Reales!DC28)),DC$154*INDEX(Precio_V,4)*INDEX(IdxPrecio_V,1,MIN(10,DC$147))*(1+V_dPrecio))</f>
        <v>0</v>
      </c>
      <c r="DD166" s="34" t="n">
        <f aca="false">IF(DD$8=1,IF(Reales!$C$28="PYG",IF(DD$10&gt;0,N(Reales!DD28)/DD$10,0),N(Reales!DD28)),DD$154*INDEX(Precio_V,4)*INDEX(IdxPrecio_V,1,MIN(10,DD$147))*(1+V_dPrecio))</f>
        <v>0</v>
      </c>
      <c r="DE166" s="34" t="n">
        <f aca="false">IF(DE$8=1,IF(Reales!$C$28="PYG",IF(DE$10&gt;0,N(Reales!DE28)/DE$10,0),N(Reales!DE28)),DE$154*INDEX(Precio_V,4)*INDEX(IdxPrecio_V,1,MIN(10,DE$147))*(1+V_dPrecio))</f>
        <v>0</v>
      </c>
      <c r="DF166" s="34" t="n">
        <f aca="false">IF(DF$8=1,IF(Reales!$C$28="PYG",IF(DF$10&gt;0,N(Reales!DF28)/DF$10,0),N(Reales!DF28)),DF$154*INDEX(Precio_V,4)*INDEX(IdxPrecio_V,1,MIN(10,DF$147))*(1+V_dPrecio))</f>
        <v>0</v>
      </c>
      <c r="DG166" s="34" t="n">
        <f aca="false">IF(DG$8=1,IF(Reales!$C$28="PYG",IF(DG$10&gt;0,N(Reales!DG28)/DG$10,0),N(Reales!DG28)),DG$154*INDEX(Precio_V,4)*INDEX(IdxPrecio_V,1,MIN(10,DG$147))*(1+V_dPrecio))</f>
        <v>0</v>
      </c>
      <c r="DH166" s="34" t="n">
        <f aca="false">IF(DH$8=1,IF(Reales!$C$28="PYG",IF(DH$10&gt;0,N(Reales!DH28)/DH$10,0),N(Reales!DH28)),DH$154*INDEX(Precio_V,4)*INDEX(IdxPrecio_V,1,MIN(10,DH$147))*(1+V_dPrecio))</f>
        <v>0</v>
      </c>
      <c r="DI166" s="34" t="n">
        <f aca="false">IF(DI$8=1,IF(Reales!$C$28="PYG",IF(DI$10&gt;0,N(Reales!DI28)/DI$10,0),N(Reales!DI28)),DI$154*INDEX(Precio_V,4)*INDEX(IdxPrecio_V,1,MIN(10,DI$147))*(1+V_dPrecio))</f>
        <v>0</v>
      </c>
      <c r="DJ166" s="34" t="n">
        <f aca="false">IF(DJ$8=1,IF(Reales!$C$28="PYG",IF(DJ$10&gt;0,N(Reales!DJ28)/DJ$10,0),N(Reales!DJ28)),DJ$154*INDEX(Precio_V,4)*INDEX(IdxPrecio_V,1,MIN(10,DJ$147))*(1+V_dPrecio))</f>
        <v>0</v>
      </c>
      <c r="DK166" s="34" t="n">
        <f aca="false">IF(DK$8=1,IF(Reales!$C$28="PYG",IF(DK$10&gt;0,N(Reales!DK28)/DK$10,0),N(Reales!DK28)),DK$154*INDEX(Precio_V,4)*INDEX(IdxPrecio_V,1,MIN(10,DK$147))*(1+V_dPrecio))</f>
        <v>0</v>
      </c>
      <c r="DL166" s="34" t="n">
        <f aca="false">IF(DL$8=1,IF(Reales!$C$28="PYG",IF(DL$10&gt;0,N(Reales!DL28)/DL$10,0),N(Reales!DL28)),DL$154*INDEX(Precio_V,4)*INDEX(IdxPrecio_V,1,MIN(10,DL$147))*(1+V_dPrecio))</f>
        <v>0</v>
      </c>
      <c r="DM166" s="34" t="n">
        <f aca="false">IF(DM$8=1,IF(Reales!$C$28="PYG",IF(DM$10&gt;0,N(Reales!DM28)/DM$10,0),N(Reales!DM28)),DM$154*INDEX(Precio_V,4)*INDEX(IdxPrecio_V,1,MIN(10,DM$147))*(1+V_dPrecio))</f>
        <v>0</v>
      </c>
      <c r="DN166" s="34" t="n">
        <f aca="false">IF(DN$8=1,IF(Reales!$C$28="PYG",IF(DN$10&gt;0,N(Reales!DN28)/DN$10,0),N(Reales!DN28)),DN$154*INDEX(Precio_V,4)*INDEX(IdxPrecio_V,1,MIN(10,DN$147))*(1+V_dPrecio))</f>
        <v>0</v>
      </c>
      <c r="DO166" s="34" t="n">
        <f aca="false">IF(DO$8=1,IF(Reales!$C$28="PYG",IF(DO$10&gt;0,N(Reales!DO28)/DO$10,0),N(Reales!DO28)),DO$154*INDEX(Precio_V,4)*INDEX(IdxPrecio_V,1,MIN(10,DO$147))*(1+V_dPrecio))</f>
        <v>0</v>
      </c>
      <c r="DP166" s="34" t="n">
        <f aca="false">IF(DP$8=1,IF(Reales!$C$28="PYG",IF(DP$10&gt;0,N(Reales!DP28)/DP$10,0),N(Reales!DP28)),DP$154*INDEX(Precio_V,4)*INDEX(IdxPrecio_V,1,MIN(10,DP$147))*(1+V_dPrecio))</f>
        <v>0</v>
      </c>
      <c r="DQ166" s="34" t="n">
        <f aca="false">IF(DQ$8=1,IF(Reales!$C$28="PYG",IF(DQ$10&gt;0,N(Reales!DQ28)/DQ$10,0),N(Reales!DQ28)),DQ$154*INDEX(Precio_V,4)*INDEX(IdxPrecio_V,1,MIN(10,DQ$147))*(1+V_dPrecio))</f>
        <v>0</v>
      </c>
      <c r="DR166" s="34" t="n">
        <f aca="false">IF(DR$8=1,IF(Reales!$C$28="PYG",IF(DR$10&gt;0,N(Reales!DR28)/DR$10,0),N(Reales!DR28)),DR$154*INDEX(Precio_V,4)*INDEX(IdxPrecio_V,1,MIN(10,DR$147))*(1+V_dPrecio))</f>
        <v>0</v>
      </c>
      <c r="DS166" s="34" t="n">
        <f aca="false">IF(DS$8=1,IF(Reales!$C$28="PYG",IF(DS$10&gt;0,N(Reales!DS28)/DS$10,0),N(Reales!DS28)),DS$154*INDEX(Precio_V,4)*INDEX(IdxPrecio_V,1,MIN(10,DS$147))*(1+V_dPrecio))</f>
        <v>0</v>
      </c>
      <c r="DT166" s="34" t="n">
        <f aca="false">IF(DT$8=1,IF(Reales!$C$28="PYG",IF(DT$10&gt;0,N(Reales!DT28)/DT$10,0),N(Reales!DT28)),DT$154*INDEX(Precio_V,4)*INDEX(IdxPrecio_V,1,MIN(10,DT$147))*(1+V_dPrecio))</f>
        <v>0</v>
      </c>
      <c r="DU166" s="34" t="n">
        <f aca="false">IF(DU$8=1,IF(Reales!$C$28="PYG",IF(DU$10&gt;0,N(Reales!DU28)/DU$10,0),N(Reales!DU28)),DU$154*INDEX(Precio_V,4)*INDEX(IdxPrecio_V,1,MIN(10,DU$147))*(1+V_dPrecio))</f>
        <v>0</v>
      </c>
      <c r="DV166" s="34" t="n">
        <f aca="false">IF(DV$8=1,IF(Reales!$C$28="PYG",IF(DV$10&gt;0,N(Reales!DV28)/DV$10,0),N(Reales!DV28)),DV$154*INDEX(Precio_V,4)*INDEX(IdxPrecio_V,1,MIN(10,DV$147))*(1+V_dPrecio))</f>
        <v>0</v>
      </c>
      <c r="DW166" s="34" t="n">
        <f aca="false">IF(DW$8=1,IF(Reales!$C$28="PYG",IF(DW$10&gt;0,N(Reales!DW28)/DW$10,0),N(Reales!DW28)),DW$154*INDEX(Precio_V,4)*INDEX(IdxPrecio_V,1,MIN(10,DW$147))*(1+V_dPrecio))</f>
        <v>0</v>
      </c>
      <c r="DX166" s="34" t="n">
        <f aca="false">IF(DX$8=1,IF(Reales!$C$28="PYG",IF(DX$10&gt;0,N(Reales!DX28)/DX$10,0),N(Reales!DX28)),DX$154*INDEX(Precio_V,4)*INDEX(IdxPrecio_V,1,MIN(10,DX$147))*(1+V_dPrecio))</f>
        <v>0</v>
      </c>
      <c r="DY166" s="34" t="n">
        <f aca="false">IF(DY$8=1,IF(Reales!$C$28="PYG",IF(DY$10&gt;0,N(Reales!DY28)/DY$10,0),N(Reales!DY28)),DY$154*INDEX(Precio_V,4)*INDEX(IdxPrecio_V,1,MIN(10,DY$147))*(1+V_dPrecio))</f>
        <v>0</v>
      </c>
      <c r="DZ166" s="34" t="n">
        <f aca="false">IF(DZ$8=1,IF(Reales!$C$28="PYG",IF(DZ$10&gt;0,N(Reales!DZ28)/DZ$10,0),N(Reales!DZ28)),DZ$154*INDEX(Precio_V,4)*INDEX(IdxPrecio_V,1,MIN(10,DZ$147))*(1+V_dPrecio))</f>
        <v>0</v>
      </c>
      <c r="EA166" s="34" t="n">
        <f aca="false">IF(EA$8=1,IF(Reales!$C$28="PYG",IF(EA$10&gt;0,N(Reales!EA28)/EA$10,0),N(Reales!EA28)),EA$154*INDEX(Precio_V,4)*INDEX(IdxPrecio_V,1,MIN(10,EA$147))*(1+V_dPrecio))</f>
        <v>0</v>
      </c>
      <c r="EB166" s="34" t="n">
        <f aca="false">IF(EB$8=1,IF(Reales!$C$28="PYG",IF(EB$10&gt;0,N(Reales!EB28)/EB$10,0),N(Reales!EB28)),EB$154*INDEX(Precio_V,4)*INDEX(IdxPrecio_V,1,MIN(10,EB$147))*(1+V_dPrecio))</f>
        <v>0</v>
      </c>
      <c r="EC166" s="34" t="n">
        <f aca="false">IF(EC$8=1,IF(Reales!$C$28="PYG",IF(EC$10&gt;0,N(Reales!EC28)/EC$10,0),N(Reales!EC28)),EC$154*INDEX(Precio_V,4)*INDEX(IdxPrecio_V,1,MIN(10,EC$147))*(1+V_dPrecio))</f>
        <v>0</v>
      </c>
      <c r="ED166" s="34" t="n">
        <f aca="false">IF(ED$8=1,IF(Reales!$C$28="PYG",IF(ED$10&gt;0,N(Reales!ED28)/ED$10,0),N(Reales!ED28)),ED$154*INDEX(Precio_V,4)*INDEX(IdxPrecio_V,1,MIN(10,ED$147))*(1+V_dPrecio))</f>
        <v>0</v>
      </c>
      <c r="EE166" s="34" t="n">
        <f aca="false">IF(EE$8=1,IF(Reales!$C$28="PYG",IF(EE$10&gt;0,N(Reales!EE28)/EE$10,0),N(Reales!EE28)),EE$154*INDEX(Precio_V,4)*INDEX(IdxPrecio_V,1,MIN(10,EE$147))*(1+V_dPrecio))</f>
        <v>0</v>
      </c>
      <c r="EF166" s="34" t="n">
        <f aca="false">IF(EF$8=1,IF(Reales!$C$28="PYG",IF(EF$10&gt;0,N(Reales!EF28)/EF$10,0),N(Reales!EF28)),EF$154*INDEX(Precio_V,4)*INDEX(IdxPrecio_V,1,MIN(10,EF$147))*(1+V_dPrecio))</f>
        <v>0</v>
      </c>
      <c r="EG166" s="34" t="n">
        <f aca="false">IF(EG$8=1,IF(Reales!$C$28="PYG",IF(EG$10&gt;0,N(Reales!EG28)/EG$10,0),N(Reales!EG28)),EG$154*INDEX(Precio_V,4)*INDEX(IdxPrecio_V,1,MIN(10,EG$147))*(1+V_dPrecio))</f>
        <v>0</v>
      </c>
      <c r="EH166" s="34" t="n">
        <f aca="false">IF(EH$8=1,IF(Reales!$C$28="PYG",IF(EH$10&gt;0,N(Reales!EH28)/EH$10,0),N(Reales!EH28)),EH$154*INDEX(Precio_V,4)*INDEX(IdxPrecio_V,1,MIN(10,EH$147))*(1+V_dPrecio))</f>
        <v>0</v>
      </c>
      <c r="EI166" s="34" t="n">
        <f aca="false">IF(EI$8=1,IF(Reales!$C$28="PYG",IF(EI$10&gt;0,N(Reales!EI28)/EI$10,0),N(Reales!EI28)),EI$154*INDEX(Precio_V,4)*INDEX(IdxPrecio_V,1,MIN(10,EI$147))*(1+V_dPrecio))</f>
        <v>0</v>
      </c>
      <c r="EJ166" s="34" t="n">
        <f aca="false">IF(EJ$8=1,IF(Reales!$C$28="PYG",IF(EJ$10&gt;0,N(Reales!EJ28)/EJ$10,0),N(Reales!EJ28)),EJ$154*INDEX(Precio_V,4)*INDEX(IdxPrecio_V,1,MIN(10,EJ$147))*(1+V_dPrecio))</f>
        <v>0</v>
      </c>
      <c r="EK166" s="34" t="n">
        <f aca="false">IF(EK$8=1,IF(Reales!$C$28="PYG",IF(EK$10&gt;0,N(Reales!EK28)/EK$10,0),N(Reales!EK28)),EK$154*INDEX(Precio_V,4)*INDEX(IdxPrecio_V,1,MIN(10,EK$147))*(1+V_dPrecio))</f>
        <v>0</v>
      </c>
      <c r="EL166" s="34" t="n">
        <f aca="false">IF(EL$8=1,IF(Reales!$C$28="PYG",IF(EL$10&gt;0,N(Reales!EL28)/EL$10,0),N(Reales!EL28)),EL$154*INDEX(Precio_V,4)*INDEX(IdxPrecio_V,1,MIN(10,EL$147))*(1+V_dPrecio))</f>
        <v>0</v>
      </c>
      <c r="EM166" s="34" t="n">
        <f aca="false">IF(EM$8=1,IF(Reales!$C$28="PYG",IF(EM$10&gt;0,N(Reales!EM28)/EM$10,0),N(Reales!EM28)),EM$154*INDEX(Precio_V,4)*INDEX(IdxPrecio_V,1,MIN(10,EM$147))*(1+V_dPrecio))</f>
        <v>0</v>
      </c>
      <c r="EN166" s="34" t="n">
        <f aca="false">IF(EN$8=1,IF(Reales!$C$28="PYG",IF(EN$10&gt;0,N(Reales!EN28)/EN$10,0),N(Reales!EN28)),EN$154*INDEX(Precio_V,4)*INDEX(IdxPrecio_V,1,MIN(10,EN$147))*(1+V_dPrecio))</f>
        <v>0</v>
      </c>
      <c r="EO166" s="34" t="n">
        <f aca="false">IF(EO$8=1,IF(Reales!$C$28="PYG",IF(EO$10&gt;0,N(Reales!EO28)/EO$10,0),N(Reales!EO28)),EO$154*INDEX(Precio_V,4)*INDEX(IdxPrecio_V,1,MIN(10,EO$147))*(1+V_dPrecio))</f>
        <v>0</v>
      </c>
      <c r="EP166" s="34" t="n">
        <f aca="false">IF(EP$8=1,IF(Reales!$C$28="PYG",IF(EP$10&gt;0,N(Reales!EP28)/EP$10,0),N(Reales!EP28)),EP$154*INDEX(Precio_V,4)*INDEX(IdxPrecio_V,1,MIN(10,EP$147))*(1+V_dPrecio))</f>
        <v>0</v>
      </c>
      <c r="EQ166" s="34" t="n">
        <f aca="false">IF(EQ$8=1,IF(Reales!$C$28="PYG",IF(EQ$10&gt;0,N(Reales!EQ28)/EQ$10,0),N(Reales!EQ28)),EQ$154*INDEX(Precio_V,4)*INDEX(IdxPrecio_V,1,MIN(10,EQ$147))*(1+V_dPrecio))</f>
        <v>0</v>
      </c>
      <c r="ER166" s="34" t="n">
        <f aca="false">IF(ER$8=1,IF(Reales!$C$28="PYG",IF(ER$10&gt;0,N(Reales!ER28)/ER$10,0),N(Reales!ER28)),ER$154*INDEX(Precio_V,4)*INDEX(IdxPrecio_V,1,MIN(10,ER$147))*(1+V_dPrecio))</f>
        <v>0</v>
      </c>
      <c r="ES166" s="34" t="n">
        <f aca="false">IF(ES$8=1,IF(Reales!$C$28="PYG",IF(ES$10&gt;0,N(Reales!ES28)/ES$10,0),N(Reales!ES28)),ES$154*INDEX(Precio_V,4)*INDEX(IdxPrecio_V,1,MIN(10,ES$147))*(1+V_dPrecio))</f>
        <v>0</v>
      </c>
    </row>
    <row r="167" customFormat="false" ht="15" hidden="false" customHeight="false" outlineLevel="0" collapsed="false">
      <c r="A167" s="2" t="s">
        <v>783</v>
      </c>
      <c r="B167" s="39" t="str">
        <f aca="false">IF(INDEX(Prod_Nombre,5)="","Producto 5",INDEX(Prod_Nombre,5))&amp;" — ventas USD"</f>
        <v>Producto 5 — ventas USD</v>
      </c>
      <c r="C167" s="6" t="s">
        <v>250</v>
      </c>
      <c r="E167" s="40" t="n">
        <f aca="false">SUM(F167:ES167)</f>
        <v>0</v>
      </c>
      <c r="F167" s="34" t="n">
        <f aca="false">IF(F$8=1,IF(Reales!$C$29="PYG",IF(F$10&gt;0,N(Reales!F29)/F$10,0),N(Reales!F29)),F$155*INDEX(Precio_V,5)*INDEX(IdxPrecio_V,1,MIN(10,F$147))*(1+V_dPrecio))</f>
        <v>0</v>
      </c>
      <c r="G167" s="34" t="n">
        <f aca="false">IF(G$8=1,IF(Reales!$C$29="PYG",IF(G$10&gt;0,N(Reales!G29)/G$10,0),N(Reales!G29)),G$155*INDEX(Precio_V,5)*INDEX(IdxPrecio_V,1,MIN(10,G$147))*(1+V_dPrecio))</f>
        <v>0</v>
      </c>
      <c r="H167" s="34" t="n">
        <f aca="false">IF(H$8=1,IF(Reales!$C$29="PYG",IF(H$10&gt;0,N(Reales!H29)/H$10,0),N(Reales!H29)),H$155*INDEX(Precio_V,5)*INDEX(IdxPrecio_V,1,MIN(10,H$147))*(1+V_dPrecio))</f>
        <v>0</v>
      </c>
      <c r="I167" s="34" t="n">
        <f aca="false">IF(I$8=1,IF(Reales!$C$29="PYG",IF(I$10&gt;0,N(Reales!I29)/I$10,0),N(Reales!I29)),I$155*INDEX(Precio_V,5)*INDEX(IdxPrecio_V,1,MIN(10,I$147))*(1+V_dPrecio))</f>
        <v>0</v>
      </c>
      <c r="J167" s="34" t="n">
        <f aca="false">IF(J$8=1,IF(Reales!$C$29="PYG",IF(J$10&gt;0,N(Reales!J29)/J$10,0),N(Reales!J29)),J$155*INDEX(Precio_V,5)*INDEX(IdxPrecio_V,1,MIN(10,J$147))*(1+V_dPrecio))</f>
        <v>0</v>
      </c>
      <c r="K167" s="34" t="n">
        <f aca="false">IF(K$8=1,IF(Reales!$C$29="PYG",IF(K$10&gt;0,N(Reales!K29)/K$10,0),N(Reales!K29)),K$155*INDEX(Precio_V,5)*INDEX(IdxPrecio_V,1,MIN(10,K$147))*(1+V_dPrecio))</f>
        <v>0</v>
      </c>
      <c r="L167" s="34" t="n">
        <f aca="false">IF(L$8=1,IF(Reales!$C$29="PYG",IF(L$10&gt;0,N(Reales!L29)/L$10,0),N(Reales!L29)),L$155*INDEX(Precio_V,5)*INDEX(IdxPrecio_V,1,MIN(10,L$147))*(1+V_dPrecio))</f>
        <v>0</v>
      </c>
      <c r="M167" s="34" t="n">
        <f aca="false">IF(M$8=1,IF(Reales!$C$29="PYG",IF(M$10&gt;0,N(Reales!M29)/M$10,0),N(Reales!M29)),M$155*INDEX(Precio_V,5)*INDEX(IdxPrecio_V,1,MIN(10,M$147))*(1+V_dPrecio))</f>
        <v>0</v>
      </c>
      <c r="N167" s="34" t="n">
        <f aca="false">IF(N$8=1,IF(Reales!$C$29="PYG",IF(N$10&gt;0,N(Reales!N29)/N$10,0),N(Reales!N29)),N$155*INDEX(Precio_V,5)*INDEX(IdxPrecio_V,1,MIN(10,N$147))*(1+V_dPrecio))</f>
        <v>0</v>
      </c>
      <c r="O167" s="34" t="n">
        <f aca="false">IF(O$8=1,IF(Reales!$C$29="PYG",IF(O$10&gt;0,N(Reales!O29)/O$10,0),N(Reales!O29)),O$155*INDEX(Precio_V,5)*INDEX(IdxPrecio_V,1,MIN(10,O$147))*(1+V_dPrecio))</f>
        <v>0</v>
      </c>
      <c r="P167" s="34" t="n">
        <f aca="false">IF(P$8=1,IF(Reales!$C$29="PYG",IF(P$10&gt;0,N(Reales!P29)/P$10,0),N(Reales!P29)),P$155*INDEX(Precio_V,5)*INDEX(IdxPrecio_V,1,MIN(10,P$147))*(1+V_dPrecio))</f>
        <v>0</v>
      </c>
      <c r="Q167" s="34" t="n">
        <f aca="false">IF(Q$8=1,IF(Reales!$C$29="PYG",IF(Q$10&gt;0,N(Reales!Q29)/Q$10,0),N(Reales!Q29)),Q$155*INDEX(Precio_V,5)*INDEX(IdxPrecio_V,1,MIN(10,Q$147))*(1+V_dPrecio))</f>
        <v>0</v>
      </c>
      <c r="R167" s="34" t="n">
        <f aca="false">IF(R$8=1,IF(Reales!$C$29="PYG",IF(R$10&gt;0,N(Reales!R29)/R$10,0),N(Reales!R29)),R$155*INDEX(Precio_V,5)*INDEX(IdxPrecio_V,1,MIN(10,R$147))*(1+V_dPrecio))</f>
        <v>0</v>
      </c>
      <c r="S167" s="34" t="n">
        <f aca="false">IF(S$8=1,IF(Reales!$C$29="PYG",IF(S$10&gt;0,N(Reales!S29)/S$10,0),N(Reales!S29)),S$155*INDEX(Precio_V,5)*INDEX(IdxPrecio_V,1,MIN(10,S$147))*(1+V_dPrecio))</f>
        <v>0</v>
      </c>
      <c r="T167" s="34" t="n">
        <f aca="false">IF(T$8=1,IF(Reales!$C$29="PYG",IF(T$10&gt;0,N(Reales!T29)/T$10,0),N(Reales!T29)),T$155*INDEX(Precio_V,5)*INDEX(IdxPrecio_V,1,MIN(10,T$147))*(1+V_dPrecio))</f>
        <v>0</v>
      </c>
      <c r="U167" s="34" t="n">
        <f aca="false">IF(U$8=1,IF(Reales!$C$29="PYG",IF(U$10&gt;0,N(Reales!U29)/U$10,0),N(Reales!U29)),U$155*INDEX(Precio_V,5)*INDEX(IdxPrecio_V,1,MIN(10,U$147))*(1+V_dPrecio))</f>
        <v>0</v>
      </c>
      <c r="V167" s="34" t="n">
        <f aca="false">IF(V$8=1,IF(Reales!$C$29="PYG",IF(V$10&gt;0,N(Reales!V29)/V$10,0),N(Reales!V29)),V$155*INDEX(Precio_V,5)*INDEX(IdxPrecio_V,1,MIN(10,V$147))*(1+V_dPrecio))</f>
        <v>0</v>
      </c>
      <c r="W167" s="34" t="n">
        <f aca="false">IF(W$8=1,IF(Reales!$C$29="PYG",IF(W$10&gt;0,N(Reales!W29)/W$10,0),N(Reales!W29)),W$155*INDEX(Precio_V,5)*INDEX(IdxPrecio_V,1,MIN(10,W$147))*(1+V_dPrecio))</f>
        <v>0</v>
      </c>
      <c r="X167" s="34" t="n">
        <f aca="false">IF(X$8=1,IF(Reales!$C$29="PYG",IF(X$10&gt;0,N(Reales!X29)/X$10,0),N(Reales!X29)),X$155*INDEX(Precio_V,5)*INDEX(IdxPrecio_V,1,MIN(10,X$147))*(1+V_dPrecio))</f>
        <v>0</v>
      </c>
      <c r="Y167" s="34" t="n">
        <f aca="false">IF(Y$8=1,IF(Reales!$C$29="PYG",IF(Y$10&gt;0,N(Reales!Y29)/Y$10,0),N(Reales!Y29)),Y$155*INDEX(Precio_V,5)*INDEX(IdxPrecio_V,1,MIN(10,Y$147))*(1+V_dPrecio))</f>
        <v>0</v>
      </c>
      <c r="Z167" s="34" t="n">
        <f aca="false">IF(Z$8=1,IF(Reales!$C$29="PYG",IF(Z$10&gt;0,N(Reales!Z29)/Z$10,0),N(Reales!Z29)),Z$155*INDEX(Precio_V,5)*INDEX(IdxPrecio_V,1,MIN(10,Z$147))*(1+V_dPrecio))</f>
        <v>0</v>
      </c>
      <c r="AA167" s="34" t="n">
        <f aca="false">IF(AA$8=1,IF(Reales!$C$29="PYG",IF(AA$10&gt;0,N(Reales!AA29)/AA$10,0),N(Reales!AA29)),AA$155*INDEX(Precio_V,5)*INDEX(IdxPrecio_V,1,MIN(10,AA$147))*(1+V_dPrecio))</f>
        <v>0</v>
      </c>
      <c r="AB167" s="34" t="n">
        <f aca="false">IF(AB$8=1,IF(Reales!$C$29="PYG",IF(AB$10&gt;0,N(Reales!AB29)/AB$10,0),N(Reales!AB29)),AB$155*INDEX(Precio_V,5)*INDEX(IdxPrecio_V,1,MIN(10,AB$147))*(1+V_dPrecio))</f>
        <v>0</v>
      </c>
      <c r="AC167" s="34" t="n">
        <f aca="false">IF(AC$8=1,IF(Reales!$C$29="PYG",IF(AC$10&gt;0,N(Reales!AC29)/AC$10,0),N(Reales!AC29)),AC$155*INDEX(Precio_V,5)*INDEX(IdxPrecio_V,1,MIN(10,AC$147))*(1+V_dPrecio))</f>
        <v>0</v>
      </c>
      <c r="AD167" s="34" t="n">
        <f aca="false">IF(AD$8=1,IF(Reales!$C$29="PYG",IF(AD$10&gt;0,N(Reales!AD29)/AD$10,0),N(Reales!AD29)),AD$155*INDEX(Precio_V,5)*INDEX(IdxPrecio_V,1,MIN(10,AD$147))*(1+V_dPrecio))</f>
        <v>0</v>
      </c>
      <c r="AE167" s="34" t="n">
        <f aca="false">IF(AE$8=1,IF(Reales!$C$29="PYG",IF(AE$10&gt;0,N(Reales!AE29)/AE$10,0),N(Reales!AE29)),AE$155*INDEX(Precio_V,5)*INDEX(IdxPrecio_V,1,MIN(10,AE$147))*(1+V_dPrecio))</f>
        <v>0</v>
      </c>
      <c r="AF167" s="34" t="n">
        <f aca="false">IF(AF$8=1,IF(Reales!$C$29="PYG",IF(AF$10&gt;0,N(Reales!AF29)/AF$10,0),N(Reales!AF29)),AF$155*INDEX(Precio_V,5)*INDEX(IdxPrecio_V,1,MIN(10,AF$147))*(1+V_dPrecio))</f>
        <v>0</v>
      </c>
      <c r="AG167" s="34" t="n">
        <f aca="false">IF(AG$8=1,IF(Reales!$C$29="PYG",IF(AG$10&gt;0,N(Reales!AG29)/AG$10,0),N(Reales!AG29)),AG$155*INDEX(Precio_V,5)*INDEX(IdxPrecio_V,1,MIN(10,AG$147))*(1+V_dPrecio))</f>
        <v>0</v>
      </c>
      <c r="AH167" s="34" t="n">
        <f aca="false">IF(AH$8=1,IF(Reales!$C$29="PYG",IF(AH$10&gt;0,N(Reales!AH29)/AH$10,0),N(Reales!AH29)),AH$155*INDEX(Precio_V,5)*INDEX(IdxPrecio_V,1,MIN(10,AH$147))*(1+V_dPrecio))</f>
        <v>0</v>
      </c>
      <c r="AI167" s="34" t="n">
        <f aca="false">IF(AI$8=1,IF(Reales!$C$29="PYG",IF(AI$10&gt;0,N(Reales!AI29)/AI$10,0),N(Reales!AI29)),AI$155*INDEX(Precio_V,5)*INDEX(IdxPrecio_V,1,MIN(10,AI$147))*(1+V_dPrecio))</f>
        <v>0</v>
      </c>
      <c r="AJ167" s="34" t="n">
        <f aca="false">IF(AJ$8=1,IF(Reales!$C$29="PYG",IF(AJ$10&gt;0,N(Reales!AJ29)/AJ$10,0),N(Reales!AJ29)),AJ$155*INDEX(Precio_V,5)*INDEX(IdxPrecio_V,1,MIN(10,AJ$147))*(1+V_dPrecio))</f>
        <v>0</v>
      </c>
      <c r="AK167" s="34" t="n">
        <f aca="false">IF(AK$8=1,IF(Reales!$C$29="PYG",IF(AK$10&gt;0,N(Reales!AK29)/AK$10,0),N(Reales!AK29)),AK$155*INDEX(Precio_V,5)*INDEX(IdxPrecio_V,1,MIN(10,AK$147))*(1+V_dPrecio))</f>
        <v>0</v>
      </c>
      <c r="AL167" s="34" t="n">
        <f aca="false">IF(AL$8=1,IF(Reales!$C$29="PYG",IF(AL$10&gt;0,N(Reales!AL29)/AL$10,0),N(Reales!AL29)),AL$155*INDEX(Precio_V,5)*INDEX(IdxPrecio_V,1,MIN(10,AL$147))*(1+V_dPrecio))</f>
        <v>0</v>
      </c>
      <c r="AM167" s="34" t="n">
        <f aca="false">IF(AM$8=1,IF(Reales!$C$29="PYG",IF(AM$10&gt;0,N(Reales!AM29)/AM$10,0),N(Reales!AM29)),AM$155*INDEX(Precio_V,5)*INDEX(IdxPrecio_V,1,MIN(10,AM$147))*(1+V_dPrecio))</f>
        <v>0</v>
      </c>
      <c r="AN167" s="34" t="n">
        <f aca="false">IF(AN$8=1,IF(Reales!$C$29="PYG",IF(AN$10&gt;0,N(Reales!AN29)/AN$10,0),N(Reales!AN29)),AN$155*INDEX(Precio_V,5)*INDEX(IdxPrecio_V,1,MIN(10,AN$147))*(1+V_dPrecio))</f>
        <v>0</v>
      </c>
      <c r="AO167" s="34" t="n">
        <f aca="false">IF(AO$8=1,IF(Reales!$C$29="PYG",IF(AO$10&gt;0,N(Reales!AO29)/AO$10,0),N(Reales!AO29)),AO$155*INDEX(Precio_V,5)*INDEX(IdxPrecio_V,1,MIN(10,AO$147))*(1+V_dPrecio))</f>
        <v>0</v>
      </c>
      <c r="AP167" s="34" t="n">
        <f aca="false">IF(AP$8=1,IF(Reales!$C$29="PYG",IF(AP$10&gt;0,N(Reales!AP29)/AP$10,0),N(Reales!AP29)),AP$155*INDEX(Precio_V,5)*INDEX(IdxPrecio_V,1,MIN(10,AP$147))*(1+V_dPrecio))</f>
        <v>0</v>
      </c>
      <c r="AQ167" s="34" t="n">
        <f aca="false">IF(AQ$8=1,IF(Reales!$C$29="PYG",IF(AQ$10&gt;0,N(Reales!AQ29)/AQ$10,0),N(Reales!AQ29)),AQ$155*INDEX(Precio_V,5)*INDEX(IdxPrecio_V,1,MIN(10,AQ$147))*(1+V_dPrecio))</f>
        <v>0</v>
      </c>
      <c r="AR167" s="34" t="n">
        <f aca="false">IF(AR$8=1,IF(Reales!$C$29="PYG",IF(AR$10&gt;0,N(Reales!AR29)/AR$10,0),N(Reales!AR29)),AR$155*INDEX(Precio_V,5)*INDEX(IdxPrecio_V,1,MIN(10,AR$147))*(1+V_dPrecio))</f>
        <v>0</v>
      </c>
      <c r="AS167" s="34" t="n">
        <f aca="false">IF(AS$8=1,IF(Reales!$C$29="PYG",IF(AS$10&gt;0,N(Reales!AS29)/AS$10,0),N(Reales!AS29)),AS$155*INDEX(Precio_V,5)*INDEX(IdxPrecio_V,1,MIN(10,AS$147))*(1+V_dPrecio))</f>
        <v>0</v>
      </c>
      <c r="AT167" s="34" t="n">
        <f aca="false">IF(AT$8=1,IF(Reales!$C$29="PYG",IF(AT$10&gt;0,N(Reales!AT29)/AT$10,0),N(Reales!AT29)),AT$155*INDEX(Precio_V,5)*INDEX(IdxPrecio_V,1,MIN(10,AT$147))*(1+V_dPrecio))</f>
        <v>0</v>
      </c>
      <c r="AU167" s="34" t="n">
        <f aca="false">IF(AU$8=1,IF(Reales!$C$29="PYG",IF(AU$10&gt;0,N(Reales!AU29)/AU$10,0),N(Reales!AU29)),AU$155*INDEX(Precio_V,5)*INDEX(IdxPrecio_V,1,MIN(10,AU$147))*(1+V_dPrecio))</f>
        <v>0</v>
      </c>
      <c r="AV167" s="34" t="n">
        <f aca="false">IF(AV$8=1,IF(Reales!$C$29="PYG",IF(AV$10&gt;0,N(Reales!AV29)/AV$10,0),N(Reales!AV29)),AV$155*INDEX(Precio_V,5)*INDEX(IdxPrecio_V,1,MIN(10,AV$147))*(1+V_dPrecio))</f>
        <v>0</v>
      </c>
      <c r="AW167" s="34" t="n">
        <f aca="false">IF(AW$8=1,IF(Reales!$C$29="PYG",IF(AW$10&gt;0,N(Reales!AW29)/AW$10,0),N(Reales!AW29)),AW$155*INDEX(Precio_V,5)*INDEX(IdxPrecio_V,1,MIN(10,AW$147))*(1+V_dPrecio))</f>
        <v>0</v>
      </c>
      <c r="AX167" s="34" t="n">
        <f aca="false">IF(AX$8=1,IF(Reales!$C$29="PYG",IF(AX$10&gt;0,N(Reales!AX29)/AX$10,0),N(Reales!AX29)),AX$155*INDEX(Precio_V,5)*INDEX(IdxPrecio_V,1,MIN(10,AX$147))*(1+V_dPrecio))</f>
        <v>0</v>
      </c>
      <c r="AY167" s="34" t="n">
        <f aca="false">IF(AY$8=1,IF(Reales!$C$29="PYG",IF(AY$10&gt;0,N(Reales!AY29)/AY$10,0),N(Reales!AY29)),AY$155*INDEX(Precio_V,5)*INDEX(IdxPrecio_V,1,MIN(10,AY$147))*(1+V_dPrecio))</f>
        <v>0</v>
      </c>
      <c r="AZ167" s="34" t="n">
        <f aca="false">IF(AZ$8=1,IF(Reales!$C$29="PYG",IF(AZ$10&gt;0,N(Reales!AZ29)/AZ$10,0),N(Reales!AZ29)),AZ$155*INDEX(Precio_V,5)*INDEX(IdxPrecio_V,1,MIN(10,AZ$147))*(1+V_dPrecio))</f>
        <v>0</v>
      </c>
      <c r="BA167" s="34" t="n">
        <f aca="false">IF(BA$8=1,IF(Reales!$C$29="PYG",IF(BA$10&gt;0,N(Reales!BA29)/BA$10,0),N(Reales!BA29)),BA$155*INDEX(Precio_V,5)*INDEX(IdxPrecio_V,1,MIN(10,BA$147))*(1+V_dPrecio))</f>
        <v>0</v>
      </c>
      <c r="BB167" s="34" t="n">
        <f aca="false">IF(BB$8=1,IF(Reales!$C$29="PYG",IF(BB$10&gt;0,N(Reales!BB29)/BB$10,0),N(Reales!BB29)),BB$155*INDEX(Precio_V,5)*INDEX(IdxPrecio_V,1,MIN(10,BB$147))*(1+V_dPrecio))</f>
        <v>0</v>
      </c>
      <c r="BC167" s="34" t="n">
        <f aca="false">IF(BC$8=1,IF(Reales!$C$29="PYG",IF(BC$10&gt;0,N(Reales!BC29)/BC$10,0),N(Reales!BC29)),BC$155*INDEX(Precio_V,5)*INDEX(IdxPrecio_V,1,MIN(10,BC$147))*(1+V_dPrecio))</f>
        <v>0</v>
      </c>
      <c r="BD167" s="34" t="n">
        <f aca="false">IF(BD$8=1,IF(Reales!$C$29="PYG",IF(BD$10&gt;0,N(Reales!BD29)/BD$10,0),N(Reales!BD29)),BD$155*INDEX(Precio_V,5)*INDEX(IdxPrecio_V,1,MIN(10,BD$147))*(1+V_dPrecio))</f>
        <v>0</v>
      </c>
      <c r="BE167" s="34" t="n">
        <f aca="false">IF(BE$8=1,IF(Reales!$C$29="PYG",IF(BE$10&gt;0,N(Reales!BE29)/BE$10,0),N(Reales!BE29)),BE$155*INDEX(Precio_V,5)*INDEX(IdxPrecio_V,1,MIN(10,BE$147))*(1+V_dPrecio))</f>
        <v>0</v>
      </c>
      <c r="BF167" s="34" t="n">
        <f aca="false">IF(BF$8=1,IF(Reales!$C$29="PYG",IF(BF$10&gt;0,N(Reales!BF29)/BF$10,0),N(Reales!BF29)),BF$155*INDEX(Precio_V,5)*INDEX(IdxPrecio_V,1,MIN(10,BF$147))*(1+V_dPrecio))</f>
        <v>0</v>
      </c>
      <c r="BG167" s="34" t="n">
        <f aca="false">IF(BG$8=1,IF(Reales!$C$29="PYG",IF(BG$10&gt;0,N(Reales!BG29)/BG$10,0),N(Reales!BG29)),BG$155*INDEX(Precio_V,5)*INDEX(IdxPrecio_V,1,MIN(10,BG$147))*(1+V_dPrecio))</f>
        <v>0</v>
      </c>
      <c r="BH167" s="34" t="n">
        <f aca="false">IF(BH$8=1,IF(Reales!$C$29="PYG",IF(BH$10&gt;0,N(Reales!BH29)/BH$10,0),N(Reales!BH29)),BH$155*INDEX(Precio_V,5)*INDEX(IdxPrecio_V,1,MIN(10,BH$147))*(1+V_dPrecio))</f>
        <v>0</v>
      </c>
      <c r="BI167" s="34" t="n">
        <f aca="false">IF(BI$8=1,IF(Reales!$C$29="PYG",IF(BI$10&gt;0,N(Reales!BI29)/BI$10,0),N(Reales!BI29)),BI$155*INDEX(Precio_V,5)*INDEX(IdxPrecio_V,1,MIN(10,BI$147))*(1+V_dPrecio))</f>
        <v>0</v>
      </c>
      <c r="BJ167" s="34" t="n">
        <f aca="false">IF(BJ$8=1,IF(Reales!$C$29="PYG",IF(BJ$10&gt;0,N(Reales!BJ29)/BJ$10,0),N(Reales!BJ29)),BJ$155*INDEX(Precio_V,5)*INDEX(IdxPrecio_V,1,MIN(10,BJ$147))*(1+V_dPrecio))</f>
        <v>0</v>
      </c>
      <c r="BK167" s="34" t="n">
        <f aca="false">IF(BK$8=1,IF(Reales!$C$29="PYG",IF(BK$10&gt;0,N(Reales!BK29)/BK$10,0),N(Reales!BK29)),BK$155*INDEX(Precio_V,5)*INDEX(IdxPrecio_V,1,MIN(10,BK$147))*(1+V_dPrecio))</f>
        <v>0</v>
      </c>
      <c r="BL167" s="34" t="n">
        <f aca="false">IF(BL$8=1,IF(Reales!$C$29="PYG",IF(BL$10&gt;0,N(Reales!BL29)/BL$10,0),N(Reales!BL29)),BL$155*INDEX(Precio_V,5)*INDEX(IdxPrecio_V,1,MIN(10,BL$147))*(1+V_dPrecio))</f>
        <v>0</v>
      </c>
      <c r="BM167" s="34" t="n">
        <f aca="false">IF(BM$8=1,IF(Reales!$C$29="PYG",IF(BM$10&gt;0,N(Reales!BM29)/BM$10,0),N(Reales!BM29)),BM$155*INDEX(Precio_V,5)*INDEX(IdxPrecio_V,1,MIN(10,BM$147))*(1+V_dPrecio))</f>
        <v>0</v>
      </c>
      <c r="BN167" s="34" t="n">
        <f aca="false">IF(BN$8=1,IF(Reales!$C$29="PYG",IF(BN$10&gt;0,N(Reales!BN29)/BN$10,0),N(Reales!BN29)),BN$155*INDEX(Precio_V,5)*INDEX(IdxPrecio_V,1,MIN(10,BN$147))*(1+V_dPrecio))</f>
        <v>0</v>
      </c>
      <c r="BO167" s="34" t="n">
        <f aca="false">IF(BO$8=1,IF(Reales!$C$29="PYG",IF(BO$10&gt;0,N(Reales!BO29)/BO$10,0),N(Reales!BO29)),BO$155*INDEX(Precio_V,5)*INDEX(IdxPrecio_V,1,MIN(10,BO$147))*(1+V_dPrecio))</f>
        <v>0</v>
      </c>
      <c r="BP167" s="34" t="n">
        <f aca="false">IF(BP$8=1,IF(Reales!$C$29="PYG",IF(BP$10&gt;0,N(Reales!BP29)/BP$10,0),N(Reales!BP29)),BP$155*INDEX(Precio_V,5)*INDEX(IdxPrecio_V,1,MIN(10,BP$147))*(1+V_dPrecio))</f>
        <v>0</v>
      </c>
      <c r="BQ167" s="34" t="n">
        <f aca="false">IF(BQ$8=1,IF(Reales!$C$29="PYG",IF(BQ$10&gt;0,N(Reales!BQ29)/BQ$10,0),N(Reales!BQ29)),BQ$155*INDEX(Precio_V,5)*INDEX(IdxPrecio_V,1,MIN(10,BQ$147))*(1+V_dPrecio))</f>
        <v>0</v>
      </c>
      <c r="BR167" s="34" t="n">
        <f aca="false">IF(BR$8=1,IF(Reales!$C$29="PYG",IF(BR$10&gt;0,N(Reales!BR29)/BR$10,0),N(Reales!BR29)),BR$155*INDEX(Precio_V,5)*INDEX(IdxPrecio_V,1,MIN(10,BR$147))*(1+V_dPrecio))</f>
        <v>0</v>
      </c>
      <c r="BS167" s="34" t="n">
        <f aca="false">IF(BS$8=1,IF(Reales!$C$29="PYG",IF(BS$10&gt;0,N(Reales!BS29)/BS$10,0),N(Reales!BS29)),BS$155*INDEX(Precio_V,5)*INDEX(IdxPrecio_V,1,MIN(10,BS$147))*(1+V_dPrecio))</f>
        <v>0</v>
      </c>
      <c r="BT167" s="34" t="n">
        <f aca="false">IF(BT$8=1,IF(Reales!$C$29="PYG",IF(BT$10&gt;0,N(Reales!BT29)/BT$10,0),N(Reales!BT29)),BT$155*INDEX(Precio_V,5)*INDEX(IdxPrecio_V,1,MIN(10,BT$147))*(1+V_dPrecio))</f>
        <v>0</v>
      </c>
      <c r="BU167" s="34" t="n">
        <f aca="false">IF(BU$8=1,IF(Reales!$C$29="PYG",IF(BU$10&gt;0,N(Reales!BU29)/BU$10,0),N(Reales!BU29)),BU$155*INDEX(Precio_V,5)*INDEX(IdxPrecio_V,1,MIN(10,BU$147))*(1+V_dPrecio))</f>
        <v>0</v>
      </c>
      <c r="BV167" s="34" t="n">
        <f aca="false">IF(BV$8=1,IF(Reales!$C$29="PYG",IF(BV$10&gt;0,N(Reales!BV29)/BV$10,0),N(Reales!BV29)),BV$155*INDEX(Precio_V,5)*INDEX(IdxPrecio_V,1,MIN(10,BV$147))*(1+V_dPrecio))</f>
        <v>0</v>
      </c>
      <c r="BW167" s="34" t="n">
        <f aca="false">IF(BW$8=1,IF(Reales!$C$29="PYG",IF(BW$10&gt;0,N(Reales!BW29)/BW$10,0),N(Reales!BW29)),BW$155*INDEX(Precio_V,5)*INDEX(IdxPrecio_V,1,MIN(10,BW$147))*(1+V_dPrecio))</f>
        <v>0</v>
      </c>
      <c r="BX167" s="34" t="n">
        <f aca="false">IF(BX$8=1,IF(Reales!$C$29="PYG",IF(BX$10&gt;0,N(Reales!BX29)/BX$10,0),N(Reales!BX29)),BX$155*INDEX(Precio_V,5)*INDEX(IdxPrecio_V,1,MIN(10,BX$147))*(1+V_dPrecio))</f>
        <v>0</v>
      </c>
      <c r="BY167" s="34" t="n">
        <f aca="false">IF(BY$8=1,IF(Reales!$C$29="PYG",IF(BY$10&gt;0,N(Reales!BY29)/BY$10,0),N(Reales!BY29)),BY$155*INDEX(Precio_V,5)*INDEX(IdxPrecio_V,1,MIN(10,BY$147))*(1+V_dPrecio))</f>
        <v>0</v>
      </c>
      <c r="BZ167" s="34" t="n">
        <f aca="false">IF(BZ$8=1,IF(Reales!$C$29="PYG",IF(BZ$10&gt;0,N(Reales!BZ29)/BZ$10,0),N(Reales!BZ29)),BZ$155*INDEX(Precio_V,5)*INDEX(IdxPrecio_V,1,MIN(10,BZ$147))*(1+V_dPrecio))</f>
        <v>0</v>
      </c>
      <c r="CA167" s="34" t="n">
        <f aca="false">IF(CA$8=1,IF(Reales!$C$29="PYG",IF(CA$10&gt;0,N(Reales!CA29)/CA$10,0),N(Reales!CA29)),CA$155*INDEX(Precio_V,5)*INDEX(IdxPrecio_V,1,MIN(10,CA$147))*(1+V_dPrecio))</f>
        <v>0</v>
      </c>
      <c r="CB167" s="34" t="n">
        <f aca="false">IF(CB$8=1,IF(Reales!$C$29="PYG",IF(CB$10&gt;0,N(Reales!CB29)/CB$10,0),N(Reales!CB29)),CB$155*INDEX(Precio_V,5)*INDEX(IdxPrecio_V,1,MIN(10,CB$147))*(1+V_dPrecio))</f>
        <v>0</v>
      </c>
      <c r="CC167" s="34" t="n">
        <f aca="false">IF(CC$8=1,IF(Reales!$C$29="PYG",IF(CC$10&gt;0,N(Reales!CC29)/CC$10,0),N(Reales!CC29)),CC$155*INDEX(Precio_V,5)*INDEX(IdxPrecio_V,1,MIN(10,CC$147))*(1+V_dPrecio))</f>
        <v>0</v>
      </c>
      <c r="CD167" s="34" t="n">
        <f aca="false">IF(CD$8=1,IF(Reales!$C$29="PYG",IF(CD$10&gt;0,N(Reales!CD29)/CD$10,0),N(Reales!CD29)),CD$155*INDEX(Precio_V,5)*INDEX(IdxPrecio_V,1,MIN(10,CD$147))*(1+V_dPrecio))</f>
        <v>0</v>
      </c>
      <c r="CE167" s="34" t="n">
        <f aca="false">IF(CE$8=1,IF(Reales!$C$29="PYG",IF(CE$10&gt;0,N(Reales!CE29)/CE$10,0),N(Reales!CE29)),CE$155*INDEX(Precio_V,5)*INDEX(IdxPrecio_V,1,MIN(10,CE$147))*(1+V_dPrecio))</f>
        <v>0</v>
      </c>
      <c r="CF167" s="34" t="n">
        <f aca="false">IF(CF$8=1,IF(Reales!$C$29="PYG",IF(CF$10&gt;0,N(Reales!CF29)/CF$10,0),N(Reales!CF29)),CF$155*INDEX(Precio_V,5)*INDEX(IdxPrecio_V,1,MIN(10,CF$147))*(1+V_dPrecio))</f>
        <v>0</v>
      </c>
      <c r="CG167" s="34" t="n">
        <f aca="false">IF(CG$8=1,IF(Reales!$C$29="PYG",IF(CG$10&gt;0,N(Reales!CG29)/CG$10,0),N(Reales!CG29)),CG$155*INDEX(Precio_V,5)*INDEX(IdxPrecio_V,1,MIN(10,CG$147))*(1+V_dPrecio))</f>
        <v>0</v>
      </c>
      <c r="CH167" s="34" t="n">
        <f aca="false">IF(CH$8=1,IF(Reales!$C$29="PYG",IF(CH$10&gt;0,N(Reales!CH29)/CH$10,0),N(Reales!CH29)),CH$155*INDEX(Precio_V,5)*INDEX(IdxPrecio_V,1,MIN(10,CH$147))*(1+V_dPrecio))</f>
        <v>0</v>
      </c>
      <c r="CI167" s="34" t="n">
        <f aca="false">IF(CI$8=1,IF(Reales!$C$29="PYG",IF(CI$10&gt;0,N(Reales!CI29)/CI$10,0),N(Reales!CI29)),CI$155*INDEX(Precio_V,5)*INDEX(IdxPrecio_V,1,MIN(10,CI$147))*(1+V_dPrecio))</f>
        <v>0</v>
      </c>
      <c r="CJ167" s="34" t="n">
        <f aca="false">IF(CJ$8=1,IF(Reales!$C$29="PYG",IF(CJ$10&gt;0,N(Reales!CJ29)/CJ$10,0),N(Reales!CJ29)),CJ$155*INDEX(Precio_V,5)*INDEX(IdxPrecio_V,1,MIN(10,CJ$147))*(1+V_dPrecio))</f>
        <v>0</v>
      </c>
      <c r="CK167" s="34" t="n">
        <f aca="false">IF(CK$8=1,IF(Reales!$C$29="PYG",IF(CK$10&gt;0,N(Reales!CK29)/CK$10,0),N(Reales!CK29)),CK$155*INDEX(Precio_V,5)*INDEX(IdxPrecio_V,1,MIN(10,CK$147))*(1+V_dPrecio))</f>
        <v>0</v>
      </c>
      <c r="CL167" s="34" t="n">
        <f aca="false">IF(CL$8=1,IF(Reales!$C$29="PYG",IF(CL$10&gt;0,N(Reales!CL29)/CL$10,0),N(Reales!CL29)),CL$155*INDEX(Precio_V,5)*INDEX(IdxPrecio_V,1,MIN(10,CL$147))*(1+V_dPrecio))</f>
        <v>0</v>
      </c>
      <c r="CM167" s="34" t="n">
        <f aca="false">IF(CM$8=1,IF(Reales!$C$29="PYG",IF(CM$10&gt;0,N(Reales!CM29)/CM$10,0),N(Reales!CM29)),CM$155*INDEX(Precio_V,5)*INDEX(IdxPrecio_V,1,MIN(10,CM$147))*(1+V_dPrecio))</f>
        <v>0</v>
      </c>
      <c r="CN167" s="34" t="n">
        <f aca="false">IF(CN$8=1,IF(Reales!$C$29="PYG",IF(CN$10&gt;0,N(Reales!CN29)/CN$10,0),N(Reales!CN29)),CN$155*INDEX(Precio_V,5)*INDEX(IdxPrecio_V,1,MIN(10,CN$147))*(1+V_dPrecio))</f>
        <v>0</v>
      </c>
      <c r="CO167" s="34" t="n">
        <f aca="false">IF(CO$8=1,IF(Reales!$C$29="PYG",IF(CO$10&gt;0,N(Reales!CO29)/CO$10,0),N(Reales!CO29)),CO$155*INDEX(Precio_V,5)*INDEX(IdxPrecio_V,1,MIN(10,CO$147))*(1+V_dPrecio))</f>
        <v>0</v>
      </c>
      <c r="CP167" s="34" t="n">
        <f aca="false">IF(CP$8=1,IF(Reales!$C$29="PYG",IF(CP$10&gt;0,N(Reales!CP29)/CP$10,0),N(Reales!CP29)),CP$155*INDEX(Precio_V,5)*INDEX(IdxPrecio_V,1,MIN(10,CP$147))*(1+V_dPrecio))</f>
        <v>0</v>
      </c>
      <c r="CQ167" s="34" t="n">
        <f aca="false">IF(CQ$8=1,IF(Reales!$C$29="PYG",IF(CQ$10&gt;0,N(Reales!CQ29)/CQ$10,0),N(Reales!CQ29)),CQ$155*INDEX(Precio_V,5)*INDEX(IdxPrecio_V,1,MIN(10,CQ$147))*(1+V_dPrecio))</f>
        <v>0</v>
      </c>
      <c r="CR167" s="34" t="n">
        <f aca="false">IF(CR$8=1,IF(Reales!$C$29="PYG",IF(CR$10&gt;0,N(Reales!CR29)/CR$10,0),N(Reales!CR29)),CR$155*INDEX(Precio_V,5)*INDEX(IdxPrecio_V,1,MIN(10,CR$147))*(1+V_dPrecio))</f>
        <v>0</v>
      </c>
      <c r="CS167" s="34" t="n">
        <f aca="false">IF(CS$8=1,IF(Reales!$C$29="PYG",IF(CS$10&gt;0,N(Reales!CS29)/CS$10,0),N(Reales!CS29)),CS$155*INDEX(Precio_V,5)*INDEX(IdxPrecio_V,1,MIN(10,CS$147))*(1+V_dPrecio))</f>
        <v>0</v>
      </c>
      <c r="CT167" s="34" t="n">
        <f aca="false">IF(CT$8=1,IF(Reales!$C$29="PYG",IF(CT$10&gt;0,N(Reales!CT29)/CT$10,0),N(Reales!CT29)),CT$155*INDEX(Precio_V,5)*INDEX(IdxPrecio_V,1,MIN(10,CT$147))*(1+V_dPrecio))</f>
        <v>0</v>
      </c>
      <c r="CU167" s="34" t="n">
        <f aca="false">IF(CU$8=1,IF(Reales!$C$29="PYG",IF(CU$10&gt;0,N(Reales!CU29)/CU$10,0),N(Reales!CU29)),CU$155*INDEX(Precio_V,5)*INDEX(IdxPrecio_V,1,MIN(10,CU$147))*(1+V_dPrecio))</f>
        <v>0</v>
      </c>
      <c r="CV167" s="34" t="n">
        <f aca="false">IF(CV$8=1,IF(Reales!$C$29="PYG",IF(CV$10&gt;0,N(Reales!CV29)/CV$10,0),N(Reales!CV29)),CV$155*INDEX(Precio_V,5)*INDEX(IdxPrecio_V,1,MIN(10,CV$147))*(1+V_dPrecio))</f>
        <v>0</v>
      </c>
      <c r="CW167" s="34" t="n">
        <f aca="false">IF(CW$8=1,IF(Reales!$C$29="PYG",IF(CW$10&gt;0,N(Reales!CW29)/CW$10,0),N(Reales!CW29)),CW$155*INDEX(Precio_V,5)*INDEX(IdxPrecio_V,1,MIN(10,CW$147))*(1+V_dPrecio))</f>
        <v>0</v>
      </c>
      <c r="CX167" s="34" t="n">
        <f aca="false">IF(CX$8=1,IF(Reales!$C$29="PYG",IF(CX$10&gt;0,N(Reales!CX29)/CX$10,0),N(Reales!CX29)),CX$155*INDEX(Precio_V,5)*INDEX(IdxPrecio_V,1,MIN(10,CX$147))*(1+V_dPrecio))</f>
        <v>0</v>
      </c>
      <c r="CY167" s="34" t="n">
        <f aca="false">IF(CY$8=1,IF(Reales!$C$29="PYG",IF(CY$10&gt;0,N(Reales!CY29)/CY$10,0),N(Reales!CY29)),CY$155*INDEX(Precio_V,5)*INDEX(IdxPrecio_V,1,MIN(10,CY$147))*(1+V_dPrecio))</f>
        <v>0</v>
      </c>
      <c r="CZ167" s="34" t="n">
        <f aca="false">IF(CZ$8=1,IF(Reales!$C$29="PYG",IF(CZ$10&gt;0,N(Reales!CZ29)/CZ$10,0),N(Reales!CZ29)),CZ$155*INDEX(Precio_V,5)*INDEX(IdxPrecio_V,1,MIN(10,CZ$147))*(1+V_dPrecio))</f>
        <v>0</v>
      </c>
      <c r="DA167" s="34" t="n">
        <f aca="false">IF(DA$8=1,IF(Reales!$C$29="PYG",IF(DA$10&gt;0,N(Reales!DA29)/DA$10,0),N(Reales!DA29)),DA$155*INDEX(Precio_V,5)*INDEX(IdxPrecio_V,1,MIN(10,DA$147))*(1+V_dPrecio))</f>
        <v>0</v>
      </c>
      <c r="DB167" s="34" t="n">
        <f aca="false">IF(DB$8=1,IF(Reales!$C$29="PYG",IF(DB$10&gt;0,N(Reales!DB29)/DB$10,0),N(Reales!DB29)),DB$155*INDEX(Precio_V,5)*INDEX(IdxPrecio_V,1,MIN(10,DB$147))*(1+V_dPrecio))</f>
        <v>0</v>
      </c>
      <c r="DC167" s="34" t="n">
        <f aca="false">IF(DC$8=1,IF(Reales!$C$29="PYG",IF(DC$10&gt;0,N(Reales!DC29)/DC$10,0),N(Reales!DC29)),DC$155*INDEX(Precio_V,5)*INDEX(IdxPrecio_V,1,MIN(10,DC$147))*(1+V_dPrecio))</f>
        <v>0</v>
      </c>
      <c r="DD167" s="34" t="n">
        <f aca="false">IF(DD$8=1,IF(Reales!$C$29="PYG",IF(DD$10&gt;0,N(Reales!DD29)/DD$10,0),N(Reales!DD29)),DD$155*INDEX(Precio_V,5)*INDEX(IdxPrecio_V,1,MIN(10,DD$147))*(1+V_dPrecio))</f>
        <v>0</v>
      </c>
      <c r="DE167" s="34" t="n">
        <f aca="false">IF(DE$8=1,IF(Reales!$C$29="PYG",IF(DE$10&gt;0,N(Reales!DE29)/DE$10,0),N(Reales!DE29)),DE$155*INDEX(Precio_V,5)*INDEX(IdxPrecio_V,1,MIN(10,DE$147))*(1+V_dPrecio))</f>
        <v>0</v>
      </c>
      <c r="DF167" s="34" t="n">
        <f aca="false">IF(DF$8=1,IF(Reales!$C$29="PYG",IF(DF$10&gt;0,N(Reales!DF29)/DF$10,0),N(Reales!DF29)),DF$155*INDEX(Precio_V,5)*INDEX(IdxPrecio_V,1,MIN(10,DF$147))*(1+V_dPrecio))</f>
        <v>0</v>
      </c>
      <c r="DG167" s="34" t="n">
        <f aca="false">IF(DG$8=1,IF(Reales!$C$29="PYG",IF(DG$10&gt;0,N(Reales!DG29)/DG$10,0),N(Reales!DG29)),DG$155*INDEX(Precio_V,5)*INDEX(IdxPrecio_V,1,MIN(10,DG$147))*(1+V_dPrecio))</f>
        <v>0</v>
      </c>
      <c r="DH167" s="34" t="n">
        <f aca="false">IF(DH$8=1,IF(Reales!$C$29="PYG",IF(DH$10&gt;0,N(Reales!DH29)/DH$10,0),N(Reales!DH29)),DH$155*INDEX(Precio_V,5)*INDEX(IdxPrecio_V,1,MIN(10,DH$147))*(1+V_dPrecio))</f>
        <v>0</v>
      </c>
      <c r="DI167" s="34" t="n">
        <f aca="false">IF(DI$8=1,IF(Reales!$C$29="PYG",IF(DI$10&gt;0,N(Reales!DI29)/DI$10,0),N(Reales!DI29)),DI$155*INDEX(Precio_V,5)*INDEX(IdxPrecio_V,1,MIN(10,DI$147))*(1+V_dPrecio))</f>
        <v>0</v>
      </c>
      <c r="DJ167" s="34" t="n">
        <f aca="false">IF(DJ$8=1,IF(Reales!$C$29="PYG",IF(DJ$10&gt;0,N(Reales!DJ29)/DJ$10,0),N(Reales!DJ29)),DJ$155*INDEX(Precio_V,5)*INDEX(IdxPrecio_V,1,MIN(10,DJ$147))*(1+V_dPrecio))</f>
        <v>0</v>
      </c>
      <c r="DK167" s="34" t="n">
        <f aca="false">IF(DK$8=1,IF(Reales!$C$29="PYG",IF(DK$10&gt;0,N(Reales!DK29)/DK$10,0),N(Reales!DK29)),DK$155*INDEX(Precio_V,5)*INDEX(IdxPrecio_V,1,MIN(10,DK$147))*(1+V_dPrecio))</f>
        <v>0</v>
      </c>
      <c r="DL167" s="34" t="n">
        <f aca="false">IF(DL$8=1,IF(Reales!$C$29="PYG",IF(DL$10&gt;0,N(Reales!DL29)/DL$10,0),N(Reales!DL29)),DL$155*INDEX(Precio_V,5)*INDEX(IdxPrecio_V,1,MIN(10,DL$147))*(1+V_dPrecio))</f>
        <v>0</v>
      </c>
      <c r="DM167" s="34" t="n">
        <f aca="false">IF(DM$8=1,IF(Reales!$C$29="PYG",IF(DM$10&gt;0,N(Reales!DM29)/DM$10,0),N(Reales!DM29)),DM$155*INDEX(Precio_V,5)*INDEX(IdxPrecio_V,1,MIN(10,DM$147))*(1+V_dPrecio))</f>
        <v>0</v>
      </c>
      <c r="DN167" s="34" t="n">
        <f aca="false">IF(DN$8=1,IF(Reales!$C$29="PYG",IF(DN$10&gt;0,N(Reales!DN29)/DN$10,0),N(Reales!DN29)),DN$155*INDEX(Precio_V,5)*INDEX(IdxPrecio_V,1,MIN(10,DN$147))*(1+V_dPrecio))</f>
        <v>0</v>
      </c>
      <c r="DO167" s="34" t="n">
        <f aca="false">IF(DO$8=1,IF(Reales!$C$29="PYG",IF(DO$10&gt;0,N(Reales!DO29)/DO$10,0),N(Reales!DO29)),DO$155*INDEX(Precio_V,5)*INDEX(IdxPrecio_V,1,MIN(10,DO$147))*(1+V_dPrecio))</f>
        <v>0</v>
      </c>
      <c r="DP167" s="34" t="n">
        <f aca="false">IF(DP$8=1,IF(Reales!$C$29="PYG",IF(DP$10&gt;0,N(Reales!DP29)/DP$10,0),N(Reales!DP29)),DP$155*INDEX(Precio_V,5)*INDEX(IdxPrecio_V,1,MIN(10,DP$147))*(1+V_dPrecio))</f>
        <v>0</v>
      </c>
      <c r="DQ167" s="34" t="n">
        <f aca="false">IF(DQ$8=1,IF(Reales!$C$29="PYG",IF(DQ$10&gt;0,N(Reales!DQ29)/DQ$10,0),N(Reales!DQ29)),DQ$155*INDEX(Precio_V,5)*INDEX(IdxPrecio_V,1,MIN(10,DQ$147))*(1+V_dPrecio))</f>
        <v>0</v>
      </c>
      <c r="DR167" s="34" t="n">
        <f aca="false">IF(DR$8=1,IF(Reales!$C$29="PYG",IF(DR$10&gt;0,N(Reales!DR29)/DR$10,0),N(Reales!DR29)),DR$155*INDEX(Precio_V,5)*INDEX(IdxPrecio_V,1,MIN(10,DR$147))*(1+V_dPrecio))</f>
        <v>0</v>
      </c>
      <c r="DS167" s="34" t="n">
        <f aca="false">IF(DS$8=1,IF(Reales!$C$29="PYG",IF(DS$10&gt;0,N(Reales!DS29)/DS$10,0),N(Reales!DS29)),DS$155*INDEX(Precio_V,5)*INDEX(IdxPrecio_V,1,MIN(10,DS$147))*(1+V_dPrecio))</f>
        <v>0</v>
      </c>
      <c r="DT167" s="34" t="n">
        <f aca="false">IF(DT$8=1,IF(Reales!$C$29="PYG",IF(DT$10&gt;0,N(Reales!DT29)/DT$10,0),N(Reales!DT29)),DT$155*INDEX(Precio_V,5)*INDEX(IdxPrecio_V,1,MIN(10,DT$147))*(1+V_dPrecio))</f>
        <v>0</v>
      </c>
      <c r="DU167" s="34" t="n">
        <f aca="false">IF(DU$8=1,IF(Reales!$C$29="PYG",IF(DU$10&gt;0,N(Reales!DU29)/DU$10,0),N(Reales!DU29)),DU$155*INDEX(Precio_V,5)*INDEX(IdxPrecio_V,1,MIN(10,DU$147))*(1+V_dPrecio))</f>
        <v>0</v>
      </c>
      <c r="DV167" s="34" t="n">
        <f aca="false">IF(DV$8=1,IF(Reales!$C$29="PYG",IF(DV$10&gt;0,N(Reales!DV29)/DV$10,0),N(Reales!DV29)),DV$155*INDEX(Precio_V,5)*INDEX(IdxPrecio_V,1,MIN(10,DV$147))*(1+V_dPrecio))</f>
        <v>0</v>
      </c>
      <c r="DW167" s="34" t="n">
        <f aca="false">IF(DW$8=1,IF(Reales!$C$29="PYG",IF(DW$10&gt;0,N(Reales!DW29)/DW$10,0),N(Reales!DW29)),DW$155*INDEX(Precio_V,5)*INDEX(IdxPrecio_V,1,MIN(10,DW$147))*(1+V_dPrecio))</f>
        <v>0</v>
      </c>
      <c r="DX167" s="34" t="n">
        <f aca="false">IF(DX$8=1,IF(Reales!$C$29="PYG",IF(DX$10&gt;0,N(Reales!DX29)/DX$10,0),N(Reales!DX29)),DX$155*INDEX(Precio_V,5)*INDEX(IdxPrecio_V,1,MIN(10,DX$147))*(1+V_dPrecio))</f>
        <v>0</v>
      </c>
      <c r="DY167" s="34" t="n">
        <f aca="false">IF(DY$8=1,IF(Reales!$C$29="PYG",IF(DY$10&gt;0,N(Reales!DY29)/DY$10,0),N(Reales!DY29)),DY$155*INDEX(Precio_V,5)*INDEX(IdxPrecio_V,1,MIN(10,DY$147))*(1+V_dPrecio))</f>
        <v>0</v>
      </c>
      <c r="DZ167" s="34" t="n">
        <f aca="false">IF(DZ$8=1,IF(Reales!$C$29="PYG",IF(DZ$10&gt;0,N(Reales!DZ29)/DZ$10,0),N(Reales!DZ29)),DZ$155*INDEX(Precio_V,5)*INDEX(IdxPrecio_V,1,MIN(10,DZ$147))*(1+V_dPrecio))</f>
        <v>0</v>
      </c>
      <c r="EA167" s="34" t="n">
        <f aca="false">IF(EA$8=1,IF(Reales!$C$29="PYG",IF(EA$10&gt;0,N(Reales!EA29)/EA$10,0),N(Reales!EA29)),EA$155*INDEX(Precio_V,5)*INDEX(IdxPrecio_V,1,MIN(10,EA$147))*(1+V_dPrecio))</f>
        <v>0</v>
      </c>
      <c r="EB167" s="34" t="n">
        <f aca="false">IF(EB$8=1,IF(Reales!$C$29="PYG",IF(EB$10&gt;0,N(Reales!EB29)/EB$10,0),N(Reales!EB29)),EB$155*INDEX(Precio_V,5)*INDEX(IdxPrecio_V,1,MIN(10,EB$147))*(1+V_dPrecio))</f>
        <v>0</v>
      </c>
      <c r="EC167" s="34" t="n">
        <f aca="false">IF(EC$8=1,IF(Reales!$C$29="PYG",IF(EC$10&gt;0,N(Reales!EC29)/EC$10,0),N(Reales!EC29)),EC$155*INDEX(Precio_V,5)*INDEX(IdxPrecio_V,1,MIN(10,EC$147))*(1+V_dPrecio))</f>
        <v>0</v>
      </c>
      <c r="ED167" s="34" t="n">
        <f aca="false">IF(ED$8=1,IF(Reales!$C$29="PYG",IF(ED$10&gt;0,N(Reales!ED29)/ED$10,0),N(Reales!ED29)),ED$155*INDEX(Precio_V,5)*INDEX(IdxPrecio_V,1,MIN(10,ED$147))*(1+V_dPrecio))</f>
        <v>0</v>
      </c>
      <c r="EE167" s="34" t="n">
        <f aca="false">IF(EE$8=1,IF(Reales!$C$29="PYG",IF(EE$10&gt;0,N(Reales!EE29)/EE$10,0),N(Reales!EE29)),EE$155*INDEX(Precio_V,5)*INDEX(IdxPrecio_V,1,MIN(10,EE$147))*(1+V_dPrecio))</f>
        <v>0</v>
      </c>
      <c r="EF167" s="34" t="n">
        <f aca="false">IF(EF$8=1,IF(Reales!$C$29="PYG",IF(EF$10&gt;0,N(Reales!EF29)/EF$10,0),N(Reales!EF29)),EF$155*INDEX(Precio_V,5)*INDEX(IdxPrecio_V,1,MIN(10,EF$147))*(1+V_dPrecio))</f>
        <v>0</v>
      </c>
      <c r="EG167" s="34" t="n">
        <f aca="false">IF(EG$8=1,IF(Reales!$C$29="PYG",IF(EG$10&gt;0,N(Reales!EG29)/EG$10,0),N(Reales!EG29)),EG$155*INDEX(Precio_V,5)*INDEX(IdxPrecio_V,1,MIN(10,EG$147))*(1+V_dPrecio))</f>
        <v>0</v>
      </c>
      <c r="EH167" s="34" t="n">
        <f aca="false">IF(EH$8=1,IF(Reales!$C$29="PYG",IF(EH$10&gt;0,N(Reales!EH29)/EH$10,0),N(Reales!EH29)),EH$155*INDEX(Precio_V,5)*INDEX(IdxPrecio_V,1,MIN(10,EH$147))*(1+V_dPrecio))</f>
        <v>0</v>
      </c>
      <c r="EI167" s="34" t="n">
        <f aca="false">IF(EI$8=1,IF(Reales!$C$29="PYG",IF(EI$10&gt;0,N(Reales!EI29)/EI$10,0),N(Reales!EI29)),EI$155*INDEX(Precio_V,5)*INDEX(IdxPrecio_V,1,MIN(10,EI$147))*(1+V_dPrecio))</f>
        <v>0</v>
      </c>
      <c r="EJ167" s="34" t="n">
        <f aca="false">IF(EJ$8=1,IF(Reales!$C$29="PYG",IF(EJ$10&gt;0,N(Reales!EJ29)/EJ$10,0),N(Reales!EJ29)),EJ$155*INDEX(Precio_V,5)*INDEX(IdxPrecio_V,1,MIN(10,EJ$147))*(1+V_dPrecio))</f>
        <v>0</v>
      </c>
      <c r="EK167" s="34" t="n">
        <f aca="false">IF(EK$8=1,IF(Reales!$C$29="PYG",IF(EK$10&gt;0,N(Reales!EK29)/EK$10,0),N(Reales!EK29)),EK$155*INDEX(Precio_V,5)*INDEX(IdxPrecio_V,1,MIN(10,EK$147))*(1+V_dPrecio))</f>
        <v>0</v>
      </c>
      <c r="EL167" s="34" t="n">
        <f aca="false">IF(EL$8=1,IF(Reales!$C$29="PYG",IF(EL$10&gt;0,N(Reales!EL29)/EL$10,0),N(Reales!EL29)),EL$155*INDEX(Precio_V,5)*INDEX(IdxPrecio_V,1,MIN(10,EL$147))*(1+V_dPrecio))</f>
        <v>0</v>
      </c>
      <c r="EM167" s="34" t="n">
        <f aca="false">IF(EM$8=1,IF(Reales!$C$29="PYG",IF(EM$10&gt;0,N(Reales!EM29)/EM$10,0),N(Reales!EM29)),EM$155*INDEX(Precio_V,5)*INDEX(IdxPrecio_V,1,MIN(10,EM$147))*(1+V_dPrecio))</f>
        <v>0</v>
      </c>
      <c r="EN167" s="34" t="n">
        <f aca="false">IF(EN$8=1,IF(Reales!$C$29="PYG",IF(EN$10&gt;0,N(Reales!EN29)/EN$10,0),N(Reales!EN29)),EN$155*INDEX(Precio_V,5)*INDEX(IdxPrecio_V,1,MIN(10,EN$147))*(1+V_dPrecio))</f>
        <v>0</v>
      </c>
      <c r="EO167" s="34" t="n">
        <f aca="false">IF(EO$8=1,IF(Reales!$C$29="PYG",IF(EO$10&gt;0,N(Reales!EO29)/EO$10,0),N(Reales!EO29)),EO$155*INDEX(Precio_V,5)*INDEX(IdxPrecio_V,1,MIN(10,EO$147))*(1+V_dPrecio))</f>
        <v>0</v>
      </c>
      <c r="EP167" s="34" t="n">
        <f aca="false">IF(EP$8=1,IF(Reales!$C$29="PYG",IF(EP$10&gt;0,N(Reales!EP29)/EP$10,0),N(Reales!EP29)),EP$155*INDEX(Precio_V,5)*INDEX(IdxPrecio_V,1,MIN(10,EP$147))*(1+V_dPrecio))</f>
        <v>0</v>
      </c>
      <c r="EQ167" s="34" t="n">
        <f aca="false">IF(EQ$8=1,IF(Reales!$C$29="PYG",IF(EQ$10&gt;0,N(Reales!EQ29)/EQ$10,0),N(Reales!EQ29)),EQ$155*INDEX(Precio_V,5)*INDEX(IdxPrecio_V,1,MIN(10,EQ$147))*(1+V_dPrecio))</f>
        <v>0</v>
      </c>
      <c r="ER167" s="34" t="n">
        <f aca="false">IF(ER$8=1,IF(Reales!$C$29="PYG",IF(ER$10&gt;0,N(Reales!ER29)/ER$10,0),N(Reales!ER29)),ER$155*INDEX(Precio_V,5)*INDEX(IdxPrecio_V,1,MIN(10,ER$147))*(1+V_dPrecio))</f>
        <v>0</v>
      </c>
      <c r="ES167" s="34" t="n">
        <f aca="false">IF(ES$8=1,IF(Reales!$C$29="PYG",IF(ES$10&gt;0,N(Reales!ES29)/ES$10,0),N(Reales!ES29)),ES$155*INDEX(Precio_V,5)*INDEX(IdxPrecio_V,1,MIN(10,ES$147))*(1+V_dPrecio))</f>
        <v>0</v>
      </c>
    </row>
    <row r="168" customFormat="false" ht="15" hidden="false" customHeight="false" outlineLevel="0" collapsed="false">
      <c r="A168" s="2" t="s">
        <v>784</v>
      </c>
      <c r="B168" s="39" t="str">
        <f aca="false">IF(INDEX(Prod_Nombre,6)="","Producto 6",INDEX(Prod_Nombre,6))&amp;" — ventas USD"</f>
        <v>Producto 6 — ventas USD</v>
      </c>
      <c r="C168" s="6" t="s">
        <v>250</v>
      </c>
      <c r="E168" s="40" t="n">
        <f aca="false">SUM(F168:ES168)</f>
        <v>0</v>
      </c>
      <c r="F168" s="34" t="n">
        <f aca="false">IF(F$8=1,IF(Reales!$C$30="PYG",IF(F$10&gt;0,N(Reales!F30)/F$10,0),N(Reales!F30)),F$156*INDEX(Precio_V,6)*INDEX(IdxPrecio_V,1,MIN(10,F$147))*(1+V_dPrecio))</f>
        <v>0</v>
      </c>
      <c r="G168" s="34" t="n">
        <f aca="false">IF(G$8=1,IF(Reales!$C$30="PYG",IF(G$10&gt;0,N(Reales!G30)/G$10,0),N(Reales!G30)),G$156*INDEX(Precio_V,6)*INDEX(IdxPrecio_V,1,MIN(10,G$147))*(1+V_dPrecio))</f>
        <v>0</v>
      </c>
      <c r="H168" s="34" t="n">
        <f aca="false">IF(H$8=1,IF(Reales!$C$30="PYG",IF(H$10&gt;0,N(Reales!H30)/H$10,0),N(Reales!H30)),H$156*INDEX(Precio_V,6)*INDEX(IdxPrecio_V,1,MIN(10,H$147))*(1+V_dPrecio))</f>
        <v>0</v>
      </c>
      <c r="I168" s="34" t="n">
        <f aca="false">IF(I$8=1,IF(Reales!$C$30="PYG",IF(I$10&gt;0,N(Reales!I30)/I$10,0),N(Reales!I30)),I$156*INDEX(Precio_V,6)*INDEX(IdxPrecio_V,1,MIN(10,I$147))*(1+V_dPrecio))</f>
        <v>0</v>
      </c>
      <c r="J168" s="34" t="n">
        <f aca="false">IF(J$8=1,IF(Reales!$C$30="PYG",IF(J$10&gt;0,N(Reales!J30)/J$10,0),N(Reales!J30)),J$156*INDEX(Precio_V,6)*INDEX(IdxPrecio_V,1,MIN(10,J$147))*(1+V_dPrecio))</f>
        <v>0</v>
      </c>
      <c r="K168" s="34" t="n">
        <f aca="false">IF(K$8=1,IF(Reales!$C$30="PYG",IF(K$10&gt;0,N(Reales!K30)/K$10,0),N(Reales!K30)),K$156*INDEX(Precio_V,6)*INDEX(IdxPrecio_V,1,MIN(10,K$147))*(1+V_dPrecio))</f>
        <v>0</v>
      </c>
      <c r="L168" s="34" t="n">
        <f aca="false">IF(L$8=1,IF(Reales!$C$30="PYG",IF(L$10&gt;0,N(Reales!L30)/L$10,0),N(Reales!L30)),L$156*INDEX(Precio_V,6)*INDEX(IdxPrecio_V,1,MIN(10,L$147))*(1+V_dPrecio))</f>
        <v>0</v>
      </c>
      <c r="M168" s="34" t="n">
        <f aca="false">IF(M$8=1,IF(Reales!$C$30="PYG",IF(M$10&gt;0,N(Reales!M30)/M$10,0),N(Reales!M30)),M$156*INDEX(Precio_V,6)*INDEX(IdxPrecio_V,1,MIN(10,M$147))*(1+V_dPrecio))</f>
        <v>0</v>
      </c>
      <c r="N168" s="34" t="n">
        <f aca="false">IF(N$8=1,IF(Reales!$C$30="PYG",IF(N$10&gt;0,N(Reales!N30)/N$10,0),N(Reales!N30)),N$156*INDEX(Precio_V,6)*INDEX(IdxPrecio_V,1,MIN(10,N$147))*(1+V_dPrecio))</f>
        <v>0</v>
      </c>
      <c r="O168" s="34" t="n">
        <f aca="false">IF(O$8=1,IF(Reales!$C$30="PYG",IF(O$10&gt;0,N(Reales!O30)/O$10,0),N(Reales!O30)),O$156*INDEX(Precio_V,6)*INDEX(IdxPrecio_V,1,MIN(10,O$147))*(1+V_dPrecio))</f>
        <v>0</v>
      </c>
      <c r="P168" s="34" t="n">
        <f aca="false">IF(P$8=1,IF(Reales!$C$30="PYG",IF(P$10&gt;0,N(Reales!P30)/P$10,0),N(Reales!P30)),P$156*INDEX(Precio_V,6)*INDEX(IdxPrecio_V,1,MIN(10,P$147))*(1+V_dPrecio))</f>
        <v>0</v>
      </c>
      <c r="Q168" s="34" t="n">
        <f aca="false">IF(Q$8=1,IF(Reales!$C$30="PYG",IF(Q$10&gt;0,N(Reales!Q30)/Q$10,0),N(Reales!Q30)),Q$156*INDEX(Precio_V,6)*INDEX(IdxPrecio_V,1,MIN(10,Q$147))*(1+V_dPrecio))</f>
        <v>0</v>
      </c>
      <c r="R168" s="34" t="n">
        <f aca="false">IF(R$8=1,IF(Reales!$C$30="PYG",IF(R$10&gt;0,N(Reales!R30)/R$10,0),N(Reales!R30)),R$156*INDEX(Precio_V,6)*INDEX(IdxPrecio_V,1,MIN(10,R$147))*(1+V_dPrecio))</f>
        <v>0</v>
      </c>
      <c r="S168" s="34" t="n">
        <f aca="false">IF(S$8=1,IF(Reales!$C$30="PYG",IF(S$10&gt;0,N(Reales!S30)/S$10,0),N(Reales!S30)),S$156*INDEX(Precio_V,6)*INDEX(IdxPrecio_V,1,MIN(10,S$147))*(1+V_dPrecio))</f>
        <v>0</v>
      </c>
      <c r="T168" s="34" t="n">
        <f aca="false">IF(T$8=1,IF(Reales!$C$30="PYG",IF(T$10&gt;0,N(Reales!T30)/T$10,0),N(Reales!T30)),T$156*INDEX(Precio_V,6)*INDEX(IdxPrecio_V,1,MIN(10,T$147))*(1+V_dPrecio))</f>
        <v>0</v>
      </c>
      <c r="U168" s="34" t="n">
        <f aca="false">IF(U$8=1,IF(Reales!$C$30="PYG",IF(U$10&gt;0,N(Reales!U30)/U$10,0),N(Reales!U30)),U$156*INDEX(Precio_V,6)*INDEX(IdxPrecio_V,1,MIN(10,U$147))*(1+V_dPrecio))</f>
        <v>0</v>
      </c>
      <c r="V168" s="34" t="n">
        <f aca="false">IF(V$8=1,IF(Reales!$C$30="PYG",IF(V$10&gt;0,N(Reales!V30)/V$10,0),N(Reales!V30)),V$156*INDEX(Precio_V,6)*INDEX(IdxPrecio_V,1,MIN(10,V$147))*(1+V_dPrecio))</f>
        <v>0</v>
      </c>
      <c r="W168" s="34" t="n">
        <f aca="false">IF(W$8=1,IF(Reales!$C$30="PYG",IF(W$10&gt;0,N(Reales!W30)/W$10,0),N(Reales!W30)),W$156*INDEX(Precio_V,6)*INDEX(IdxPrecio_V,1,MIN(10,W$147))*(1+V_dPrecio))</f>
        <v>0</v>
      </c>
      <c r="X168" s="34" t="n">
        <f aca="false">IF(X$8=1,IF(Reales!$C$30="PYG",IF(X$10&gt;0,N(Reales!X30)/X$10,0),N(Reales!X30)),X$156*INDEX(Precio_V,6)*INDEX(IdxPrecio_V,1,MIN(10,X$147))*(1+V_dPrecio))</f>
        <v>0</v>
      </c>
      <c r="Y168" s="34" t="n">
        <f aca="false">IF(Y$8=1,IF(Reales!$C$30="PYG",IF(Y$10&gt;0,N(Reales!Y30)/Y$10,0),N(Reales!Y30)),Y$156*INDEX(Precio_V,6)*INDEX(IdxPrecio_V,1,MIN(10,Y$147))*(1+V_dPrecio))</f>
        <v>0</v>
      </c>
      <c r="Z168" s="34" t="n">
        <f aca="false">IF(Z$8=1,IF(Reales!$C$30="PYG",IF(Z$10&gt;0,N(Reales!Z30)/Z$10,0),N(Reales!Z30)),Z$156*INDEX(Precio_V,6)*INDEX(IdxPrecio_V,1,MIN(10,Z$147))*(1+V_dPrecio))</f>
        <v>0</v>
      </c>
      <c r="AA168" s="34" t="n">
        <f aca="false">IF(AA$8=1,IF(Reales!$C$30="PYG",IF(AA$10&gt;0,N(Reales!AA30)/AA$10,0),N(Reales!AA30)),AA$156*INDEX(Precio_V,6)*INDEX(IdxPrecio_V,1,MIN(10,AA$147))*(1+V_dPrecio))</f>
        <v>0</v>
      </c>
      <c r="AB168" s="34" t="n">
        <f aca="false">IF(AB$8=1,IF(Reales!$C$30="PYG",IF(AB$10&gt;0,N(Reales!AB30)/AB$10,0),N(Reales!AB30)),AB$156*INDEX(Precio_V,6)*INDEX(IdxPrecio_V,1,MIN(10,AB$147))*(1+V_dPrecio))</f>
        <v>0</v>
      </c>
      <c r="AC168" s="34" t="n">
        <f aca="false">IF(AC$8=1,IF(Reales!$C$30="PYG",IF(AC$10&gt;0,N(Reales!AC30)/AC$10,0),N(Reales!AC30)),AC$156*INDEX(Precio_V,6)*INDEX(IdxPrecio_V,1,MIN(10,AC$147))*(1+V_dPrecio))</f>
        <v>0</v>
      </c>
      <c r="AD168" s="34" t="n">
        <f aca="false">IF(AD$8=1,IF(Reales!$C$30="PYG",IF(AD$10&gt;0,N(Reales!AD30)/AD$10,0),N(Reales!AD30)),AD$156*INDEX(Precio_V,6)*INDEX(IdxPrecio_V,1,MIN(10,AD$147))*(1+V_dPrecio))</f>
        <v>0</v>
      </c>
      <c r="AE168" s="34" t="n">
        <f aca="false">IF(AE$8=1,IF(Reales!$C$30="PYG",IF(AE$10&gt;0,N(Reales!AE30)/AE$10,0),N(Reales!AE30)),AE$156*INDEX(Precio_V,6)*INDEX(IdxPrecio_V,1,MIN(10,AE$147))*(1+V_dPrecio))</f>
        <v>0</v>
      </c>
      <c r="AF168" s="34" t="n">
        <f aca="false">IF(AF$8=1,IF(Reales!$C$30="PYG",IF(AF$10&gt;0,N(Reales!AF30)/AF$10,0),N(Reales!AF30)),AF$156*INDEX(Precio_V,6)*INDEX(IdxPrecio_V,1,MIN(10,AF$147))*(1+V_dPrecio))</f>
        <v>0</v>
      </c>
      <c r="AG168" s="34" t="n">
        <f aca="false">IF(AG$8=1,IF(Reales!$C$30="PYG",IF(AG$10&gt;0,N(Reales!AG30)/AG$10,0),N(Reales!AG30)),AG$156*INDEX(Precio_V,6)*INDEX(IdxPrecio_V,1,MIN(10,AG$147))*(1+V_dPrecio))</f>
        <v>0</v>
      </c>
      <c r="AH168" s="34" t="n">
        <f aca="false">IF(AH$8=1,IF(Reales!$C$30="PYG",IF(AH$10&gt;0,N(Reales!AH30)/AH$10,0),N(Reales!AH30)),AH$156*INDEX(Precio_V,6)*INDEX(IdxPrecio_V,1,MIN(10,AH$147))*(1+V_dPrecio))</f>
        <v>0</v>
      </c>
      <c r="AI168" s="34" t="n">
        <f aca="false">IF(AI$8=1,IF(Reales!$C$30="PYG",IF(AI$10&gt;0,N(Reales!AI30)/AI$10,0),N(Reales!AI30)),AI$156*INDEX(Precio_V,6)*INDEX(IdxPrecio_V,1,MIN(10,AI$147))*(1+V_dPrecio))</f>
        <v>0</v>
      </c>
      <c r="AJ168" s="34" t="n">
        <f aca="false">IF(AJ$8=1,IF(Reales!$C$30="PYG",IF(AJ$10&gt;0,N(Reales!AJ30)/AJ$10,0),N(Reales!AJ30)),AJ$156*INDEX(Precio_V,6)*INDEX(IdxPrecio_V,1,MIN(10,AJ$147))*(1+V_dPrecio))</f>
        <v>0</v>
      </c>
      <c r="AK168" s="34" t="n">
        <f aca="false">IF(AK$8=1,IF(Reales!$C$30="PYG",IF(AK$10&gt;0,N(Reales!AK30)/AK$10,0),N(Reales!AK30)),AK$156*INDEX(Precio_V,6)*INDEX(IdxPrecio_V,1,MIN(10,AK$147))*(1+V_dPrecio))</f>
        <v>0</v>
      </c>
      <c r="AL168" s="34" t="n">
        <f aca="false">IF(AL$8=1,IF(Reales!$C$30="PYG",IF(AL$10&gt;0,N(Reales!AL30)/AL$10,0),N(Reales!AL30)),AL$156*INDEX(Precio_V,6)*INDEX(IdxPrecio_V,1,MIN(10,AL$147))*(1+V_dPrecio))</f>
        <v>0</v>
      </c>
      <c r="AM168" s="34" t="n">
        <f aca="false">IF(AM$8=1,IF(Reales!$C$30="PYG",IF(AM$10&gt;0,N(Reales!AM30)/AM$10,0),N(Reales!AM30)),AM$156*INDEX(Precio_V,6)*INDEX(IdxPrecio_V,1,MIN(10,AM$147))*(1+V_dPrecio))</f>
        <v>0</v>
      </c>
      <c r="AN168" s="34" t="n">
        <f aca="false">IF(AN$8=1,IF(Reales!$C$30="PYG",IF(AN$10&gt;0,N(Reales!AN30)/AN$10,0),N(Reales!AN30)),AN$156*INDEX(Precio_V,6)*INDEX(IdxPrecio_V,1,MIN(10,AN$147))*(1+V_dPrecio))</f>
        <v>0</v>
      </c>
      <c r="AO168" s="34" t="n">
        <f aca="false">IF(AO$8=1,IF(Reales!$C$30="PYG",IF(AO$10&gt;0,N(Reales!AO30)/AO$10,0),N(Reales!AO30)),AO$156*INDEX(Precio_V,6)*INDEX(IdxPrecio_V,1,MIN(10,AO$147))*(1+V_dPrecio))</f>
        <v>0</v>
      </c>
      <c r="AP168" s="34" t="n">
        <f aca="false">IF(AP$8=1,IF(Reales!$C$30="PYG",IF(AP$10&gt;0,N(Reales!AP30)/AP$10,0),N(Reales!AP30)),AP$156*INDEX(Precio_V,6)*INDEX(IdxPrecio_V,1,MIN(10,AP$147))*(1+V_dPrecio))</f>
        <v>0</v>
      </c>
      <c r="AQ168" s="34" t="n">
        <f aca="false">IF(AQ$8=1,IF(Reales!$C$30="PYG",IF(AQ$10&gt;0,N(Reales!AQ30)/AQ$10,0),N(Reales!AQ30)),AQ$156*INDEX(Precio_V,6)*INDEX(IdxPrecio_V,1,MIN(10,AQ$147))*(1+V_dPrecio))</f>
        <v>0</v>
      </c>
      <c r="AR168" s="34" t="n">
        <f aca="false">IF(AR$8=1,IF(Reales!$C$30="PYG",IF(AR$10&gt;0,N(Reales!AR30)/AR$10,0),N(Reales!AR30)),AR$156*INDEX(Precio_V,6)*INDEX(IdxPrecio_V,1,MIN(10,AR$147))*(1+V_dPrecio))</f>
        <v>0</v>
      </c>
      <c r="AS168" s="34" t="n">
        <f aca="false">IF(AS$8=1,IF(Reales!$C$30="PYG",IF(AS$10&gt;0,N(Reales!AS30)/AS$10,0),N(Reales!AS30)),AS$156*INDEX(Precio_V,6)*INDEX(IdxPrecio_V,1,MIN(10,AS$147))*(1+V_dPrecio))</f>
        <v>0</v>
      </c>
      <c r="AT168" s="34" t="n">
        <f aca="false">IF(AT$8=1,IF(Reales!$C$30="PYG",IF(AT$10&gt;0,N(Reales!AT30)/AT$10,0),N(Reales!AT30)),AT$156*INDEX(Precio_V,6)*INDEX(IdxPrecio_V,1,MIN(10,AT$147))*(1+V_dPrecio))</f>
        <v>0</v>
      </c>
      <c r="AU168" s="34" t="n">
        <f aca="false">IF(AU$8=1,IF(Reales!$C$30="PYG",IF(AU$10&gt;0,N(Reales!AU30)/AU$10,0),N(Reales!AU30)),AU$156*INDEX(Precio_V,6)*INDEX(IdxPrecio_V,1,MIN(10,AU$147))*(1+V_dPrecio))</f>
        <v>0</v>
      </c>
      <c r="AV168" s="34" t="n">
        <f aca="false">IF(AV$8=1,IF(Reales!$C$30="PYG",IF(AV$10&gt;0,N(Reales!AV30)/AV$10,0),N(Reales!AV30)),AV$156*INDEX(Precio_V,6)*INDEX(IdxPrecio_V,1,MIN(10,AV$147))*(1+V_dPrecio))</f>
        <v>0</v>
      </c>
      <c r="AW168" s="34" t="n">
        <f aca="false">IF(AW$8=1,IF(Reales!$C$30="PYG",IF(AW$10&gt;0,N(Reales!AW30)/AW$10,0),N(Reales!AW30)),AW$156*INDEX(Precio_V,6)*INDEX(IdxPrecio_V,1,MIN(10,AW$147))*(1+V_dPrecio))</f>
        <v>0</v>
      </c>
      <c r="AX168" s="34" t="n">
        <f aca="false">IF(AX$8=1,IF(Reales!$C$30="PYG",IF(AX$10&gt;0,N(Reales!AX30)/AX$10,0),N(Reales!AX30)),AX$156*INDEX(Precio_V,6)*INDEX(IdxPrecio_V,1,MIN(10,AX$147))*(1+V_dPrecio))</f>
        <v>0</v>
      </c>
      <c r="AY168" s="34" t="n">
        <f aca="false">IF(AY$8=1,IF(Reales!$C$30="PYG",IF(AY$10&gt;0,N(Reales!AY30)/AY$10,0),N(Reales!AY30)),AY$156*INDEX(Precio_V,6)*INDEX(IdxPrecio_V,1,MIN(10,AY$147))*(1+V_dPrecio))</f>
        <v>0</v>
      </c>
      <c r="AZ168" s="34" t="n">
        <f aca="false">IF(AZ$8=1,IF(Reales!$C$30="PYG",IF(AZ$10&gt;0,N(Reales!AZ30)/AZ$10,0),N(Reales!AZ30)),AZ$156*INDEX(Precio_V,6)*INDEX(IdxPrecio_V,1,MIN(10,AZ$147))*(1+V_dPrecio))</f>
        <v>0</v>
      </c>
      <c r="BA168" s="34" t="n">
        <f aca="false">IF(BA$8=1,IF(Reales!$C$30="PYG",IF(BA$10&gt;0,N(Reales!BA30)/BA$10,0),N(Reales!BA30)),BA$156*INDEX(Precio_V,6)*INDEX(IdxPrecio_V,1,MIN(10,BA$147))*(1+V_dPrecio))</f>
        <v>0</v>
      </c>
      <c r="BB168" s="34" t="n">
        <f aca="false">IF(BB$8=1,IF(Reales!$C$30="PYG",IF(BB$10&gt;0,N(Reales!BB30)/BB$10,0),N(Reales!BB30)),BB$156*INDEX(Precio_V,6)*INDEX(IdxPrecio_V,1,MIN(10,BB$147))*(1+V_dPrecio))</f>
        <v>0</v>
      </c>
      <c r="BC168" s="34" t="n">
        <f aca="false">IF(BC$8=1,IF(Reales!$C$30="PYG",IF(BC$10&gt;0,N(Reales!BC30)/BC$10,0),N(Reales!BC30)),BC$156*INDEX(Precio_V,6)*INDEX(IdxPrecio_V,1,MIN(10,BC$147))*(1+V_dPrecio))</f>
        <v>0</v>
      </c>
      <c r="BD168" s="34" t="n">
        <f aca="false">IF(BD$8=1,IF(Reales!$C$30="PYG",IF(BD$10&gt;0,N(Reales!BD30)/BD$10,0),N(Reales!BD30)),BD$156*INDEX(Precio_V,6)*INDEX(IdxPrecio_V,1,MIN(10,BD$147))*(1+V_dPrecio))</f>
        <v>0</v>
      </c>
      <c r="BE168" s="34" t="n">
        <f aca="false">IF(BE$8=1,IF(Reales!$C$30="PYG",IF(BE$10&gt;0,N(Reales!BE30)/BE$10,0),N(Reales!BE30)),BE$156*INDEX(Precio_V,6)*INDEX(IdxPrecio_V,1,MIN(10,BE$147))*(1+V_dPrecio))</f>
        <v>0</v>
      </c>
      <c r="BF168" s="34" t="n">
        <f aca="false">IF(BF$8=1,IF(Reales!$C$30="PYG",IF(BF$10&gt;0,N(Reales!BF30)/BF$10,0),N(Reales!BF30)),BF$156*INDEX(Precio_V,6)*INDEX(IdxPrecio_V,1,MIN(10,BF$147))*(1+V_dPrecio))</f>
        <v>0</v>
      </c>
      <c r="BG168" s="34" t="n">
        <f aca="false">IF(BG$8=1,IF(Reales!$C$30="PYG",IF(BG$10&gt;0,N(Reales!BG30)/BG$10,0),N(Reales!BG30)),BG$156*INDEX(Precio_V,6)*INDEX(IdxPrecio_V,1,MIN(10,BG$147))*(1+V_dPrecio))</f>
        <v>0</v>
      </c>
      <c r="BH168" s="34" t="n">
        <f aca="false">IF(BH$8=1,IF(Reales!$C$30="PYG",IF(BH$10&gt;0,N(Reales!BH30)/BH$10,0),N(Reales!BH30)),BH$156*INDEX(Precio_V,6)*INDEX(IdxPrecio_V,1,MIN(10,BH$147))*(1+V_dPrecio))</f>
        <v>0</v>
      </c>
      <c r="BI168" s="34" t="n">
        <f aca="false">IF(BI$8=1,IF(Reales!$C$30="PYG",IF(BI$10&gt;0,N(Reales!BI30)/BI$10,0),N(Reales!BI30)),BI$156*INDEX(Precio_V,6)*INDEX(IdxPrecio_V,1,MIN(10,BI$147))*(1+V_dPrecio))</f>
        <v>0</v>
      </c>
      <c r="BJ168" s="34" t="n">
        <f aca="false">IF(BJ$8=1,IF(Reales!$C$30="PYG",IF(BJ$10&gt;0,N(Reales!BJ30)/BJ$10,0),N(Reales!BJ30)),BJ$156*INDEX(Precio_V,6)*INDEX(IdxPrecio_V,1,MIN(10,BJ$147))*(1+V_dPrecio))</f>
        <v>0</v>
      </c>
      <c r="BK168" s="34" t="n">
        <f aca="false">IF(BK$8=1,IF(Reales!$C$30="PYG",IF(BK$10&gt;0,N(Reales!BK30)/BK$10,0),N(Reales!BK30)),BK$156*INDEX(Precio_V,6)*INDEX(IdxPrecio_V,1,MIN(10,BK$147))*(1+V_dPrecio))</f>
        <v>0</v>
      </c>
      <c r="BL168" s="34" t="n">
        <f aca="false">IF(BL$8=1,IF(Reales!$C$30="PYG",IF(BL$10&gt;0,N(Reales!BL30)/BL$10,0),N(Reales!BL30)),BL$156*INDEX(Precio_V,6)*INDEX(IdxPrecio_V,1,MIN(10,BL$147))*(1+V_dPrecio))</f>
        <v>0</v>
      </c>
      <c r="BM168" s="34" t="n">
        <f aca="false">IF(BM$8=1,IF(Reales!$C$30="PYG",IF(BM$10&gt;0,N(Reales!BM30)/BM$10,0),N(Reales!BM30)),BM$156*INDEX(Precio_V,6)*INDEX(IdxPrecio_V,1,MIN(10,BM$147))*(1+V_dPrecio))</f>
        <v>0</v>
      </c>
      <c r="BN168" s="34" t="n">
        <f aca="false">IF(BN$8=1,IF(Reales!$C$30="PYG",IF(BN$10&gt;0,N(Reales!BN30)/BN$10,0),N(Reales!BN30)),BN$156*INDEX(Precio_V,6)*INDEX(IdxPrecio_V,1,MIN(10,BN$147))*(1+V_dPrecio))</f>
        <v>0</v>
      </c>
      <c r="BO168" s="34" t="n">
        <f aca="false">IF(BO$8=1,IF(Reales!$C$30="PYG",IF(BO$10&gt;0,N(Reales!BO30)/BO$10,0),N(Reales!BO30)),BO$156*INDEX(Precio_V,6)*INDEX(IdxPrecio_V,1,MIN(10,BO$147))*(1+V_dPrecio))</f>
        <v>0</v>
      </c>
      <c r="BP168" s="34" t="n">
        <f aca="false">IF(BP$8=1,IF(Reales!$C$30="PYG",IF(BP$10&gt;0,N(Reales!BP30)/BP$10,0),N(Reales!BP30)),BP$156*INDEX(Precio_V,6)*INDEX(IdxPrecio_V,1,MIN(10,BP$147))*(1+V_dPrecio))</f>
        <v>0</v>
      </c>
      <c r="BQ168" s="34" t="n">
        <f aca="false">IF(BQ$8=1,IF(Reales!$C$30="PYG",IF(BQ$10&gt;0,N(Reales!BQ30)/BQ$10,0),N(Reales!BQ30)),BQ$156*INDEX(Precio_V,6)*INDEX(IdxPrecio_V,1,MIN(10,BQ$147))*(1+V_dPrecio))</f>
        <v>0</v>
      </c>
      <c r="BR168" s="34" t="n">
        <f aca="false">IF(BR$8=1,IF(Reales!$C$30="PYG",IF(BR$10&gt;0,N(Reales!BR30)/BR$10,0),N(Reales!BR30)),BR$156*INDEX(Precio_V,6)*INDEX(IdxPrecio_V,1,MIN(10,BR$147))*(1+V_dPrecio))</f>
        <v>0</v>
      </c>
      <c r="BS168" s="34" t="n">
        <f aca="false">IF(BS$8=1,IF(Reales!$C$30="PYG",IF(BS$10&gt;0,N(Reales!BS30)/BS$10,0),N(Reales!BS30)),BS$156*INDEX(Precio_V,6)*INDEX(IdxPrecio_V,1,MIN(10,BS$147))*(1+V_dPrecio))</f>
        <v>0</v>
      </c>
      <c r="BT168" s="34" t="n">
        <f aca="false">IF(BT$8=1,IF(Reales!$C$30="PYG",IF(BT$10&gt;0,N(Reales!BT30)/BT$10,0),N(Reales!BT30)),BT$156*INDEX(Precio_V,6)*INDEX(IdxPrecio_V,1,MIN(10,BT$147))*(1+V_dPrecio))</f>
        <v>0</v>
      </c>
      <c r="BU168" s="34" t="n">
        <f aca="false">IF(BU$8=1,IF(Reales!$C$30="PYG",IF(BU$10&gt;0,N(Reales!BU30)/BU$10,0),N(Reales!BU30)),BU$156*INDEX(Precio_V,6)*INDEX(IdxPrecio_V,1,MIN(10,BU$147))*(1+V_dPrecio))</f>
        <v>0</v>
      </c>
      <c r="BV168" s="34" t="n">
        <f aca="false">IF(BV$8=1,IF(Reales!$C$30="PYG",IF(BV$10&gt;0,N(Reales!BV30)/BV$10,0),N(Reales!BV30)),BV$156*INDEX(Precio_V,6)*INDEX(IdxPrecio_V,1,MIN(10,BV$147))*(1+V_dPrecio))</f>
        <v>0</v>
      </c>
      <c r="BW168" s="34" t="n">
        <f aca="false">IF(BW$8=1,IF(Reales!$C$30="PYG",IF(BW$10&gt;0,N(Reales!BW30)/BW$10,0),N(Reales!BW30)),BW$156*INDEX(Precio_V,6)*INDEX(IdxPrecio_V,1,MIN(10,BW$147))*(1+V_dPrecio))</f>
        <v>0</v>
      </c>
      <c r="BX168" s="34" t="n">
        <f aca="false">IF(BX$8=1,IF(Reales!$C$30="PYG",IF(BX$10&gt;0,N(Reales!BX30)/BX$10,0),N(Reales!BX30)),BX$156*INDEX(Precio_V,6)*INDEX(IdxPrecio_V,1,MIN(10,BX$147))*(1+V_dPrecio))</f>
        <v>0</v>
      </c>
      <c r="BY168" s="34" t="n">
        <f aca="false">IF(BY$8=1,IF(Reales!$C$30="PYG",IF(BY$10&gt;0,N(Reales!BY30)/BY$10,0),N(Reales!BY30)),BY$156*INDEX(Precio_V,6)*INDEX(IdxPrecio_V,1,MIN(10,BY$147))*(1+V_dPrecio))</f>
        <v>0</v>
      </c>
      <c r="BZ168" s="34" t="n">
        <f aca="false">IF(BZ$8=1,IF(Reales!$C$30="PYG",IF(BZ$10&gt;0,N(Reales!BZ30)/BZ$10,0),N(Reales!BZ30)),BZ$156*INDEX(Precio_V,6)*INDEX(IdxPrecio_V,1,MIN(10,BZ$147))*(1+V_dPrecio))</f>
        <v>0</v>
      </c>
      <c r="CA168" s="34" t="n">
        <f aca="false">IF(CA$8=1,IF(Reales!$C$30="PYG",IF(CA$10&gt;0,N(Reales!CA30)/CA$10,0),N(Reales!CA30)),CA$156*INDEX(Precio_V,6)*INDEX(IdxPrecio_V,1,MIN(10,CA$147))*(1+V_dPrecio))</f>
        <v>0</v>
      </c>
      <c r="CB168" s="34" t="n">
        <f aca="false">IF(CB$8=1,IF(Reales!$C$30="PYG",IF(CB$10&gt;0,N(Reales!CB30)/CB$10,0),N(Reales!CB30)),CB$156*INDEX(Precio_V,6)*INDEX(IdxPrecio_V,1,MIN(10,CB$147))*(1+V_dPrecio))</f>
        <v>0</v>
      </c>
      <c r="CC168" s="34" t="n">
        <f aca="false">IF(CC$8=1,IF(Reales!$C$30="PYG",IF(CC$10&gt;0,N(Reales!CC30)/CC$10,0),N(Reales!CC30)),CC$156*INDEX(Precio_V,6)*INDEX(IdxPrecio_V,1,MIN(10,CC$147))*(1+V_dPrecio))</f>
        <v>0</v>
      </c>
      <c r="CD168" s="34" t="n">
        <f aca="false">IF(CD$8=1,IF(Reales!$C$30="PYG",IF(CD$10&gt;0,N(Reales!CD30)/CD$10,0),N(Reales!CD30)),CD$156*INDEX(Precio_V,6)*INDEX(IdxPrecio_V,1,MIN(10,CD$147))*(1+V_dPrecio))</f>
        <v>0</v>
      </c>
      <c r="CE168" s="34" t="n">
        <f aca="false">IF(CE$8=1,IF(Reales!$C$30="PYG",IF(CE$10&gt;0,N(Reales!CE30)/CE$10,0),N(Reales!CE30)),CE$156*INDEX(Precio_V,6)*INDEX(IdxPrecio_V,1,MIN(10,CE$147))*(1+V_dPrecio))</f>
        <v>0</v>
      </c>
      <c r="CF168" s="34" t="n">
        <f aca="false">IF(CF$8=1,IF(Reales!$C$30="PYG",IF(CF$10&gt;0,N(Reales!CF30)/CF$10,0),N(Reales!CF30)),CF$156*INDEX(Precio_V,6)*INDEX(IdxPrecio_V,1,MIN(10,CF$147))*(1+V_dPrecio))</f>
        <v>0</v>
      </c>
      <c r="CG168" s="34" t="n">
        <f aca="false">IF(CG$8=1,IF(Reales!$C$30="PYG",IF(CG$10&gt;0,N(Reales!CG30)/CG$10,0),N(Reales!CG30)),CG$156*INDEX(Precio_V,6)*INDEX(IdxPrecio_V,1,MIN(10,CG$147))*(1+V_dPrecio))</f>
        <v>0</v>
      </c>
      <c r="CH168" s="34" t="n">
        <f aca="false">IF(CH$8=1,IF(Reales!$C$30="PYG",IF(CH$10&gt;0,N(Reales!CH30)/CH$10,0),N(Reales!CH30)),CH$156*INDEX(Precio_V,6)*INDEX(IdxPrecio_V,1,MIN(10,CH$147))*(1+V_dPrecio))</f>
        <v>0</v>
      </c>
      <c r="CI168" s="34" t="n">
        <f aca="false">IF(CI$8=1,IF(Reales!$C$30="PYG",IF(CI$10&gt;0,N(Reales!CI30)/CI$10,0),N(Reales!CI30)),CI$156*INDEX(Precio_V,6)*INDEX(IdxPrecio_V,1,MIN(10,CI$147))*(1+V_dPrecio))</f>
        <v>0</v>
      </c>
      <c r="CJ168" s="34" t="n">
        <f aca="false">IF(CJ$8=1,IF(Reales!$C$30="PYG",IF(CJ$10&gt;0,N(Reales!CJ30)/CJ$10,0),N(Reales!CJ30)),CJ$156*INDEX(Precio_V,6)*INDEX(IdxPrecio_V,1,MIN(10,CJ$147))*(1+V_dPrecio))</f>
        <v>0</v>
      </c>
      <c r="CK168" s="34" t="n">
        <f aca="false">IF(CK$8=1,IF(Reales!$C$30="PYG",IF(CK$10&gt;0,N(Reales!CK30)/CK$10,0),N(Reales!CK30)),CK$156*INDEX(Precio_V,6)*INDEX(IdxPrecio_V,1,MIN(10,CK$147))*(1+V_dPrecio))</f>
        <v>0</v>
      </c>
      <c r="CL168" s="34" t="n">
        <f aca="false">IF(CL$8=1,IF(Reales!$C$30="PYG",IF(CL$10&gt;0,N(Reales!CL30)/CL$10,0),N(Reales!CL30)),CL$156*INDEX(Precio_V,6)*INDEX(IdxPrecio_V,1,MIN(10,CL$147))*(1+V_dPrecio))</f>
        <v>0</v>
      </c>
      <c r="CM168" s="34" t="n">
        <f aca="false">IF(CM$8=1,IF(Reales!$C$30="PYG",IF(CM$10&gt;0,N(Reales!CM30)/CM$10,0),N(Reales!CM30)),CM$156*INDEX(Precio_V,6)*INDEX(IdxPrecio_V,1,MIN(10,CM$147))*(1+V_dPrecio))</f>
        <v>0</v>
      </c>
      <c r="CN168" s="34" t="n">
        <f aca="false">IF(CN$8=1,IF(Reales!$C$30="PYG",IF(CN$10&gt;0,N(Reales!CN30)/CN$10,0),N(Reales!CN30)),CN$156*INDEX(Precio_V,6)*INDEX(IdxPrecio_V,1,MIN(10,CN$147))*(1+V_dPrecio))</f>
        <v>0</v>
      </c>
      <c r="CO168" s="34" t="n">
        <f aca="false">IF(CO$8=1,IF(Reales!$C$30="PYG",IF(CO$10&gt;0,N(Reales!CO30)/CO$10,0),N(Reales!CO30)),CO$156*INDEX(Precio_V,6)*INDEX(IdxPrecio_V,1,MIN(10,CO$147))*(1+V_dPrecio))</f>
        <v>0</v>
      </c>
      <c r="CP168" s="34" t="n">
        <f aca="false">IF(CP$8=1,IF(Reales!$C$30="PYG",IF(CP$10&gt;0,N(Reales!CP30)/CP$10,0),N(Reales!CP30)),CP$156*INDEX(Precio_V,6)*INDEX(IdxPrecio_V,1,MIN(10,CP$147))*(1+V_dPrecio))</f>
        <v>0</v>
      </c>
      <c r="CQ168" s="34" t="n">
        <f aca="false">IF(CQ$8=1,IF(Reales!$C$30="PYG",IF(CQ$10&gt;0,N(Reales!CQ30)/CQ$10,0),N(Reales!CQ30)),CQ$156*INDEX(Precio_V,6)*INDEX(IdxPrecio_V,1,MIN(10,CQ$147))*(1+V_dPrecio))</f>
        <v>0</v>
      </c>
      <c r="CR168" s="34" t="n">
        <f aca="false">IF(CR$8=1,IF(Reales!$C$30="PYG",IF(CR$10&gt;0,N(Reales!CR30)/CR$10,0),N(Reales!CR30)),CR$156*INDEX(Precio_V,6)*INDEX(IdxPrecio_V,1,MIN(10,CR$147))*(1+V_dPrecio))</f>
        <v>0</v>
      </c>
      <c r="CS168" s="34" t="n">
        <f aca="false">IF(CS$8=1,IF(Reales!$C$30="PYG",IF(CS$10&gt;0,N(Reales!CS30)/CS$10,0),N(Reales!CS30)),CS$156*INDEX(Precio_V,6)*INDEX(IdxPrecio_V,1,MIN(10,CS$147))*(1+V_dPrecio))</f>
        <v>0</v>
      </c>
      <c r="CT168" s="34" t="n">
        <f aca="false">IF(CT$8=1,IF(Reales!$C$30="PYG",IF(CT$10&gt;0,N(Reales!CT30)/CT$10,0),N(Reales!CT30)),CT$156*INDEX(Precio_V,6)*INDEX(IdxPrecio_V,1,MIN(10,CT$147))*(1+V_dPrecio))</f>
        <v>0</v>
      </c>
      <c r="CU168" s="34" t="n">
        <f aca="false">IF(CU$8=1,IF(Reales!$C$30="PYG",IF(CU$10&gt;0,N(Reales!CU30)/CU$10,0),N(Reales!CU30)),CU$156*INDEX(Precio_V,6)*INDEX(IdxPrecio_V,1,MIN(10,CU$147))*(1+V_dPrecio))</f>
        <v>0</v>
      </c>
      <c r="CV168" s="34" t="n">
        <f aca="false">IF(CV$8=1,IF(Reales!$C$30="PYG",IF(CV$10&gt;0,N(Reales!CV30)/CV$10,0),N(Reales!CV30)),CV$156*INDEX(Precio_V,6)*INDEX(IdxPrecio_V,1,MIN(10,CV$147))*(1+V_dPrecio))</f>
        <v>0</v>
      </c>
      <c r="CW168" s="34" t="n">
        <f aca="false">IF(CW$8=1,IF(Reales!$C$30="PYG",IF(CW$10&gt;0,N(Reales!CW30)/CW$10,0),N(Reales!CW30)),CW$156*INDEX(Precio_V,6)*INDEX(IdxPrecio_V,1,MIN(10,CW$147))*(1+V_dPrecio))</f>
        <v>0</v>
      </c>
      <c r="CX168" s="34" t="n">
        <f aca="false">IF(CX$8=1,IF(Reales!$C$30="PYG",IF(CX$10&gt;0,N(Reales!CX30)/CX$10,0),N(Reales!CX30)),CX$156*INDEX(Precio_V,6)*INDEX(IdxPrecio_V,1,MIN(10,CX$147))*(1+V_dPrecio))</f>
        <v>0</v>
      </c>
      <c r="CY168" s="34" t="n">
        <f aca="false">IF(CY$8=1,IF(Reales!$C$30="PYG",IF(CY$10&gt;0,N(Reales!CY30)/CY$10,0),N(Reales!CY30)),CY$156*INDEX(Precio_V,6)*INDEX(IdxPrecio_V,1,MIN(10,CY$147))*(1+V_dPrecio))</f>
        <v>0</v>
      </c>
      <c r="CZ168" s="34" t="n">
        <f aca="false">IF(CZ$8=1,IF(Reales!$C$30="PYG",IF(CZ$10&gt;0,N(Reales!CZ30)/CZ$10,0),N(Reales!CZ30)),CZ$156*INDEX(Precio_V,6)*INDEX(IdxPrecio_V,1,MIN(10,CZ$147))*(1+V_dPrecio))</f>
        <v>0</v>
      </c>
      <c r="DA168" s="34" t="n">
        <f aca="false">IF(DA$8=1,IF(Reales!$C$30="PYG",IF(DA$10&gt;0,N(Reales!DA30)/DA$10,0),N(Reales!DA30)),DA$156*INDEX(Precio_V,6)*INDEX(IdxPrecio_V,1,MIN(10,DA$147))*(1+V_dPrecio))</f>
        <v>0</v>
      </c>
      <c r="DB168" s="34" t="n">
        <f aca="false">IF(DB$8=1,IF(Reales!$C$30="PYG",IF(DB$10&gt;0,N(Reales!DB30)/DB$10,0),N(Reales!DB30)),DB$156*INDEX(Precio_V,6)*INDEX(IdxPrecio_V,1,MIN(10,DB$147))*(1+V_dPrecio))</f>
        <v>0</v>
      </c>
      <c r="DC168" s="34" t="n">
        <f aca="false">IF(DC$8=1,IF(Reales!$C$30="PYG",IF(DC$10&gt;0,N(Reales!DC30)/DC$10,0),N(Reales!DC30)),DC$156*INDEX(Precio_V,6)*INDEX(IdxPrecio_V,1,MIN(10,DC$147))*(1+V_dPrecio))</f>
        <v>0</v>
      </c>
      <c r="DD168" s="34" t="n">
        <f aca="false">IF(DD$8=1,IF(Reales!$C$30="PYG",IF(DD$10&gt;0,N(Reales!DD30)/DD$10,0),N(Reales!DD30)),DD$156*INDEX(Precio_V,6)*INDEX(IdxPrecio_V,1,MIN(10,DD$147))*(1+V_dPrecio))</f>
        <v>0</v>
      </c>
      <c r="DE168" s="34" t="n">
        <f aca="false">IF(DE$8=1,IF(Reales!$C$30="PYG",IF(DE$10&gt;0,N(Reales!DE30)/DE$10,0),N(Reales!DE30)),DE$156*INDEX(Precio_V,6)*INDEX(IdxPrecio_V,1,MIN(10,DE$147))*(1+V_dPrecio))</f>
        <v>0</v>
      </c>
      <c r="DF168" s="34" t="n">
        <f aca="false">IF(DF$8=1,IF(Reales!$C$30="PYG",IF(DF$10&gt;0,N(Reales!DF30)/DF$10,0),N(Reales!DF30)),DF$156*INDEX(Precio_V,6)*INDEX(IdxPrecio_V,1,MIN(10,DF$147))*(1+V_dPrecio))</f>
        <v>0</v>
      </c>
      <c r="DG168" s="34" t="n">
        <f aca="false">IF(DG$8=1,IF(Reales!$C$30="PYG",IF(DG$10&gt;0,N(Reales!DG30)/DG$10,0),N(Reales!DG30)),DG$156*INDEX(Precio_V,6)*INDEX(IdxPrecio_V,1,MIN(10,DG$147))*(1+V_dPrecio))</f>
        <v>0</v>
      </c>
      <c r="DH168" s="34" t="n">
        <f aca="false">IF(DH$8=1,IF(Reales!$C$30="PYG",IF(DH$10&gt;0,N(Reales!DH30)/DH$10,0),N(Reales!DH30)),DH$156*INDEX(Precio_V,6)*INDEX(IdxPrecio_V,1,MIN(10,DH$147))*(1+V_dPrecio))</f>
        <v>0</v>
      </c>
      <c r="DI168" s="34" t="n">
        <f aca="false">IF(DI$8=1,IF(Reales!$C$30="PYG",IF(DI$10&gt;0,N(Reales!DI30)/DI$10,0),N(Reales!DI30)),DI$156*INDEX(Precio_V,6)*INDEX(IdxPrecio_V,1,MIN(10,DI$147))*(1+V_dPrecio))</f>
        <v>0</v>
      </c>
      <c r="DJ168" s="34" t="n">
        <f aca="false">IF(DJ$8=1,IF(Reales!$C$30="PYG",IF(DJ$10&gt;0,N(Reales!DJ30)/DJ$10,0),N(Reales!DJ30)),DJ$156*INDEX(Precio_V,6)*INDEX(IdxPrecio_V,1,MIN(10,DJ$147))*(1+V_dPrecio))</f>
        <v>0</v>
      </c>
      <c r="DK168" s="34" t="n">
        <f aca="false">IF(DK$8=1,IF(Reales!$C$30="PYG",IF(DK$10&gt;0,N(Reales!DK30)/DK$10,0),N(Reales!DK30)),DK$156*INDEX(Precio_V,6)*INDEX(IdxPrecio_V,1,MIN(10,DK$147))*(1+V_dPrecio))</f>
        <v>0</v>
      </c>
      <c r="DL168" s="34" t="n">
        <f aca="false">IF(DL$8=1,IF(Reales!$C$30="PYG",IF(DL$10&gt;0,N(Reales!DL30)/DL$10,0),N(Reales!DL30)),DL$156*INDEX(Precio_V,6)*INDEX(IdxPrecio_V,1,MIN(10,DL$147))*(1+V_dPrecio))</f>
        <v>0</v>
      </c>
      <c r="DM168" s="34" t="n">
        <f aca="false">IF(DM$8=1,IF(Reales!$C$30="PYG",IF(DM$10&gt;0,N(Reales!DM30)/DM$10,0),N(Reales!DM30)),DM$156*INDEX(Precio_V,6)*INDEX(IdxPrecio_V,1,MIN(10,DM$147))*(1+V_dPrecio))</f>
        <v>0</v>
      </c>
      <c r="DN168" s="34" t="n">
        <f aca="false">IF(DN$8=1,IF(Reales!$C$30="PYG",IF(DN$10&gt;0,N(Reales!DN30)/DN$10,0),N(Reales!DN30)),DN$156*INDEX(Precio_V,6)*INDEX(IdxPrecio_V,1,MIN(10,DN$147))*(1+V_dPrecio))</f>
        <v>0</v>
      </c>
      <c r="DO168" s="34" t="n">
        <f aca="false">IF(DO$8=1,IF(Reales!$C$30="PYG",IF(DO$10&gt;0,N(Reales!DO30)/DO$10,0),N(Reales!DO30)),DO$156*INDEX(Precio_V,6)*INDEX(IdxPrecio_V,1,MIN(10,DO$147))*(1+V_dPrecio))</f>
        <v>0</v>
      </c>
      <c r="DP168" s="34" t="n">
        <f aca="false">IF(DP$8=1,IF(Reales!$C$30="PYG",IF(DP$10&gt;0,N(Reales!DP30)/DP$10,0),N(Reales!DP30)),DP$156*INDEX(Precio_V,6)*INDEX(IdxPrecio_V,1,MIN(10,DP$147))*(1+V_dPrecio))</f>
        <v>0</v>
      </c>
      <c r="DQ168" s="34" t="n">
        <f aca="false">IF(DQ$8=1,IF(Reales!$C$30="PYG",IF(DQ$10&gt;0,N(Reales!DQ30)/DQ$10,0),N(Reales!DQ30)),DQ$156*INDEX(Precio_V,6)*INDEX(IdxPrecio_V,1,MIN(10,DQ$147))*(1+V_dPrecio))</f>
        <v>0</v>
      </c>
      <c r="DR168" s="34" t="n">
        <f aca="false">IF(DR$8=1,IF(Reales!$C$30="PYG",IF(DR$10&gt;0,N(Reales!DR30)/DR$10,0),N(Reales!DR30)),DR$156*INDEX(Precio_V,6)*INDEX(IdxPrecio_V,1,MIN(10,DR$147))*(1+V_dPrecio))</f>
        <v>0</v>
      </c>
      <c r="DS168" s="34" t="n">
        <f aca="false">IF(DS$8=1,IF(Reales!$C$30="PYG",IF(DS$10&gt;0,N(Reales!DS30)/DS$10,0),N(Reales!DS30)),DS$156*INDEX(Precio_V,6)*INDEX(IdxPrecio_V,1,MIN(10,DS$147))*(1+V_dPrecio))</f>
        <v>0</v>
      </c>
      <c r="DT168" s="34" t="n">
        <f aca="false">IF(DT$8=1,IF(Reales!$C$30="PYG",IF(DT$10&gt;0,N(Reales!DT30)/DT$10,0),N(Reales!DT30)),DT$156*INDEX(Precio_V,6)*INDEX(IdxPrecio_V,1,MIN(10,DT$147))*(1+V_dPrecio))</f>
        <v>0</v>
      </c>
      <c r="DU168" s="34" t="n">
        <f aca="false">IF(DU$8=1,IF(Reales!$C$30="PYG",IF(DU$10&gt;0,N(Reales!DU30)/DU$10,0),N(Reales!DU30)),DU$156*INDEX(Precio_V,6)*INDEX(IdxPrecio_V,1,MIN(10,DU$147))*(1+V_dPrecio))</f>
        <v>0</v>
      </c>
      <c r="DV168" s="34" t="n">
        <f aca="false">IF(DV$8=1,IF(Reales!$C$30="PYG",IF(DV$10&gt;0,N(Reales!DV30)/DV$10,0),N(Reales!DV30)),DV$156*INDEX(Precio_V,6)*INDEX(IdxPrecio_V,1,MIN(10,DV$147))*(1+V_dPrecio))</f>
        <v>0</v>
      </c>
      <c r="DW168" s="34" t="n">
        <f aca="false">IF(DW$8=1,IF(Reales!$C$30="PYG",IF(DW$10&gt;0,N(Reales!DW30)/DW$10,0),N(Reales!DW30)),DW$156*INDEX(Precio_V,6)*INDEX(IdxPrecio_V,1,MIN(10,DW$147))*(1+V_dPrecio))</f>
        <v>0</v>
      </c>
      <c r="DX168" s="34" t="n">
        <f aca="false">IF(DX$8=1,IF(Reales!$C$30="PYG",IF(DX$10&gt;0,N(Reales!DX30)/DX$10,0),N(Reales!DX30)),DX$156*INDEX(Precio_V,6)*INDEX(IdxPrecio_V,1,MIN(10,DX$147))*(1+V_dPrecio))</f>
        <v>0</v>
      </c>
      <c r="DY168" s="34" t="n">
        <f aca="false">IF(DY$8=1,IF(Reales!$C$30="PYG",IF(DY$10&gt;0,N(Reales!DY30)/DY$10,0),N(Reales!DY30)),DY$156*INDEX(Precio_V,6)*INDEX(IdxPrecio_V,1,MIN(10,DY$147))*(1+V_dPrecio))</f>
        <v>0</v>
      </c>
      <c r="DZ168" s="34" t="n">
        <f aca="false">IF(DZ$8=1,IF(Reales!$C$30="PYG",IF(DZ$10&gt;0,N(Reales!DZ30)/DZ$10,0),N(Reales!DZ30)),DZ$156*INDEX(Precio_V,6)*INDEX(IdxPrecio_V,1,MIN(10,DZ$147))*(1+V_dPrecio))</f>
        <v>0</v>
      </c>
      <c r="EA168" s="34" t="n">
        <f aca="false">IF(EA$8=1,IF(Reales!$C$30="PYG",IF(EA$10&gt;0,N(Reales!EA30)/EA$10,0),N(Reales!EA30)),EA$156*INDEX(Precio_V,6)*INDEX(IdxPrecio_V,1,MIN(10,EA$147))*(1+V_dPrecio))</f>
        <v>0</v>
      </c>
      <c r="EB168" s="34" t="n">
        <f aca="false">IF(EB$8=1,IF(Reales!$C$30="PYG",IF(EB$10&gt;0,N(Reales!EB30)/EB$10,0),N(Reales!EB30)),EB$156*INDEX(Precio_V,6)*INDEX(IdxPrecio_V,1,MIN(10,EB$147))*(1+V_dPrecio))</f>
        <v>0</v>
      </c>
      <c r="EC168" s="34" t="n">
        <f aca="false">IF(EC$8=1,IF(Reales!$C$30="PYG",IF(EC$10&gt;0,N(Reales!EC30)/EC$10,0),N(Reales!EC30)),EC$156*INDEX(Precio_V,6)*INDEX(IdxPrecio_V,1,MIN(10,EC$147))*(1+V_dPrecio))</f>
        <v>0</v>
      </c>
      <c r="ED168" s="34" t="n">
        <f aca="false">IF(ED$8=1,IF(Reales!$C$30="PYG",IF(ED$10&gt;0,N(Reales!ED30)/ED$10,0),N(Reales!ED30)),ED$156*INDEX(Precio_V,6)*INDEX(IdxPrecio_V,1,MIN(10,ED$147))*(1+V_dPrecio))</f>
        <v>0</v>
      </c>
      <c r="EE168" s="34" t="n">
        <f aca="false">IF(EE$8=1,IF(Reales!$C$30="PYG",IF(EE$10&gt;0,N(Reales!EE30)/EE$10,0),N(Reales!EE30)),EE$156*INDEX(Precio_V,6)*INDEX(IdxPrecio_V,1,MIN(10,EE$147))*(1+V_dPrecio))</f>
        <v>0</v>
      </c>
      <c r="EF168" s="34" t="n">
        <f aca="false">IF(EF$8=1,IF(Reales!$C$30="PYG",IF(EF$10&gt;0,N(Reales!EF30)/EF$10,0),N(Reales!EF30)),EF$156*INDEX(Precio_V,6)*INDEX(IdxPrecio_V,1,MIN(10,EF$147))*(1+V_dPrecio))</f>
        <v>0</v>
      </c>
      <c r="EG168" s="34" t="n">
        <f aca="false">IF(EG$8=1,IF(Reales!$C$30="PYG",IF(EG$10&gt;0,N(Reales!EG30)/EG$10,0),N(Reales!EG30)),EG$156*INDEX(Precio_V,6)*INDEX(IdxPrecio_V,1,MIN(10,EG$147))*(1+V_dPrecio))</f>
        <v>0</v>
      </c>
      <c r="EH168" s="34" t="n">
        <f aca="false">IF(EH$8=1,IF(Reales!$C$30="PYG",IF(EH$10&gt;0,N(Reales!EH30)/EH$10,0),N(Reales!EH30)),EH$156*INDEX(Precio_V,6)*INDEX(IdxPrecio_V,1,MIN(10,EH$147))*(1+V_dPrecio))</f>
        <v>0</v>
      </c>
      <c r="EI168" s="34" t="n">
        <f aca="false">IF(EI$8=1,IF(Reales!$C$30="PYG",IF(EI$10&gt;0,N(Reales!EI30)/EI$10,0),N(Reales!EI30)),EI$156*INDEX(Precio_V,6)*INDEX(IdxPrecio_V,1,MIN(10,EI$147))*(1+V_dPrecio))</f>
        <v>0</v>
      </c>
      <c r="EJ168" s="34" t="n">
        <f aca="false">IF(EJ$8=1,IF(Reales!$C$30="PYG",IF(EJ$10&gt;0,N(Reales!EJ30)/EJ$10,0),N(Reales!EJ30)),EJ$156*INDEX(Precio_V,6)*INDEX(IdxPrecio_V,1,MIN(10,EJ$147))*(1+V_dPrecio))</f>
        <v>0</v>
      </c>
      <c r="EK168" s="34" t="n">
        <f aca="false">IF(EK$8=1,IF(Reales!$C$30="PYG",IF(EK$10&gt;0,N(Reales!EK30)/EK$10,0),N(Reales!EK30)),EK$156*INDEX(Precio_V,6)*INDEX(IdxPrecio_V,1,MIN(10,EK$147))*(1+V_dPrecio))</f>
        <v>0</v>
      </c>
      <c r="EL168" s="34" t="n">
        <f aca="false">IF(EL$8=1,IF(Reales!$C$30="PYG",IF(EL$10&gt;0,N(Reales!EL30)/EL$10,0),N(Reales!EL30)),EL$156*INDEX(Precio_V,6)*INDEX(IdxPrecio_V,1,MIN(10,EL$147))*(1+V_dPrecio))</f>
        <v>0</v>
      </c>
      <c r="EM168" s="34" t="n">
        <f aca="false">IF(EM$8=1,IF(Reales!$C$30="PYG",IF(EM$10&gt;0,N(Reales!EM30)/EM$10,0),N(Reales!EM30)),EM$156*INDEX(Precio_V,6)*INDEX(IdxPrecio_V,1,MIN(10,EM$147))*(1+V_dPrecio))</f>
        <v>0</v>
      </c>
      <c r="EN168" s="34" t="n">
        <f aca="false">IF(EN$8=1,IF(Reales!$C$30="PYG",IF(EN$10&gt;0,N(Reales!EN30)/EN$10,0),N(Reales!EN30)),EN$156*INDEX(Precio_V,6)*INDEX(IdxPrecio_V,1,MIN(10,EN$147))*(1+V_dPrecio))</f>
        <v>0</v>
      </c>
      <c r="EO168" s="34" t="n">
        <f aca="false">IF(EO$8=1,IF(Reales!$C$30="PYG",IF(EO$10&gt;0,N(Reales!EO30)/EO$10,0),N(Reales!EO30)),EO$156*INDEX(Precio_V,6)*INDEX(IdxPrecio_V,1,MIN(10,EO$147))*(1+V_dPrecio))</f>
        <v>0</v>
      </c>
      <c r="EP168" s="34" t="n">
        <f aca="false">IF(EP$8=1,IF(Reales!$C$30="PYG",IF(EP$10&gt;0,N(Reales!EP30)/EP$10,0),N(Reales!EP30)),EP$156*INDEX(Precio_V,6)*INDEX(IdxPrecio_V,1,MIN(10,EP$147))*(1+V_dPrecio))</f>
        <v>0</v>
      </c>
      <c r="EQ168" s="34" t="n">
        <f aca="false">IF(EQ$8=1,IF(Reales!$C$30="PYG",IF(EQ$10&gt;0,N(Reales!EQ30)/EQ$10,0),N(Reales!EQ30)),EQ$156*INDEX(Precio_V,6)*INDEX(IdxPrecio_V,1,MIN(10,EQ$147))*(1+V_dPrecio))</f>
        <v>0</v>
      </c>
      <c r="ER168" s="34" t="n">
        <f aca="false">IF(ER$8=1,IF(Reales!$C$30="PYG",IF(ER$10&gt;0,N(Reales!ER30)/ER$10,0),N(Reales!ER30)),ER$156*INDEX(Precio_V,6)*INDEX(IdxPrecio_V,1,MIN(10,ER$147))*(1+V_dPrecio))</f>
        <v>0</v>
      </c>
      <c r="ES168" s="34" t="n">
        <f aca="false">IF(ES$8=1,IF(Reales!$C$30="PYG",IF(ES$10&gt;0,N(Reales!ES30)/ES$10,0),N(Reales!ES30)),ES$156*INDEX(Precio_V,6)*INDEX(IdxPrecio_V,1,MIN(10,ES$147))*(1+V_dPrecio))</f>
        <v>0</v>
      </c>
    </row>
    <row r="169" customFormat="false" ht="15" hidden="false" customHeight="false" outlineLevel="0" collapsed="false">
      <c r="A169" s="2" t="s">
        <v>785</v>
      </c>
      <c r="B169" s="39" t="str">
        <f aca="false">IF(INDEX(Prod_Nombre,7)="","Producto 7",INDEX(Prod_Nombre,7))&amp;" — ventas USD"</f>
        <v>Producto 7 — ventas USD</v>
      </c>
      <c r="C169" s="6" t="s">
        <v>250</v>
      </c>
      <c r="E169" s="40" t="n">
        <f aca="false">SUM(F169:ES169)</f>
        <v>0</v>
      </c>
      <c r="F169" s="34" t="n">
        <f aca="false">IF(F$8=1,IF(Reales!$C$31="PYG",IF(F$10&gt;0,N(Reales!F31)/F$10,0),N(Reales!F31)),F$157*INDEX(Precio_V,7)*INDEX(IdxPrecio_V,1,MIN(10,F$147))*(1+V_dPrecio))</f>
        <v>0</v>
      </c>
      <c r="G169" s="34" t="n">
        <f aca="false">IF(G$8=1,IF(Reales!$C$31="PYG",IF(G$10&gt;0,N(Reales!G31)/G$10,0),N(Reales!G31)),G$157*INDEX(Precio_V,7)*INDEX(IdxPrecio_V,1,MIN(10,G$147))*(1+V_dPrecio))</f>
        <v>0</v>
      </c>
      <c r="H169" s="34" t="n">
        <f aca="false">IF(H$8=1,IF(Reales!$C$31="PYG",IF(H$10&gt;0,N(Reales!H31)/H$10,0),N(Reales!H31)),H$157*INDEX(Precio_V,7)*INDEX(IdxPrecio_V,1,MIN(10,H$147))*(1+V_dPrecio))</f>
        <v>0</v>
      </c>
      <c r="I169" s="34" t="n">
        <f aca="false">IF(I$8=1,IF(Reales!$C$31="PYG",IF(I$10&gt;0,N(Reales!I31)/I$10,0),N(Reales!I31)),I$157*INDEX(Precio_V,7)*INDEX(IdxPrecio_V,1,MIN(10,I$147))*(1+V_dPrecio))</f>
        <v>0</v>
      </c>
      <c r="J169" s="34" t="n">
        <f aca="false">IF(J$8=1,IF(Reales!$C$31="PYG",IF(J$10&gt;0,N(Reales!J31)/J$10,0),N(Reales!J31)),J$157*INDEX(Precio_V,7)*INDEX(IdxPrecio_V,1,MIN(10,J$147))*(1+V_dPrecio))</f>
        <v>0</v>
      </c>
      <c r="K169" s="34" t="n">
        <f aca="false">IF(K$8=1,IF(Reales!$C$31="PYG",IF(K$10&gt;0,N(Reales!K31)/K$10,0),N(Reales!K31)),K$157*INDEX(Precio_V,7)*INDEX(IdxPrecio_V,1,MIN(10,K$147))*(1+V_dPrecio))</f>
        <v>0</v>
      </c>
      <c r="L169" s="34" t="n">
        <f aca="false">IF(L$8=1,IF(Reales!$C$31="PYG",IF(L$10&gt;0,N(Reales!L31)/L$10,0),N(Reales!L31)),L$157*INDEX(Precio_V,7)*INDEX(IdxPrecio_V,1,MIN(10,L$147))*(1+V_dPrecio))</f>
        <v>0</v>
      </c>
      <c r="M169" s="34" t="n">
        <f aca="false">IF(M$8=1,IF(Reales!$C$31="PYG",IF(M$10&gt;0,N(Reales!M31)/M$10,0),N(Reales!M31)),M$157*INDEX(Precio_V,7)*INDEX(IdxPrecio_V,1,MIN(10,M$147))*(1+V_dPrecio))</f>
        <v>0</v>
      </c>
      <c r="N169" s="34" t="n">
        <f aca="false">IF(N$8=1,IF(Reales!$C$31="PYG",IF(N$10&gt;0,N(Reales!N31)/N$10,0),N(Reales!N31)),N$157*INDEX(Precio_V,7)*INDEX(IdxPrecio_V,1,MIN(10,N$147))*(1+V_dPrecio))</f>
        <v>0</v>
      </c>
      <c r="O169" s="34" t="n">
        <f aca="false">IF(O$8=1,IF(Reales!$C$31="PYG",IF(O$10&gt;0,N(Reales!O31)/O$10,0),N(Reales!O31)),O$157*INDEX(Precio_V,7)*INDEX(IdxPrecio_V,1,MIN(10,O$147))*(1+V_dPrecio))</f>
        <v>0</v>
      </c>
      <c r="P169" s="34" t="n">
        <f aca="false">IF(P$8=1,IF(Reales!$C$31="PYG",IF(P$10&gt;0,N(Reales!P31)/P$10,0),N(Reales!P31)),P$157*INDEX(Precio_V,7)*INDEX(IdxPrecio_V,1,MIN(10,P$147))*(1+V_dPrecio))</f>
        <v>0</v>
      </c>
      <c r="Q169" s="34" t="n">
        <f aca="false">IF(Q$8=1,IF(Reales!$C$31="PYG",IF(Q$10&gt;0,N(Reales!Q31)/Q$10,0),N(Reales!Q31)),Q$157*INDEX(Precio_V,7)*INDEX(IdxPrecio_V,1,MIN(10,Q$147))*(1+V_dPrecio))</f>
        <v>0</v>
      </c>
      <c r="R169" s="34" t="n">
        <f aca="false">IF(R$8=1,IF(Reales!$C$31="PYG",IF(R$10&gt;0,N(Reales!R31)/R$10,0),N(Reales!R31)),R$157*INDEX(Precio_V,7)*INDEX(IdxPrecio_V,1,MIN(10,R$147))*(1+V_dPrecio))</f>
        <v>0</v>
      </c>
      <c r="S169" s="34" t="n">
        <f aca="false">IF(S$8=1,IF(Reales!$C$31="PYG",IF(S$10&gt;0,N(Reales!S31)/S$10,0),N(Reales!S31)),S$157*INDEX(Precio_V,7)*INDEX(IdxPrecio_V,1,MIN(10,S$147))*(1+V_dPrecio))</f>
        <v>0</v>
      </c>
      <c r="T169" s="34" t="n">
        <f aca="false">IF(T$8=1,IF(Reales!$C$31="PYG",IF(T$10&gt;0,N(Reales!T31)/T$10,0),N(Reales!T31)),T$157*INDEX(Precio_V,7)*INDEX(IdxPrecio_V,1,MIN(10,T$147))*(1+V_dPrecio))</f>
        <v>0</v>
      </c>
      <c r="U169" s="34" t="n">
        <f aca="false">IF(U$8=1,IF(Reales!$C$31="PYG",IF(U$10&gt;0,N(Reales!U31)/U$10,0),N(Reales!U31)),U$157*INDEX(Precio_V,7)*INDEX(IdxPrecio_V,1,MIN(10,U$147))*(1+V_dPrecio))</f>
        <v>0</v>
      </c>
      <c r="V169" s="34" t="n">
        <f aca="false">IF(V$8=1,IF(Reales!$C$31="PYG",IF(V$10&gt;0,N(Reales!V31)/V$10,0),N(Reales!V31)),V$157*INDEX(Precio_V,7)*INDEX(IdxPrecio_V,1,MIN(10,V$147))*(1+V_dPrecio))</f>
        <v>0</v>
      </c>
      <c r="W169" s="34" t="n">
        <f aca="false">IF(W$8=1,IF(Reales!$C$31="PYG",IF(W$10&gt;0,N(Reales!W31)/W$10,0),N(Reales!W31)),W$157*INDEX(Precio_V,7)*INDEX(IdxPrecio_V,1,MIN(10,W$147))*(1+V_dPrecio))</f>
        <v>0</v>
      </c>
      <c r="X169" s="34" t="n">
        <f aca="false">IF(X$8=1,IF(Reales!$C$31="PYG",IF(X$10&gt;0,N(Reales!X31)/X$10,0),N(Reales!X31)),X$157*INDEX(Precio_V,7)*INDEX(IdxPrecio_V,1,MIN(10,X$147))*(1+V_dPrecio))</f>
        <v>0</v>
      </c>
      <c r="Y169" s="34" t="n">
        <f aca="false">IF(Y$8=1,IF(Reales!$C$31="PYG",IF(Y$10&gt;0,N(Reales!Y31)/Y$10,0),N(Reales!Y31)),Y$157*INDEX(Precio_V,7)*INDEX(IdxPrecio_V,1,MIN(10,Y$147))*(1+V_dPrecio))</f>
        <v>0</v>
      </c>
      <c r="Z169" s="34" t="n">
        <f aca="false">IF(Z$8=1,IF(Reales!$C$31="PYG",IF(Z$10&gt;0,N(Reales!Z31)/Z$10,0),N(Reales!Z31)),Z$157*INDEX(Precio_V,7)*INDEX(IdxPrecio_V,1,MIN(10,Z$147))*(1+V_dPrecio))</f>
        <v>0</v>
      </c>
      <c r="AA169" s="34" t="n">
        <f aca="false">IF(AA$8=1,IF(Reales!$C$31="PYG",IF(AA$10&gt;0,N(Reales!AA31)/AA$10,0),N(Reales!AA31)),AA$157*INDEX(Precio_V,7)*INDEX(IdxPrecio_V,1,MIN(10,AA$147))*(1+V_dPrecio))</f>
        <v>0</v>
      </c>
      <c r="AB169" s="34" t="n">
        <f aca="false">IF(AB$8=1,IF(Reales!$C$31="PYG",IF(AB$10&gt;0,N(Reales!AB31)/AB$10,0),N(Reales!AB31)),AB$157*INDEX(Precio_V,7)*INDEX(IdxPrecio_V,1,MIN(10,AB$147))*(1+V_dPrecio))</f>
        <v>0</v>
      </c>
      <c r="AC169" s="34" t="n">
        <f aca="false">IF(AC$8=1,IF(Reales!$C$31="PYG",IF(AC$10&gt;0,N(Reales!AC31)/AC$10,0),N(Reales!AC31)),AC$157*INDEX(Precio_V,7)*INDEX(IdxPrecio_V,1,MIN(10,AC$147))*(1+V_dPrecio))</f>
        <v>0</v>
      </c>
      <c r="AD169" s="34" t="n">
        <f aca="false">IF(AD$8=1,IF(Reales!$C$31="PYG",IF(AD$10&gt;0,N(Reales!AD31)/AD$10,0),N(Reales!AD31)),AD$157*INDEX(Precio_V,7)*INDEX(IdxPrecio_V,1,MIN(10,AD$147))*(1+V_dPrecio))</f>
        <v>0</v>
      </c>
      <c r="AE169" s="34" t="n">
        <f aca="false">IF(AE$8=1,IF(Reales!$C$31="PYG",IF(AE$10&gt;0,N(Reales!AE31)/AE$10,0),N(Reales!AE31)),AE$157*INDEX(Precio_V,7)*INDEX(IdxPrecio_V,1,MIN(10,AE$147))*(1+V_dPrecio))</f>
        <v>0</v>
      </c>
      <c r="AF169" s="34" t="n">
        <f aca="false">IF(AF$8=1,IF(Reales!$C$31="PYG",IF(AF$10&gt;0,N(Reales!AF31)/AF$10,0),N(Reales!AF31)),AF$157*INDEX(Precio_V,7)*INDEX(IdxPrecio_V,1,MIN(10,AF$147))*(1+V_dPrecio))</f>
        <v>0</v>
      </c>
      <c r="AG169" s="34" t="n">
        <f aca="false">IF(AG$8=1,IF(Reales!$C$31="PYG",IF(AG$10&gt;0,N(Reales!AG31)/AG$10,0),N(Reales!AG31)),AG$157*INDEX(Precio_V,7)*INDEX(IdxPrecio_V,1,MIN(10,AG$147))*(1+V_dPrecio))</f>
        <v>0</v>
      </c>
      <c r="AH169" s="34" t="n">
        <f aca="false">IF(AH$8=1,IF(Reales!$C$31="PYG",IF(AH$10&gt;0,N(Reales!AH31)/AH$10,0),N(Reales!AH31)),AH$157*INDEX(Precio_V,7)*INDEX(IdxPrecio_V,1,MIN(10,AH$147))*(1+V_dPrecio))</f>
        <v>0</v>
      </c>
      <c r="AI169" s="34" t="n">
        <f aca="false">IF(AI$8=1,IF(Reales!$C$31="PYG",IF(AI$10&gt;0,N(Reales!AI31)/AI$10,0),N(Reales!AI31)),AI$157*INDEX(Precio_V,7)*INDEX(IdxPrecio_V,1,MIN(10,AI$147))*(1+V_dPrecio))</f>
        <v>0</v>
      </c>
      <c r="AJ169" s="34" t="n">
        <f aca="false">IF(AJ$8=1,IF(Reales!$C$31="PYG",IF(AJ$10&gt;0,N(Reales!AJ31)/AJ$10,0),N(Reales!AJ31)),AJ$157*INDEX(Precio_V,7)*INDEX(IdxPrecio_V,1,MIN(10,AJ$147))*(1+V_dPrecio))</f>
        <v>0</v>
      </c>
      <c r="AK169" s="34" t="n">
        <f aca="false">IF(AK$8=1,IF(Reales!$C$31="PYG",IF(AK$10&gt;0,N(Reales!AK31)/AK$10,0),N(Reales!AK31)),AK$157*INDEX(Precio_V,7)*INDEX(IdxPrecio_V,1,MIN(10,AK$147))*(1+V_dPrecio))</f>
        <v>0</v>
      </c>
      <c r="AL169" s="34" t="n">
        <f aca="false">IF(AL$8=1,IF(Reales!$C$31="PYG",IF(AL$10&gt;0,N(Reales!AL31)/AL$10,0),N(Reales!AL31)),AL$157*INDEX(Precio_V,7)*INDEX(IdxPrecio_V,1,MIN(10,AL$147))*(1+V_dPrecio))</f>
        <v>0</v>
      </c>
      <c r="AM169" s="34" t="n">
        <f aca="false">IF(AM$8=1,IF(Reales!$C$31="PYG",IF(AM$10&gt;0,N(Reales!AM31)/AM$10,0),N(Reales!AM31)),AM$157*INDEX(Precio_V,7)*INDEX(IdxPrecio_V,1,MIN(10,AM$147))*(1+V_dPrecio))</f>
        <v>0</v>
      </c>
      <c r="AN169" s="34" t="n">
        <f aca="false">IF(AN$8=1,IF(Reales!$C$31="PYG",IF(AN$10&gt;0,N(Reales!AN31)/AN$10,0),N(Reales!AN31)),AN$157*INDEX(Precio_V,7)*INDEX(IdxPrecio_V,1,MIN(10,AN$147))*(1+V_dPrecio))</f>
        <v>0</v>
      </c>
      <c r="AO169" s="34" t="n">
        <f aca="false">IF(AO$8=1,IF(Reales!$C$31="PYG",IF(AO$10&gt;0,N(Reales!AO31)/AO$10,0),N(Reales!AO31)),AO$157*INDEX(Precio_V,7)*INDEX(IdxPrecio_V,1,MIN(10,AO$147))*(1+V_dPrecio))</f>
        <v>0</v>
      </c>
      <c r="AP169" s="34" t="n">
        <f aca="false">IF(AP$8=1,IF(Reales!$C$31="PYG",IF(AP$10&gt;0,N(Reales!AP31)/AP$10,0),N(Reales!AP31)),AP$157*INDEX(Precio_V,7)*INDEX(IdxPrecio_V,1,MIN(10,AP$147))*(1+V_dPrecio))</f>
        <v>0</v>
      </c>
      <c r="AQ169" s="34" t="n">
        <f aca="false">IF(AQ$8=1,IF(Reales!$C$31="PYG",IF(AQ$10&gt;0,N(Reales!AQ31)/AQ$10,0),N(Reales!AQ31)),AQ$157*INDEX(Precio_V,7)*INDEX(IdxPrecio_V,1,MIN(10,AQ$147))*(1+V_dPrecio))</f>
        <v>0</v>
      </c>
      <c r="AR169" s="34" t="n">
        <f aca="false">IF(AR$8=1,IF(Reales!$C$31="PYG",IF(AR$10&gt;0,N(Reales!AR31)/AR$10,0),N(Reales!AR31)),AR$157*INDEX(Precio_V,7)*INDEX(IdxPrecio_V,1,MIN(10,AR$147))*(1+V_dPrecio))</f>
        <v>0</v>
      </c>
      <c r="AS169" s="34" t="n">
        <f aca="false">IF(AS$8=1,IF(Reales!$C$31="PYG",IF(AS$10&gt;0,N(Reales!AS31)/AS$10,0),N(Reales!AS31)),AS$157*INDEX(Precio_V,7)*INDEX(IdxPrecio_V,1,MIN(10,AS$147))*(1+V_dPrecio))</f>
        <v>0</v>
      </c>
      <c r="AT169" s="34" t="n">
        <f aca="false">IF(AT$8=1,IF(Reales!$C$31="PYG",IF(AT$10&gt;0,N(Reales!AT31)/AT$10,0),N(Reales!AT31)),AT$157*INDEX(Precio_V,7)*INDEX(IdxPrecio_V,1,MIN(10,AT$147))*(1+V_dPrecio))</f>
        <v>0</v>
      </c>
      <c r="AU169" s="34" t="n">
        <f aca="false">IF(AU$8=1,IF(Reales!$C$31="PYG",IF(AU$10&gt;0,N(Reales!AU31)/AU$10,0),N(Reales!AU31)),AU$157*INDEX(Precio_V,7)*INDEX(IdxPrecio_V,1,MIN(10,AU$147))*(1+V_dPrecio))</f>
        <v>0</v>
      </c>
      <c r="AV169" s="34" t="n">
        <f aca="false">IF(AV$8=1,IF(Reales!$C$31="PYG",IF(AV$10&gt;0,N(Reales!AV31)/AV$10,0),N(Reales!AV31)),AV$157*INDEX(Precio_V,7)*INDEX(IdxPrecio_V,1,MIN(10,AV$147))*(1+V_dPrecio))</f>
        <v>0</v>
      </c>
      <c r="AW169" s="34" t="n">
        <f aca="false">IF(AW$8=1,IF(Reales!$C$31="PYG",IF(AW$10&gt;0,N(Reales!AW31)/AW$10,0),N(Reales!AW31)),AW$157*INDEX(Precio_V,7)*INDEX(IdxPrecio_V,1,MIN(10,AW$147))*(1+V_dPrecio))</f>
        <v>0</v>
      </c>
      <c r="AX169" s="34" t="n">
        <f aca="false">IF(AX$8=1,IF(Reales!$C$31="PYG",IF(AX$10&gt;0,N(Reales!AX31)/AX$10,0),N(Reales!AX31)),AX$157*INDEX(Precio_V,7)*INDEX(IdxPrecio_V,1,MIN(10,AX$147))*(1+V_dPrecio))</f>
        <v>0</v>
      </c>
      <c r="AY169" s="34" t="n">
        <f aca="false">IF(AY$8=1,IF(Reales!$C$31="PYG",IF(AY$10&gt;0,N(Reales!AY31)/AY$10,0),N(Reales!AY31)),AY$157*INDEX(Precio_V,7)*INDEX(IdxPrecio_V,1,MIN(10,AY$147))*(1+V_dPrecio))</f>
        <v>0</v>
      </c>
      <c r="AZ169" s="34" t="n">
        <f aca="false">IF(AZ$8=1,IF(Reales!$C$31="PYG",IF(AZ$10&gt;0,N(Reales!AZ31)/AZ$10,0),N(Reales!AZ31)),AZ$157*INDEX(Precio_V,7)*INDEX(IdxPrecio_V,1,MIN(10,AZ$147))*(1+V_dPrecio))</f>
        <v>0</v>
      </c>
      <c r="BA169" s="34" t="n">
        <f aca="false">IF(BA$8=1,IF(Reales!$C$31="PYG",IF(BA$10&gt;0,N(Reales!BA31)/BA$10,0),N(Reales!BA31)),BA$157*INDEX(Precio_V,7)*INDEX(IdxPrecio_V,1,MIN(10,BA$147))*(1+V_dPrecio))</f>
        <v>0</v>
      </c>
      <c r="BB169" s="34" t="n">
        <f aca="false">IF(BB$8=1,IF(Reales!$C$31="PYG",IF(BB$10&gt;0,N(Reales!BB31)/BB$10,0),N(Reales!BB31)),BB$157*INDEX(Precio_V,7)*INDEX(IdxPrecio_V,1,MIN(10,BB$147))*(1+V_dPrecio))</f>
        <v>0</v>
      </c>
      <c r="BC169" s="34" t="n">
        <f aca="false">IF(BC$8=1,IF(Reales!$C$31="PYG",IF(BC$10&gt;0,N(Reales!BC31)/BC$10,0),N(Reales!BC31)),BC$157*INDEX(Precio_V,7)*INDEX(IdxPrecio_V,1,MIN(10,BC$147))*(1+V_dPrecio))</f>
        <v>0</v>
      </c>
      <c r="BD169" s="34" t="n">
        <f aca="false">IF(BD$8=1,IF(Reales!$C$31="PYG",IF(BD$10&gt;0,N(Reales!BD31)/BD$10,0),N(Reales!BD31)),BD$157*INDEX(Precio_V,7)*INDEX(IdxPrecio_V,1,MIN(10,BD$147))*(1+V_dPrecio))</f>
        <v>0</v>
      </c>
      <c r="BE169" s="34" t="n">
        <f aca="false">IF(BE$8=1,IF(Reales!$C$31="PYG",IF(BE$10&gt;0,N(Reales!BE31)/BE$10,0),N(Reales!BE31)),BE$157*INDEX(Precio_V,7)*INDEX(IdxPrecio_V,1,MIN(10,BE$147))*(1+V_dPrecio))</f>
        <v>0</v>
      </c>
      <c r="BF169" s="34" t="n">
        <f aca="false">IF(BF$8=1,IF(Reales!$C$31="PYG",IF(BF$10&gt;0,N(Reales!BF31)/BF$10,0),N(Reales!BF31)),BF$157*INDEX(Precio_V,7)*INDEX(IdxPrecio_V,1,MIN(10,BF$147))*(1+V_dPrecio))</f>
        <v>0</v>
      </c>
      <c r="BG169" s="34" t="n">
        <f aca="false">IF(BG$8=1,IF(Reales!$C$31="PYG",IF(BG$10&gt;0,N(Reales!BG31)/BG$10,0),N(Reales!BG31)),BG$157*INDEX(Precio_V,7)*INDEX(IdxPrecio_V,1,MIN(10,BG$147))*(1+V_dPrecio))</f>
        <v>0</v>
      </c>
      <c r="BH169" s="34" t="n">
        <f aca="false">IF(BH$8=1,IF(Reales!$C$31="PYG",IF(BH$10&gt;0,N(Reales!BH31)/BH$10,0),N(Reales!BH31)),BH$157*INDEX(Precio_V,7)*INDEX(IdxPrecio_V,1,MIN(10,BH$147))*(1+V_dPrecio))</f>
        <v>0</v>
      </c>
      <c r="BI169" s="34" t="n">
        <f aca="false">IF(BI$8=1,IF(Reales!$C$31="PYG",IF(BI$10&gt;0,N(Reales!BI31)/BI$10,0),N(Reales!BI31)),BI$157*INDEX(Precio_V,7)*INDEX(IdxPrecio_V,1,MIN(10,BI$147))*(1+V_dPrecio))</f>
        <v>0</v>
      </c>
      <c r="BJ169" s="34" t="n">
        <f aca="false">IF(BJ$8=1,IF(Reales!$C$31="PYG",IF(BJ$10&gt;0,N(Reales!BJ31)/BJ$10,0),N(Reales!BJ31)),BJ$157*INDEX(Precio_V,7)*INDEX(IdxPrecio_V,1,MIN(10,BJ$147))*(1+V_dPrecio))</f>
        <v>0</v>
      </c>
      <c r="BK169" s="34" t="n">
        <f aca="false">IF(BK$8=1,IF(Reales!$C$31="PYG",IF(BK$10&gt;0,N(Reales!BK31)/BK$10,0),N(Reales!BK31)),BK$157*INDEX(Precio_V,7)*INDEX(IdxPrecio_V,1,MIN(10,BK$147))*(1+V_dPrecio))</f>
        <v>0</v>
      </c>
      <c r="BL169" s="34" t="n">
        <f aca="false">IF(BL$8=1,IF(Reales!$C$31="PYG",IF(BL$10&gt;0,N(Reales!BL31)/BL$10,0),N(Reales!BL31)),BL$157*INDEX(Precio_V,7)*INDEX(IdxPrecio_V,1,MIN(10,BL$147))*(1+V_dPrecio))</f>
        <v>0</v>
      </c>
      <c r="BM169" s="34" t="n">
        <f aca="false">IF(BM$8=1,IF(Reales!$C$31="PYG",IF(BM$10&gt;0,N(Reales!BM31)/BM$10,0),N(Reales!BM31)),BM$157*INDEX(Precio_V,7)*INDEX(IdxPrecio_V,1,MIN(10,BM$147))*(1+V_dPrecio))</f>
        <v>0</v>
      </c>
      <c r="BN169" s="34" t="n">
        <f aca="false">IF(BN$8=1,IF(Reales!$C$31="PYG",IF(BN$10&gt;0,N(Reales!BN31)/BN$10,0),N(Reales!BN31)),BN$157*INDEX(Precio_V,7)*INDEX(IdxPrecio_V,1,MIN(10,BN$147))*(1+V_dPrecio))</f>
        <v>0</v>
      </c>
      <c r="BO169" s="34" t="n">
        <f aca="false">IF(BO$8=1,IF(Reales!$C$31="PYG",IF(BO$10&gt;0,N(Reales!BO31)/BO$10,0),N(Reales!BO31)),BO$157*INDEX(Precio_V,7)*INDEX(IdxPrecio_V,1,MIN(10,BO$147))*(1+V_dPrecio))</f>
        <v>0</v>
      </c>
      <c r="BP169" s="34" t="n">
        <f aca="false">IF(BP$8=1,IF(Reales!$C$31="PYG",IF(BP$10&gt;0,N(Reales!BP31)/BP$10,0),N(Reales!BP31)),BP$157*INDEX(Precio_V,7)*INDEX(IdxPrecio_V,1,MIN(10,BP$147))*(1+V_dPrecio))</f>
        <v>0</v>
      </c>
      <c r="BQ169" s="34" t="n">
        <f aca="false">IF(BQ$8=1,IF(Reales!$C$31="PYG",IF(BQ$10&gt;0,N(Reales!BQ31)/BQ$10,0),N(Reales!BQ31)),BQ$157*INDEX(Precio_V,7)*INDEX(IdxPrecio_V,1,MIN(10,BQ$147))*(1+V_dPrecio))</f>
        <v>0</v>
      </c>
      <c r="BR169" s="34" t="n">
        <f aca="false">IF(BR$8=1,IF(Reales!$C$31="PYG",IF(BR$10&gt;0,N(Reales!BR31)/BR$10,0),N(Reales!BR31)),BR$157*INDEX(Precio_V,7)*INDEX(IdxPrecio_V,1,MIN(10,BR$147))*(1+V_dPrecio))</f>
        <v>0</v>
      </c>
      <c r="BS169" s="34" t="n">
        <f aca="false">IF(BS$8=1,IF(Reales!$C$31="PYG",IF(BS$10&gt;0,N(Reales!BS31)/BS$10,0),N(Reales!BS31)),BS$157*INDEX(Precio_V,7)*INDEX(IdxPrecio_V,1,MIN(10,BS$147))*(1+V_dPrecio))</f>
        <v>0</v>
      </c>
      <c r="BT169" s="34" t="n">
        <f aca="false">IF(BT$8=1,IF(Reales!$C$31="PYG",IF(BT$10&gt;0,N(Reales!BT31)/BT$10,0),N(Reales!BT31)),BT$157*INDEX(Precio_V,7)*INDEX(IdxPrecio_V,1,MIN(10,BT$147))*(1+V_dPrecio))</f>
        <v>0</v>
      </c>
      <c r="BU169" s="34" t="n">
        <f aca="false">IF(BU$8=1,IF(Reales!$C$31="PYG",IF(BU$10&gt;0,N(Reales!BU31)/BU$10,0),N(Reales!BU31)),BU$157*INDEX(Precio_V,7)*INDEX(IdxPrecio_V,1,MIN(10,BU$147))*(1+V_dPrecio))</f>
        <v>0</v>
      </c>
      <c r="BV169" s="34" t="n">
        <f aca="false">IF(BV$8=1,IF(Reales!$C$31="PYG",IF(BV$10&gt;0,N(Reales!BV31)/BV$10,0),N(Reales!BV31)),BV$157*INDEX(Precio_V,7)*INDEX(IdxPrecio_V,1,MIN(10,BV$147))*(1+V_dPrecio))</f>
        <v>0</v>
      </c>
      <c r="BW169" s="34" t="n">
        <f aca="false">IF(BW$8=1,IF(Reales!$C$31="PYG",IF(BW$10&gt;0,N(Reales!BW31)/BW$10,0),N(Reales!BW31)),BW$157*INDEX(Precio_V,7)*INDEX(IdxPrecio_V,1,MIN(10,BW$147))*(1+V_dPrecio))</f>
        <v>0</v>
      </c>
      <c r="BX169" s="34" t="n">
        <f aca="false">IF(BX$8=1,IF(Reales!$C$31="PYG",IF(BX$10&gt;0,N(Reales!BX31)/BX$10,0),N(Reales!BX31)),BX$157*INDEX(Precio_V,7)*INDEX(IdxPrecio_V,1,MIN(10,BX$147))*(1+V_dPrecio))</f>
        <v>0</v>
      </c>
      <c r="BY169" s="34" t="n">
        <f aca="false">IF(BY$8=1,IF(Reales!$C$31="PYG",IF(BY$10&gt;0,N(Reales!BY31)/BY$10,0),N(Reales!BY31)),BY$157*INDEX(Precio_V,7)*INDEX(IdxPrecio_V,1,MIN(10,BY$147))*(1+V_dPrecio))</f>
        <v>0</v>
      </c>
      <c r="BZ169" s="34" t="n">
        <f aca="false">IF(BZ$8=1,IF(Reales!$C$31="PYG",IF(BZ$10&gt;0,N(Reales!BZ31)/BZ$10,0),N(Reales!BZ31)),BZ$157*INDEX(Precio_V,7)*INDEX(IdxPrecio_V,1,MIN(10,BZ$147))*(1+V_dPrecio))</f>
        <v>0</v>
      </c>
      <c r="CA169" s="34" t="n">
        <f aca="false">IF(CA$8=1,IF(Reales!$C$31="PYG",IF(CA$10&gt;0,N(Reales!CA31)/CA$10,0),N(Reales!CA31)),CA$157*INDEX(Precio_V,7)*INDEX(IdxPrecio_V,1,MIN(10,CA$147))*(1+V_dPrecio))</f>
        <v>0</v>
      </c>
      <c r="CB169" s="34" t="n">
        <f aca="false">IF(CB$8=1,IF(Reales!$C$31="PYG",IF(CB$10&gt;0,N(Reales!CB31)/CB$10,0),N(Reales!CB31)),CB$157*INDEX(Precio_V,7)*INDEX(IdxPrecio_V,1,MIN(10,CB$147))*(1+V_dPrecio))</f>
        <v>0</v>
      </c>
      <c r="CC169" s="34" t="n">
        <f aca="false">IF(CC$8=1,IF(Reales!$C$31="PYG",IF(CC$10&gt;0,N(Reales!CC31)/CC$10,0),N(Reales!CC31)),CC$157*INDEX(Precio_V,7)*INDEX(IdxPrecio_V,1,MIN(10,CC$147))*(1+V_dPrecio))</f>
        <v>0</v>
      </c>
      <c r="CD169" s="34" t="n">
        <f aca="false">IF(CD$8=1,IF(Reales!$C$31="PYG",IF(CD$10&gt;0,N(Reales!CD31)/CD$10,0),N(Reales!CD31)),CD$157*INDEX(Precio_V,7)*INDEX(IdxPrecio_V,1,MIN(10,CD$147))*(1+V_dPrecio))</f>
        <v>0</v>
      </c>
      <c r="CE169" s="34" t="n">
        <f aca="false">IF(CE$8=1,IF(Reales!$C$31="PYG",IF(CE$10&gt;0,N(Reales!CE31)/CE$10,0),N(Reales!CE31)),CE$157*INDEX(Precio_V,7)*INDEX(IdxPrecio_V,1,MIN(10,CE$147))*(1+V_dPrecio))</f>
        <v>0</v>
      </c>
      <c r="CF169" s="34" t="n">
        <f aca="false">IF(CF$8=1,IF(Reales!$C$31="PYG",IF(CF$10&gt;0,N(Reales!CF31)/CF$10,0),N(Reales!CF31)),CF$157*INDEX(Precio_V,7)*INDEX(IdxPrecio_V,1,MIN(10,CF$147))*(1+V_dPrecio))</f>
        <v>0</v>
      </c>
      <c r="CG169" s="34" t="n">
        <f aca="false">IF(CG$8=1,IF(Reales!$C$31="PYG",IF(CG$10&gt;0,N(Reales!CG31)/CG$10,0),N(Reales!CG31)),CG$157*INDEX(Precio_V,7)*INDEX(IdxPrecio_V,1,MIN(10,CG$147))*(1+V_dPrecio))</f>
        <v>0</v>
      </c>
      <c r="CH169" s="34" t="n">
        <f aca="false">IF(CH$8=1,IF(Reales!$C$31="PYG",IF(CH$10&gt;0,N(Reales!CH31)/CH$10,0),N(Reales!CH31)),CH$157*INDEX(Precio_V,7)*INDEX(IdxPrecio_V,1,MIN(10,CH$147))*(1+V_dPrecio))</f>
        <v>0</v>
      </c>
      <c r="CI169" s="34" t="n">
        <f aca="false">IF(CI$8=1,IF(Reales!$C$31="PYG",IF(CI$10&gt;0,N(Reales!CI31)/CI$10,0),N(Reales!CI31)),CI$157*INDEX(Precio_V,7)*INDEX(IdxPrecio_V,1,MIN(10,CI$147))*(1+V_dPrecio))</f>
        <v>0</v>
      </c>
      <c r="CJ169" s="34" t="n">
        <f aca="false">IF(CJ$8=1,IF(Reales!$C$31="PYG",IF(CJ$10&gt;0,N(Reales!CJ31)/CJ$10,0),N(Reales!CJ31)),CJ$157*INDEX(Precio_V,7)*INDEX(IdxPrecio_V,1,MIN(10,CJ$147))*(1+V_dPrecio))</f>
        <v>0</v>
      </c>
      <c r="CK169" s="34" t="n">
        <f aca="false">IF(CK$8=1,IF(Reales!$C$31="PYG",IF(CK$10&gt;0,N(Reales!CK31)/CK$10,0),N(Reales!CK31)),CK$157*INDEX(Precio_V,7)*INDEX(IdxPrecio_V,1,MIN(10,CK$147))*(1+V_dPrecio))</f>
        <v>0</v>
      </c>
      <c r="CL169" s="34" t="n">
        <f aca="false">IF(CL$8=1,IF(Reales!$C$31="PYG",IF(CL$10&gt;0,N(Reales!CL31)/CL$10,0),N(Reales!CL31)),CL$157*INDEX(Precio_V,7)*INDEX(IdxPrecio_V,1,MIN(10,CL$147))*(1+V_dPrecio))</f>
        <v>0</v>
      </c>
      <c r="CM169" s="34" t="n">
        <f aca="false">IF(CM$8=1,IF(Reales!$C$31="PYG",IF(CM$10&gt;0,N(Reales!CM31)/CM$10,0),N(Reales!CM31)),CM$157*INDEX(Precio_V,7)*INDEX(IdxPrecio_V,1,MIN(10,CM$147))*(1+V_dPrecio))</f>
        <v>0</v>
      </c>
      <c r="CN169" s="34" t="n">
        <f aca="false">IF(CN$8=1,IF(Reales!$C$31="PYG",IF(CN$10&gt;0,N(Reales!CN31)/CN$10,0),N(Reales!CN31)),CN$157*INDEX(Precio_V,7)*INDEX(IdxPrecio_V,1,MIN(10,CN$147))*(1+V_dPrecio))</f>
        <v>0</v>
      </c>
      <c r="CO169" s="34" t="n">
        <f aca="false">IF(CO$8=1,IF(Reales!$C$31="PYG",IF(CO$10&gt;0,N(Reales!CO31)/CO$10,0),N(Reales!CO31)),CO$157*INDEX(Precio_V,7)*INDEX(IdxPrecio_V,1,MIN(10,CO$147))*(1+V_dPrecio))</f>
        <v>0</v>
      </c>
      <c r="CP169" s="34" t="n">
        <f aca="false">IF(CP$8=1,IF(Reales!$C$31="PYG",IF(CP$10&gt;0,N(Reales!CP31)/CP$10,0),N(Reales!CP31)),CP$157*INDEX(Precio_V,7)*INDEX(IdxPrecio_V,1,MIN(10,CP$147))*(1+V_dPrecio))</f>
        <v>0</v>
      </c>
      <c r="CQ169" s="34" t="n">
        <f aca="false">IF(CQ$8=1,IF(Reales!$C$31="PYG",IF(CQ$10&gt;0,N(Reales!CQ31)/CQ$10,0),N(Reales!CQ31)),CQ$157*INDEX(Precio_V,7)*INDEX(IdxPrecio_V,1,MIN(10,CQ$147))*(1+V_dPrecio))</f>
        <v>0</v>
      </c>
      <c r="CR169" s="34" t="n">
        <f aca="false">IF(CR$8=1,IF(Reales!$C$31="PYG",IF(CR$10&gt;0,N(Reales!CR31)/CR$10,0),N(Reales!CR31)),CR$157*INDEX(Precio_V,7)*INDEX(IdxPrecio_V,1,MIN(10,CR$147))*(1+V_dPrecio))</f>
        <v>0</v>
      </c>
      <c r="CS169" s="34" t="n">
        <f aca="false">IF(CS$8=1,IF(Reales!$C$31="PYG",IF(CS$10&gt;0,N(Reales!CS31)/CS$10,0),N(Reales!CS31)),CS$157*INDEX(Precio_V,7)*INDEX(IdxPrecio_V,1,MIN(10,CS$147))*(1+V_dPrecio))</f>
        <v>0</v>
      </c>
      <c r="CT169" s="34" t="n">
        <f aca="false">IF(CT$8=1,IF(Reales!$C$31="PYG",IF(CT$10&gt;0,N(Reales!CT31)/CT$10,0),N(Reales!CT31)),CT$157*INDEX(Precio_V,7)*INDEX(IdxPrecio_V,1,MIN(10,CT$147))*(1+V_dPrecio))</f>
        <v>0</v>
      </c>
      <c r="CU169" s="34" t="n">
        <f aca="false">IF(CU$8=1,IF(Reales!$C$31="PYG",IF(CU$10&gt;0,N(Reales!CU31)/CU$10,0),N(Reales!CU31)),CU$157*INDEX(Precio_V,7)*INDEX(IdxPrecio_V,1,MIN(10,CU$147))*(1+V_dPrecio))</f>
        <v>0</v>
      </c>
      <c r="CV169" s="34" t="n">
        <f aca="false">IF(CV$8=1,IF(Reales!$C$31="PYG",IF(CV$10&gt;0,N(Reales!CV31)/CV$10,0),N(Reales!CV31)),CV$157*INDEX(Precio_V,7)*INDEX(IdxPrecio_V,1,MIN(10,CV$147))*(1+V_dPrecio))</f>
        <v>0</v>
      </c>
      <c r="CW169" s="34" t="n">
        <f aca="false">IF(CW$8=1,IF(Reales!$C$31="PYG",IF(CW$10&gt;0,N(Reales!CW31)/CW$10,0),N(Reales!CW31)),CW$157*INDEX(Precio_V,7)*INDEX(IdxPrecio_V,1,MIN(10,CW$147))*(1+V_dPrecio))</f>
        <v>0</v>
      </c>
      <c r="CX169" s="34" t="n">
        <f aca="false">IF(CX$8=1,IF(Reales!$C$31="PYG",IF(CX$10&gt;0,N(Reales!CX31)/CX$10,0),N(Reales!CX31)),CX$157*INDEX(Precio_V,7)*INDEX(IdxPrecio_V,1,MIN(10,CX$147))*(1+V_dPrecio))</f>
        <v>0</v>
      </c>
      <c r="CY169" s="34" t="n">
        <f aca="false">IF(CY$8=1,IF(Reales!$C$31="PYG",IF(CY$10&gt;0,N(Reales!CY31)/CY$10,0),N(Reales!CY31)),CY$157*INDEX(Precio_V,7)*INDEX(IdxPrecio_V,1,MIN(10,CY$147))*(1+V_dPrecio))</f>
        <v>0</v>
      </c>
      <c r="CZ169" s="34" t="n">
        <f aca="false">IF(CZ$8=1,IF(Reales!$C$31="PYG",IF(CZ$10&gt;0,N(Reales!CZ31)/CZ$10,0),N(Reales!CZ31)),CZ$157*INDEX(Precio_V,7)*INDEX(IdxPrecio_V,1,MIN(10,CZ$147))*(1+V_dPrecio))</f>
        <v>0</v>
      </c>
      <c r="DA169" s="34" t="n">
        <f aca="false">IF(DA$8=1,IF(Reales!$C$31="PYG",IF(DA$10&gt;0,N(Reales!DA31)/DA$10,0),N(Reales!DA31)),DA$157*INDEX(Precio_V,7)*INDEX(IdxPrecio_V,1,MIN(10,DA$147))*(1+V_dPrecio))</f>
        <v>0</v>
      </c>
      <c r="DB169" s="34" t="n">
        <f aca="false">IF(DB$8=1,IF(Reales!$C$31="PYG",IF(DB$10&gt;0,N(Reales!DB31)/DB$10,0),N(Reales!DB31)),DB$157*INDEX(Precio_V,7)*INDEX(IdxPrecio_V,1,MIN(10,DB$147))*(1+V_dPrecio))</f>
        <v>0</v>
      </c>
      <c r="DC169" s="34" t="n">
        <f aca="false">IF(DC$8=1,IF(Reales!$C$31="PYG",IF(DC$10&gt;0,N(Reales!DC31)/DC$10,0),N(Reales!DC31)),DC$157*INDEX(Precio_V,7)*INDEX(IdxPrecio_V,1,MIN(10,DC$147))*(1+V_dPrecio))</f>
        <v>0</v>
      </c>
      <c r="DD169" s="34" t="n">
        <f aca="false">IF(DD$8=1,IF(Reales!$C$31="PYG",IF(DD$10&gt;0,N(Reales!DD31)/DD$10,0),N(Reales!DD31)),DD$157*INDEX(Precio_V,7)*INDEX(IdxPrecio_V,1,MIN(10,DD$147))*(1+V_dPrecio))</f>
        <v>0</v>
      </c>
      <c r="DE169" s="34" t="n">
        <f aca="false">IF(DE$8=1,IF(Reales!$C$31="PYG",IF(DE$10&gt;0,N(Reales!DE31)/DE$10,0),N(Reales!DE31)),DE$157*INDEX(Precio_V,7)*INDEX(IdxPrecio_V,1,MIN(10,DE$147))*(1+V_dPrecio))</f>
        <v>0</v>
      </c>
      <c r="DF169" s="34" t="n">
        <f aca="false">IF(DF$8=1,IF(Reales!$C$31="PYG",IF(DF$10&gt;0,N(Reales!DF31)/DF$10,0),N(Reales!DF31)),DF$157*INDEX(Precio_V,7)*INDEX(IdxPrecio_V,1,MIN(10,DF$147))*(1+V_dPrecio))</f>
        <v>0</v>
      </c>
      <c r="DG169" s="34" t="n">
        <f aca="false">IF(DG$8=1,IF(Reales!$C$31="PYG",IF(DG$10&gt;0,N(Reales!DG31)/DG$10,0),N(Reales!DG31)),DG$157*INDEX(Precio_V,7)*INDEX(IdxPrecio_V,1,MIN(10,DG$147))*(1+V_dPrecio))</f>
        <v>0</v>
      </c>
      <c r="DH169" s="34" t="n">
        <f aca="false">IF(DH$8=1,IF(Reales!$C$31="PYG",IF(DH$10&gt;0,N(Reales!DH31)/DH$10,0),N(Reales!DH31)),DH$157*INDEX(Precio_V,7)*INDEX(IdxPrecio_V,1,MIN(10,DH$147))*(1+V_dPrecio))</f>
        <v>0</v>
      </c>
      <c r="DI169" s="34" t="n">
        <f aca="false">IF(DI$8=1,IF(Reales!$C$31="PYG",IF(DI$10&gt;0,N(Reales!DI31)/DI$10,0),N(Reales!DI31)),DI$157*INDEX(Precio_V,7)*INDEX(IdxPrecio_V,1,MIN(10,DI$147))*(1+V_dPrecio))</f>
        <v>0</v>
      </c>
      <c r="DJ169" s="34" t="n">
        <f aca="false">IF(DJ$8=1,IF(Reales!$C$31="PYG",IF(DJ$10&gt;0,N(Reales!DJ31)/DJ$10,0),N(Reales!DJ31)),DJ$157*INDEX(Precio_V,7)*INDEX(IdxPrecio_V,1,MIN(10,DJ$147))*(1+V_dPrecio))</f>
        <v>0</v>
      </c>
      <c r="DK169" s="34" t="n">
        <f aca="false">IF(DK$8=1,IF(Reales!$C$31="PYG",IF(DK$10&gt;0,N(Reales!DK31)/DK$10,0),N(Reales!DK31)),DK$157*INDEX(Precio_V,7)*INDEX(IdxPrecio_V,1,MIN(10,DK$147))*(1+V_dPrecio))</f>
        <v>0</v>
      </c>
      <c r="DL169" s="34" t="n">
        <f aca="false">IF(DL$8=1,IF(Reales!$C$31="PYG",IF(DL$10&gt;0,N(Reales!DL31)/DL$10,0),N(Reales!DL31)),DL$157*INDEX(Precio_V,7)*INDEX(IdxPrecio_V,1,MIN(10,DL$147))*(1+V_dPrecio))</f>
        <v>0</v>
      </c>
      <c r="DM169" s="34" t="n">
        <f aca="false">IF(DM$8=1,IF(Reales!$C$31="PYG",IF(DM$10&gt;0,N(Reales!DM31)/DM$10,0),N(Reales!DM31)),DM$157*INDEX(Precio_V,7)*INDEX(IdxPrecio_V,1,MIN(10,DM$147))*(1+V_dPrecio))</f>
        <v>0</v>
      </c>
      <c r="DN169" s="34" t="n">
        <f aca="false">IF(DN$8=1,IF(Reales!$C$31="PYG",IF(DN$10&gt;0,N(Reales!DN31)/DN$10,0),N(Reales!DN31)),DN$157*INDEX(Precio_V,7)*INDEX(IdxPrecio_V,1,MIN(10,DN$147))*(1+V_dPrecio))</f>
        <v>0</v>
      </c>
      <c r="DO169" s="34" t="n">
        <f aca="false">IF(DO$8=1,IF(Reales!$C$31="PYG",IF(DO$10&gt;0,N(Reales!DO31)/DO$10,0),N(Reales!DO31)),DO$157*INDEX(Precio_V,7)*INDEX(IdxPrecio_V,1,MIN(10,DO$147))*(1+V_dPrecio))</f>
        <v>0</v>
      </c>
      <c r="DP169" s="34" t="n">
        <f aca="false">IF(DP$8=1,IF(Reales!$C$31="PYG",IF(DP$10&gt;0,N(Reales!DP31)/DP$10,0),N(Reales!DP31)),DP$157*INDEX(Precio_V,7)*INDEX(IdxPrecio_V,1,MIN(10,DP$147))*(1+V_dPrecio))</f>
        <v>0</v>
      </c>
      <c r="DQ169" s="34" t="n">
        <f aca="false">IF(DQ$8=1,IF(Reales!$C$31="PYG",IF(DQ$10&gt;0,N(Reales!DQ31)/DQ$10,0),N(Reales!DQ31)),DQ$157*INDEX(Precio_V,7)*INDEX(IdxPrecio_V,1,MIN(10,DQ$147))*(1+V_dPrecio))</f>
        <v>0</v>
      </c>
      <c r="DR169" s="34" t="n">
        <f aca="false">IF(DR$8=1,IF(Reales!$C$31="PYG",IF(DR$10&gt;0,N(Reales!DR31)/DR$10,0),N(Reales!DR31)),DR$157*INDEX(Precio_V,7)*INDEX(IdxPrecio_V,1,MIN(10,DR$147))*(1+V_dPrecio))</f>
        <v>0</v>
      </c>
      <c r="DS169" s="34" t="n">
        <f aca="false">IF(DS$8=1,IF(Reales!$C$31="PYG",IF(DS$10&gt;0,N(Reales!DS31)/DS$10,0),N(Reales!DS31)),DS$157*INDEX(Precio_V,7)*INDEX(IdxPrecio_V,1,MIN(10,DS$147))*(1+V_dPrecio))</f>
        <v>0</v>
      </c>
      <c r="DT169" s="34" t="n">
        <f aca="false">IF(DT$8=1,IF(Reales!$C$31="PYG",IF(DT$10&gt;0,N(Reales!DT31)/DT$10,0),N(Reales!DT31)),DT$157*INDEX(Precio_V,7)*INDEX(IdxPrecio_V,1,MIN(10,DT$147))*(1+V_dPrecio))</f>
        <v>0</v>
      </c>
      <c r="DU169" s="34" t="n">
        <f aca="false">IF(DU$8=1,IF(Reales!$C$31="PYG",IF(DU$10&gt;0,N(Reales!DU31)/DU$10,0),N(Reales!DU31)),DU$157*INDEX(Precio_V,7)*INDEX(IdxPrecio_V,1,MIN(10,DU$147))*(1+V_dPrecio))</f>
        <v>0</v>
      </c>
      <c r="DV169" s="34" t="n">
        <f aca="false">IF(DV$8=1,IF(Reales!$C$31="PYG",IF(DV$10&gt;0,N(Reales!DV31)/DV$10,0),N(Reales!DV31)),DV$157*INDEX(Precio_V,7)*INDEX(IdxPrecio_V,1,MIN(10,DV$147))*(1+V_dPrecio))</f>
        <v>0</v>
      </c>
      <c r="DW169" s="34" t="n">
        <f aca="false">IF(DW$8=1,IF(Reales!$C$31="PYG",IF(DW$10&gt;0,N(Reales!DW31)/DW$10,0),N(Reales!DW31)),DW$157*INDEX(Precio_V,7)*INDEX(IdxPrecio_V,1,MIN(10,DW$147))*(1+V_dPrecio))</f>
        <v>0</v>
      </c>
      <c r="DX169" s="34" t="n">
        <f aca="false">IF(DX$8=1,IF(Reales!$C$31="PYG",IF(DX$10&gt;0,N(Reales!DX31)/DX$10,0),N(Reales!DX31)),DX$157*INDEX(Precio_V,7)*INDEX(IdxPrecio_V,1,MIN(10,DX$147))*(1+V_dPrecio))</f>
        <v>0</v>
      </c>
      <c r="DY169" s="34" t="n">
        <f aca="false">IF(DY$8=1,IF(Reales!$C$31="PYG",IF(DY$10&gt;0,N(Reales!DY31)/DY$10,0),N(Reales!DY31)),DY$157*INDEX(Precio_V,7)*INDEX(IdxPrecio_V,1,MIN(10,DY$147))*(1+V_dPrecio))</f>
        <v>0</v>
      </c>
      <c r="DZ169" s="34" t="n">
        <f aca="false">IF(DZ$8=1,IF(Reales!$C$31="PYG",IF(DZ$10&gt;0,N(Reales!DZ31)/DZ$10,0),N(Reales!DZ31)),DZ$157*INDEX(Precio_V,7)*INDEX(IdxPrecio_V,1,MIN(10,DZ$147))*(1+V_dPrecio))</f>
        <v>0</v>
      </c>
      <c r="EA169" s="34" t="n">
        <f aca="false">IF(EA$8=1,IF(Reales!$C$31="PYG",IF(EA$10&gt;0,N(Reales!EA31)/EA$10,0),N(Reales!EA31)),EA$157*INDEX(Precio_V,7)*INDEX(IdxPrecio_V,1,MIN(10,EA$147))*(1+V_dPrecio))</f>
        <v>0</v>
      </c>
      <c r="EB169" s="34" t="n">
        <f aca="false">IF(EB$8=1,IF(Reales!$C$31="PYG",IF(EB$10&gt;0,N(Reales!EB31)/EB$10,0),N(Reales!EB31)),EB$157*INDEX(Precio_V,7)*INDEX(IdxPrecio_V,1,MIN(10,EB$147))*(1+V_dPrecio))</f>
        <v>0</v>
      </c>
      <c r="EC169" s="34" t="n">
        <f aca="false">IF(EC$8=1,IF(Reales!$C$31="PYG",IF(EC$10&gt;0,N(Reales!EC31)/EC$10,0),N(Reales!EC31)),EC$157*INDEX(Precio_V,7)*INDEX(IdxPrecio_V,1,MIN(10,EC$147))*(1+V_dPrecio))</f>
        <v>0</v>
      </c>
      <c r="ED169" s="34" t="n">
        <f aca="false">IF(ED$8=1,IF(Reales!$C$31="PYG",IF(ED$10&gt;0,N(Reales!ED31)/ED$10,0),N(Reales!ED31)),ED$157*INDEX(Precio_V,7)*INDEX(IdxPrecio_V,1,MIN(10,ED$147))*(1+V_dPrecio))</f>
        <v>0</v>
      </c>
      <c r="EE169" s="34" t="n">
        <f aca="false">IF(EE$8=1,IF(Reales!$C$31="PYG",IF(EE$10&gt;0,N(Reales!EE31)/EE$10,0),N(Reales!EE31)),EE$157*INDEX(Precio_V,7)*INDEX(IdxPrecio_V,1,MIN(10,EE$147))*(1+V_dPrecio))</f>
        <v>0</v>
      </c>
      <c r="EF169" s="34" t="n">
        <f aca="false">IF(EF$8=1,IF(Reales!$C$31="PYG",IF(EF$10&gt;0,N(Reales!EF31)/EF$10,0),N(Reales!EF31)),EF$157*INDEX(Precio_V,7)*INDEX(IdxPrecio_V,1,MIN(10,EF$147))*(1+V_dPrecio))</f>
        <v>0</v>
      </c>
      <c r="EG169" s="34" t="n">
        <f aca="false">IF(EG$8=1,IF(Reales!$C$31="PYG",IF(EG$10&gt;0,N(Reales!EG31)/EG$10,0),N(Reales!EG31)),EG$157*INDEX(Precio_V,7)*INDEX(IdxPrecio_V,1,MIN(10,EG$147))*(1+V_dPrecio))</f>
        <v>0</v>
      </c>
      <c r="EH169" s="34" t="n">
        <f aca="false">IF(EH$8=1,IF(Reales!$C$31="PYG",IF(EH$10&gt;0,N(Reales!EH31)/EH$10,0),N(Reales!EH31)),EH$157*INDEX(Precio_V,7)*INDEX(IdxPrecio_V,1,MIN(10,EH$147))*(1+V_dPrecio))</f>
        <v>0</v>
      </c>
      <c r="EI169" s="34" t="n">
        <f aca="false">IF(EI$8=1,IF(Reales!$C$31="PYG",IF(EI$10&gt;0,N(Reales!EI31)/EI$10,0),N(Reales!EI31)),EI$157*INDEX(Precio_V,7)*INDEX(IdxPrecio_V,1,MIN(10,EI$147))*(1+V_dPrecio))</f>
        <v>0</v>
      </c>
      <c r="EJ169" s="34" t="n">
        <f aca="false">IF(EJ$8=1,IF(Reales!$C$31="PYG",IF(EJ$10&gt;0,N(Reales!EJ31)/EJ$10,0),N(Reales!EJ31)),EJ$157*INDEX(Precio_V,7)*INDEX(IdxPrecio_V,1,MIN(10,EJ$147))*(1+V_dPrecio))</f>
        <v>0</v>
      </c>
      <c r="EK169" s="34" t="n">
        <f aca="false">IF(EK$8=1,IF(Reales!$C$31="PYG",IF(EK$10&gt;0,N(Reales!EK31)/EK$10,0),N(Reales!EK31)),EK$157*INDEX(Precio_V,7)*INDEX(IdxPrecio_V,1,MIN(10,EK$147))*(1+V_dPrecio))</f>
        <v>0</v>
      </c>
      <c r="EL169" s="34" t="n">
        <f aca="false">IF(EL$8=1,IF(Reales!$C$31="PYG",IF(EL$10&gt;0,N(Reales!EL31)/EL$10,0),N(Reales!EL31)),EL$157*INDEX(Precio_V,7)*INDEX(IdxPrecio_V,1,MIN(10,EL$147))*(1+V_dPrecio))</f>
        <v>0</v>
      </c>
      <c r="EM169" s="34" t="n">
        <f aca="false">IF(EM$8=1,IF(Reales!$C$31="PYG",IF(EM$10&gt;0,N(Reales!EM31)/EM$10,0),N(Reales!EM31)),EM$157*INDEX(Precio_V,7)*INDEX(IdxPrecio_V,1,MIN(10,EM$147))*(1+V_dPrecio))</f>
        <v>0</v>
      </c>
      <c r="EN169" s="34" t="n">
        <f aca="false">IF(EN$8=1,IF(Reales!$C$31="PYG",IF(EN$10&gt;0,N(Reales!EN31)/EN$10,0),N(Reales!EN31)),EN$157*INDEX(Precio_V,7)*INDEX(IdxPrecio_V,1,MIN(10,EN$147))*(1+V_dPrecio))</f>
        <v>0</v>
      </c>
      <c r="EO169" s="34" t="n">
        <f aca="false">IF(EO$8=1,IF(Reales!$C$31="PYG",IF(EO$10&gt;0,N(Reales!EO31)/EO$10,0),N(Reales!EO31)),EO$157*INDEX(Precio_V,7)*INDEX(IdxPrecio_V,1,MIN(10,EO$147))*(1+V_dPrecio))</f>
        <v>0</v>
      </c>
      <c r="EP169" s="34" t="n">
        <f aca="false">IF(EP$8=1,IF(Reales!$C$31="PYG",IF(EP$10&gt;0,N(Reales!EP31)/EP$10,0),N(Reales!EP31)),EP$157*INDEX(Precio_V,7)*INDEX(IdxPrecio_V,1,MIN(10,EP$147))*(1+V_dPrecio))</f>
        <v>0</v>
      </c>
      <c r="EQ169" s="34" t="n">
        <f aca="false">IF(EQ$8=1,IF(Reales!$C$31="PYG",IF(EQ$10&gt;0,N(Reales!EQ31)/EQ$10,0),N(Reales!EQ31)),EQ$157*INDEX(Precio_V,7)*INDEX(IdxPrecio_V,1,MIN(10,EQ$147))*(1+V_dPrecio))</f>
        <v>0</v>
      </c>
      <c r="ER169" s="34" t="n">
        <f aca="false">IF(ER$8=1,IF(Reales!$C$31="PYG",IF(ER$10&gt;0,N(Reales!ER31)/ER$10,0),N(Reales!ER31)),ER$157*INDEX(Precio_V,7)*INDEX(IdxPrecio_V,1,MIN(10,ER$147))*(1+V_dPrecio))</f>
        <v>0</v>
      </c>
      <c r="ES169" s="34" t="n">
        <f aca="false">IF(ES$8=1,IF(Reales!$C$31="PYG",IF(ES$10&gt;0,N(Reales!ES31)/ES$10,0),N(Reales!ES31)),ES$157*INDEX(Precio_V,7)*INDEX(IdxPrecio_V,1,MIN(10,ES$147))*(1+V_dPrecio))</f>
        <v>0</v>
      </c>
    </row>
    <row r="170" customFormat="false" ht="15" hidden="false" customHeight="false" outlineLevel="0" collapsed="false">
      <c r="A170" s="2" t="s">
        <v>786</v>
      </c>
      <c r="B170" s="39" t="str">
        <f aca="false">IF(INDEX(Prod_Nombre,8)="","Producto 8",INDEX(Prod_Nombre,8))&amp;" — ventas USD"</f>
        <v>Producto 8 — ventas USD</v>
      </c>
      <c r="C170" s="6" t="s">
        <v>250</v>
      </c>
      <c r="E170" s="40" t="n">
        <f aca="false">SUM(F170:ES170)</f>
        <v>0</v>
      </c>
      <c r="F170" s="34" t="n">
        <f aca="false">IF(F$8=1,IF(Reales!$C$32="PYG",IF(F$10&gt;0,N(Reales!F32)/F$10,0),N(Reales!F32)),F$158*INDEX(Precio_V,8)*INDEX(IdxPrecio_V,1,MIN(10,F$147))*(1+V_dPrecio))</f>
        <v>0</v>
      </c>
      <c r="G170" s="34" t="n">
        <f aca="false">IF(G$8=1,IF(Reales!$C$32="PYG",IF(G$10&gt;0,N(Reales!G32)/G$10,0),N(Reales!G32)),G$158*INDEX(Precio_V,8)*INDEX(IdxPrecio_V,1,MIN(10,G$147))*(1+V_dPrecio))</f>
        <v>0</v>
      </c>
      <c r="H170" s="34" t="n">
        <f aca="false">IF(H$8=1,IF(Reales!$C$32="PYG",IF(H$10&gt;0,N(Reales!H32)/H$10,0),N(Reales!H32)),H$158*INDEX(Precio_V,8)*INDEX(IdxPrecio_V,1,MIN(10,H$147))*(1+V_dPrecio))</f>
        <v>0</v>
      </c>
      <c r="I170" s="34" t="n">
        <f aca="false">IF(I$8=1,IF(Reales!$C$32="PYG",IF(I$10&gt;0,N(Reales!I32)/I$10,0),N(Reales!I32)),I$158*INDEX(Precio_V,8)*INDEX(IdxPrecio_V,1,MIN(10,I$147))*(1+V_dPrecio))</f>
        <v>0</v>
      </c>
      <c r="J170" s="34" t="n">
        <f aca="false">IF(J$8=1,IF(Reales!$C$32="PYG",IF(J$10&gt;0,N(Reales!J32)/J$10,0),N(Reales!J32)),J$158*INDEX(Precio_V,8)*INDEX(IdxPrecio_V,1,MIN(10,J$147))*(1+V_dPrecio))</f>
        <v>0</v>
      </c>
      <c r="K170" s="34" t="n">
        <f aca="false">IF(K$8=1,IF(Reales!$C$32="PYG",IF(K$10&gt;0,N(Reales!K32)/K$10,0),N(Reales!K32)),K$158*INDEX(Precio_V,8)*INDEX(IdxPrecio_V,1,MIN(10,K$147))*(1+V_dPrecio))</f>
        <v>0</v>
      </c>
      <c r="L170" s="34" t="n">
        <f aca="false">IF(L$8=1,IF(Reales!$C$32="PYG",IF(L$10&gt;0,N(Reales!L32)/L$10,0),N(Reales!L32)),L$158*INDEX(Precio_V,8)*INDEX(IdxPrecio_V,1,MIN(10,L$147))*(1+V_dPrecio))</f>
        <v>0</v>
      </c>
      <c r="M170" s="34" t="n">
        <f aca="false">IF(M$8=1,IF(Reales!$C$32="PYG",IF(M$10&gt;0,N(Reales!M32)/M$10,0),N(Reales!M32)),M$158*INDEX(Precio_V,8)*INDEX(IdxPrecio_V,1,MIN(10,M$147))*(1+V_dPrecio))</f>
        <v>0</v>
      </c>
      <c r="N170" s="34" t="n">
        <f aca="false">IF(N$8=1,IF(Reales!$C$32="PYG",IF(N$10&gt;0,N(Reales!N32)/N$10,0),N(Reales!N32)),N$158*INDEX(Precio_V,8)*INDEX(IdxPrecio_V,1,MIN(10,N$147))*(1+V_dPrecio))</f>
        <v>0</v>
      </c>
      <c r="O170" s="34" t="n">
        <f aca="false">IF(O$8=1,IF(Reales!$C$32="PYG",IF(O$10&gt;0,N(Reales!O32)/O$10,0),N(Reales!O32)),O$158*INDEX(Precio_V,8)*INDEX(IdxPrecio_V,1,MIN(10,O$147))*(1+V_dPrecio))</f>
        <v>0</v>
      </c>
      <c r="P170" s="34" t="n">
        <f aca="false">IF(P$8=1,IF(Reales!$C$32="PYG",IF(P$10&gt;0,N(Reales!P32)/P$10,0),N(Reales!P32)),P$158*INDEX(Precio_V,8)*INDEX(IdxPrecio_V,1,MIN(10,P$147))*(1+V_dPrecio))</f>
        <v>0</v>
      </c>
      <c r="Q170" s="34" t="n">
        <f aca="false">IF(Q$8=1,IF(Reales!$C$32="PYG",IF(Q$10&gt;0,N(Reales!Q32)/Q$10,0),N(Reales!Q32)),Q$158*INDEX(Precio_V,8)*INDEX(IdxPrecio_V,1,MIN(10,Q$147))*(1+V_dPrecio))</f>
        <v>0</v>
      </c>
      <c r="R170" s="34" t="n">
        <f aca="false">IF(R$8=1,IF(Reales!$C$32="PYG",IF(R$10&gt;0,N(Reales!R32)/R$10,0),N(Reales!R32)),R$158*INDEX(Precio_V,8)*INDEX(IdxPrecio_V,1,MIN(10,R$147))*(1+V_dPrecio))</f>
        <v>0</v>
      </c>
      <c r="S170" s="34" t="n">
        <f aca="false">IF(S$8=1,IF(Reales!$C$32="PYG",IF(S$10&gt;0,N(Reales!S32)/S$10,0),N(Reales!S32)),S$158*INDEX(Precio_V,8)*INDEX(IdxPrecio_V,1,MIN(10,S$147))*(1+V_dPrecio))</f>
        <v>0</v>
      </c>
      <c r="T170" s="34" t="n">
        <f aca="false">IF(T$8=1,IF(Reales!$C$32="PYG",IF(T$10&gt;0,N(Reales!T32)/T$10,0),N(Reales!T32)),T$158*INDEX(Precio_V,8)*INDEX(IdxPrecio_V,1,MIN(10,T$147))*(1+V_dPrecio))</f>
        <v>0</v>
      </c>
      <c r="U170" s="34" t="n">
        <f aca="false">IF(U$8=1,IF(Reales!$C$32="PYG",IF(U$10&gt;0,N(Reales!U32)/U$10,0),N(Reales!U32)),U$158*INDEX(Precio_V,8)*INDEX(IdxPrecio_V,1,MIN(10,U$147))*(1+V_dPrecio))</f>
        <v>0</v>
      </c>
      <c r="V170" s="34" t="n">
        <f aca="false">IF(V$8=1,IF(Reales!$C$32="PYG",IF(V$10&gt;0,N(Reales!V32)/V$10,0),N(Reales!V32)),V$158*INDEX(Precio_V,8)*INDEX(IdxPrecio_V,1,MIN(10,V$147))*(1+V_dPrecio))</f>
        <v>0</v>
      </c>
      <c r="W170" s="34" t="n">
        <f aca="false">IF(W$8=1,IF(Reales!$C$32="PYG",IF(W$10&gt;0,N(Reales!W32)/W$10,0),N(Reales!W32)),W$158*INDEX(Precio_V,8)*INDEX(IdxPrecio_V,1,MIN(10,W$147))*(1+V_dPrecio))</f>
        <v>0</v>
      </c>
      <c r="X170" s="34" t="n">
        <f aca="false">IF(X$8=1,IF(Reales!$C$32="PYG",IF(X$10&gt;0,N(Reales!X32)/X$10,0),N(Reales!X32)),X$158*INDEX(Precio_V,8)*INDEX(IdxPrecio_V,1,MIN(10,X$147))*(1+V_dPrecio))</f>
        <v>0</v>
      </c>
      <c r="Y170" s="34" t="n">
        <f aca="false">IF(Y$8=1,IF(Reales!$C$32="PYG",IF(Y$10&gt;0,N(Reales!Y32)/Y$10,0),N(Reales!Y32)),Y$158*INDEX(Precio_V,8)*INDEX(IdxPrecio_V,1,MIN(10,Y$147))*(1+V_dPrecio))</f>
        <v>0</v>
      </c>
      <c r="Z170" s="34" t="n">
        <f aca="false">IF(Z$8=1,IF(Reales!$C$32="PYG",IF(Z$10&gt;0,N(Reales!Z32)/Z$10,0),N(Reales!Z32)),Z$158*INDEX(Precio_V,8)*INDEX(IdxPrecio_V,1,MIN(10,Z$147))*(1+V_dPrecio))</f>
        <v>0</v>
      </c>
      <c r="AA170" s="34" t="n">
        <f aca="false">IF(AA$8=1,IF(Reales!$C$32="PYG",IF(AA$10&gt;0,N(Reales!AA32)/AA$10,0),N(Reales!AA32)),AA$158*INDEX(Precio_V,8)*INDEX(IdxPrecio_V,1,MIN(10,AA$147))*(1+V_dPrecio))</f>
        <v>0</v>
      </c>
      <c r="AB170" s="34" t="n">
        <f aca="false">IF(AB$8=1,IF(Reales!$C$32="PYG",IF(AB$10&gt;0,N(Reales!AB32)/AB$10,0),N(Reales!AB32)),AB$158*INDEX(Precio_V,8)*INDEX(IdxPrecio_V,1,MIN(10,AB$147))*(1+V_dPrecio))</f>
        <v>0</v>
      </c>
      <c r="AC170" s="34" t="n">
        <f aca="false">IF(AC$8=1,IF(Reales!$C$32="PYG",IF(AC$10&gt;0,N(Reales!AC32)/AC$10,0),N(Reales!AC32)),AC$158*INDEX(Precio_V,8)*INDEX(IdxPrecio_V,1,MIN(10,AC$147))*(1+V_dPrecio))</f>
        <v>0</v>
      </c>
      <c r="AD170" s="34" t="n">
        <f aca="false">IF(AD$8=1,IF(Reales!$C$32="PYG",IF(AD$10&gt;0,N(Reales!AD32)/AD$10,0),N(Reales!AD32)),AD$158*INDEX(Precio_V,8)*INDEX(IdxPrecio_V,1,MIN(10,AD$147))*(1+V_dPrecio))</f>
        <v>0</v>
      </c>
      <c r="AE170" s="34" t="n">
        <f aca="false">IF(AE$8=1,IF(Reales!$C$32="PYG",IF(AE$10&gt;0,N(Reales!AE32)/AE$10,0),N(Reales!AE32)),AE$158*INDEX(Precio_V,8)*INDEX(IdxPrecio_V,1,MIN(10,AE$147))*(1+V_dPrecio))</f>
        <v>0</v>
      </c>
      <c r="AF170" s="34" t="n">
        <f aca="false">IF(AF$8=1,IF(Reales!$C$32="PYG",IF(AF$10&gt;0,N(Reales!AF32)/AF$10,0),N(Reales!AF32)),AF$158*INDEX(Precio_V,8)*INDEX(IdxPrecio_V,1,MIN(10,AF$147))*(1+V_dPrecio))</f>
        <v>0</v>
      </c>
      <c r="AG170" s="34" t="n">
        <f aca="false">IF(AG$8=1,IF(Reales!$C$32="PYG",IF(AG$10&gt;0,N(Reales!AG32)/AG$10,0),N(Reales!AG32)),AG$158*INDEX(Precio_V,8)*INDEX(IdxPrecio_V,1,MIN(10,AG$147))*(1+V_dPrecio))</f>
        <v>0</v>
      </c>
      <c r="AH170" s="34" t="n">
        <f aca="false">IF(AH$8=1,IF(Reales!$C$32="PYG",IF(AH$10&gt;0,N(Reales!AH32)/AH$10,0),N(Reales!AH32)),AH$158*INDEX(Precio_V,8)*INDEX(IdxPrecio_V,1,MIN(10,AH$147))*(1+V_dPrecio))</f>
        <v>0</v>
      </c>
      <c r="AI170" s="34" t="n">
        <f aca="false">IF(AI$8=1,IF(Reales!$C$32="PYG",IF(AI$10&gt;0,N(Reales!AI32)/AI$10,0),N(Reales!AI32)),AI$158*INDEX(Precio_V,8)*INDEX(IdxPrecio_V,1,MIN(10,AI$147))*(1+V_dPrecio))</f>
        <v>0</v>
      </c>
      <c r="AJ170" s="34" t="n">
        <f aca="false">IF(AJ$8=1,IF(Reales!$C$32="PYG",IF(AJ$10&gt;0,N(Reales!AJ32)/AJ$10,0),N(Reales!AJ32)),AJ$158*INDEX(Precio_V,8)*INDEX(IdxPrecio_V,1,MIN(10,AJ$147))*(1+V_dPrecio))</f>
        <v>0</v>
      </c>
      <c r="AK170" s="34" t="n">
        <f aca="false">IF(AK$8=1,IF(Reales!$C$32="PYG",IF(AK$10&gt;0,N(Reales!AK32)/AK$10,0),N(Reales!AK32)),AK$158*INDEX(Precio_V,8)*INDEX(IdxPrecio_V,1,MIN(10,AK$147))*(1+V_dPrecio))</f>
        <v>0</v>
      </c>
      <c r="AL170" s="34" t="n">
        <f aca="false">IF(AL$8=1,IF(Reales!$C$32="PYG",IF(AL$10&gt;0,N(Reales!AL32)/AL$10,0),N(Reales!AL32)),AL$158*INDEX(Precio_V,8)*INDEX(IdxPrecio_V,1,MIN(10,AL$147))*(1+V_dPrecio))</f>
        <v>0</v>
      </c>
      <c r="AM170" s="34" t="n">
        <f aca="false">IF(AM$8=1,IF(Reales!$C$32="PYG",IF(AM$10&gt;0,N(Reales!AM32)/AM$10,0),N(Reales!AM32)),AM$158*INDEX(Precio_V,8)*INDEX(IdxPrecio_V,1,MIN(10,AM$147))*(1+V_dPrecio))</f>
        <v>0</v>
      </c>
      <c r="AN170" s="34" t="n">
        <f aca="false">IF(AN$8=1,IF(Reales!$C$32="PYG",IF(AN$10&gt;0,N(Reales!AN32)/AN$10,0),N(Reales!AN32)),AN$158*INDEX(Precio_V,8)*INDEX(IdxPrecio_V,1,MIN(10,AN$147))*(1+V_dPrecio))</f>
        <v>0</v>
      </c>
      <c r="AO170" s="34" t="n">
        <f aca="false">IF(AO$8=1,IF(Reales!$C$32="PYG",IF(AO$10&gt;0,N(Reales!AO32)/AO$10,0),N(Reales!AO32)),AO$158*INDEX(Precio_V,8)*INDEX(IdxPrecio_V,1,MIN(10,AO$147))*(1+V_dPrecio))</f>
        <v>0</v>
      </c>
      <c r="AP170" s="34" t="n">
        <f aca="false">IF(AP$8=1,IF(Reales!$C$32="PYG",IF(AP$10&gt;0,N(Reales!AP32)/AP$10,0),N(Reales!AP32)),AP$158*INDEX(Precio_V,8)*INDEX(IdxPrecio_V,1,MIN(10,AP$147))*(1+V_dPrecio))</f>
        <v>0</v>
      </c>
      <c r="AQ170" s="34" t="n">
        <f aca="false">IF(AQ$8=1,IF(Reales!$C$32="PYG",IF(AQ$10&gt;0,N(Reales!AQ32)/AQ$10,0),N(Reales!AQ32)),AQ$158*INDEX(Precio_V,8)*INDEX(IdxPrecio_V,1,MIN(10,AQ$147))*(1+V_dPrecio))</f>
        <v>0</v>
      </c>
      <c r="AR170" s="34" t="n">
        <f aca="false">IF(AR$8=1,IF(Reales!$C$32="PYG",IF(AR$10&gt;0,N(Reales!AR32)/AR$10,0),N(Reales!AR32)),AR$158*INDEX(Precio_V,8)*INDEX(IdxPrecio_V,1,MIN(10,AR$147))*(1+V_dPrecio))</f>
        <v>0</v>
      </c>
      <c r="AS170" s="34" t="n">
        <f aca="false">IF(AS$8=1,IF(Reales!$C$32="PYG",IF(AS$10&gt;0,N(Reales!AS32)/AS$10,0),N(Reales!AS32)),AS$158*INDEX(Precio_V,8)*INDEX(IdxPrecio_V,1,MIN(10,AS$147))*(1+V_dPrecio))</f>
        <v>0</v>
      </c>
      <c r="AT170" s="34" t="n">
        <f aca="false">IF(AT$8=1,IF(Reales!$C$32="PYG",IF(AT$10&gt;0,N(Reales!AT32)/AT$10,0),N(Reales!AT32)),AT$158*INDEX(Precio_V,8)*INDEX(IdxPrecio_V,1,MIN(10,AT$147))*(1+V_dPrecio))</f>
        <v>0</v>
      </c>
      <c r="AU170" s="34" t="n">
        <f aca="false">IF(AU$8=1,IF(Reales!$C$32="PYG",IF(AU$10&gt;0,N(Reales!AU32)/AU$10,0),N(Reales!AU32)),AU$158*INDEX(Precio_V,8)*INDEX(IdxPrecio_V,1,MIN(10,AU$147))*(1+V_dPrecio))</f>
        <v>0</v>
      </c>
      <c r="AV170" s="34" t="n">
        <f aca="false">IF(AV$8=1,IF(Reales!$C$32="PYG",IF(AV$10&gt;0,N(Reales!AV32)/AV$10,0),N(Reales!AV32)),AV$158*INDEX(Precio_V,8)*INDEX(IdxPrecio_V,1,MIN(10,AV$147))*(1+V_dPrecio))</f>
        <v>0</v>
      </c>
      <c r="AW170" s="34" t="n">
        <f aca="false">IF(AW$8=1,IF(Reales!$C$32="PYG",IF(AW$10&gt;0,N(Reales!AW32)/AW$10,0),N(Reales!AW32)),AW$158*INDEX(Precio_V,8)*INDEX(IdxPrecio_V,1,MIN(10,AW$147))*(1+V_dPrecio))</f>
        <v>0</v>
      </c>
      <c r="AX170" s="34" t="n">
        <f aca="false">IF(AX$8=1,IF(Reales!$C$32="PYG",IF(AX$10&gt;0,N(Reales!AX32)/AX$10,0),N(Reales!AX32)),AX$158*INDEX(Precio_V,8)*INDEX(IdxPrecio_V,1,MIN(10,AX$147))*(1+V_dPrecio))</f>
        <v>0</v>
      </c>
      <c r="AY170" s="34" t="n">
        <f aca="false">IF(AY$8=1,IF(Reales!$C$32="PYG",IF(AY$10&gt;0,N(Reales!AY32)/AY$10,0),N(Reales!AY32)),AY$158*INDEX(Precio_V,8)*INDEX(IdxPrecio_V,1,MIN(10,AY$147))*(1+V_dPrecio))</f>
        <v>0</v>
      </c>
      <c r="AZ170" s="34" t="n">
        <f aca="false">IF(AZ$8=1,IF(Reales!$C$32="PYG",IF(AZ$10&gt;0,N(Reales!AZ32)/AZ$10,0),N(Reales!AZ32)),AZ$158*INDEX(Precio_V,8)*INDEX(IdxPrecio_V,1,MIN(10,AZ$147))*(1+V_dPrecio))</f>
        <v>0</v>
      </c>
      <c r="BA170" s="34" t="n">
        <f aca="false">IF(BA$8=1,IF(Reales!$C$32="PYG",IF(BA$10&gt;0,N(Reales!BA32)/BA$10,0),N(Reales!BA32)),BA$158*INDEX(Precio_V,8)*INDEX(IdxPrecio_V,1,MIN(10,BA$147))*(1+V_dPrecio))</f>
        <v>0</v>
      </c>
      <c r="BB170" s="34" t="n">
        <f aca="false">IF(BB$8=1,IF(Reales!$C$32="PYG",IF(BB$10&gt;0,N(Reales!BB32)/BB$10,0),N(Reales!BB32)),BB$158*INDEX(Precio_V,8)*INDEX(IdxPrecio_V,1,MIN(10,BB$147))*(1+V_dPrecio))</f>
        <v>0</v>
      </c>
      <c r="BC170" s="34" t="n">
        <f aca="false">IF(BC$8=1,IF(Reales!$C$32="PYG",IF(BC$10&gt;0,N(Reales!BC32)/BC$10,0),N(Reales!BC32)),BC$158*INDEX(Precio_V,8)*INDEX(IdxPrecio_V,1,MIN(10,BC$147))*(1+V_dPrecio))</f>
        <v>0</v>
      </c>
      <c r="BD170" s="34" t="n">
        <f aca="false">IF(BD$8=1,IF(Reales!$C$32="PYG",IF(BD$10&gt;0,N(Reales!BD32)/BD$10,0),N(Reales!BD32)),BD$158*INDEX(Precio_V,8)*INDEX(IdxPrecio_V,1,MIN(10,BD$147))*(1+V_dPrecio))</f>
        <v>0</v>
      </c>
      <c r="BE170" s="34" t="n">
        <f aca="false">IF(BE$8=1,IF(Reales!$C$32="PYG",IF(BE$10&gt;0,N(Reales!BE32)/BE$10,0),N(Reales!BE32)),BE$158*INDEX(Precio_V,8)*INDEX(IdxPrecio_V,1,MIN(10,BE$147))*(1+V_dPrecio))</f>
        <v>0</v>
      </c>
      <c r="BF170" s="34" t="n">
        <f aca="false">IF(BF$8=1,IF(Reales!$C$32="PYG",IF(BF$10&gt;0,N(Reales!BF32)/BF$10,0),N(Reales!BF32)),BF$158*INDEX(Precio_V,8)*INDEX(IdxPrecio_V,1,MIN(10,BF$147))*(1+V_dPrecio))</f>
        <v>0</v>
      </c>
      <c r="BG170" s="34" t="n">
        <f aca="false">IF(BG$8=1,IF(Reales!$C$32="PYG",IF(BG$10&gt;0,N(Reales!BG32)/BG$10,0),N(Reales!BG32)),BG$158*INDEX(Precio_V,8)*INDEX(IdxPrecio_V,1,MIN(10,BG$147))*(1+V_dPrecio))</f>
        <v>0</v>
      </c>
      <c r="BH170" s="34" t="n">
        <f aca="false">IF(BH$8=1,IF(Reales!$C$32="PYG",IF(BH$10&gt;0,N(Reales!BH32)/BH$10,0),N(Reales!BH32)),BH$158*INDEX(Precio_V,8)*INDEX(IdxPrecio_V,1,MIN(10,BH$147))*(1+V_dPrecio))</f>
        <v>0</v>
      </c>
      <c r="BI170" s="34" t="n">
        <f aca="false">IF(BI$8=1,IF(Reales!$C$32="PYG",IF(BI$10&gt;0,N(Reales!BI32)/BI$10,0),N(Reales!BI32)),BI$158*INDEX(Precio_V,8)*INDEX(IdxPrecio_V,1,MIN(10,BI$147))*(1+V_dPrecio))</f>
        <v>0</v>
      </c>
      <c r="BJ170" s="34" t="n">
        <f aca="false">IF(BJ$8=1,IF(Reales!$C$32="PYG",IF(BJ$10&gt;0,N(Reales!BJ32)/BJ$10,0),N(Reales!BJ32)),BJ$158*INDEX(Precio_V,8)*INDEX(IdxPrecio_V,1,MIN(10,BJ$147))*(1+V_dPrecio))</f>
        <v>0</v>
      </c>
      <c r="BK170" s="34" t="n">
        <f aca="false">IF(BK$8=1,IF(Reales!$C$32="PYG",IF(BK$10&gt;0,N(Reales!BK32)/BK$10,0),N(Reales!BK32)),BK$158*INDEX(Precio_V,8)*INDEX(IdxPrecio_V,1,MIN(10,BK$147))*(1+V_dPrecio))</f>
        <v>0</v>
      </c>
      <c r="BL170" s="34" t="n">
        <f aca="false">IF(BL$8=1,IF(Reales!$C$32="PYG",IF(BL$10&gt;0,N(Reales!BL32)/BL$10,0),N(Reales!BL32)),BL$158*INDEX(Precio_V,8)*INDEX(IdxPrecio_V,1,MIN(10,BL$147))*(1+V_dPrecio))</f>
        <v>0</v>
      </c>
      <c r="BM170" s="34" t="n">
        <f aca="false">IF(BM$8=1,IF(Reales!$C$32="PYG",IF(BM$10&gt;0,N(Reales!BM32)/BM$10,0),N(Reales!BM32)),BM$158*INDEX(Precio_V,8)*INDEX(IdxPrecio_V,1,MIN(10,BM$147))*(1+V_dPrecio))</f>
        <v>0</v>
      </c>
      <c r="BN170" s="34" t="n">
        <f aca="false">IF(BN$8=1,IF(Reales!$C$32="PYG",IF(BN$10&gt;0,N(Reales!BN32)/BN$10,0),N(Reales!BN32)),BN$158*INDEX(Precio_V,8)*INDEX(IdxPrecio_V,1,MIN(10,BN$147))*(1+V_dPrecio))</f>
        <v>0</v>
      </c>
      <c r="BO170" s="34" t="n">
        <f aca="false">IF(BO$8=1,IF(Reales!$C$32="PYG",IF(BO$10&gt;0,N(Reales!BO32)/BO$10,0),N(Reales!BO32)),BO$158*INDEX(Precio_V,8)*INDEX(IdxPrecio_V,1,MIN(10,BO$147))*(1+V_dPrecio))</f>
        <v>0</v>
      </c>
      <c r="BP170" s="34" t="n">
        <f aca="false">IF(BP$8=1,IF(Reales!$C$32="PYG",IF(BP$10&gt;0,N(Reales!BP32)/BP$10,0),N(Reales!BP32)),BP$158*INDEX(Precio_V,8)*INDEX(IdxPrecio_V,1,MIN(10,BP$147))*(1+V_dPrecio))</f>
        <v>0</v>
      </c>
      <c r="BQ170" s="34" t="n">
        <f aca="false">IF(BQ$8=1,IF(Reales!$C$32="PYG",IF(BQ$10&gt;0,N(Reales!BQ32)/BQ$10,0),N(Reales!BQ32)),BQ$158*INDEX(Precio_V,8)*INDEX(IdxPrecio_V,1,MIN(10,BQ$147))*(1+V_dPrecio))</f>
        <v>0</v>
      </c>
      <c r="BR170" s="34" t="n">
        <f aca="false">IF(BR$8=1,IF(Reales!$C$32="PYG",IF(BR$10&gt;0,N(Reales!BR32)/BR$10,0),N(Reales!BR32)),BR$158*INDEX(Precio_V,8)*INDEX(IdxPrecio_V,1,MIN(10,BR$147))*(1+V_dPrecio))</f>
        <v>0</v>
      </c>
      <c r="BS170" s="34" t="n">
        <f aca="false">IF(BS$8=1,IF(Reales!$C$32="PYG",IF(BS$10&gt;0,N(Reales!BS32)/BS$10,0),N(Reales!BS32)),BS$158*INDEX(Precio_V,8)*INDEX(IdxPrecio_V,1,MIN(10,BS$147))*(1+V_dPrecio))</f>
        <v>0</v>
      </c>
      <c r="BT170" s="34" t="n">
        <f aca="false">IF(BT$8=1,IF(Reales!$C$32="PYG",IF(BT$10&gt;0,N(Reales!BT32)/BT$10,0),N(Reales!BT32)),BT$158*INDEX(Precio_V,8)*INDEX(IdxPrecio_V,1,MIN(10,BT$147))*(1+V_dPrecio))</f>
        <v>0</v>
      </c>
      <c r="BU170" s="34" t="n">
        <f aca="false">IF(BU$8=1,IF(Reales!$C$32="PYG",IF(BU$10&gt;0,N(Reales!BU32)/BU$10,0),N(Reales!BU32)),BU$158*INDEX(Precio_V,8)*INDEX(IdxPrecio_V,1,MIN(10,BU$147))*(1+V_dPrecio))</f>
        <v>0</v>
      </c>
      <c r="BV170" s="34" t="n">
        <f aca="false">IF(BV$8=1,IF(Reales!$C$32="PYG",IF(BV$10&gt;0,N(Reales!BV32)/BV$10,0),N(Reales!BV32)),BV$158*INDEX(Precio_V,8)*INDEX(IdxPrecio_V,1,MIN(10,BV$147))*(1+V_dPrecio))</f>
        <v>0</v>
      </c>
      <c r="BW170" s="34" t="n">
        <f aca="false">IF(BW$8=1,IF(Reales!$C$32="PYG",IF(BW$10&gt;0,N(Reales!BW32)/BW$10,0),N(Reales!BW32)),BW$158*INDEX(Precio_V,8)*INDEX(IdxPrecio_V,1,MIN(10,BW$147))*(1+V_dPrecio))</f>
        <v>0</v>
      </c>
      <c r="BX170" s="34" t="n">
        <f aca="false">IF(BX$8=1,IF(Reales!$C$32="PYG",IF(BX$10&gt;0,N(Reales!BX32)/BX$10,0),N(Reales!BX32)),BX$158*INDEX(Precio_V,8)*INDEX(IdxPrecio_V,1,MIN(10,BX$147))*(1+V_dPrecio))</f>
        <v>0</v>
      </c>
      <c r="BY170" s="34" t="n">
        <f aca="false">IF(BY$8=1,IF(Reales!$C$32="PYG",IF(BY$10&gt;0,N(Reales!BY32)/BY$10,0),N(Reales!BY32)),BY$158*INDEX(Precio_V,8)*INDEX(IdxPrecio_V,1,MIN(10,BY$147))*(1+V_dPrecio))</f>
        <v>0</v>
      </c>
      <c r="BZ170" s="34" t="n">
        <f aca="false">IF(BZ$8=1,IF(Reales!$C$32="PYG",IF(BZ$10&gt;0,N(Reales!BZ32)/BZ$10,0),N(Reales!BZ32)),BZ$158*INDEX(Precio_V,8)*INDEX(IdxPrecio_V,1,MIN(10,BZ$147))*(1+V_dPrecio))</f>
        <v>0</v>
      </c>
      <c r="CA170" s="34" t="n">
        <f aca="false">IF(CA$8=1,IF(Reales!$C$32="PYG",IF(CA$10&gt;0,N(Reales!CA32)/CA$10,0),N(Reales!CA32)),CA$158*INDEX(Precio_V,8)*INDEX(IdxPrecio_V,1,MIN(10,CA$147))*(1+V_dPrecio))</f>
        <v>0</v>
      </c>
      <c r="CB170" s="34" t="n">
        <f aca="false">IF(CB$8=1,IF(Reales!$C$32="PYG",IF(CB$10&gt;0,N(Reales!CB32)/CB$10,0),N(Reales!CB32)),CB$158*INDEX(Precio_V,8)*INDEX(IdxPrecio_V,1,MIN(10,CB$147))*(1+V_dPrecio))</f>
        <v>0</v>
      </c>
      <c r="CC170" s="34" t="n">
        <f aca="false">IF(CC$8=1,IF(Reales!$C$32="PYG",IF(CC$10&gt;0,N(Reales!CC32)/CC$10,0),N(Reales!CC32)),CC$158*INDEX(Precio_V,8)*INDEX(IdxPrecio_V,1,MIN(10,CC$147))*(1+V_dPrecio))</f>
        <v>0</v>
      </c>
      <c r="CD170" s="34" t="n">
        <f aca="false">IF(CD$8=1,IF(Reales!$C$32="PYG",IF(CD$10&gt;0,N(Reales!CD32)/CD$10,0),N(Reales!CD32)),CD$158*INDEX(Precio_V,8)*INDEX(IdxPrecio_V,1,MIN(10,CD$147))*(1+V_dPrecio))</f>
        <v>0</v>
      </c>
      <c r="CE170" s="34" t="n">
        <f aca="false">IF(CE$8=1,IF(Reales!$C$32="PYG",IF(CE$10&gt;0,N(Reales!CE32)/CE$10,0),N(Reales!CE32)),CE$158*INDEX(Precio_V,8)*INDEX(IdxPrecio_V,1,MIN(10,CE$147))*(1+V_dPrecio))</f>
        <v>0</v>
      </c>
      <c r="CF170" s="34" t="n">
        <f aca="false">IF(CF$8=1,IF(Reales!$C$32="PYG",IF(CF$10&gt;0,N(Reales!CF32)/CF$10,0),N(Reales!CF32)),CF$158*INDEX(Precio_V,8)*INDEX(IdxPrecio_V,1,MIN(10,CF$147))*(1+V_dPrecio))</f>
        <v>0</v>
      </c>
      <c r="CG170" s="34" t="n">
        <f aca="false">IF(CG$8=1,IF(Reales!$C$32="PYG",IF(CG$10&gt;0,N(Reales!CG32)/CG$10,0),N(Reales!CG32)),CG$158*INDEX(Precio_V,8)*INDEX(IdxPrecio_V,1,MIN(10,CG$147))*(1+V_dPrecio))</f>
        <v>0</v>
      </c>
      <c r="CH170" s="34" t="n">
        <f aca="false">IF(CH$8=1,IF(Reales!$C$32="PYG",IF(CH$10&gt;0,N(Reales!CH32)/CH$10,0),N(Reales!CH32)),CH$158*INDEX(Precio_V,8)*INDEX(IdxPrecio_V,1,MIN(10,CH$147))*(1+V_dPrecio))</f>
        <v>0</v>
      </c>
      <c r="CI170" s="34" t="n">
        <f aca="false">IF(CI$8=1,IF(Reales!$C$32="PYG",IF(CI$10&gt;0,N(Reales!CI32)/CI$10,0),N(Reales!CI32)),CI$158*INDEX(Precio_V,8)*INDEX(IdxPrecio_V,1,MIN(10,CI$147))*(1+V_dPrecio))</f>
        <v>0</v>
      </c>
      <c r="CJ170" s="34" t="n">
        <f aca="false">IF(CJ$8=1,IF(Reales!$C$32="PYG",IF(CJ$10&gt;0,N(Reales!CJ32)/CJ$10,0),N(Reales!CJ32)),CJ$158*INDEX(Precio_V,8)*INDEX(IdxPrecio_V,1,MIN(10,CJ$147))*(1+V_dPrecio))</f>
        <v>0</v>
      </c>
      <c r="CK170" s="34" t="n">
        <f aca="false">IF(CK$8=1,IF(Reales!$C$32="PYG",IF(CK$10&gt;0,N(Reales!CK32)/CK$10,0),N(Reales!CK32)),CK$158*INDEX(Precio_V,8)*INDEX(IdxPrecio_V,1,MIN(10,CK$147))*(1+V_dPrecio))</f>
        <v>0</v>
      </c>
      <c r="CL170" s="34" t="n">
        <f aca="false">IF(CL$8=1,IF(Reales!$C$32="PYG",IF(CL$10&gt;0,N(Reales!CL32)/CL$10,0),N(Reales!CL32)),CL$158*INDEX(Precio_V,8)*INDEX(IdxPrecio_V,1,MIN(10,CL$147))*(1+V_dPrecio))</f>
        <v>0</v>
      </c>
      <c r="CM170" s="34" t="n">
        <f aca="false">IF(CM$8=1,IF(Reales!$C$32="PYG",IF(CM$10&gt;0,N(Reales!CM32)/CM$10,0),N(Reales!CM32)),CM$158*INDEX(Precio_V,8)*INDEX(IdxPrecio_V,1,MIN(10,CM$147))*(1+V_dPrecio))</f>
        <v>0</v>
      </c>
      <c r="CN170" s="34" t="n">
        <f aca="false">IF(CN$8=1,IF(Reales!$C$32="PYG",IF(CN$10&gt;0,N(Reales!CN32)/CN$10,0),N(Reales!CN32)),CN$158*INDEX(Precio_V,8)*INDEX(IdxPrecio_V,1,MIN(10,CN$147))*(1+V_dPrecio))</f>
        <v>0</v>
      </c>
      <c r="CO170" s="34" t="n">
        <f aca="false">IF(CO$8=1,IF(Reales!$C$32="PYG",IF(CO$10&gt;0,N(Reales!CO32)/CO$10,0),N(Reales!CO32)),CO$158*INDEX(Precio_V,8)*INDEX(IdxPrecio_V,1,MIN(10,CO$147))*(1+V_dPrecio))</f>
        <v>0</v>
      </c>
      <c r="CP170" s="34" t="n">
        <f aca="false">IF(CP$8=1,IF(Reales!$C$32="PYG",IF(CP$10&gt;0,N(Reales!CP32)/CP$10,0),N(Reales!CP32)),CP$158*INDEX(Precio_V,8)*INDEX(IdxPrecio_V,1,MIN(10,CP$147))*(1+V_dPrecio))</f>
        <v>0</v>
      </c>
      <c r="CQ170" s="34" t="n">
        <f aca="false">IF(CQ$8=1,IF(Reales!$C$32="PYG",IF(CQ$10&gt;0,N(Reales!CQ32)/CQ$10,0),N(Reales!CQ32)),CQ$158*INDEX(Precio_V,8)*INDEX(IdxPrecio_V,1,MIN(10,CQ$147))*(1+V_dPrecio))</f>
        <v>0</v>
      </c>
      <c r="CR170" s="34" t="n">
        <f aca="false">IF(CR$8=1,IF(Reales!$C$32="PYG",IF(CR$10&gt;0,N(Reales!CR32)/CR$10,0),N(Reales!CR32)),CR$158*INDEX(Precio_V,8)*INDEX(IdxPrecio_V,1,MIN(10,CR$147))*(1+V_dPrecio))</f>
        <v>0</v>
      </c>
      <c r="CS170" s="34" t="n">
        <f aca="false">IF(CS$8=1,IF(Reales!$C$32="PYG",IF(CS$10&gt;0,N(Reales!CS32)/CS$10,0),N(Reales!CS32)),CS$158*INDEX(Precio_V,8)*INDEX(IdxPrecio_V,1,MIN(10,CS$147))*(1+V_dPrecio))</f>
        <v>0</v>
      </c>
      <c r="CT170" s="34" t="n">
        <f aca="false">IF(CT$8=1,IF(Reales!$C$32="PYG",IF(CT$10&gt;0,N(Reales!CT32)/CT$10,0),N(Reales!CT32)),CT$158*INDEX(Precio_V,8)*INDEX(IdxPrecio_V,1,MIN(10,CT$147))*(1+V_dPrecio))</f>
        <v>0</v>
      </c>
      <c r="CU170" s="34" t="n">
        <f aca="false">IF(CU$8=1,IF(Reales!$C$32="PYG",IF(CU$10&gt;0,N(Reales!CU32)/CU$10,0),N(Reales!CU32)),CU$158*INDEX(Precio_V,8)*INDEX(IdxPrecio_V,1,MIN(10,CU$147))*(1+V_dPrecio))</f>
        <v>0</v>
      </c>
      <c r="CV170" s="34" t="n">
        <f aca="false">IF(CV$8=1,IF(Reales!$C$32="PYG",IF(CV$10&gt;0,N(Reales!CV32)/CV$10,0),N(Reales!CV32)),CV$158*INDEX(Precio_V,8)*INDEX(IdxPrecio_V,1,MIN(10,CV$147))*(1+V_dPrecio))</f>
        <v>0</v>
      </c>
      <c r="CW170" s="34" t="n">
        <f aca="false">IF(CW$8=1,IF(Reales!$C$32="PYG",IF(CW$10&gt;0,N(Reales!CW32)/CW$10,0),N(Reales!CW32)),CW$158*INDEX(Precio_V,8)*INDEX(IdxPrecio_V,1,MIN(10,CW$147))*(1+V_dPrecio))</f>
        <v>0</v>
      </c>
      <c r="CX170" s="34" t="n">
        <f aca="false">IF(CX$8=1,IF(Reales!$C$32="PYG",IF(CX$10&gt;0,N(Reales!CX32)/CX$10,0),N(Reales!CX32)),CX$158*INDEX(Precio_V,8)*INDEX(IdxPrecio_V,1,MIN(10,CX$147))*(1+V_dPrecio))</f>
        <v>0</v>
      </c>
      <c r="CY170" s="34" t="n">
        <f aca="false">IF(CY$8=1,IF(Reales!$C$32="PYG",IF(CY$10&gt;0,N(Reales!CY32)/CY$10,0),N(Reales!CY32)),CY$158*INDEX(Precio_V,8)*INDEX(IdxPrecio_V,1,MIN(10,CY$147))*(1+V_dPrecio))</f>
        <v>0</v>
      </c>
      <c r="CZ170" s="34" t="n">
        <f aca="false">IF(CZ$8=1,IF(Reales!$C$32="PYG",IF(CZ$10&gt;0,N(Reales!CZ32)/CZ$10,0),N(Reales!CZ32)),CZ$158*INDEX(Precio_V,8)*INDEX(IdxPrecio_V,1,MIN(10,CZ$147))*(1+V_dPrecio))</f>
        <v>0</v>
      </c>
      <c r="DA170" s="34" t="n">
        <f aca="false">IF(DA$8=1,IF(Reales!$C$32="PYG",IF(DA$10&gt;0,N(Reales!DA32)/DA$10,0),N(Reales!DA32)),DA$158*INDEX(Precio_V,8)*INDEX(IdxPrecio_V,1,MIN(10,DA$147))*(1+V_dPrecio))</f>
        <v>0</v>
      </c>
      <c r="DB170" s="34" t="n">
        <f aca="false">IF(DB$8=1,IF(Reales!$C$32="PYG",IF(DB$10&gt;0,N(Reales!DB32)/DB$10,0),N(Reales!DB32)),DB$158*INDEX(Precio_V,8)*INDEX(IdxPrecio_V,1,MIN(10,DB$147))*(1+V_dPrecio))</f>
        <v>0</v>
      </c>
      <c r="DC170" s="34" t="n">
        <f aca="false">IF(DC$8=1,IF(Reales!$C$32="PYG",IF(DC$10&gt;0,N(Reales!DC32)/DC$10,0),N(Reales!DC32)),DC$158*INDEX(Precio_V,8)*INDEX(IdxPrecio_V,1,MIN(10,DC$147))*(1+V_dPrecio))</f>
        <v>0</v>
      </c>
      <c r="DD170" s="34" t="n">
        <f aca="false">IF(DD$8=1,IF(Reales!$C$32="PYG",IF(DD$10&gt;0,N(Reales!DD32)/DD$10,0),N(Reales!DD32)),DD$158*INDEX(Precio_V,8)*INDEX(IdxPrecio_V,1,MIN(10,DD$147))*(1+V_dPrecio))</f>
        <v>0</v>
      </c>
      <c r="DE170" s="34" t="n">
        <f aca="false">IF(DE$8=1,IF(Reales!$C$32="PYG",IF(DE$10&gt;0,N(Reales!DE32)/DE$10,0),N(Reales!DE32)),DE$158*INDEX(Precio_V,8)*INDEX(IdxPrecio_V,1,MIN(10,DE$147))*(1+V_dPrecio))</f>
        <v>0</v>
      </c>
      <c r="DF170" s="34" t="n">
        <f aca="false">IF(DF$8=1,IF(Reales!$C$32="PYG",IF(DF$10&gt;0,N(Reales!DF32)/DF$10,0),N(Reales!DF32)),DF$158*INDEX(Precio_V,8)*INDEX(IdxPrecio_V,1,MIN(10,DF$147))*(1+V_dPrecio))</f>
        <v>0</v>
      </c>
      <c r="DG170" s="34" t="n">
        <f aca="false">IF(DG$8=1,IF(Reales!$C$32="PYG",IF(DG$10&gt;0,N(Reales!DG32)/DG$10,0),N(Reales!DG32)),DG$158*INDEX(Precio_V,8)*INDEX(IdxPrecio_V,1,MIN(10,DG$147))*(1+V_dPrecio))</f>
        <v>0</v>
      </c>
      <c r="DH170" s="34" t="n">
        <f aca="false">IF(DH$8=1,IF(Reales!$C$32="PYG",IF(DH$10&gt;0,N(Reales!DH32)/DH$10,0),N(Reales!DH32)),DH$158*INDEX(Precio_V,8)*INDEX(IdxPrecio_V,1,MIN(10,DH$147))*(1+V_dPrecio))</f>
        <v>0</v>
      </c>
      <c r="DI170" s="34" t="n">
        <f aca="false">IF(DI$8=1,IF(Reales!$C$32="PYG",IF(DI$10&gt;0,N(Reales!DI32)/DI$10,0),N(Reales!DI32)),DI$158*INDEX(Precio_V,8)*INDEX(IdxPrecio_V,1,MIN(10,DI$147))*(1+V_dPrecio))</f>
        <v>0</v>
      </c>
      <c r="DJ170" s="34" t="n">
        <f aca="false">IF(DJ$8=1,IF(Reales!$C$32="PYG",IF(DJ$10&gt;0,N(Reales!DJ32)/DJ$10,0),N(Reales!DJ32)),DJ$158*INDEX(Precio_V,8)*INDEX(IdxPrecio_V,1,MIN(10,DJ$147))*(1+V_dPrecio))</f>
        <v>0</v>
      </c>
      <c r="DK170" s="34" t="n">
        <f aca="false">IF(DK$8=1,IF(Reales!$C$32="PYG",IF(DK$10&gt;0,N(Reales!DK32)/DK$10,0),N(Reales!DK32)),DK$158*INDEX(Precio_V,8)*INDEX(IdxPrecio_V,1,MIN(10,DK$147))*(1+V_dPrecio))</f>
        <v>0</v>
      </c>
      <c r="DL170" s="34" t="n">
        <f aca="false">IF(DL$8=1,IF(Reales!$C$32="PYG",IF(DL$10&gt;0,N(Reales!DL32)/DL$10,0),N(Reales!DL32)),DL$158*INDEX(Precio_V,8)*INDEX(IdxPrecio_V,1,MIN(10,DL$147))*(1+V_dPrecio))</f>
        <v>0</v>
      </c>
      <c r="DM170" s="34" t="n">
        <f aca="false">IF(DM$8=1,IF(Reales!$C$32="PYG",IF(DM$10&gt;0,N(Reales!DM32)/DM$10,0),N(Reales!DM32)),DM$158*INDEX(Precio_V,8)*INDEX(IdxPrecio_V,1,MIN(10,DM$147))*(1+V_dPrecio))</f>
        <v>0</v>
      </c>
      <c r="DN170" s="34" t="n">
        <f aca="false">IF(DN$8=1,IF(Reales!$C$32="PYG",IF(DN$10&gt;0,N(Reales!DN32)/DN$10,0),N(Reales!DN32)),DN$158*INDEX(Precio_V,8)*INDEX(IdxPrecio_V,1,MIN(10,DN$147))*(1+V_dPrecio))</f>
        <v>0</v>
      </c>
      <c r="DO170" s="34" t="n">
        <f aca="false">IF(DO$8=1,IF(Reales!$C$32="PYG",IF(DO$10&gt;0,N(Reales!DO32)/DO$10,0),N(Reales!DO32)),DO$158*INDEX(Precio_V,8)*INDEX(IdxPrecio_V,1,MIN(10,DO$147))*(1+V_dPrecio))</f>
        <v>0</v>
      </c>
      <c r="DP170" s="34" t="n">
        <f aca="false">IF(DP$8=1,IF(Reales!$C$32="PYG",IF(DP$10&gt;0,N(Reales!DP32)/DP$10,0),N(Reales!DP32)),DP$158*INDEX(Precio_V,8)*INDEX(IdxPrecio_V,1,MIN(10,DP$147))*(1+V_dPrecio))</f>
        <v>0</v>
      </c>
      <c r="DQ170" s="34" t="n">
        <f aca="false">IF(DQ$8=1,IF(Reales!$C$32="PYG",IF(DQ$10&gt;0,N(Reales!DQ32)/DQ$10,0),N(Reales!DQ32)),DQ$158*INDEX(Precio_V,8)*INDEX(IdxPrecio_V,1,MIN(10,DQ$147))*(1+V_dPrecio))</f>
        <v>0</v>
      </c>
      <c r="DR170" s="34" t="n">
        <f aca="false">IF(DR$8=1,IF(Reales!$C$32="PYG",IF(DR$10&gt;0,N(Reales!DR32)/DR$10,0),N(Reales!DR32)),DR$158*INDEX(Precio_V,8)*INDEX(IdxPrecio_V,1,MIN(10,DR$147))*(1+V_dPrecio))</f>
        <v>0</v>
      </c>
      <c r="DS170" s="34" t="n">
        <f aca="false">IF(DS$8=1,IF(Reales!$C$32="PYG",IF(DS$10&gt;0,N(Reales!DS32)/DS$10,0),N(Reales!DS32)),DS$158*INDEX(Precio_V,8)*INDEX(IdxPrecio_V,1,MIN(10,DS$147))*(1+V_dPrecio))</f>
        <v>0</v>
      </c>
      <c r="DT170" s="34" t="n">
        <f aca="false">IF(DT$8=1,IF(Reales!$C$32="PYG",IF(DT$10&gt;0,N(Reales!DT32)/DT$10,0),N(Reales!DT32)),DT$158*INDEX(Precio_V,8)*INDEX(IdxPrecio_V,1,MIN(10,DT$147))*(1+V_dPrecio))</f>
        <v>0</v>
      </c>
      <c r="DU170" s="34" t="n">
        <f aca="false">IF(DU$8=1,IF(Reales!$C$32="PYG",IF(DU$10&gt;0,N(Reales!DU32)/DU$10,0),N(Reales!DU32)),DU$158*INDEX(Precio_V,8)*INDEX(IdxPrecio_V,1,MIN(10,DU$147))*(1+V_dPrecio))</f>
        <v>0</v>
      </c>
      <c r="DV170" s="34" t="n">
        <f aca="false">IF(DV$8=1,IF(Reales!$C$32="PYG",IF(DV$10&gt;0,N(Reales!DV32)/DV$10,0),N(Reales!DV32)),DV$158*INDEX(Precio_V,8)*INDEX(IdxPrecio_V,1,MIN(10,DV$147))*(1+V_dPrecio))</f>
        <v>0</v>
      </c>
      <c r="DW170" s="34" t="n">
        <f aca="false">IF(DW$8=1,IF(Reales!$C$32="PYG",IF(DW$10&gt;0,N(Reales!DW32)/DW$10,0),N(Reales!DW32)),DW$158*INDEX(Precio_V,8)*INDEX(IdxPrecio_V,1,MIN(10,DW$147))*(1+V_dPrecio))</f>
        <v>0</v>
      </c>
      <c r="DX170" s="34" t="n">
        <f aca="false">IF(DX$8=1,IF(Reales!$C$32="PYG",IF(DX$10&gt;0,N(Reales!DX32)/DX$10,0),N(Reales!DX32)),DX$158*INDEX(Precio_V,8)*INDEX(IdxPrecio_V,1,MIN(10,DX$147))*(1+V_dPrecio))</f>
        <v>0</v>
      </c>
      <c r="DY170" s="34" t="n">
        <f aca="false">IF(DY$8=1,IF(Reales!$C$32="PYG",IF(DY$10&gt;0,N(Reales!DY32)/DY$10,0),N(Reales!DY32)),DY$158*INDEX(Precio_V,8)*INDEX(IdxPrecio_V,1,MIN(10,DY$147))*(1+V_dPrecio))</f>
        <v>0</v>
      </c>
      <c r="DZ170" s="34" t="n">
        <f aca="false">IF(DZ$8=1,IF(Reales!$C$32="PYG",IF(DZ$10&gt;0,N(Reales!DZ32)/DZ$10,0),N(Reales!DZ32)),DZ$158*INDEX(Precio_V,8)*INDEX(IdxPrecio_V,1,MIN(10,DZ$147))*(1+V_dPrecio))</f>
        <v>0</v>
      </c>
      <c r="EA170" s="34" t="n">
        <f aca="false">IF(EA$8=1,IF(Reales!$C$32="PYG",IF(EA$10&gt;0,N(Reales!EA32)/EA$10,0),N(Reales!EA32)),EA$158*INDEX(Precio_V,8)*INDEX(IdxPrecio_V,1,MIN(10,EA$147))*(1+V_dPrecio))</f>
        <v>0</v>
      </c>
      <c r="EB170" s="34" t="n">
        <f aca="false">IF(EB$8=1,IF(Reales!$C$32="PYG",IF(EB$10&gt;0,N(Reales!EB32)/EB$10,0),N(Reales!EB32)),EB$158*INDEX(Precio_V,8)*INDEX(IdxPrecio_V,1,MIN(10,EB$147))*(1+V_dPrecio))</f>
        <v>0</v>
      </c>
      <c r="EC170" s="34" t="n">
        <f aca="false">IF(EC$8=1,IF(Reales!$C$32="PYG",IF(EC$10&gt;0,N(Reales!EC32)/EC$10,0),N(Reales!EC32)),EC$158*INDEX(Precio_V,8)*INDEX(IdxPrecio_V,1,MIN(10,EC$147))*(1+V_dPrecio))</f>
        <v>0</v>
      </c>
      <c r="ED170" s="34" t="n">
        <f aca="false">IF(ED$8=1,IF(Reales!$C$32="PYG",IF(ED$10&gt;0,N(Reales!ED32)/ED$10,0),N(Reales!ED32)),ED$158*INDEX(Precio_V,8)*INDEX(IdxPrecio_V,1,MIN(10,ED$147))*(1+V_dPrecio))</f>
        <v>0</v>
      </c>
      <c r="EE170" s="34" t="n">
        <f aca="false">IF(EE$8=1,IF(Reales!$C$32="PYG",IF(EE$10&gt;0,N(Reales!EE32)/EE$10,0),N(Reales!EE32)),EE$158*INDEX(Precio_V,8)*INDEX(IdxPrecio_V,1,MIN(10,EE$147))*(1+V_dPrecio))</f>
        <v>0</v>
      </c>
      <c r="EF170" s="34" t="n">
        <f aca="false">IF(EF$8=1,IF(Reales!$C$32="PYG",IF(EF$10&gt;0,N(Reales!EF32)/EF$10,0),N(Reales!EF32)),EF$158*INDEX(Precio_V,8)*INDEX(IdxPrecio_V,1,MIN(10,EF$147))*(1+V_dPrecio))</f>
        <v>0</v>
      </c>
      <c r="EG170" s="34" t="n">
        <f aca="false">IF(EG$8=1,IF(Reales!$C$32="PYG",IF(EG$10&gt;0,N(Reales!EG32)/EG$10,0),N(Reales!EG32)),EG$158*INDEX(Precio_V,8)*INDEX(IdxPrecio_V,1,MIN(10,EG$147))*(1+V_dPrecio))</f>
        <v>0</v>
      </c>
      <c r="EH170" s="34" t="n">
        <f aca="false">IF(EH$8=1,IF(Reales!$C$32="PYG",IF(EH$10&gt;0,N(Reales!EH32)/EH$10,0),N(Reales!EH32)),EH$158*INDEX(Precio_V,8)*INDEX(IdxPrecio_V,1,MIN(10,EH$147))*(1+V_dPrecio))</f>
        <v>0</v>
      </c>
      <c r="EI170" s="34" t="n">
        <f aca="false">IF(EI$8=1,IF(Reales!$C$32="PYG",IF(EI$10&gt;0,N(Reales!EI32)/EI$10,0),N(Reales!EI32)),EI$158*INDEX(Precio_V,8)*INDEX(IdxPrecio_V,1,MIN(10,EI$147))*(1+V_dPrecio))</f>
        <v>0</v>
      </c>
      <c r="EJ170" s="34" t="n">
        <f aca="false">IF(EJ$8=1,IF(Reales!$C$32="PYG",IF(EJ$10&gt;0,N(Reales!EJ32)/EJ$10,0),N(Reales!EJ32)),EJ$158*INDEX(Precio_V,8)*INDEX(IdxPrecio_V,1,MIN(10,EJ$147))*(1+V_dPrecio))</f>
        <v>0</v>
      </c>
      <c r="EK170" s="34" t="n">
        <f aca="false">IF(EK$8=1,IF(Reales!$C$32="PYG",IF(EK$10&gt;0,N(Reales!EK32)/EK$10,0),N(Reales!EK32)),EK$158*INDEX(Precio_V,8)*INDEX(IdxPrecio_V,1,MIN(10,EK$147))*(1+V_dPrecio))</f>
        <v>0</v>
      </c>
      <c r="EL170" s="34" t="n">
        <f aca="false">IF(EL$8=1,IF(Reales!$C$32="PYG",IF(EL$10&gt;0,N(Reales!EL32)/EL$10,0),N(Reales!EL32)),EL$158*INDEX(Precio_V,8)*INDEX(IdxPrecio_V,1,MIN(10,EL$147))*(1+V_dPrecio))</f>
        <v>0</v>
      </c>
      <c r="EM170" s="34" t="n">
        <f aca="false">IF(EM$8=1,IF(Reales!$C$32="PYG",IF(EM$10&gt;0,N(Reales!EM32)/EM$10,0),N(Reales!EM32)),EM$158*INDEX(Precio_V,8)*INDEX(IdxPrecio_V,1,MIN(10,EM$147))*(1+V_dPrecio))</f>
        <v>0</v>
      </c>
      <c r="EN170" s="34" t="n">
        <f aca="false">IF(EN$8=1,IF(Reales!$C$32="PYG",IF(EN$10&gt;0,N(Reales!EN32)/EN$10,0),N(Reales!EN32)),EN$158*INDEX(Precio_V,8)*INDEX(IdxPrecio_V,1,MIN(10,EN$147))*(1+V_dPrecio))</f>
        <v>0</v>
      </c>
      <c r="EO170" s="34" t="n">
        <f aca="false">IF(EO$8=1,IF(Reales!$C$32="PYG",IF(EO$10&gt;0,N(Reales!EO32)/EO$10,0),N(Reales!EO32)),EO$158*INDEX(Precio_V,8)*INDEX(IdxPrecio_V,1,MIN(10,EO$147))*(1+V_dPrecio))</f>
        <v>0</v>
      </c>
      <c r="EP170" s="34" t="n">
        <f aca="false">IF(EP$8=1,IF(Reales!$C$32="PYG",IF(EP$10&gt;0,N(Reales!EP32)/EP$10,0),N(Reales!EP32)),EP$158*INDEX(Precio_V,8)*INDEX(IdxPrecio_V,1,MIN(10,EP$147))*(1+V_dPrecio))</f>
        <v>0</v>
      </c>
      <c r="EQ170" s="34" t="n">
        <f aca="false">IF(EQ$8=1,IF(Reales!$C$32="PYG",IF(EQ$10&gt;0,N(Reales!EQ32)/EQ$10,0),N(Reales!EQ32)),EQ$158*INDEX(Precio_V,8)*INDEX(IdxPrecio_V,1,MIN(10,EQ$147))*(1+V_dPrecio))</f>
        <v>0</v>
      </c>
      <c r="ER170" s="34" t="n">
        <f aca="false">IF(ER$8=1,IF(Reales!$C$32="PYG",IF(ER$10&gt;0,N(Reales!ER32)/ER$10,0),N(Reales!ER32)),ER$158*INDEX(Precio_V,8)*INDEX(IdxPrecio_V,1,MIN(10,ER$147))*(1+V_dPrecio))</f>
        <v>0</v>
      </c>
      <c r="ES170" s="34" t="n">
        <f aca="false">IF(ES$8=1,IF(Reales!$C$32="PYG",IF(ES$10&gt;0,N(Reales!ES32)/ES$10,0),N(Reales!ES32)),ES$158*INDEX(Precio_V,8)*INDEX(IdxPrecio_V,1,MIN(10,ES$147))*(1+V_dPrecio))</f>
        <v>0</v>
      </c>
    </row>
    <row r="171" customFormat="false" ht="15" hidden="false" customHeight="false" outlineLevel="0" collapsed="false">
      <c r="A171" s="2" t="s">
        <v>787</v>
      </c>
      <c r="B171" s="39" t="str">
        <f aca="false">IF(INDEX(Prod_Nombre,9)="","Producto 9",INDEX(Prod_Nombre,9))&amp;" — ventas USD"</f>
        <v>Producto 9 — ventas USD</v>
      </c>
      <c r="C171" s="6" t="s">
        <v>250</v>
      </c>
      <c r="E171" s="40" t="n">
        <f aca="false">SUM(F171:ES171)</f>
        <v>0</v>
      </c>
      <c r="F171" s="34" t="n">
        <f aca="false">IF(F$8=1,IF(Reales!$C$33="PYG",IF(F$10&gt;0,N(Reales!F33)/F$10,0),N(Reales!F33)),F$159*INDEX(Precio_V,9)*INDEX(IdxPrecio_V,1,MIN(10,F$147))*(1+V_dPrecio))</f>
        <v>0</v>
      </c>
      <c r="G171" s="34" t="n">
        <f aca="false">IF(G$8=1,IF(Reales!$C$33="PYG",IF(G$10&gt;0,N(Reales!G33)/G$10,0),N(Reales!G33)),G$159*INDEX(Precio_V,9)*INDEX(IdxPrecio_V,1,MIN(10,G$147))*(1+V_dPrecio))</f>
        <v>0</v>
      </c>
      <c r="H171" s="34" t="n">
        <f aca="false">IF(H$8=1,IF(Reales!$C$33="PYG",IF(H$10&gt;0,N(Reales!H33)/H$10,0),N(Reales!H33)),H$159*INDEX(Precio_V,9)*INDEX(IdxPrecio_V,1,MIN(10,H$147))*(1+V_dPrecio))</f>
        <v>0</v>
      </c>
      <c r="I171" s="34" t="n">
        <f aca="false">IF(I$8=1,IF(Reales!$C$33="PYG",IF(I$10&gt;0,N(Reales!I33)/I$10,0),N(Reales!I33)),I$159*INDEX(Precio_V,9)*INDEX(IdxPrecio_V,1,MIN(10,I$147))*(1+V_dPrecio))</f>
        <v>0</v>
      </c>
      <c r="J171" s="34" t="n">
        <f aca="false">IF(J$8=1,IF(Reales!$C$33="PYG",IF(J$10&gt;0,N(Reales!J33)/J$10,0),N(Reales!J33)),J$159*INDEX(Precio_V,9)*INDEX(IdxPrecio_V,1,MIN(10,J$147))*(1+V_dPrecio))</f>
        <v>0</v>
      </c>
      <c r="K171" s="34" t="n">
        <f aca="false">IF(K$8=1,IF(Reales!$C$33="PYG",IF(K$10&gt;0,N(Reales!K33)/K$10,0),N(Reales!K33)),K$159*INDEX(Precio_V,9)*INDEX(IdxPrecio_V,1,MIN(10,K$147))*(1+V_dPrecio))</f>
        <v>0</v>
      </c>
      <c r="L171" s="34" t="n">
        <f aca="false">IF(L$8=1,IF(Reales!$C$33="PYG",IF(L$10&gt;0,N(Reales!L33)/L$10,0),N(Reales!L33)),L$159*INDEX(Precio_V,9)*INDEX(IdxPrecio_V,1,MIN(10,L$147))*(1+V_dPrecio))</f>
        <v>0</v>
      </c>
      <c r="M171" s="34" t="n">
        <f aca="false">IF(M$8=1,IF(Reales!$C$33="PYG",IF(M$10&gt;0,N(Reales!M33)/M$10,0),N(Reales!M33)),M$159*INDEX(Precio_V,9)*INDEX(IdxPrecio_V,1,MIN(10,M$147))*(1+V_dPrecio))</f>
        <v>0</v>
      </c>
      <c r="N171" s="34" t="n">
        <f aca="false">IF(N$8=1,IF(Reales!$C$33="PYG",IF(N$10&gt;0,N(Reales!N33)/N$10,0),N(Reales!N33)),N$159*INDEX(Precio_V,9)*INDEX(IdxPrecio_V,1,MIN(10,N$147))*(1+V_dPrecio))</f>
        <v>0</v>
      </c>
      <c r="O171" s="34" t="n">
        <f aca="false">IF(O$8=1,IF(Reales!$C$33="PYG",IF(O$10&gt;0,N(Reales!O33)/O$10,0),N(Reales!O33)),O$159*INDEX(Precio_V,9)*INDEX(IdxPrecio_V,1,MIN(10,O$147))*(1+V_dPrecio))</f>
        <v>0</v>
      </c>
      <c r="P171" s="34" t="n">
        <f aca="false">IF(P$8=1,IF(Reales!$C$33="PYG",IF(P$10&gt;0,N(Reales!P33)/P$10,0),N(Reales!P33)),P$159*INDEX(Precio_V,9)*INDEX(IdxPrecio_V,1,MIN(10,P$147))*(1+V_dPrecio))</f>
        <v>0</v>
      </c>
      <c r="Q171" s="34" t="n">
        <f aca="false">IF(Q$8=1,IF(Reales!$C$33="PYG",IF(Q$10&gt;0,N(Reales!Q33)/Q$10,0),N(Reales!Q33)),Q$159*INDEX(Precio_V,9)*INDEX(IdxPrecio_V,1,MIN(10,Q$147))*(1+V_dPrecio))</f>
        <v>0</v>
      </c>
      <c r="R171" s="34" t="n">
        <f aca="false">IF(R$8=1,IF(Reales!$C$33="PYG",IF(R$10&gt;0,N(Reales!R33)/R$10,0),N(Reales!R33)),R$159*INDEX(Precio_V,9)*INDEX(IdxPrecio_V,1,MIN(10,R$147))*(1+V_dPrecio))</f>
        <v>0</v>
      </c>
      <c r="S171" s="34" t="n">
        <f aca="false">IF(S$8=1,IF(Reales!$C$33="PYG",IF(S$10&gt;0,N(Reales!S33)/S$10,0),N(Reales!S33)),S$159*INDEX(Precio_V,9)*INDEX(IdxPrecio_V,1,MIN(10,S$147))*(1+V_dPrecio))</f>
        <v>0</v>
      </c>
      <c r="T171" s="34" t="n">
        <f aca="false">IF(T$8=1,IF(Reales!$C$33="PYG",IF(T$10&gt;0,N(Reales!T33)/T$10,0),N(Reales!T33)),T$159*INDEX(Precio_V,9)*INDEX(IdxPrecio_V,1,MIN(10,T$147))*(1+V_dPrecio))</f>
        <v>0</v>
      </c>
      <c r="U171" s="34" t="n">
        <f aca="false">IF(U$8=1,IF(Reales!$C$33="PYG",IF(U$10&gt;0,N(Reales!U33)/U$10,0),N(Reales!U33)),U$159*INDEX(Precio_V,9)*INDEX(IdxPrecio_V,1,MIN(10,U$147))*(1+V_dPrecio))</f>
        <v>0</v>
      </c>
      <c r="V171" s="34" t="n">
        <f aca="false">IF(V$8=1,IF(Reales!$C$33="PYG",IF(V$10&gt;0,N(Reales!V33)/V$10,0),N(Reales!V33)),V$159*INDEX(Precio_V,9)*INDEX(IdxPrecio_V,1,MIN(10,V$147))*(1+V_dPrecio))</f>
        <v>0</v>
      </c>
      <c r="W171" s="34" t="n">
        <f aca="false">IF(W$8=1,IF(Reales!$C$33="PYG",IF(W$10&gt;0,N(Reales!W33)/W$10,0),N(Reales!W33)),W$159*INDEX(Precio_V,9)*INDEX(IdxPrecio_V,1,MIN(10,W$147))*(1+V_dPrecio))</f>
        <v>0</v>
      </c>
      <c r="X171" s="34" t="n">
        <f aca="false">IF(X$8=1,IF(Reales!$C$33="PYG",IF(X$10&gt;0,N(Reales!X33)/X$10,0),N(Reales!X33)),X$159*INDEX(Precio_V,9)*INDEX(IdxPrecio_V,1,MIN(10,X$147))*(1+V_dPrecio))</f>
        <v>0</v>
      </c>
      <c r="Y171" s="34" t="n">
        <f aca="false">IF(Y$8=1,IF(Reales!$C$33="PYG",IF(Y$10&gt;0,N(Reales!Y33)/Y$10,0),N(Reales!Y33)),Y$159*INDEX(Precio_V,9)*INDEX(IdxPrecio_V,1,MIN(10,Y$147))*(1+V_dPrecio))</f>
        <v>0</v>
      </c>
      <c r="Z171" s="34" t="n">
        <f aca="false">IF(Z$8=1,IF(Reales!$C$33="PYG",IF(Z$10&gt;0,N(Reales!Z33)/Z$10,0),N(Reales!Z33)),Z$159*INDEX(Precio_V,9)*INDEX(IdxPrecio_V,1,MIN(10,Z$147))*(1+V_dPrecio))</f>
        <v>0</v>
      </c>
      <c r="AA171" s="34" t="n">
        <f aca="false">IF(AA$8=1,IF(Reales!$C$33="PYG",IF(AA$10&gt;0,N(Reales!AA33)/AA$10,0),N(Reales!AA33)),AA$159*INDEX(Precio_V,9)*INDEX(IdxPrecio_V,1,MIN(10,AA$147))*(1+V_dPrecio))</f>
        <v>0</v>
      </c>
      <c r="AB171" s="34" t="n">
        <f aca="false">IF(AB$8=1,IF(Reales!$C$33="PYG",IF(AB$10&gt;0,N(Reales!AB33)/AB$10,0),N(Reales!AB33)),AB$159*INDEX(Precio_V,9)*INDEX(IdxPrecio_V,1,MIN(10,AB$147))*(1+V_dPrecio))</f>
        <v>0</v>
      </c>
      <c r="AC171" s="34" t="n">
        <f aca="false">IF(AC$8=1,IF(Reales!$C$33="PYG",IF(AC$10&gt;0,N(Reales!AC33)/AC$10,0),N(Reales!AC33)),AC$159*INDEX(Precio_V,9)*INDEX(IdxPrecio_V,1,MIN(10,AC$147))*(1+V_dPrecio))</f>
        <v>0</v>
      </c>
      <c r="AD171" s="34" t="n">
        <f aca="false">IF(AD$8=1,IF(Reales!$C$33="PYG",IF(AD$10&gt;0,N(Reales!AD33)/AD$10,0),N(Reales!AD33)),AD$159*INDEX(Precio_V,9)*INDEX(IdxPrecio_V,1,MIN(10,AD$147))*(1+V_dPrecio))</f>
        <v>0</v>
      </c>
      <c r="AE171" s="34" t="n">
        <f aca="false">IF(AE$8=1,IF(Reales!$C$33="PYG",IF(AE$10&gt;0,N(Reales!AE33)/AE$10,0),N(Reales!AE33)),AE$159*INDEX(Precio_V,9)*INDEX(IdxPrecio_V,1,MIN(10,AE$147))*(1+V_dPrecio))</f>
        <v>0</v>
      </c>
      <c r="AF171" s="34" t="n">
        <f aca="false">IF(AF$8=1,IF(Reales!$C$33="PYG",IF(AF$10&gt;0,N(Reales!AF33)/AF$10,0),N(Reales!AF33)),AF$159*INDEX(Precio_V,9)*INDEX(IdxPrecio_V,1,MIN(10,AF$147))*(1+V_dPrecio))</f>
        <v>0</v>
      </c>
      <c r="AG171" s="34" t="n">
        <f aca="false">IF(AG$8=1,IF(Reales!$C$33="PYG",IF(AG$10&gt;0,N(Reales!AG33)/AG$10,0),N(Reales!AG33)),AG$159*INDEX(Precio_V,9)*INDEX(IdxPrecio_V,1,MIN(10,AG$147))*(1+V_dPrecio))</f>
        <v>0</v>
      </c>
      <c r="AH171" s="34" t="n">
        <f aca="false">IF(AH$8=1,IF(Reales!$C$33="PYG",IF(AH$10&gt;0,N(Reales!AH33)/AH$10,0),N(Reales!AH33)),AH$159*INDEX(Precio_V,9)*INDEX(IdxPrecio_V,1,MIN(10,AH$147))*(1+V_dPrecio))</f>
        <v>0</v>
      </c>
      <c r="AI171" s="34" t="n">
        <f aca="false">IF(AI$8=1,IF(Reales!$C$33="PYG",IF(AI$10&gt;0,N(Reales!AI33)/AI$10,0),N(Reales!AI33)),AI$159*INDEX(Precio_V,9)*INDEX(IdxPrecio_V,1,MIN(10,AI$147))*(1+V_dPrecio))</f>
        <v>0</v>
      </c>
      <c r="AJ171" s="34" t="n">
        <f aca="false">IF(AJ$8=1,IF(Reales!$C$33="PYG",IF(AJ$10&gt;0,N(Reales!AJ33)/AJ$10,0),N(Reales!AJ33)),AJ$159*INDEX(Precio_V,9)*INDEX(IdxPrecio_V,1,MIN(10,AJ$147))*(1+V_dPrecio))</f>
        <v>0</v>
      </c>
      <c r="AK171" s="34" t="n">
        <f aca="false">IF(AK$8=1,IF(Reales!$C$33="PYG",IF(AK$10&gt;0,N(Reales!AK33)/AK$10,0),N(Reales!AK33)),AK$159*INDEX(Precio_V,9)*INDEX(IdxPrecio_V,1,MIN(10,AK$147))*(1+V_dPrecio))</f>
        <v>0</v>
      </c>
      <c r="AL171" s="34" t="n">
        <f aca="false">IF(AL$8=1,IF(Reales!$C$33="PYG",IF(AL$10&gt;0,N(Reales!AL33)/AL$10,0),N(Reales!AL33)),AL$159*INDEX(Precio_V,9)*INDEX(IdxPrecio_V,1,MIN(10,AL$147))*(1+V_dPrecio))</f>
        <v>0</v>
      </c>
      <c r="AM171" s="34" t="n">
        <f aca="false">IF(AM$8=1,IF(Reales!$C$33="PYG",IF(AM$10&gt;0,N(Reales!AM33)/AM$10,0),N(Reales!AM33)),AM$159*INDEX(Precio_V,9)*INDEX(IdxPrecio_V,1,MIN(10,AM$147))*(1+V_dPrecio))</f>
        <v>0</v>
      </c>
      <c r="AN171" s="34" t="n">
        <f aca="false">IF(AN$8=1,IF(Reales!$C$33="PYG",IF(AN$10&gt;0,N(Reales!AN33)/AN$10,0),N(Reales!AN33)),AN$159*INDEX(Precio_V,9)*INDEX(IdxPrecio_V,1,MIN(10,AN$147))*(1+V_dPrecio))</f>
        <v>0</v>
      </c>
      <c r="AO171" s="34" t="n">
        <f aca="false">IF(AO$8=1,IF(Reales!$C$33="PYG",IF(AO$10&gt;0,N(Reales!AO33)/AO$10,0),N(Reales!AO33)),AO$159*INDEX(Precio_V,9)*INDEX(IdxPrecio_V,1,MIN(10,AO$147))*(1+V_dPrecio))</f>
        <v>0</v>
      </c>
      <c r="AP171" s="34" t="n">
        <f aca="false">IF(AP$8=1,IF(Reales!$C$33="PYG",IF(AP$10&gt;0,N(Reales!AP33)/AP$10,0),N(Reales!AP33)),AP$159*INDEX(Precio_V,9)*INDEX(IdxPrecio_V,1,MIN(10,AP$147))*(1+V_dPrecio))</f>
        <v>0</v>
      </c>
      <c r="AQ171" s="34" t="n">
        <f aca="false">IF(AQ$8=1,IF(Reales!$C$33="PYG",IF(AQ$10&gt;0,N(Reales!AQ33)/AQ$10,0),N(Reales!AQ33)),AQ$159*INDEX(Precio_V,9)*INDEX(IdxPrecio_V,1,MIN(10,AQ$147))*(1+V_dPrecio))</f>
        <v>0</v>
      </c>
      <c r="AR171" s="34" t="n">
        <f aca="false">IF(AR$8=1,IF(Reales!$C$33="PYG",IF(AR$10&gt;0,N(Reales!AR33)/AR$10,0),N(Reales!AR33)),AR$159*INDEX(Precio_V,9)*INDEX(IdxPrecio_V,1,MIN(10,AR$147))*(1+V_dPrecio))</f>
        <v>0</v>
      </c>
      <c r="AS171" s="34" t="n">
        <f aca="false">IF(AS$8=1,IF(Reales!$C$33="PYG",IF(AS$10&gt;0,N(Reales!AS33)/AS$10,0),N(Reales!AS33)),AS$159*INDEX(Precio_V,9)*INDEX(IdxPrecio_V,1,MIN(10,AS$147))*(1+V_dPrecio))</f>
        <v>0</v>
      </c>
      <c r="AT171" s="34" t="n">
        <f aca="false">IF(AT$8=1,IF(Reales!$C$33="PYG",IF(AT$10&gt;0,N(Reales!AT33)/AT$10,0),N(Reales!AT33)),AT$159*INDEX(Precio_V,9)*INDEX(IdxPrecio_V,1,MIN(10,AT$147))*(1+V_dPrecio))</f>
        <v>0</v>
      </c>
      <c r="AU171" s="34" t="n">
        <f aca="false">IF(AU$8=1,IF(Reales!$C$33="PYG",IF(AU$10&gt;0,N(Reales!AU33)/AU$10,0),N(Reales!AU33)),AU$159*INDEX(Precio_V,9)*INDEX(IdxPrecio_V,1,MIN(10,AU$147))*(1+V_dPrecio))</f>
        <v>0</v>
      </c>
      <c r="AV171" s="34" t="n">
        <f aca="false">IF(AV$8=1,IF(Reales!$C$33="PYG",IF(AV$10&gt;0,N(Reales!AV33)/AV$10,0),N(Reales!AV33)),AV$159*INDEX(Precio_V,9)*INDEX(IdxPrecio_V,1,MIN(10,AV$147))*(1+V_dPrecio))</f>
        <v>0</v>
      </c>
      <c r="AW171" s="34" t="n">
        <f aca="false">IF(AW$8=1,IF(Reales!$C$33="PYG",IF(AW$10&gt;0,N(Reales!AW33)/AW$10,0),N(Reales!AW33)),AW$159*INDEX(Precio_V,9)*INDEX(IdxPrecio_V,1,MIN(10,AW$147))*(1+V_dPrecio))</f>
        <v>0</v>
      </c>
      <c r="AX171" s="34" t="n">
        <f aca="false">IF(AX$8=1,IF(Reales!$C$33="PYG",IF(AX$10&gt;0,N(Reales!AX33)/AX$10,0),N(Reales!AX33)),AX$159*INDEX(Precio_V,9)*INDEX(IdxPrecio_V,1,MIN(10,AX$147))*(1+V_dPrecio))</f>
        <v>0</v>
      </c>
      <c r="AY171" s="34" t="n">
        <f aca="false">IF(AY$8=1,IF(Reales!$C$33="PYG",IF(AY$10&gt;0,N(Reales!AY33)/AY$10,0),N(Reales!AY33)),AY$159*INDEX(Precio_V,9)*INDEX(IdxPrecio_V,1,MIN(10,AY$147))*(1+V_dPrecio))</f>
        <v>0</v>
      </c>
      <c r="AZ171" s="34" t="n">
        <f aca="false">IF(AZ$8=1,IF(Reales!$C$33="PYG",IF(AZ$10&gt;0,N(Reales!AZ33)/AZ$10,0),N(Reales!AZ33)),AZ$159*INDEX(Precio_V,9)*INDEX(IdxPrecio_V,1,MIN(10,AZ$147))*(1+V_dPrecio))</f>
        <v>0</v>
      </c>
      <c r="BA171" s="34" t="n">
        <f aca="false">IF(BA$8=1,IF(Reales!$C$33="PYG",IF(BA$10&gt;0,N(Reales!BA33)/BA$10,0),N(Reales!BA33)),BA$159*INDEX(Precio_V,9)*INDEX(IdxPrecio_V,1,MIN(10,BA$147))*(1+V_dPrecio))</f>
        <v>0</v>
      </c>
      <c r="BB171" s="34" t="n">
        <f aca="false">IF(BB$8=1,IF(Reales!$C$33="PYG",IF(BB$10&gt;0,N(Reales!BB33)/BB$10,0),N(Reales!BB33)),BB$159*INDEX(Precio_V,9)*INDEX(IdxPrecio_V,1,MIN(10,BB$147))*(1+V_dPrecio))</f>
        <v>0</v>
      </c>
      <c r="BC171" s="34" t="n">
        <f aca="false">IF(BC$8=1,IF(Reales!$C$33="PYG",IF(BC$10&gt;0,N(Reales!BC33)/BC$10,0),N(Reales!BC33)),BC$159*INDEX(Precio_V,9)*INDEX(IdxPrecio_V,1,MIN(10,BC$147))*(1+V_dPrecio))</f>
        <v>0</v>
      </c>
      <c r="BD171" s="34" t="n">
        <f aca="false">IF(BD$8=1,IF(Reales!$C$33="PYG",IF(BD$10&gt;0,N(Reales!BD33)/BD$10,0),N(Reales!BD33)),BD$159*INDEX(Precio_V,9)*INDEX(IdxPrecio_V,1,MIN(10,BD$147))*(1+V_dPrecio))</f>
        <v>0</v>
      </c>
      <c r="BE171" s="34" t="n">
        <f aca="false">IF(BE$8=1,IF(Reales!$C$33="PYG",IF(BE$10&gt;0,N(Reales!BE33)/BE$10,0),N(Reales!BE33)),BE$159*INDEX(Precio_V,9)*INDEX(IdxPrecio_V,1,MIN(10,BE$147))*(1+V_dPrecio))</f>
        <v>0</v>
      </c>
      <c r="BF171" s="34" t="n">
        <f aca="false">IF(BF$8=1,IF(Reales!$C$33="PYG",IF(BF$10&gt;0,N(Reales!BF33)/BF$10,0),N(Reales!BF33)),BF$159*INDEX(Precio_V,9)*INDEX(IdxPrecio_V,1,MIN(10,BF$147))*(1+V_dPrecio))</f>
        <v>0</v>
      </c>
      <c r="BG171" s="34" t="n">
        <f aca="false">IF(BG$8=1,IF(Reales!$C$33="PYG",IF(BG$10&gt;0,N(Reales!BG33)/BG$10,0),N(Reales!BG33)),BG$159*INDEX(Precio_V,9)*INDEX(IdxPrecio_V,1,MIN(10,BG$147))*(1+V_dPrecio))</f>
        <v>0</v>
      </c>
      <c r="BH171" s="34" t="n">
        <f aca="false">IF(BH$8=1,IF(Reales!$C$33="PYG",IF(BH$10&gt;0,N(Reales!BH33)/BH$10,0),N(Reales!BH33)),BH$159*INDEX(Precio_V,9)*INDEX(IdxPrecio_V,1,MIN(10,BH$147))*(1+V_dPrecio))</f>
        <v>0</v>
      </c>
      <c r="BI171" s="34" t="n">
        <f aca="false">IF(BI$8=1,IF(Reales!$C$33="PYG",IF(BI$10&gt;0,N(Reales!BI33)/BI$10,0),N(Reales!BI33)),BI$159*INDEX(Precio_V,9)*INDEX(IdxPrecio_V,1,MIN(10,BI$147))*(1+V_dPrecio))</f>
        <v>0</v>
      </c>
      <c r="BJ171" s="34" t="n">
        <f aca="false">IF(BJ$8=1,IF(Reales!$C$33="PYG",IF(BJ$10&gt;0,N(Reales!BJ33)/BJ$10,0),N(Reales!BJ33)),BJ$159*INDEX(Precio_V,9)*INDEX(IdxPrecio_V,1,MIN(10,BJ$147))*(1+V_dPrecio))</f>
        <v>0</v>
      </c>
      <c r="BK171" s="34" t="n">
        <f aca="false">IF(BK$8=1,IF(Reales!$C$33="PYG",IF(BK$10&gt;0,N(Reales!BK33)/BK$10,0),N(Reales!BK33)),BK$159*INDEX(Precio_V,9)*INDEX(IdxPrecio_V,1,MIN(10,BK$147))*(1+V_dPrecio))</f>
        <v>0</v>
      </c>
      <c r="BL171" s="34" t="n">
        <f aca="false">IF(BL$8=1,IF(Reales!$C$33="PYG",IF(BL$10&gt;0,N(Reales!BL33)/BL$10,0),N(Reales!BL33)),BL$159*INDEX(Precio_V,9)*INDEX(IdxPrecio_V,1,MIN(10,BL$147))*(1+V_dPrecio))</f>
        <v>0</v>
      </c>
      <c r="BM171" s="34" t="n">
        <f aca="false">IF(BM$8=1,IF(Reales!$C$33="PYG",IF(BM$10&gt;0,N(Reales!BM33)/BM$10,0),N(Reales!BM33)),BM$159*INDEX(Precio_V,9)*INDEX(IdxPrecio_V,1,MIN(10,BM$147))*(1+V_dPrecio))</f>
        <v>0</v>
      </c>
      <c r="BN171" s="34" t="n">
        <f aca="false">IF(BN$8=1,IF(Reales!$C$33="PYG",IF(BN$10&gt;0,N(Reales!BN33)/BN$10,0),N(Reales!BN33)),BN$159*INDEX(Precio_V,9)*INDEX(IdxPrecio_V,1,MIN(10,BN$147))*(1+V_dPrecio))</f>
        <v>0</v>
      </c>
      <c r="BO171" s="34" t="n">
        <f aca="false">IF(BO$8=1,IF(Reales!$C$33="PYG",IF(BO$10&gt;0,N(Reales!BO33)/BO$10,0),N(Reales!BO33)),BO$159*INDEX(Precio_V,9)*INDEX(IdxPrecio_V,1,MIN(10,BO$147))*(1+V_dPrecio))</f>
        <v>0</v>
      </c>
      <c r="BP171" s="34" t="n">
        <f aca="false">IF(BP$8=1,IF(Reales!$C$33="PYG",IF(BP$10&gt;0,N(Reales!BP33)/BP$10,0),N(Reales!BP33)),BP$159*INDEX(Precio_V,9)*INDEX(IdxPrecio_V,1,MIN(10,BP$147))*(1+V_dPrecio))</f>
        <v>0</v>
      </c>
      <c r="BQ171" s="34" t="n">
        <f aca="false">IF(BQ$8=1,IF(Reales!$C$33="PYG",IF(BQ$10&gt;0,N(Reales!BQ33)/BQ$10,0),N(Reales!BQ33)),BQ$159*INDEX(Precio_V,9)*INDEX(IdxPrecio_V,1,MIN(10,BQ$147))*(1+V_dPrecio))</f>
        <v>0</v>
      </c>
      <c r="BR171" s="34" t="n">
        <f aca="false">IF(BR$8=1,IF(Reales!$C$33="PYG",IF(BR$10&gt;0,N(Reales!BR33)/BR$10,0),N(Reales!BR33)),BR$159*INDEX(Precio_V,9)*INDEX(IdxPrecio_V,1,MIN(10,BR$147))*(1+V_dPrecio))</f>
        <v>0</v>
      </c>
      <c r="BS171" s="34" t="n">
        <f aca="false">IF(BS$8=1,IF(Reales!$C$33="PYG",IF(BS$10&gt;0,N(Reales!BS33)/BS$10,0),N(Reales!BS33)),BS$159*INDEX(Precio_V,9)*INDEX(IdxPrecio_V,1,MIN(10,BS$147))*(1+V_dPrecio))</f>
        <v>0</v>
      </c>
      <c r="BT171" s="34" t="n">
        <f aca="false">IF(BT$8=1,IF(Reales!$C$33="PYG",IF(BT$10&gt;0,N(Reales!BT33)/BT$10,0),N(Reales!BT33)),BT$159*INDEX(Precio_V,9)*INDEX(IdxPrecio_V,1,MIN(10,BT$147))*(1+V_dPrecio))</f>
        <v>0</v>
      </c>
      <c r="BU171" s="34" t="n">
        <f aca="false">IF(BU$8=1,IF(Reales!$C$33="PYG",IF(BU$10&gt;0,N(Reales!BU33)/BU$10,0),N(Reales!BU33)),BU$159*INDEX(Precio_V,9)*INDEX(IdxPrecio_V,1,MIN(10,BU$147))*(1+V_dPrecio))</f>
        <v>0</v>
      </c>
      <c r="BV171" s="34" t="n">
        <f aca="false">IF(BV$8=1,IF(Reales!$C$33="PYG",IF(BV$10&gt;0,N(Reales!BV33)/BV$10,0),N(Reales!BV33)),BV$159*INDEX(Precio_V,9)*INDEX(IdxPrecio_V,1,MIN(10,BV$147))*(1+V_dPrecio))</f>
        <v>0</v>
      </c>
      <c r="BW171" s="34" t="n">
        <f aca="false">IF(BW$8=1,IF(Reales!$C$33="PYG",IF(BW$10&gt;0,N(Reales!BW33)/BW$10,0),N(Reales!BW33)),BW$159*INDEX(Precio_V,9)*INDEX(IdxPrecio_V,1,MIN(10,BW$147))*(1+V_dPrecio))</f>
        <v>0</v>
      </c>
      <c r="BX171" s="34" t="n">
        <f aca="false">IF(BX$8=1,IF(Reales!$C$33="PYG",IF(BX$10&gt;0,N(Reales!BX33)/BX$10,0),N(Reales!BX33)),BX$159*INDEX(Precio_V,9)*INDEX(IdxPrecio_V,1,MIN(10,BX$147))*(1+V_dPrecio))</f>
        <v>0</v>
      </c>
      <c r="BY171" s="34" t="n">
        <f aca="false">IF(BY$8=1,IF(Reales!$C$33="PYG",IF(BY$10&gt;0,N(Reales!BY33)/BY$10,0),N(Reales!BY33)),BY$159*INDEX(Precio_V,9)*INDEX(IdxPrecio_V,1,MIN(10,BY$147))*(1+V_dPrecio))</f>
        <v>0</v>
      </c>
      <c r="BZ171" s="34" t="n">
        <f aca="false">IF(BZ$8=1,IF(Reales!$C$33="PYG",IF(BZ$10&gt;0,N(Reales!BZ33)/BZ$10,0),N(Reales!BZ33)),BZ$159*INDEX(Precio_V,9)*INDEX(IdxPrecio_V,1,MIN(10,BZ$147))*(1+V_dPrecio))</f>
        <v>0</v>
      </c>
      <c r="CA171" s="34" t="n">
        <f aca="false">IF(CA$8=1,IF(Reales!$C$33="PYG",IF(CA$10&gt;0,N(Reales!CA33)/CA$10,0),N(Reales!CA33)),CA$159*INDEX(Precio_V,9)*INDEX(IdxPrecio_V,1,MIN(10,CA$147))*(1+V_dPrecio))</f>
        <v>0</v>
      </c>
      <c r="CB171" s="34" t="n">
        <f aca="false">IF(CB$8=1,IF(Reales!$C$33="PYG",IF(CB$10&gt;0,N(Reales!CB33)/CB$10,0),N(Reales!CB33)),CB$159*INDEX(Precio_V,9)*INDEX(IdxPrecio_V,1,MIN(10,CB$147))*(1+V_dPrecio))</f>
        <v>0</v>
      </c>
      <c r="CC171" s="34" t="n">
        <f aca="false">IF(CC$8=1,IF(Reales!$C$33="PYG",IF(CC$10&gt;0,N(Reales!CC33)/CC$10,0),N(Reales!CC33)),CC$159*INDEX(Precio_V,9)*INDEX(IdxPrecio_V,1,MIN(10,CC$147))*(1+V_dPrecio))</f>
        <v>0</v>
      </c>
      <c r="CD171" s="34" t="n">
        <f aca="false">IF(CD$8=1,IF(Reales!$C$33="PYG",IF(CD$10&gt;0,N(Reales!CD33)/CD$10,0),N(Reales!CD33)),CD$159*INDEX(Precio_V,9)*INDEX(IdxPrecio_V,1,MIN(10,CD$147))*(1+V_dPrecio))</f>
        <v>0</v>
      </c>
      <c r="CE171" s="34" t="n">
        <f aca="false">IF(CE$8=1,IF(Reales!$C$33="PYG",IF(CE$10&gt;0,N(Reales!CE33)/CE$10,0),N(Reales!CE33)),CE$159*INDEX(Precio_V,9)*INDEX(IdxPrecio_V,1,MIN(10,CE$147))*(1+V_dPrecio))</f>
        <v>0</v>
      </c>
      <c r="CF171" s="34" t="n">
        <f aca="false">IF(CF$8=1,IF(Reales!$C$33="PYG",IF(CF$10&gt;0,N(Reales!CF33)/CF$10,0),N(Reales!CF33)),CF$159*INDEX(Precio_V,9)*INDEX(IdxPrecio_V,1,MIN(10,CF$147))*(1+V_dPrecio))</f>
        <v>0</v>
      </c>
      <c r="CG171" s="34" t="n">
        <f aca="false">IF(CG$8=1,IF(Reales!$C$33="PYG",IF(CG$10&gt;0,N(Reales!CG33)/CG$10,0),N(Reales!CG33)),CG$159*INDEX(Precio_V,9)*INDEX(IdxPrecio_V,1,MIN(10,CG$147))*(1+V_dPrecio))</f>
        <v>0</v>
      </c>
      <c r="CH171" s="34" t="n">
        <f aca="false">IF(CH$8=1,IF(Reales!$C$33="PYG",IF(CH$10&gt;0,N(Reales!CH33)/CH$10,0),N(Reales!CH33)),CH$159*INDEX(Precio_V,9)*INDEX(IdxPrecio_V,1,MIN(10,CH$147))*(1+V_dPrecio))</f>
        <v>0</v>
      </c>
      <c r="CI171" s="34" t="n">
        <f aca="false">IF(CI$8=1,IF(Reales!$C$33="PYG",IF(CI$10&gt;0,N(Reales!CI33)/CI$10,0),N(Reales!CI33)),CI$159*INDEX(Precio_V,9)*INDEX(IdxPrecio_V,1,MIN(10,CI$147))*(1+V_dPrecio))</f>
        <v>0</v>
      </c>
      <c r="CJ171" s="34" t="n">
        <f aca="false">IF(CJ$8=1,IF(Reales!$C$33="PYG",IF(CJ$10&gt;0,N(Reales!CJ33)/CJ$10,0),N(Reales!CJ33)),CJ$159*INDEX(Precio_V,9)*INDEX(IdxPrecio_V,1,MIN(10,CJ$147))*(1+V_dPrecio))</f>
        <v>0</v>
      </c>
      <c r="CK171" s="34" t="n">
        <f aca="false">IF(CK$8=1,IF(Reales!$C$33="PYG",IF(CK$10&gt;0,N(Reales!CK33)/CK$10,0),N(Reales!CK33)),CK$159*INDEX(Precio_V,9)*INDEX(IdxPrecio_V,1,MIN(10,CK$147))*(1+V_dPrecio))</f>
        <v>0</v>
      </c>
      <c r="CL171" s="34" t="n">
        <f aca="false">IF(CL$8=1,IF(Reales!$C$33="PYG",IF(CL$10&gt;0,N(Reales!CL33)/CL$10,0),N(Reales!CL33)),CL$159*INDEX(Precio_V,9)*INDEX(IdxPrecio_V,1,MIN(10,CL$147))*(1+V_dPrecio))</f>
        <v>0</v>
      </c>
      <c r="CM171" s="34" t="n">
        <f aca="false">IF(CM$8=1,IF(Reales!$C$33="PYG",IF(CM$10&gt;0,N(Reales!CM33)/CM$10,0),N(Reales!CM33)),CM$159*INDEX(Precio_V,9)*INDEX(IdxPrecio_V,1,MIN(10,CM$147))*(1+V_dPrecio))</f>
        <v>0</v>
      </c>
      <c r="CN171" s="34" t="n">
        <f aca="false">IF(CN$8=1,IF(Reales!$C$33="PYG",IF(CN$10&gt;0,N(Reales!CN33)/CN$10,0),N(Reales!CN33)),CN$159*INDEX(Precio_V,9)*INDEX(IdxPrecio_V,1,MIN(10,CN$147))*(1+V_dPrecio))</f>
        <v>0</v>
      </c>
      <c r="CO171" s="34" t="n">
        <f aca="false">IF(CO$8=1,IF(Reales!$C$33="PYG",IF(CO$10&gt;0,N(Reales!CO33)/CO$10,0),N(Reales!CO33)),CO$159*INDEX(Precio_V,9)*INDEX(IdxPrecio_V,1,MIN(10,CO$147))*(1+V_dPrecio))</f>
        <v>0</v>
      </c>
      <c r="CP171" s="34" t="n">
        <f aca="false">IF(CP$8=1,IF(Reales!$C$33="PYG",IF(CP$10&gt;0,N(Reales!CP33)/CP$10,0),N(Reales!CP33)),CP$159*INDEX(Precio_V,9)*INDEX(IdxPrecio_V,1,MIN(10,CP$147))*(1+V_dPrecio))</f>
        <v>0</v>
      </c>
      <c r="CQ171" s="34" t="n">
        <f aca="false">IF(CQ$8=1,IF(Reales!$C$33="PYG",IF(CQ$10&gt;0,N(Reales!CQ33)/CQ$10,0),N(Reales!CQ33)),CQ$159*INDEX(Precio_V,9)*INDEX(IdxPrecio_V,1,MIN(10,CQ$147))*(1+V_dPrecio))</f>
        <v>0</v>
      </c>
      <c r="CR171" s="34" t="n">
        <f aca="false">IF(CR$8=1,IF(Reales!$C$33="PYG",IF(CR$10&gt;0,N(Reales!CR33)/CR$10,0),N(Reales!CR33)),CR$159*INDEX(Precio_V,9)*INDEX(IdxPrecio_V,1,MIN(10,CR$147))*(1+V_dPrecio))</f>
        <v>0</v>
      </c>
      <c r="CS171" s="34" t="n">
        <f aca="false">IF(CS$8=1,IF(Reales!$C$33="PYG",IF(CS$10&gt;0,N(Reales!CS33)/CS$10,0),N(Reales!CS33)),CS$159*INDEX(Precio_V,9)*INDEX(IdxPrecio_V,1,MIN(10,CS$147))*(1+V_dPrecio))</f>
        <v>0</v>
      </c>
      <c r="CT171" s="34" t="n">
        <f aca="false">IF(CT$8=1,IF(Reales!$C$33="PYG",IF(CT$10&gt;0,N(Reales!CT33)/CT$10,0),N(Reales!CT33)),CT$159*INDEX(Precio_V,9)*INDEX(IdxPrecio_V,1,MIN(10,CT$147))*(1+V_dPrecio))</f>
        <v>0</v>
      </c>
      <c r="CU171" s="34" t="n">
        <f aca="false">IF(CU$8=1,IF(Reales!$C$33="PYG",IF(CU$10&gt;0,N(Reales!CU33)/CU$10,0),N(Reales!CU33)),CU$159*INDEX(Precio_V,9)*INDEX(IdxPrecio_V,1,MIN(10,CU$147))*(1+V_dPrecio))</f>
        <v>0</v>
      </c>
      <c r="CV171" s="34" t="n">
        <f aca="false">IF(CV$8=1,IF(Reales!$C$33="PYG",IF(CV$10&gt;0,N(Reales!CV33)/CV$10,0),N(Reales!CV33)),CV$159*INDEX(Precio_V,9)*INDEX(IdxPrecio_V,1,MIN(10,CV$147))*(1+V_dPrecio))</f>
        <v>0</v>
      </c>
      <c r="CW171" s="34" t="n">
        <f aca="false">IF(CW$8=1,IF(Reales!$C$33="PYG",IF(CW$10&gt;0,N(Reales!CW33)/CW$10,0),N(Reales!CW33)),CW$159*INDEX(Precio_V,9)*INDEX(IdxPrecio_V,1,MIN(10,CW$147))*(1+V_dPrecio))</f>
        <v>0</v>
      </c>
      <c r="CX171" s="34" t="n">
        <f aca="false">IF(CX$8=1,IF(Reales!$C$33="PYG",IF(CX$10&gt;0,N(Reales!CX33)/CX$10,0),N(Reales!CX33)),CX$159*INDEX(Precio_V,9)*INDEX(IdxPrecio_V,1,MIN(10,CX$147))*(1+V_dPrecio))</f>
        <v>0</v>
      </c>
      <c r="CY171" s="34" t="n">
        <f aca="false">IF(CY$8=1,IF(Reales!$C$33="PYG",IF(CY$10&gt;0,N(Reales!CY33)/CY$10,0),N(Reales!CY33)),CY$159*INDEX(Precio_V,9)*INDEX(IdxPrecio_V,1,MIN(10,CY$147))*(1+V_dPrecio))</f>
        <v>0</v>
      </c>
      <c r="CZ171" s="34" t="n">
        <f aca="false">IF(CZ$8=1,IF(Reales!$C$33="PYG",IF(CZ$10&gt;0,N(Reales!CZ33)/CZ$10,0),N(Reales!CZ33)),CZ$159*INDEX(Precio_V,9)*INDEX(IdxPrecio_V,1,MIN(10,CZ$147))*(1+V_dPrecio))</f>
        <v>0</v>
      </c>
      <c r="DA171" s="34" t="n">
        <f aca="false">IF(DA$8=1,IF(Reales!$C$33="PYG",IF(DA$10&gt;0,N(Reales!DA33)/DA$10,0),N(Reales!DA33)),DA$159*INDEX(Precio_V,9)*INDEX(IdxPrecio_V,1,MIN(10,DA$147))*(1+V_dPrecio))</f>
        <v>0</v>
      </c>
      <c r="DB171" s="34" t="n">
        <f aca="false">IF(DB$8=1,IF(Reales!$C$33="PYG",IF(DB$10&gt;0,N(Reales!DB33)/DB$10,0),N(Reales!DB33)),DB$159*INDEX(Precio_V,9)*INDEX(IdxPrecio_V,1,MIN(10,DB$147))*(1+V_dPrecio))</f>
        <v>0</v>
      </c>
      <c r="DC171" s="34" t="n">
        <f aca="false">IF(DC$8=1,IF(Reales!$C$33="PYG",IF(DC$10&gt;0,N(Reales!DC33)/DC$10,0),N(Reales!DC33)),DC$159*INDEX(Precio_V,9)*INDEX(IdxPrecio_V,1,MIN(10,DC$147))*(1+V_dPrecio))</f>
        <v>0</v>
      </c>
      <c r="DD171" s="34" t="n">
        <f aca="false">IF(DD$8=1,IF(Reales!$C$33="PYG",IF(DD$10&gt;0,N(Reales!DD33)/DD$10,0),N(Reales!DD33)),DD$159*INDEX(Precio_V,9)*INDEX(IdxPrecio_V,1,MIN(10,DD$147))*(1+V_dPrecio))</f>
        <v>0</v>
      </c>
      <c r="DE171" s="34" t="n">
        <f aca="false">IF(DE$8=1,IF(Reales!$C$33="PYG",IF(DE$10&gt;0,N(Reales!DE33)/DE$10,0),N(Reales!DE33)),DE$159*INDEX(Precio_V,9)*INDEX(IdxPrecio_V,1,MIN(10,DE$147))*(1+V_dPrecio))</f>
        <v>0</v>
      </c>
      <c r="DF171" s="34" t="n">
        <f aca="false">IF(DF$8=1,IF(Reales!$C$33="PYG",IF(DF$10&gt;0,N(Reales!DF33)/DF$10,0),N(Reales!DF33)),DF$159*INDEX(Precio_V,9)*INDEX(IdxPrecio_V,1,MIN(10,DF$147))*(1+V_dPrecio))</f>
        <v>0</v>
      </c>
      <c r="DG171" s="34" t="n">
        <f aca="false">IF(DG$8=1,IF(Reales!$C$33="PYG",IF(DG$10&gt;0,N(Reales!DG33)/DG$10,0),N(Reales!DG33)),DG$159*INDEX(Precio_V,9)*INDEX(IdxPrecio_V,1,MIN(10,DG$147))*(1+V_dPrecio))</f>
        <v>0</v>
      </c>
      <c r="DH171" s="34" t="n">
        <f aca="false">IF(DH$8=1,IF(Reales!$C$33="PYG",IF(DH$10&gt;0,N(Reales!DH33)/DH$10,0),N(Reales!DH33)),DH$159*INDEX(Precio_V,9)*INDEX(IdxPrecio_V,1,MIN(10,DH$147))*(1+V_dPrecio))</f>
        <v>0</v>
      </c>
      <c r="DI171" s="34" t="n">
        <f aca="false">IF(DI$8=1,IF(Reales!$C$33="PYG",IF(DI$10&gt;0,N(Reales!DI33)/DI$10,0),N(Reales!DI33)),DI$159*INDEX(Precio_V,9)*INDEX(IdxPrecio_V,1,MIN(10,DI$147))*(1+V_dPrecio))</f>
        <v>0</v>
      </c>
      <c r="DJ171" s="34" t="n">
        <f aca="false">IF(DJ$8=1,IF(Reales!$C$33="PYG",IF(DJ$10&gt;0,N(Reales!DJ33)/DJ$10,0),N(Reales!DJ33)),DJ$159*INDEX(Precio_V,9)*INDEX(IdxPrecio_V,1,MIN(10,DJ$147))*(1+V_dPrecio))</f>
        <v>0</v>
      </c>
      <c r="DK171" s="34" t="n">
        <f aca="false">IF(DK$8=1,IF(Reales!$C$33="PYG",IF(DK$10&gt;0,N(Reales!DK33)/DK$10,0),N(Reales!DK33)),DK$159*INDEX(Precio_V,9)*INDEX(IdxPrecio_V,1,MIN(10,DK$147))*(1+V_dPrecio))</f>
        <v>0</v>
      </c>
      <c r="DL171" s="34" t="n">
        <f aca="false">IF(DL$8=1,IF(Reales!$C$33="PYG",IF(DL$10&gt;0,N(Reales!DL33)/DL$10,0),N(Reales!DL33)),DL$159*INDEX(Precio_V,9)*INDEX(IdxPrecio_V,1,MIN(10,DL$147))*(1+V_dPrecio))</f>
        <v>0</v>
      </c>
      <c r="DM171" s="34" t="n">
        <f aca="false">IF(DM$8=1,IF(Reales!$C$33="PYG",IF(DM$10&gt;0,N(Reales!DM33)/DM$10,0),N(Reales!DM33)),DM$159*INDEX(Precio_V,9)*INDEX(IdxPrecio_V,1,MIN(10,DM$147))*(1+V_dPrecio))</f>
        <v>0</v>
      </c>
      <c r="DN171" s="34" t="n">
        <f aca="false">IF(DN$8=1,IF(Reales!$C$33="PYG",IF(DN$10&gt;0,N(Reales!DN33)/DN$10,0),N(Reales!DN33)),DN$159*INDEX(Precio_V,9)*INDEX(IdxPrecio_V,1,MIN(10,DN$147))*(1+V_dPrecio))</f>
        <v>0</v>
      </c>
      <c r="DO171" s="34" t="n">
        <f aca="false">IF(DO$8=1,IF(Reales!$C$33="PYG",IF(DO$10&gt;0,N(Reales!DO33)/DO$10,0),N(Reales!DO33)),DO$159*INDEX(Precio_V,9)*INDEX(IdxPrecio_V,1,MIN(10,DO$147))*(1+V_dPrecio))</f>
        <v>0</v>
      </c>
      <c r="DP171" s="34" t="n">
        <f aca="false">IF(DP$8=1,IF(Reales!$C$33="PYG",IF(DP$10&gt;0,N(Reales!DP33)/DP$10,0),N(Reales!DP33)),DP$159*INDEX(Precio_V,9)*INDEX(IdxPrecio_V,1,MIN(10,DP$147))*(1+V_dPrecio))</f>
        <v>0</v>
      </c>
      <c r="DQ171" s="34" t="n">
        <f aca="false">IF(DQ$8=1,IF(Reales!$C$33="PYG",IF(DQ$10&gt;0,N(Reales!DQ33)/DQ$10,0),N(Reales!DQ33)),DQ$159*INDEX(Precio_V,9)*INDEX(IdxPrecio_V,1,MIN(10,DQ$147))*(1+V_dPrecio))</f>
        <v>0</v>
      </c>
      <c r="DR171" s="34" t="n">
        <f aca="false">IF(DR$8=1,IF(Reales!$C$33="PYG",IF(DR$10&gt;0,N(Reales!DR33)/DR$10,0),N(Reales!DR33)),DR$159*INDEX(Precio_V,9)*INDEX(IdxPrecio_V,1,MIN(10,DR$147))*(1+V_dPrecio))</f>
        <v>0</v>
      </c>
      <c r="DS171" s="34" t="n">
        <f aca="false">IF(DS$8=1,IF(Reales!$C$33="PYG",IF(DS$10&gt;0,N(Reales!DS33)/DS$10,0),N(Reales!DS33)),DS$159*INDEX(Precio_V,9)*INDEX(IdxPrecio_V,1,MIN(10,DS$147))*(1+V_dPrecio))</f>
        <v>0</v>
      </c>
      <c r="DT171" s="34" t="n">
        <f aca="false">IF(DT$8=1,IF(Reales!$C$33="PYG",IF(DT$10&gt;0,N(Reales!DT33)/DT$10,0),N(Reales!DT33)),DT$159*INDEX(Precio_V,9)*INDEX(IdxPrecio_V,1,MIN(10,DT$147))*(1+V_dPrecio))</f>
        <v>0</v>
      </c>
      <c r="DU171" s="34" t="n">
        <f aca="false">IF(DU$8=1,IF(Reales!$C$33="PYG",IF(DU$10&gt;0,N(Reales!DU33)/DU$10,0),N(Reales!DU33)),DU$159*INDEX(Precio_V,9)*INDEX(IdxPrecio_V,1,MIN(10,DU$147))*(1+V_dPrecio))</f>
        <v>0</v>
      </c>
      <c r="DV171" s="34" t="n">
        <f aca="false">IF(DV$8=1,IF(Reales!$C$33="PYG",IF(DV$10&gt;0,N(Reales!DV33)/DV$10,0),N(Reales!DV33)),DV$159*INDEX(Precio_V,9)*INDEX(IdxPrecio_V,1,MIN(10,DV$147))*(1+V_dPrecio))</f>
        <v>0</v>
      </c>
      <c r="DW171" s="34" t="n">
        <f aca="false">IF(DW$8=1,IF(Reales!$C$33="PYG",IF(DW$10&gt;0,N(Reales!DW33)/DW$10,0),N(Reales!DW33)),DW$159*INDEX(Precio_V,9)*INDEX(IdxPrecio_V,1,MIN(10,DW$147))*(1+V_dPrecio))</f>
        <v>0</v>
      </c>
      <c r="DX171" s="34" t="n">
        <f aca="false">IF(DX$8=1,IF(Reales!$C$33="PYG",IF(DX$10&gt;0,N(Reales!DX33)/DX$10,0),N(Reales!DX33)),DX$159*INDEX(Precio_V,9)*INDEX(IdxPrecio_V,1,MIN(10,DX$147))*(1+V_dPrecio))</f>
        <v>0</v>
      </c>
      <c r="DY171" s="34" t="n">
        <f aca="false">IF(DY$8=1,IF(Reales!$C$33="PYG",IF(DY$10&gt;0,N(Reales!DY33)/DY$10,0),N(Reales!DY33)),DY$159*INDEX(Precio_V,9)*INDEX(IdxPrecio_V,1,MIN(10,DY$147))*(1+V_dPrecio))</f>
        <v>0</v>
      </c>
      <c r="DZ171" s="34" t="n">
        <f aca="false">IF(DZ$8=1,IF(Reales!$C$33="PYG",IF(DZ$10&gt;0,N(Reales!DZ33)/DZ$10,0),N(Reales!DZ33)),DZ$159*INDEX(Precio_V,9)*INDEX(IdxPrecio_V,1,MIN(10,DZ$147))*(1+V_dPrecio))</f>
        <v>0</v>
      </c>
      <c r="EA171" s="34" t="n">
        <f aca="false">IF(EA$8=1,IF(Reales!$C$33="PYG",IF(EA$10&gt;0,N(Reales!EA33)/EA$10,0),N(Reales!EA33)),EA$159*INDEX(Precio_V,9)*INDEX(IdxPrecio_V,1,MIN(10,EA$147))*(1+V_dPrecio))</f>
        <v>0</v>
      </c>
      <c r="EB171" s="34" t="n">
        <f aca="false">IF(EB$8=1,IF(Reales!$C$33="PYG",IF(EB$10&gt;0,N(Reales!EB33)/EB$10,0),N(Reales!EB33)),EB$159*INDEX(Precio_V,9)*INDEX(IdxPrecio_V,1,MIN(10,EB$147))*(1+V_dPrecio))</f>
        <v>0</v>
      </c>
      <c r="EC171" s="34" t="n">
        <f aca="false">IF(EC$8=1,IF(Reales!$C$33="PYG",IF(EC$10&gt;0,N(Reales!EC33)/EC$10,0),N(Reales!EC33)),EC$159*INDEX(Precio_V,9)*INDEX(IdxPrecio_V,1,MIN(10,EC$147))*(1+V_dPrecio))</f>
        <v>0</v>
      </c>
      <c r="ED171" s="34" t="n">
        <f aca="false">IF(ED$8=1,IF(Reales!$C$33="PYG",IF(ED$10&gt;0,N(Reales!ED33)/ED$10,0),N(Reales!ED33)),ED$159*INDEX(Precio_V,9)*INDEX(IdxPrecio_V,1,MIN(10,ED$147))*(1+V_dPrecio))</f>
        <v>0</v>
      </c>
      <c r="EE171" s="34" t="n">
        <f aca="false">IF(EE$8=1,IF(Reales!$C$33="PYG",IF(EE$10&gt;0,N(Reales!EE33)/EE$10,0),N(Reales!EE33)),EE$159*INDEX(Precio_V,9)*INDEX(IdxPrecio_V,1,MIN(10,EE$147))*(1+V_dPrecio))</f>
        <v>0</v>
      </c>
      <c r="EF171" s="34" t="n">
        <f aca="false">IF(EF$8=1,IF(Reales!$C$33="PYG",IF(EF$10&gt;0,N(Reales!EF33)/EF$10,0),N(Reales!EF33)),EF$159*INDEX(Precio_V,9)*INDEX(IdxPrecio_V,1,MIN(10,EF$147))*(1+V_dPrecio))</f>
        <v>0</v>
      </c>
      <c r="EG171" s="34" t="n">
        <f aca="false">IF(EG$8=1,IF(Reales!$C$33="PYG",IF(EG$10&gt;0,N(Reales!EG33)/EG$10,0),N(Reales!EG33)),EG$159*INDEX(Precio_V,9)*INDEX(IdxPrecio_V,1,MIN(10,EG$147))*(1+V_dPrecio))</f>
        <v>0</v>
      </c>
      <c r="EH171" s="34" t="n">
        <f aca="false">IF(EH$8=1,IF(Reales!$C$33="PYG",IF(EH$10&gt;0,N(Reales!EH33)/EH$10,0),N(Reales!EH33)),EH$159*INDEX(Precio_V,9)*INDEX(IdxPrecio_V,1,MIN(10,EH$147))*(1+V_dPrecio))</f>
        <v>0</v>
      </c>
      <c r="EI171" s="34" t="n">
        <f aca="false">IF(EI$8=1,IF(Reales!$C$33="PYG",IF(EI$10&gt;0,N(Reales!EI33)/EI$10,0),N(Reales!EI33)),EI$159*INDEX(Precio_V,9)*INDEX(IdxPrecio_V,1,MIN(10,EI$147))*(1+V_dPrecio))</f>
        <v>0</v>
      </c>
      <c r="EJ171" s="34" t="n">
        <f aca="false">IF(EJ$8=1,IF(Reales!$C$33="PYG",IF(EJ$10&gt;0,N(Reales!EJ33)/EJ$10,0),N(Reales!EJ33)),EJ$159*INDEX(Precio_V,9)*INDEX(IdxPrecio_V,1,MIN(10,EJ$147))*(1+V_dPrecio))</f>
        <v>0</v>
      </c>
      <c r="EK171" s="34" t="n">
        <f aca="false">IF(EK$8=1,IF(Reales!$C$33="PYG",IF(EK$10&gt;0,N(Reales!EK33)/EK$10,0),N(Reales!EK33)),EK$159*INDEX(Precio_V,9)*INDEX(IdxPrecio_V,1,MIN(10,EK$147))*(1+V_dPrecio))</f>
        <v>0</v>
      </c>
      <c r="EL171" s="34" t="n">
        <f aca="false">IF(EL$8=1,IF(Reales!$C$33="PYG",IF(EL$10&gt;0,N(Reales!EL33)/EL$10,0),N(Reales!EL33)),EL$159*INDEX(Precio_V,9)*INDEX(IdxPrecio_V,1,MIN(10,EL$147))*(1+V_dPrecio))</f>
        <v>0</v>
      </c>
      <c r="EM171" s="34" t="n">
        <f aca="false">IF(EM$8=1,IF(Reales!$C$33="PYG",IF(EM$10&gt;0,N(Reales!EM33)/EM$10,0),N(Reales!EM33)),EM$159*INDEX(Precio_V,9)*INDEX(IdxPrecio_V,1,MIN(10,EM$147))*(1+V_dPrecio))</f>
        <v>0</v>
      </c>
      <c r="EN171" s="34" t="n">
        <f aca="false">IF(EN$8=1,IF(Reales!$C$33="PYG",IF(EN$10&gt;0,N(Reales!EN33)/EN$10,0),N(Reales!EN33)),EN$159*INDEX(Precio_V,9)*INDEX(IdxPrecio_V,1,MIN(10,EN$147))*(1+V_dPrecio))</f>
        <v>0</v>
      </c>
      <c r="EO171" s="34" t="n">
        <f aca="false">IF(EO$8=1,IF(Reales!$C$33="PYG",IF(EO$10&gt;0,N(Reales!EO33)/EO$10,0),N(Reales!EO33)),EO$159*INDEX(Precio_V,9)*INDEX(IdxPrecio_V,1,MIN(10,EO$147))*(1+V_dPrecio))</f>
        <v>0</v>
      </c>
      <c r="EP171" s="34" t="n">
        <f aca="false">IF(EP$8=1,IF(Reales!$C$33="PYG",IF(EP$10&gt;0,N(Reales!EP33)/EP$10,0),N(Reales!EP33)),EP$159*INDEX(Precio_V,9)*INDEX(IdxPrecio_V,1,MIN(10,EP$147))*(1+V_dPrecio))</f>
        <v>0</v>
      </c>
      <c r="EQ171" s="34" t="n">
        <f aca="false">IF(EQ$8=1,IF(Reales!$C$33="PYG",IF(EQ$10&gt;0,N(Reales!EQ33)/EQ$10,0),N(Reales!EQ33)),EQ$159*INDEX(Precio_V,9)*INDEX(IdxPrecio_V,1,MIN(10,EQ$147))*(1+V_dPrecio))</f>
        <v>0</v>
      </c>
      <c r="ER171" s="34" t="n">
        <f aca="false">IF(ER$8=1,IF(Reales!$C$33="PYG",IF(ER$10&gt;0,N(Reales!ER33)/ER$10,0),N(Reales!ER33)),ER$159*INDEX(Precio_V,9)*INDEX(IdxPrecio_V,1,MIN(10,ER$147))*(1+V_dPrecio))</f>
        <v>0</v>
      </c>
      <c r="ES171" s="34" t="n">
        <f aca="false">IF(ES$8=1,IF(Reales!$C$33="PYG",IF(ES$10&gt;0,N(Reales!ES33)/ES$10,0),N(Reales!ES33)),ES$159*INDEX(Precio_V,9)*INDEX(IdxPrecio_V,1,MIN(10,ES$147))*(1+V_dPrecio))</f>
        <v>0</v>
      </c>
    </row>
    <row r="172" customFormat="false" ht="15" hidden="false" customHeight="false" outlineLevel="0" collapsed="false">
      <c r="A172" s="2" t="s">
        <v>788</v>
      </c>
      <c r="B172" s="39" t="str">
        <f aca="false">IF(INDEX(Prod_Nombre,10)="","Producto 10",INDEX(Prod_Nombre,10))&amp;" — ventas USD"</f>
        <v>Producto 10 — ventas USD</v>
      </c>
      <c r="C172" s="6" t="s">
        <v>250</v>
      </c>
      <c r="E172" s="40" t="n">
        <f aca="false">SUM(F172:ES172)</f>
        <v>0</v>
      </c>
      <c r="F172" s="34" t="n">
        <f aca="false">IF(F$8=1,IF(Reales!$C$34="PYG",IF(F$10&gt;0,N(Reales!F34)/F$10,0),N(Reales!F34)),F$160*INDEX(Precio_V,10)*INDEX(IdxPrecio_V,1,MIN(10,F$147))*(1+V_dPrecio))</f>
        <v>0</v>
      </c>
      <c r="G172" s="34" t="n">
        <f aca="false">IF(G$8=1,IF(Reales!$C$34="PYG",IF(G$10&gt;0,N(Reales!G34)/G$10,0),N(Reales!G34)),G$160*INDEX(Precio_V,10)*INDEX(IdxPrecio_V,1,MIN(10,G$147))*(1+V_dPrecio))</f>
        <v>0</v>
      </c>
      <c r="H172" s="34" t="n">
        <f aca="false">IF(H$8=1,IF(Reales!$C$34="PYG",IF(H$10&gt;0,N(Reales!H34)/H$10,0),N(Reales!H34)),H$160*INDEX(Precio_V,10)*INDEX(IdxPrecio_V,1,MIN(10,H$147))*(1+V_dPrecio))</f>
        <v>0</v>
      </c>
      <c r="I172" s="34" t="n">
        <f aca="false">IF(I$8=1,IF(Reales!$C$34="PYG",IF(I$10&gt;0,N(Reales!I34)/I$10,0),N(Reales!I34)),I$160*INDEX(Precio_V,10)*INDEX(IdxPrecio_V,1,MIN(10,I$147))*(1+V_dPrecio))</f>
        <v>0</v>
      </c>
      <c r="J172" s="34" t="n">
        <f aca="false">IF(J$8=1,IF(Reales!$C$34="PYG",IF(J$10&gt;0,N(Reales!J34)/J$10,0),N(Reales!J34)),J$160*INDEX(Precio_V,10)*INDEX(IdxPrecio_V,1,MIN(10,J$147))*(1+V_dPrecio))</f>
        <v>0</v>
      </c>
      <c r="K172" s="34" t="n">
        <f aca="false">IF(K$8=1,IF(Reales!$C$34="PYG",IF(K$10&gt;0,N(Reales!K34)/K$10,0),N(Reales!K34)),K$160*INDEX(Precio_V,10)*INDEX(IdxPrecio_V,1,MIN(10,K$147))*(1+V_dPrecio))</f>
        <v>0</v>
      </c>
      <c r="L172" s="34" t="n">
        <f aca="false">IF(L$8=1,IF(Reales!$C$34="PYG",IF(L$10&gt;0,N(Reales!L34)/L$10,0),N(Reales!L34)),L$160*INDEX(Precio_V,10)*INDEX(IdxPrecio_V,1,MIN(10,L$147))*(1+V_dPrecio))</f>
        <v>0</v>
      </c>
      <c r="M172" s="34" t="n">
        <f aca="false">IF(M$8=1,IF(Reales!$C$34="PYG",IF(M$10&gt;0,N(Reales!M34)/M$10,0),N(Reales!M34)),M$160*INDEX(Precio_V,10)*INDEX(IdxPrecio_V,1,MIN(10,M$147))*(1+V_dPrecio))</f>
        <v>0</v>
      </c>
      <c r="N172" s="34" t="n">
        <f aca="false">IF(N$8=1,IF(Reales!$C$34="PYG",IF(N$10&gt;0,N(Reales!N34)/N$10,0),N(Reales!N34)),N$160*INDEX(Precio_V,10)*INDEX(IdxPrecio_V,1,MIN(10,N$147))*(1+V_dPrecio))</f>
        <v>0</v>
      </c>
      <c r="O172" s="34" t="n">
        <f aca="false">IF(O$8=1,IF(Reales!$C$34="PYG",IF(O$10&gt;0,N(Reales!O34)/O$10,0),N(Reales!O34)),O$160*INDEX(Precio_V,10)*INDEX(IdxPrecio_V,1,MIN(10,O$147))*(1+V_dPrecio))</f>
        <v>0</v>
      </c>
      <c r="P172" s="34" t="n">
        <f aca="false">IF(P$8=1,IF(Reales!$C$34="PYG",IF(P$10&gt;0,N(Reales!P34)/P$10,0),N(Reales!P34)),P$160*INDEX(Precio_V,10)*INDEX(IdxPrecio_V,1,MIN(10,P$147))*(1+V_dPrecio))</f>
        <v>0</v>
      </c>
      <c r="Q172" s="34" t="n">
        <f aca="false">IF(Q$8=1,IF(Reales!$C$34="PYG",IF(Q$10&gt;0,N(Reales!Q34)/Q$10,0),N(Reales!Q34)),Q$160*INDEX(Precio_V,10)*INDEX(IdxPrecio_V,1,MIN(10,Q$147))*(1+V_dPrecio))</f>
        <v>0</v>
      </c>
      <c r="R172" s="34" t="n">
        <f aca="false">IF(R$8=1,IF(Reales!$C$34="PYG",IF(R$10&gt;0,N(Reales!R34)/R$10,0),N(Reales!R34)),R$160*INDEX(Precio_V,10)*INDEX(IdxPrecio_V,1,MIN(10,R$147))*(1+V_dPrecio))</f>
        <v>0</v>
      </c>
      <c r="S172" s="34" t="n">
        <f aca="false">IF(S$8=1,IF(Reales!$C$34="PYG",IF(S$10&gt;0,N(Reales!S34)/S$10,0),N(Reales!S34)),S$160*INDEX(Precio_V,10)*INDEX(IdxPrecio_V,1,MIN(10,S$147))*(1+V_dPrecio))</f>
        <v>0</v>
      </c>
      <c r="T172" s="34" t="n">
        <f aca="false">IF(T$8=1,IF(Reales!$C$34="PYG",IF(T$10&gt;0,N(Reales!T34)/T$10,0),N(Reales!T34)),T$160*INDEX(Precio_V,10)*INDEX(IdxPrecio_V,1,MIN(10,T$147))*(1+V_dPrecio))</f>
        <v>0</v>
      </c>
      <c r="U172" s="34" t="n">
        <f aca="false">IF(U$8=1,IF(Reales!$C$34="PYG",IF(U$10&gt;0,N(Reales!U34)/U$10,0),N(Reales!U34)),U$160*INDEX(Precio_V,10)*INDEX(IdxPrecio_V,1,MIN(10,U$147))*(1+V_dPrecio))</f>
        <v>0</v>
      </c>
      <c r="V172" s="34" t="n">
        <f aca="false">IF(V$8=1,IF(Reales!$C$34="PYG",IF(V$10&gt;0,N(Reales!V34)/V$10,0),N(Reales!V34)),V$160*INDEX(Precio_V,10)*INDEX(IdxPrecio_V,1,MIN(10,V$147))*(1+V_dPrecio))</f>
        <v>0</v>
      </c>
      <c r="W172" s="34" t="n">
        <f aca="false">IF(W$8=1,IF(Reales!$C$34="PYG",IF(W$10&gt;0,N(Reales!W34)/W$10,0),N(Reales!W34)),W$160*INDEX(Precio_V,10)*INDEX(IdxPrecio_V,1,MIN(10,W$147))*(1+V_dPrecio))</f>
        <v>0</v>
      </c>
      <c r="X172" s="34" t="n">
        <f aca="false">IF(X$8=1,IF(Reales!$C$34="PYG",IF(X$10&gt;0,N(Reales!X34)/X$10,0),N(Reales!X34)),X$160*INDEX(Precio_V,10)*INDEX(IdxPrecio_V,1,MIN(10,X$147))*(1+V_dPrecio))</f>
        <v>0</v>
      </c>
      <c r="Y172" s="34" t="n">
        <f aca="false">IF(Y$8=1,IF(Reales!$C$34="PYG",IF(Y$10&gt;0,N(Reales!Y34)/Y$10,0),N(Reales!Y34)),Y$160*INDEX(Precio_V,10)*INDEX(IdxPrecio_V,1,MIN(10,Y$147))*(1+V_dPrecio))</f>
        <v>0</v>
      </c>
      <c r="Z172" s="34" t="n">
        <f aca="false">IF(Z$8=1,IF(Reales!$C$34="PYG",IF(Z$10&gt;0,N(Reales!Z34)/Z$10,0),N(Reales!Z34)),Z$160*INDEX(Precio_V,10)*INDEX(IdxPrecio_V,1,MIN(10,Z$147))*(1+V_dPrecio))</f>
        <v>0</v>
      </c>
      <c r="AA172" s="34" t="n">
        <f aca="false">IF(AA$8=1,IF(Reales!$C$34="PYG",IF(AA$10&gt;0,N(Reales!AA34)/AA$10,0),N(Reales!AA34)),AA$160*INDEX(Precio_V,10)*INDEX(IdxPrecio_V,1,MIN(10,AA$147))*(1+V_dPrecio))</f>
        <v>0</v>
      </c>
      <c r="AB172" s="34" t="n">
        <f aca="false">IF(AB$8=1,IF(Reales!$C$34="PYG",IF(AB$10&gt;0,N(Reales!AB34)/AB$10,0),N(Reales!AB34)),AB$160*INDEX(Precio_V,10)*INDEX(IdxPrecio_V,1,MIN(10,AB$147))*(1+V_dPrecio))</f>
        <v>0</v>
      </c>
      <c r="AC172" s="34" t="n">
        <f aca="false">IF(AC$8=1,IF(Reales!$C$34="PYG",IF(AC$10&gt;0,N(Reales!AC34)/AC$10,0),N(Reales!AC34)),AC$160*INDEX(Precio_V,10)*INDEX(IdxPrecio_V,1,MIN(10,AC$147))*(1+V_dPrecio))</f>
        <v>0</v>
      </c>
      <c r="AD172" s="34" t="n">
        <f aca="false">IF(AD$8=1,IF(Reales!$C$34="PYG",IF(AD$10&gt;0,N(Reales!AD34)/AD$10,0),N(Reales!AD34)),AD$160*INDEX(Precio_V,10)*INDEX(IdxPrecio_V,1,MIN(10,AD$147))*(1+V_dPrecio))</f>
        <v>0</v>
      </c>
      <c r="AE172" s="34" t="n">
        <f aca="false">IF(AE$8=1,IF(Reales!$C$34="PYG",IF(AE$10&gt;0,N(Reales!AE34)/AE$10,0),N(Reales!AE34)),AE$160*INDEX(Precio_V,10)*INDEX(IdxPrecio_V,1,MIN(10,AE$147))*(1+V_dPrecio))</f>
        <v>0</v>
      </c>
      <c r="AF172" s="34" t="n">
        <f aca="false">IF(AF$8=1,IF(Reales!$C$34="PYG",IF(AF$10&gt;0,N(Reales!AF34)/AF$10,0),N(Reales!AF34)),AF$160*INDEX(Precio_V,10)*INDEX(IdxPrecio_V,1,MIN(10,AF$147))*(1+V_dPrecio))</f>
        <v>0</v>
      </c>
      <c r="AG172" s="34" t="n">
        <f aca="false">IF(AG$8=1,IF(Reales!$C$34="PYG",IF(AG$10&gt;0,N(Reales!AG34)/AG$10,0),N(Reales!AG34)),AG$160*INDEX(Precio_V,10)*INDEX(IdxPrecio_V,1,MIN(10,AG$147))*(1+V_dPrecio))</f>
        <v>0</v>
      </c>
      <c r="AH172" s="34" t="n">
        <f aca="false">IF(AH$8=1,IF(Reales!$C$34="PYG",IF(AH$10&gt;0,N(Reales!AH34)/AH$10,0),N(Reales!AH34)),AH$160*INDEX(Precio_V,10)*INDEX(IdxPrecio_V,1,MIN(10,AH$147))*(1+V_dPrecio))</f>
        <v>0</v>
      </c>
      <c r="AI172" s="34" t="n">
        <f aca="false">IF(AI$8=1,IF(Reales!$C$34="PYG",IF(AI$10&gt;0,N(Reales!AI34)/AI$10,0),N(Reales!AI34)),AI$160*INDEX(Precio_V,10)*INDEX(IdxPrecio_V,1,MIN(10,AI$147))*(1+V_dPrecio))</f>
        <v>0</v>
      </c>
      <c r="AJ172" s="34" t="n">
        <f aca="false">IF(AJ$8=1,IF(Reales!$C$34="PYG",IF(AJ$10&gt;0,N(Reales!AJ34)/AJ$10,0),N(Reales!AJ34)),AJ$160*INDEX(Precio_V,10)*INDEX(IdxPrecio_V,1,MIN(10,AJ$147))*(1+V_dPrecio))</f>
        <v>0</v>
      </c>
      <c r="AK172" s="34" t="n">
        <f aca="false">IF(AK$8=1,IF(Reales!$C$34="PYG",IF(AK$10&gt;0,N(Reales!AK34)/AK$10,0),N(Reales!AK34)),AK$160*INDEX(Precio_V,10)*INDEX(IdxPrecio_V,1,MIN(10,AK$147))*(1+V_dPrecio))</f>
        <v>0</v>
      </c>
      <c r="AL172" s="34" t="n">
        <f aca="false">IF(AL$8=1,IF(Reales!$C$34="PYG",IF(AL$10&gt;0,N(Reales!AL34)/AL$10,0),N(Reales!AL34)),AL$160*INDEX(Precio_V,10)*INDEX(IdxPrecio_V,1,MIN(10,AL$147))*(1+V_dPrecio))</f>
        <v>0</v>
      </c>
      <c r="AM172" s="34" t="n">
        <f aca="false">IF(AM$8=1,IF(Reales!$C$34="PYG",IF(AM$10&gt;0,N(Reales!AM34)/AM$10,0),N(Reales!AM34)),AM$160*INDEX(Precio_V,10)*INDEX(IdxPrecio_V,1,MIN(10,AM$147))*(1+V_dPrecio))</f>
        <v>0</v>
      </c>
      <c r="AN172" s="34" t="n">
        <f aca="false">IF(AN$8=1,IF(Reales!$C$34="PYG",IF(AN$10&gt;0,N(Reales!AN34)/AN$10,0),N(Reales!AN34)),AN$160*INDEX(Precio_V,10)*INDEX(IdxPrecio_V,1,MIN(10,AN$147))*(1+V_dPrecio))</f>
        <v>0</v>
      </c>
      <c r="AO172" s="34" t="n">
        <f aca="false">IF(AO$8=1,IF(Reales!$C$34="PYG",IF(AO$10&gt;0,N(Reales!AO34)/AO$10,0),N(Reales!AO34)),AO$160*INDEX(Precio_V,10)*INDEX(IdxPrecio_V,1,MIN(10,AO$147))*(1+V_dPrecio))</f>
        <v>0</v>
      </c>
      <c r="AP172" s="34" t="n">
        <f aca="false">IF(AP$8=1,IF(Reales!$C$34="PYG",IF(AP$10&gt;0,N(Reales!AP34)/AP$10,0),N(Reales!AP34)),AP$160*INDEX(Precio_V,10)*INDEX(IdxPrecio_V,1,MIN(10,AP$147))*(1+V_dPrecio))</f>
        <v>0</v>
      </c>
      <c r="AQ172" s="34" t="n">
        <f aca="false">IF(AQ$8=1,IF(Reales!$C$34="PYG",IF(AQ$10&gt;0,N(Reales!AQ34)/AQ$10,0),N(Reales!AQ34)),AQ$160*INDEX(Precio_V,10)*INDEX(IdxPrecio_V,1,MIN(10,AQ$147))*(1+V_dPrecio))</f>
        <v>0</v>
      </c>
      <c r="AR172" s="34" t="n">
        <f aca="false">IF(AR$8=1,IF(Reales!$C$34="PYG",IF(AR$10&gt;0,N(Reales!AR34)/AR$10,0),N(Reales!AR34)),AR$160*INDEX(Precio_V,10)*INDEX(IdxPrecio_V,1,MIN(10,AR$147))*(1+V_dPrecio))</f>
        <v>0</v>
      </c>
      <c r="AS172" s="34" t="n">
        <f aca="false">IF(AS$8=1,IF(Reales!$C$34="PYG",IF(AS$10&gt;0,N(Reales!AS34)/AS$10,0),N(Reales!AS34)),AS$160*INDEX(Precio_V,10)*INDEX(IdxPrecio_V,1,MIN(10,AS$147))*(1+V_dPrecio))</f>
        <v>0</v>
      </c>
      <c r="AT172" s="34" t="n">
        <f aca="false">IF(AT$8=1,IF(Reales!$C$34="PYG",IF(AT$10&gt;0,N(Reales!AT34)/AT$10,0),N(Reales!AT34)),AT$160*INDEX(Precio_V,10)*INDEX(IdxPrecio_V,1,MIN(10,AT$147))*(1+V_dPrecio))</f>
        <v>0</v>
      </c>
      <c r="AU172" s="34" t="n">
        <f aca="false">IF(AU$8=1,IF(Reales!$C$34="PYG",IF(AU$10&gt;0,N(Reales!AU34)/AU$10,0),N(Reales!AU34)),AU$160*INDEX(Precio_V,10)*INDEX(IdxPrecio_V,1,MIN(10,AU$147))*(1+V_dPrecio))</f>
        <v>0</v>
      </c>
      <c r="AV172" s="34" t="n">
        <f aca="false">IF(AV$8=1,IF(Reales!$C$34="PYG",IF(AV$10&gt;0,N(Reales!AV34)/AV$10,0),N(Reales!AV34)),AV$160*INDEX(Precio_V,10)*INDEX(IdxPrecio_V,1,MIN(10,AV$147))*(1+V_dPrecio))</f>
        <v>0</v>
      </c>
      <c r="AW172" s="34" t="n">
        <f aca="false">IF(AW$8=1,IF(Reales!$C$34="PYG",IF(AW$10&gt;0,N(Reales!AW34)/AW$10,0),N(Reales!AW34)),AW$160*INDEX(Precio_V,10)*INDEX(IdxPrecio_V,1,MIN(10,AW$147))*(1+V_dPrecio))</f>
        <v>0</v>
      </c>
      <c r="AX172" s="34" t="n">
        <f aca="false">IF(AX$8=1,IF(Reales!$C$34="PYG",IF(AX$10&gt;0,N(Reales!AX34)/AX$10,0),N(Reales!AX34)),AX$160*INDEX(Precio_V,10)*INDEX(IdxPrecio_V,1,MIN(10,AX$147))*(1+V_dPrecio))</f>
        <v>0</v>
      </c>
      <c r="AY172" s="34" t="n">
        <f aca="false">IF(AY$8=1,IF(Reales!$C$34="PYG",IF(AY$10&gt;0,N(Reales!AY34)/AY$10,0),N(Reales!AY34)),AY$160*INDEX(Precio_V,10)*INDEX(IdxPrecio_V,1,MIN(10,AY$147))*(1+V_dPrecio))</f>
        <v>0</v>
      </c>
      <c r="AZ172" s="34" t="n">
        <f aca="false">IF(AZ$8=1,IF(Reales!$C$34="PYG",IF(AZ$10&gt;0,N(Reales!AZ34)/AZ$10,0),N(Reales!AZ34)),AZ$160*INDEX(Precio_V,10)*INDEX(IdxPrecio_V,1,MIN(10,AZ$147))*(1+V_dPrecio))</f>
        <v>0</v>
      </c>
      <c r="BA172" s="34" t="n">
        <f aca="false">IF(BA$8=1,IF(Reales!$C$34="PYG",IF(BA$10&gt;0,N(Reales!BA34)/BA$10,0),N(Reales!BA34)),BA$160*INDEX(Precio_V,10)*INDEX(IdxPrecio_V,1,MIN(10,BA$147))*(1+V_dPrecio))</f>
        <v>0</v>
      </c>
      <c r="BB172" s="34" t="n">
        <f aca="false">IF(BB$8=1,IF(Reales!$C$34="PYG",IF(BB$10&gt;0,N(Reales!BB34)/BB$10,0),N(Reales!BB34)),BB$160*INDEX(Precio_V,10)*INDEX(IdxPrecio_V,1,MIN(10,BB$147))*(1+V_dPrecio))</f>
        <v>0</v>
      </c>
      <c r="BC172" s="34" t="n">
        <f aca="false">IF(BC$8=1,IF(Reales!$C$34="PYG",IF(BC$10&gt;0,N(Reales!BC34)/BC$10,0),N(Reales!BC34)),BC$160*INDEX(Precio_V,10)*INDEX(IdxPrecio_V,1,MIN(10,BC$147))*(1+V_dPrecio))</f>
        <v>0</v>
      </c>
      <c r="BD172" s="34" t="n">
        <f aca="false">IF(BD$8=1,IF(Reales!$C$34="PYG",IF(BD$10&gt;0,N(Reales!BD34)/BD$10,0),N(Reales!BD34)),BD$160*INDEX(Precio_V,10)*INDEX(IdxPrecio_V,1,MIN(10,BD$147))*(1+V_dPrecio))</f>
        <v>0</v>
      </c>
      <c r="BE172" s="34" t="n">
        <f aca="false">IF(BE$8=1,IF(Reales!$C$34="PYG",IF(BE$10&gt;0,N(Reales!BE34)/BE$10,0),N(Reales!BE34)),BE$160*INDEX(Precio_V,10)*INDEX(IdxPrecio_V,1,MIN(10,BE$147))*(1+V_dPrecio))</f>
        <v>0</v>
      </c>
      <c r="BF172" s="34" t="n">
        <f aca="false">IF(BF$8=1,IF(Reales!$C$34="PYG",IF(BF$10&gt;0,N(Reales!BF34)/BF$10,0),N(Reales!BF34)),BF$160*INDEX(Precio_V,10)*INDEX(IdxPrecio_V,1,MIN(10,BF$147))*(1+V_dPrecio))</f>
        <v>0</v>
      </c>
      <c r="BG172" s="34" t="n">
        <f aca="false">IF(BG$8=1,IF(Reales!$C$34="PYG",IF(BG$10&gt;0,N(Reales!BG34)/BG$10,0),N(Reales!BG34)),BG$160*INDEX(Precio_V,10)*INDEX(IdxPrecio_V,1,MIN(10,BG$147))*(1+V_dPrecio))</f>
        <v>0</v>
      </c>
      <c r="BH172" s="34" t="n">
        <f aca="false">IF(BH$8=1,IF(Reales!$C$34="PYG",IF(BH$10&gt;0,N(Reales!BH34)/BH$10,0),N(Reales!BH34)),BH$160*INDEX(Precio_V,10)*INDEX(IdxPrecio_V,1,MIN(10,BH$147))*(1+V_dPrecio))</f>
        <v>0</v>
      </c>
      <c r="BI172" s="34" t="n">
        <f aca="false">IF(BI$8=1,IF(Reales!$C$34="PYG",IF(BI$10&gt;0,N(Reales!BI34)/BI$10,0),N(Reales!BI34)),BI$160*INDEX(Precio_V,10)*INDEX(IdxPrecio_V,1,MIN(10,BI$147))*(1+V_dPrecio))</f>
        <v>0</v>
      </c>
      <c r="BJ172" s="34" t="n">
        <f aca="false">IF(BJ$8=1,IF(Reales!$C$34="PYG",IF(BJ$10&gt;0,N(Reales!BJ34)/BJ$10,0),N(Reales!BJ34)),BJ$160*INDEX(Precio_V,10)*INDEX(IdxPrecio_V,1,MIN(10,BJ$147))*(1+V_dPrecio))</f>
        <v>0</v>
      </c>
      <c r="BK172" s="34" t="n">
        <f aca="false">IF(BK$8=1,IF(Reales!$C$34="PYG",IF(BK$10&gt;0,N(Reales!BK34)/BK$10,0),N(Reales!BK34)),BK$160*INDEX(Precio_V,10)*INDEX(IdxPrecio_V,1,MIN(10,BK$147))*(1+V_dPrecio))</f>
        <v>0</v>
      </c>
      <c r="BL172" s="34" t="n">
        <f aca="false">IF(BL$8=1,IF(Reales!$C$34="PYG",IF(BL$10&gt;0,N(Reales!BL34)/BL$10,0),N(Reales!BL34)),BL$160*INDEX(Precio_V,10)*INDEX(IdxPrecio_V,1,MIN(10,BL$147))*(1+V_dPrecio))</f>
        <v>0</v>
      </c>
      <c r="BM172" s="34" t="n">
        <f aca="false">IF(BM$8=1,IF(Reales!$C$34="PYG",IF(BM$10&gt;0,N(Reales!BM34)/BM$10,0),N(Reales!BM34)),BM$160*INDEX(Precio_V,10)*INDEX(IdxPrecio_V,1,MIN(10,BM$147))*(1+V_dPrecio))</f>
        <v>0</v>
      </c>
      <c r="BN172" s="34" t="n">
        <f aca="false">IF(BN$8=1,IF(Reales!$C$34="PYG",IF(BN$10&gt;0,N(Reales!BN34)/BN$10,0),N(Reales!BN34)),BN$160*INDEX(Precio_V,10)*INDEX(IdxPrecio_V,1,MIN(10,BN$147))*(1+V_dPrecio))</f>
        <v>0</v>
      </c>
      <c r="BO172" s="34" t="n">
        <f aca="false">IF(BO$8=1,IF(Reales!$C$34="PYG",IF(BO$10&gt;0,N(Reales!BO34)/BO$10,0),N(Reales!BO34)),BO$160*INDEX(Precio_V,10)*INDEX(IdxPrecio_V,1,MIN(10,BO$147))*(1+V_dPrecio))</f>
        <v>0</v>
      </c>
      <c r="BP172" s="34" t="n">
        <f aca="false">IF(BP$8=1,IF(Reales!$C$34="PYG",IF(BP$10&gt;0,N(Reales!BP34)/BP$10,0),N(Reales!BP34)),BP$160*INDEX(Precio_V,10)*INDEX(IdxPrecio_V,1,MIN(10,BP$147))*(1+V_dPrecio))</f>
        <v>0</v>
      </c>
      <c r="BQ172" s="34" t="n">
        <f aca="false">IF(BQ$8=1,IF(Reales!$C$34="PYG",IF(BQ$10&gt;0,N(Reales!BQ34)/BQ$10,0),N(Reales!BQ34)),BQ$160*INDEX(Precio_V,10)*INDEX(IdxPrecio_V,1,MIN(10,BQ$147))*(1+V_dPrecio))</f>
        <v>0</v>
      </c>
      <c r="BR172" s="34" t="n">
        <f aca="false">IF(BR$8=1,IF(Reales!$C$34="PYG",IF(BR$10&gt;0,N(Reales!BR34)/BR$10,0),N(Reales!BR34)),BR$160*INDEX(Precio_V,10)*INDEX(IdxPrecio_V,1,MIN(10,BR$147))*(1+V_dPrecio))</f>
        <v>0</v>
      </c>
      <c r="BS172" s="34" t="n">
        <f aca="false">IF(BS$8=1,IF(Reales!$C$34="PYG",IF(BS$10&gt;0,N(Reales!BS34)/BS$10,0),N(Reales!BS34)),BS$160*INDEX(Precio_V,10)*INDEX(IdxPrecio_V,1,MIN(10,BS$147))*(1+V_dPrecio))</f>
        <v>0</v>
      </c>
      <c r="BT172" s="34" t="n">
        <f aca="false">IF(BT$8=1,IF(Reales!$C$34="PYG",IF(BT$10&gt;0,N(Reales!BT34)/BT$10,0),N(Reales!BT34)),BT$160*INDEX(Precio_V,10)*INDEX(IdxPrecio_V,1,MIN(10,BT$147))*(1+V_dPrecio))</f>
        <v>0</v>
      </c>
      <c r="BU172" s="34" t="n">
        <f aca="false">IF(BU$8=1,IF(Reales!$C$34="PYG",IF(BU$10&gt;0,N(Reales!BU34)/BU$10,0),N(Reales!BU34)),BU$160*INDEX(Precio_V,10)*INDEX(IdxPrecio_V,1,MIN(10,BU$147))*(1+V_dPrecio))</f>
        <v>0</v>
      </c>
      <c r="BV172" s="34" t="n">
        <f aca="false">IF(BV$8=1,IF(Reales!$C$34="PYG",IF(BV$10&gt;0,N(Reales!BV34)/BV$10,0),N(Reales!BV34)),BV$160*INDEX(Precio_V,10)*INDEX(IdxPrecio_V,1,MIN(10,BV$147))*(1+V_dPrecio))</f>
        <v>0</v>
      </c>
      <c r="BW172" s="34" t="n">
        <f aca="false">IF(BW$8=1,IF(Reales!$C$34="PYG",IF(BW$10&gt;0,N(Reales!BW34)/BW$10,0),N(Reales!BW34)),BW$160*INDEX(Precio_V,10)*INDEX(IdxPrecio_V,1,MIN(10,BW$147))*(1+V_dPrecio))</f>
        <v>0</v>
      </c>
      <c r="BX172" s="34" t="n">
        <f aca="false">IF(BX$8=1,IF(Reales!$C$34="PYG",IF(BX$10&gt;0,N(Reales!BX34)/BX$10,0),N(Reales!BX34)),BX$160*INDEX(Precio_V,10)*INDEX(IdxPrecio_V,1,MIN(10,BX$147))*(1+V_dPrecio))</f>
        <v>0</v>
      </c>
      <c r="BY172" s="34" t="n">
        <f aca="false">IF(BY$8=1,IF(Reales!$C$34="PYG",IF(BY$10&gt;0,N(Reales!BY34)/BY$10,0),N(Reales!BY34)),BY$160*INDEX(Precio_V,10)*INDEX(IdxPrecio_V,1,MIN(10,BY$147))*(1+V_dPrecio))</f>
        <v>0</v>
      </c>
      <c r="BZ172" s="34" t="n">
        <f aca="false">IF(BZ$8=1,IF(Reales!$C$34="PYG",IF(BZ$10&gt;0,N(Reales!BZ34)/BZ$10,0),N(Reales!BZ34)),BZ$160*INDEX(Precio_V,10)*INDEX(IdxPrecio_V,1,MIN(10,BZ$147))*(1+V_dPrecio))</f>
        <v>0</v>
      </c>
      <c r="CA172" s="34" t="n">
        <f aca="false">IF(CA$8=1,IF(Reales!$C$34="PYG",IF(CA$10&gt;0,N(Reales!CA34)/CA$10,0),N(Reales!CA34)),CA$160*INDEX(Precio_V,10)*INDEX(IdxPrecio_V,1,MIN(10,CA$147))*(1+V_dPrecio))</f>
        <v>0</v>
      </c>
      <c r="CB172" s="34" t="n">
        <f aca="false">IF(CB$8=1,IF(Reales!$C$34="PYG",IF(CB$10&gt;0,N(Reales!CB34)/CB$10,0),N(Reales!CB34)),CB$160*INDEX(Precio_V,10)*INDEX(IdxPrecio_V,1,MIN(10,CB$147))*(1+V_dPrecio))</f>
        <v>0</v>
      </c>
      <c r="CC172" s="34" t="n">
        <f aca="false">IF(CC$8=1,IF(Reales!$C$34="PYG",IF(CC$10&gt;0,N(Reales!CC34)/CC$10,0),N(Reales!CC34)),CC$160*INDEX(Precio_V,10)*INDEX(IdxPrecio_V,1,MIN(10,CC$147))*(1+V_dPrecio))</f>
        <v>0</v>
      </c>
      <c r="CD172" s="34" t="n">
        <f aca="false">IF(CD$8=1,IF(Reales!$C$34="PYG",IF(CD$10&gt;0,N(Reales!CD34)/CD$10,0),N(Reales!CD34)),CD$160*INDEX(Precio_V,10)*INDEX(IdxPrecio_V,1,MIN(10,CD$147))*(1+V_dPrecio))</f>
        <v>0</v>
      </c>
      <c r="CE172" s="34" t="n">
        <f aca="false">IF(CE$8=1,IF(Reales!$C$34="PYG",IF(CE$10&gt;0,N(Reales!CE34)/CE$10,0),N(Reales!CE34)),CE$160*INDEX(Precio_V,10)*INDEX(IdxPrecio_V,1,MIN(10,CE$147))*(1+V_dPrecio))</f>
        <v>0</v>
      </c>
      <c r="CF172" s="34" t="n">
        <f aca="false">IF(CF$8=1,IF(Reales!$C$34="PYG",IF(CF$10&gt;0,N(Reales!CF34)/CF$10,0),N(Reales!CF34)),CF$160*INDEX(Precio_V,10)*INDEX(IdxPrecio_V,1,MIN(10,CF$147))*(1+V_dPrecio))</f>
        <v>0</v>
      </c>
      <c r="CG172" s="34" t="n">
        <f aca="false">IF(CG$8=1,IF(Reales!$C$34="PYG",IF(CG$10&gt;0,N(Reales!CG34)/CG$10,0),N(Reales!CG34)),CG$160*INDEX(Precio_V,10)*INDEX(IdxPrecio_V,1,MIN(10,CG$147))*(1+V_dPrecio))</f>
        <v>0</v>
      </c>
      <c r="CH172" s="34" t="n">
        <f aca="false">IF(CH$8=1,IF(Reales!$C$34="PYG",IF(CH$10&gt;0,N(Reales!CH34)/CH$10,0),N(Reales!CH34)),CH$160*INDEX(Precio_V,10)*INDEX(IdxPrecio_V,1,MIN(10,CH$147))*(1+V_dPrecio))</f>
        <v>0</v>
      </c>
      <c r="CI172" s="34" t="n">
        <f aca="false">IF(CI$8=1,IF(Reales!$C$34="PYG",IF(CI$10&gt;0,N(Reales!CI34)/CI$10,0),N(Reales!CI34)),CI$160*INDEX(Precio_V,10)*INDEX(IdxPrecio_V,1,MIN(10,CI$147))*(1+V_dPrecio))</f>
        <v>0</v>
      </c>
      <c r="CJ172" s="34" t="n">
        <f aca="false">IF(CJ$8=1,IF(Reales!$C$34="PYG",IF(CJ$10&gt;0,N(Reales!CJ34)/CJ$10,0),N(Reales!CJ34)),CJ$160*INDEX(Precio_V,10)*INDEX(IdxPrecio_V,1,MIN(10,CJ$147))*(1+V_dPrecio))</f>
        <v>0</v>
      </c>
      <c r="CK172" s="34" t="n">
        <f aca="false">IF(CK$8=1,IF(Reales!$C$34="PYG",IF(CK$10&gt;0,N(Reales!CK34)/CK$10,0),N(Reales!CK34)),CK$160*INDEX(Precio_V,10)*INDEX(IdxPrecio_V,1,MIN(10,CK$147))*(1+V_dPrecio))</f>
        <v>0</v>
      </c>
      <c r="CL172" s="34" t="n">
        <f aca="false">IF(CL$8=1,IF(Reales!$C$34="PYG",IF(CL$10&gt;0,N(Reales!CL34)/CL$10,0),N(Reales!CL34)),CL$160*INDEX(Precio_V,10)*INDEX(IdxPrecio_V,1,MIN(10,CL$147))*(1+V_dPrecio))</f>
        <v>0</v>
      </c>
      <c r="CM172" s="34" t="n">
        <f aca="false">IF(CM$8=1,IF(Reales!$C$34="PYG",IF(CM$10&gt;0,N(Reales!CM34)/CM$10,0),N(Reales!CM34)),CM$160*INDEX(Precio_V,10)*INDEX(IdxPrecio_V,1,MIN(10,CM$147))*(1+V_dPrecio))</f>
        <v>0</v>
      </c>
      <c r="CN172" s="34" t="n">
        <f aca="false">IF(CN$8=1,IF(Reales!$C$34="PYG",IF(CN$10&gt;0,N(Reales!CN34)/CN$10,0),N(Reales!CN34)),CN$160*INDEX(Precio_V,10)*INDEX(IdxPrecio_V,1,MIN(10,CN$147))*(1+V_dPrecio))</f>
        <v>0</v>
      </c>
      <c r="CO172" s="34" t="n">
        <f aca="false">IF(CO$8=1,IF(Reales!$C$34="PYG",IF(CO$10&gt;0,N(Reales!CO34)/CO$10,0),N(Reales!CO34)),CO$160*INDEX(Precio_V,10)*INDEX(IdxPrecio_V,1,MIN(10,CO$147))*(1+V_dPrecio))</f>
        <v>0</v>
      </c>
      <c r="CP172" s="34" t="n">
        <f aca="false">IF(CP$8=1,IF(Reales!$C$34="PYG",IF(CP$10&gt;0,N(Reales!CP34)/CP$10,0),N(Reales!CP34)),CP$160*INDEX(Precio_V,10)*INDEX(IdxPrecio_V,1,MIN(10,CP$147))*(1+V_dPrecio))</f>
        <v>0</v>
      </c>
      <c r="CQ172" s="34" t="n">
        <f aca="false">IF(CQ$8=1,IF(Reales!$C$34="PYG",IF(CQ$10&gt;0,N(Reales!CQ34)/CQ$10,0),N(Reales!CQ34)),CQ$160*INDEX(Precio_V,10)*INDEX(IdxPrecio_V,1,MIN(10,CQ$147))*(1+V_dPrecio))</f>
        <v>0</v>
      </c>
      <c r="CR172" s="34" t="n">
        <f aca="false">IF(CR$8=1,IF(Reales!$C$34="PYG",IF(CR$10&gt;0,N(Reales!CR34)/CR$10,0),N(Reales!CR34)),CR$160*INDEX(Precio_V,10)*INDEX(IdxPrecio_V,1,MIN(10,CR$147))*(1+V_dPrecio))</f>
        <v>0</v>
      </c>
      <c r="CS172" s="34" t="n">
        <f aca="false">IF(CS$8=1,IF(Reales!$C$34="PYG",IF(CS$10&gt;0,N(Reales!CS34)/CS$10,0),N(Reales!CS34)),CS$160*INDEX(Precio_V,10)*INDEX(IdxPrecio_V,1,MIN(10,CS$147))*(1+V_dPrecio))</f>
        <v>0</v>
      </c>
      <c r="CT172" s="34" t="n">
        <f aca="false">IF(CT$8=1,IF(Reales!$C$34="PYG",IF(CT$10&gt;0,N(Reales!CT34)/CT$10,0),N(Reales!CT34)),CT$160*INDEX(Precio_V,10)*INDEX(IdxPrecio_V,1,MIN(10,CT$147))*(1+V_dPrecio))</f>
        <v>0</v>
      </c>
      <c r="CU172" s="34" t="n">
        <f aca="false">IF(CU$8=1,IF(Reales!$C$34="PYG",IF(CU$10&gt;0,N(Reales!CU34)/CU$10,0),N(Reales!CU34)),CU$160*INDEX(Precio_V,10)*INDEX(IdxPrecio_V,1,MIN(10,CU$147))*(1+V_dPrecio))</f>
        <v>0</v>
      </c>
      <c r="CV172" s="34" t="n">
        <f aca="false">IF(CV$8=1,IF(Reales!$C$34="PYG",IF(CV$10&gt;0,N(Reales!CV34)/CV$10,0),N(Reales!CV34)),CV$160*INDEX(Precio_V,10)*INDEX(IdxPrecio_V,1,MIN(10,CV$147))*(1+V_dPrecio))</f>
        <v>0</v>
      </c>
      <c r="CW172" s="34" t="n">
        <f aca="false">IF(CW$8=1,IF(Reales!$C$34="PYG",IF(CW$10&gt;0,N(Reales!CW34)/CW$10,0),N(Reales!CW34)),CW$160*INDEX(Precio_V,10)*INDEX(IdxPrecio_V,1,MIN(10,CW$147))*(1+V_dPrecio))</f>
        <v>0</v>
      </c>
      <c r="CX172" s="34" t="n">
        <f aca="false">IF(CX$8=1,IF(Reales!$C$34="PYG",IF(CX$10&gt;0,N(Reales!CX34)/CX$10,0),N(Reales!CX34)),CX$160*INDEX(Precio_V,10)*INDEX(IdxPrecio_V,1,MIN(10,CX$147))*(1+V_dPrecio))</f>
        <v>0</v>
      </c>
      <c r="CY172" s="34" t="n">
        <f aca="false">IF(CY$8=1,IF(Reales!$C$34="PYG",IF(CY$10&gt;0,N(Reales!CY34)/CY$10,0),N(Reales!CY34)),CY$160*INDEX(Precio_V,10)*INDEX(IdxPrecio_V,1,MIN(10,CY$147))*(1+V_dPrecio))</f>
        <v>0</v>
      </c>
      <c r="CZ172" s="34" t="n">
        <f aca="false">IF(CZ$8=1,IF(Reales!$C$34="PYG",IF(CZ$10&gt;0,N(Reales!CZ34)/CZ$10,0),N(Reales!CZ34)),CZ$160*INDEX(Precio_V,10)*INDEX(IdxPrecio_V,1,MIN(10,CZ$147))*(1+V_dPrecio))</f>
        <v>0</v>
      </c>
      <c r="DA172" s="34" t="n">
        <f aca="false">IF(DA$8=1,IF(Reales!$C$34="PYG",IF(DA$10&gt;0,N(Reales!DA34)/DA$10,0),N(Reales!DA34)),DA$160*INDEX(Precio_V,10)*INDEX(IdxPrecio_V,1,MIN(10,DA$147))*(1+V_dPrecio))</f>
        <v>0</v>
      </c>
      <c r="DB172" s="34" t="n">
        <f aca="false">IF(DB$8=1,IF(Reales!$C$34="PYG",IF(DB$10&gt;0,N(Reales!DB34)/DB$10,0),N(Reales!DB34)),DB$160*INDEX(Precio_V,10)*INDEX(IdxPrecio_V,1,MIN(10,DB$147))*(1+V_dPrecio))</f>
        <v>0</v>
      </c>
      <c r="DC172" s="34" t="n">
        <f aca="false">IF(DC$8=1,IF(Reales!$C$34="PYG",IF(DC$10&gt;0,N(Reales!DC34)/DC$10,0),N(Reales!DC34)),DC$160*INDEX(Precio_V,10)*INDEX(IdxPrecio_V,1,MIN(10,DC$147))*(1+V_dPrecio))</f>
        <v>0</v>
      </c>
      <c r="DD172" s="34" t="n">
        <f aca="false">IF(DD$8=1,IF(Reales!$C$34="PYG",IF(DD$10&gt;0,N(Reales!DD34)/DD$10,0),N(Reales!DD34)),DD$160*INDEX(Precio_V,10)*INDEX(IdxPrecio_V,1,MIN(10,DD$147))*(1+V_dPrecio))</f>
        <v>0</v>
      </c>
      <c r="DE172" s="34" t="n">
        <f aca="false">IF(DE$8=1,IF(Reales!$C$34="PYG",IF(DE$10&gt;0,N(Reales!DE34)/DE$10,0),N(Reales!DE34)),DE$160*INDEX(Precio_V,10)*INDEX(IdxPrecio_V,1,MIN(10,DE$147))*(1+V_dPrecio))</f>
        <v>0</v>
      </c>
      <c r="DF172" s="34" t="n">
        <f aca="false">IF(DF$8=1,IF(Reales!$C$34="PYG",IF(DF$10&gt;0,N(Reales!DF34)/DF$10,0),N(Reales!DF34)),DF$160*INDEX(Precio_V,10)*INDEX(IdxPrecio_V,1,MIN(10,DF$147))*(1+V_dPrecio))</f>
        <v>0</v>
      </c>
      <c r="DG172" s="34" t="n">
        <f aca="false">IF(DG$8=1,IF(Reales!$C$34="PYG",IF(DG$10&gt;0,N(Reales!DG34)/DG$10,0),N(Reales!DG34)),DG$160*INDEX(Precio_V,10)*INDEX(IdxPrecio_V,1,MIN(10,DG$147))*(1+V_dPrecio))</f>
        <v>0</v>
      </c>
      <c r="DH172" s="34" t="n">
        <f aca="false">IF(DH$8=1,IF(Reales!$C$34="PYG",IF(DH$10&gt;0,N(Reales!DH34)/DH$10,0),N(Reales!DH34)),DH$160*INDEX(Precio_V,10)*INDEX(IdxPrecio_V,1,MIN(10,DH$147))*(1+V_dPrecio))</f>
        <v>0</v>
      </c>
      <c r="DI172" s="34" t="n">
        <f aca="false">IF(DI$8=1,IF(Reales!$C$34="PYG",IF(DI$10&gt;0,N(Reales!DI34)/DI$10,0),N(Reales!DI34)),DI$160*INDEX(Precio_V,10)*INDEX(IdxPrecio_V,1,MIN(10,DI$147))*(1+V_dPrecio))</f>
        <v>0</v>
      </c>
      <c r="DJ172" s="34" t="n">
        <f aca="false">IF(DJ$8=1,IF(Reales!$C$34="PYG",IF(DJ$10&gt;0,N(Reales!DJ34)/DJ$10,0),N(Reales!DJ34)),DJ$160*INDEX(Precio_V,10)*INDEX(IdxPrecio_V,1,MIN(10,DJ$147))*(1+V_dPrecio))</f>
        <v>0</v>
      </c>
      <c r="DK172" s="34" t="n">
        <f aca="false">IF(DK$8=1,IF(Reales!$C$34="PYG",IF(DK$10&gt;0,N(Reales!DK34)/DK$10,0),N(Reales!DK34)),DK$160*INDEX(Precio_V,10)*INDEX(IdxPrecio_V,1,MIN(10,DK$147))*(1+V_dPrecio))</f>
        <v>0</v>
      </c>
      <c r="DL172" s="34" t="n">
        <f aca="false">IF(DL$8=1,IF(Reales!$C$34="PYG",IF(DL$10&gt;0,N(Reales!DL34)/DL$10,0),N(Reales!DL34)),DL$160*INDEX(Precio_V,10)*INDEX(IdxPrecio_V,1,MIN(10,DL$147))*(1+V_dPrecio))</f>
        <v>0</v>
      </c>
      <c r="DM172" s="34" t="n">
        <f aca="false">IF(DM$8=1,IF(Reales!$C$34="PYG",IF(DM$10&gt;0,N(Reales!DM34)/DM$10,0),N(Reales!DM34)),DM$160*INDEX(Precio_V,10)*INDEX(IdxPrecio_V,1,MIN(10,DM$147))*(1+V_dPrecio))</f>
        <v>0</v>
      </c>
      <c r="DN172" s="34" t="n">
        <f aca="false">IF(DN$8=1,IF(Reales!$C$34="PYG",IF(DN$10&gt;0,N(Reales!DN34)/DN$10,0),N(Reales!DN34)),DN$160*INDEX(Precio_V,10)*INDEX(IdxPrecio_V,1,MIN(10,DN$147))*(1+V_dPrecio))</f>
        <v>0</v>
      </c>
      <c r="DO172" s="34" t="n">
        <f aca="false">IF(DO$8=1,IF(Reales!$C$34="PYG",IF(DO$10&gt;0,N(Reales!DO34)/DO$10,0),N(Reales!DO34)),DO$160*INDEX(Precio_V,10)*INDEX(IdxPrecio_V,1,MIN(10,DO$147))*(1+V_dPrecio))</f>
        <v>0</v>
      </c>
      <c r="DP172" s="34" t="n">
        <f aca="false">IF(DP$8=1,IF(Reales!$C$34="PYG",IF(DP$10&gt;0,N(Reales!DP34)/DP$10,0),N(Reales!DP34)),DP$160*INDEX(Precio_V,10)*INDEX(IdxPrecio_V,1,MIN(10,DP$147))*(1+V_dPrecio))</f>
        <v>0</v>
      </c>
      <c r="DQ172" s="34" t="n">
        <f aca="false">IF(DQ$8=1,IF(Reales!$C$34="PYG",IF(DQ$10&gt;0,N(Reales!DQ34)/DQ$10,0),N(Reales!DQ34)),DQ$160*INDEX(Precio_V,10)*INDEX(IdxPrecio_V,1,MIN(10,DQ$147))*(1+V_dPrecio))</f>
        <v>0</v>
      </c>
      <c r="DR172" s="34" t="n">
        <f aca="false">IF(DR$8=1,IF(Reales!$C$34="PYG",IF(DR$10&gt;0,N(Reales!DR34)/DR$10,0),N(Reales!DR34)),DR$160*INDEX(Precio_V,10)*INDEX(IdxPrecio_V,1,MIN(10,DR$147))*(1+V_dPrecio))</f>
        <v>0</v>
      </c>
      <c r="DS172" s="34" t="n">
        <f aca="false">IF(DS$8=1,IF(Reales!$C$34="PYG",IF(DS$10&gt;0,N(Reales!DS34)/DS$10,0),N(Reales!DS34)),DS$160*INDEX(Precio_V,10)*INDEX(IdxPrecio_V,1,MIN(10,DS$147))*(1+V_dPrecio))</f>
        <v>0</v>
      </c>
      <c r="DT172" s="34" t="n">
        <f aca="false">IF(DT$8=1,IF(Reales!$C$34="PYG",IF(DT$10&gt;0,N(Reales!DT34)/DT$10,0),N(Reales!DT34)),DT$160*INDEX(Precio_V,10)*INDEX(IdxPrecio_V,1,MIN(10,DT$147))*(1+V_dPrecio))</f>
        <v>0</v>
      </c>
      <c r="DU172" s="34" t="n">
        <f aca="false">IF(DU$8=1,IF(Reales!$C$34="PYG",IF(DU$10&gt;0,N(Reales!DU34)/DU$10,0),N(Reales!DU34)),DU$160*INDEX(Precio_V,10)*INDEX(IdxPrecio_V,1,MIN(10,DU$147))*(1+V_dPrecio))</f>
        <v>0</v>
      </c>
      <c r="DV172" s="34" t="n">
        <f aca="false">IF(DV$8=1,IF(Reales!$C$34="PYG",IF(DV$10&gt;0,N(Reales!DV34)/DV$10,0),N(Reales!DV34)),DV$160*INDEX(Precio_V,10)*INDEX(IdxPrecio_V,1,MIN(10,DV$147))*(1+V_dPrecio))</f>
        <v>0</v>
      </c>
      <c r="DW172" s="34" t="n">
        <f aca="false">IF(DW$8=1,IF(Reales!$C$34="PYG",IF(DW$10&gt;0,N(Reales!DW34)/DW$10,0),N(Reales!DW34)),DW$160*INDEX(Precio_V,10)*INDEX(IdxPrecio_V,1,MIN(10,DW$147))*(1+V_dPrecio))</f>
        <v>0</v>
      </c>
      <c r="DX172" s="34" t="n">
        <f aca="false">IF(DX$8=1,IF(Reales!$C$34="PYG",IF(DX$10&gt;0,N(Reales!DX34)/DX$10,0),N(Reales!DX34)),DX$160*INDEX(Precio_V,10)*INDEX(IdxPrecio_V,1,MIN(10,DX$147))*(1+V_dPrecio))</f>
        <v>0</v>
      </c>
      <c r="DY172" s="34" t="n">
        <f aca="false">IF(DY$8=1,IF(Reales!$C$34="PYG",IF(DY$10&gt;0,N(Reales!DY34)/DY$10,0),N(Reales!DY34)),DY$160*INDEX(Precio_V,10)*INDEX(IdxPrecio_V,1,MIN(10,DY$147))*(1+V_dPrecio))</f>
        <v>0</v>
      </c>
      <c r="DZ172" s="34" t="n">
        <f aca="false">IF(DZ$8=1,IF(Reales!$C$34="PYG",IF(DZ$10&gt;0,N(Reales!DZ34)/DZ$10,0),N(Reales!DZ34)),DZ$160*INDEX(Precio_V,10)*INDEX(IdxPrecio_V,1,MIN(10,DZ$147))*(1+V_dPrecio))</f>
        <v>0</v>
      </c>
      <c r="EA172" s="34" t="n">
        <f aca="false">IF(EA$8=1,IF(Reales!$C$34="PYG",IF(EA$10&gt;0,N(Reales!EA34)/EA$10,0),N(Reales!EA34)),EA$160*INDEX(Precio_V,10)*INDEX(IdxPrecio_V,1,MIN(10,EA$147))*(1+V_dPrecio))</f>
        <v>0</v>
      </c>
      <c r="EB172" s="34" t="n">
        <f aca="false">IF(EB$8=1,IF(Reales!$C$34="PYG",IF(EB$10&gt;0,N(Reales!EB34)/EB$10,0),N(Reales!EB34)),EB$160*INDEX(Precio_V,10)*INDEX(IdxPrecio_V,1,MIN(10,EB$147))*(1+V_dPrecio))</f>
        <v>0</v>
      </c>
      <c r="EC172" s="34" t="n">
        <f aca="false">IF(EC$8=1,IF(Reales!$C$34="PYG",IF(EC$10&gt;0,N(Reales!EC34)/EC$10,0),N(Reales!EC34)),EC$160*INDEX(Precio_V,10)*INDEX(IdxPrecio_V,1,MIN(10,EC$147))*(1+V_dPrecio))</f>
        <v>0</v>
      </c>
      <c r="ED172" s="34" t="n">
        <f aca="false">IF(ED$8=1,IF(Reales!$C$34="PYG",IF(ED$10&gt;0,N(Reales!ED34)/ED$10,0),N(Reales!ED34)),ED$160*INDEX(Precio_V,10)*INDEX(IdxPrecio_V,1,MIN(10,ED$147))*(1+V_dPrecio))</f>
        <v>0</v>
      </c>
      <c r="EE172" s="34" t="n">
        <f aca="false">IF(EE$8=1,IF(Reales!$C$34="PYG",IF(EE$10&gt;0,N(Reales!EE34)/EE$10,0),N(Reales!EE34)),EE$160*INDEX(Precio_V,10)*INDEX(IdxPrecio_V,1,MIN(10,EE$147))*(1+V_dPrecio))</f>
        <v>0</v>
      </c>
      <c r="EF172" s="34" t="n">
        <f aca="false">IF(EF$8=1,IF(Reales!$C$34="PYG",IF(EF$10&gt;0,N(Reales!EF34)/EF$10,0),N(Reales!EF34)),EF$160*INDEX(Precio_V,10)*INDEX(IdxPrecio_V,1,MIN(10,EF$147))*(1+V_dPrecio))</f>
        <v>0</v>
      </c>
      <c r="EG172" s="34" t="n">
        <f aca="false">IF(EG$8=1,IF(Reales!$C$34="PYG",IF(EG$10&gt;0,N(Reales!EG34)/EG$10,0),N(Reales!EG34)),EG$160*INDEX(Precio_V,10)*INDEX(IdxPrecio_V,1,MIN(10,EG$147))*(1+V_dPrecio))</f>
        <v>0</v>
      </c>
      <c r="EH172" s="34" t="n">
        <f aca="false">IF(EH$8=1,IF(Reales!$C$34="PYG",IF(EH$10&gt;0,N(Reales!EH34)/EH$10,0),N(Reales!EH34)),EH$160*INDEX(Precio_V,10)*INDEX(IdxPrecio_V,1,MIN(10,EH$147))*(1+V_dPrecio))</f>
        <v>0</v>
      </c>
      <c r="EI172" s="34" t="n">
        <f aca="false">IF(EI$8=1,IF(Reales!$C$34="PYG",IF(EI$10&gt;0,N(Reales!EI34)/EI$10,0),N(Reales!EI34)),EI$160*INDEX(Precio_V,10)*INDEX(IdxPrecio_V,1,MIN(10,EI$147))*(1+V_dPrecio))</f>
        <v>0</v>
      </c>
      <c r="EJ172" s="34" t="n">
        <f aca="false">IF(EJ$8=1,IF(Reales!$C$34="PYG",IF(EJ$10&gt;0,N(Reales!EJ34)/EJ$10,0),N(Reales!EJ34)),EJ$160*INDEX(Precio_V,10)*INDEX(IdxPrecio_V,1,MIN(10,EJ$147))*(1+V_dPrecio))</f>
        <v>0</v>
      </c>
      <c r="EK172" s="34" t="n">
        <f aca="false">IF(EK$8=1,IF(Reales!$C$34="PYG",IF(EK$10&gt;0,N(Reales!EK34)/EK$10,0),N(Reales!EK34)),EK$160*INDEX(Precio_V,10)*INDEX(IdxPrecio_V,1,MIN(10,EK$147))*(1+V_dPrecio))</f>
        <v>0</v>
      </c>
      <c r="EL172" s="34" t="n">
        <f aca="false">IF(EL$8=1,IF(Reales!$C$34="PYG",IF(EL$10&gt;0,N(Reales!EL34)/EL$10,0),N(Reales!EL34)),EL$160*INDEX(Precio_V,10)*INDEX(IdxPrecio_V,1,MIN(10,EL$147))*(1+V_dPrecio))</f>
        <v>0</v>
      </c>
      <c r="EM172" s="34" t="n">
        <f aca="false">IF(EM$8=1,IF(Reales!$C$34="PYG",IF(EM$10&gt;0,N(Reales!EM34)/EM$10,0),N(Reales!EM34)),EM$160*INDEX(Precio_V,10)*INDEX(IdxPrecio_V,1,MIN(10,EM$147))*(1+V_dPrecio))</f>
        <v>0</v>
      </c>
      <c r="EN172" s="34" t="n">
        <f aca="false">IF(EN$8=1,IF(Reales!$C$34="PYG",IF(EN$10&gt;0,N(Reales!EN34)/EN$10,0),N(Reales!EN34)),EN$160*INDEX(Precio_V,10)*INDEX(IdxPrecio_V,1,MIN(10,EN$147))*(1+V_dPrecio))</f>
        <v>0</v>
      </c>
      <c r="EO172" s="34" t="n">
        <f aca="false">IF(EO$8=1,IF(Reales!$C$34="PYG",IF(EO$10&gt;0,N(Reales!EO34)/EO$10,0),N(Reales!EO34)),EO$160*INDEX(Precio_V,10)*INDEX(IdxPrecio_V,1,MIN(10,EO$147))*(1+V_dPrecio))</f>
        <v>0</v>
      </c>
      <c r="EP172" s="34" t="n">
        <f aca="false">IF(EP$8=1,IF(Reales!$C$34="PYG",IF(EP$10&gt;0,N(Reales!EP34)/EP$10,0),N(Reales!EP34)),EP$160*INDEX(Precio_V,10)*INDEX(IdxPrecio_V,1,MIN(10,EP$147))*(1+V_dPrecio))</f>
        <v>0</v>
      </c>
      <c r="EQ172" s="34" t="n">
        <f aca="false">IF(EQ$8=1,IF(Reales!$C$34="PYG",IF(EQ$10&gt;0,N(Reales!EQ34)/EQ$10,0),N(Reales!EQ34)),EQ$160*INDEX(Precio_V,10)*INDEX(IdxPrecio_V,1,MIN(10,EQ$147))*(1+V_dPrecio))</f>
        <v>0</v>
      </c>
      <c r="ER172" s="34" t="n">
        <f aca="false">IF(ER$8=1,IF(Reales!$C$34="PYG",IF(ER$10&gt;0,N(Reales!ER34)/ER$10,0),N(Reales!ER34)),ER$160*INDEX(Precio_V,10)*INDEX(IdxPrecio_V,1,MIN(10,ER$147))*(1+V_dPrecio))</f>
        <v>0</v>
      </c>
      <c r="ES172" s="34" t="n">
        <f aca="false">IF(ES$8=1,IF(Reales!$C$34="PYG",IF(ES$10&gt;0,N(Reales!ES34)/ES$10,0),N(Reales!ES34)),ES$160*INDEX(Precio_V,10)*INDEX(IdxPrecio_V,1,MIN(10,ES$147))*(1+V_dPrecio))</f>
        <v>0</v>
      </c>
    </row>
    <row r="173" customFormat="false" ht="15" hidden="false" customHeight="false" outlineLevel="0" collapsed="false">
      <c r="A173" s="2" t="s">
        <v>789</v>
      </c>
      <c r="B173" s="39" t="str">
        <f aca="false">IF(INDEX(Prod_Nombre,11)="","Producto 11",INDEX(Prod_Nombre,11))&amp;" — ventas USD"</f>
        <v>Producto 11 — ventas USD</v>
      </c>
      <c r="C173" s="6" t="s">
        <v>250</v>
      </c>
      <c r="E173" s="40" t="n">
        <f aca="false">SUM(F173:ES173)</f>
        <v>0</v>
      </c>
      <c r="F173" s="34" t="n">
        <f aca="false">IF(F$8=1,IF(Reales!$C$35="PYG",IF(F$10&gt;0,N(Reales!F35)/F$10,0),N(Reales!F35)),F$161*INDEX(Precio_V,11)*INDEX(IdxPrecio_V,1,MIN(10,F$147))*(1+V_dPrecio))</f>
        <v>0</v>
      </c>
      <c r="G173" s="34" t="n">
        <f aca="false">IF(G$8=1,IF(Reales!$C$35="PYG",IF(G$10&gt;0,N(Reales!G35)/G$10,0),N(Reales!G35)),G$161*INDEX(Precio_V,11)*INDEX(IdxPrecio_V,1,MIN(10,G$147))*(1+V_dPrecio))</f>
        <v>0</v>
      </c>
      <c r="H173" s="34" t="n">
        <f aca="false">IF(H$8=1,IF(Reales!$C$35="PYG",IF(H$10&gt;0,N(Reales!H35)/H$10,0),N(Reales!H35)),H$161*INDEX(Precio_V,11)*INDEX(IdxPrecio_V,1,MIN(10,H$147))*(1+V_dPrecio))</f>
        <v>0</v>
      </c>
      <c r="I173" s="34" t="n">
        <f aca="false">IF(I$8=1,IF(Reales!$C$35="PYG",IF(I$10&gt;0,N(Reales!I35)/I$10,0),N(Reales!I35)),I$161*INDEX(Precio_V,11)*INDEX(IdxPrecio_V,1,MIN(10,I$147))*(1+V_dPrecio))</f>
        <v>0</v>
      </c>
      <c r="J173" s="34" t="n">
        <f aca="false">IF(J$8=1,IF(Reales!$C$35="PYG",IF(J$10&gt;0,N(Reales!J35)/J$10,0),N(Reales!J35)),J$161*INDEX(Precio_V,11)*INDEX(IdxPrecio_V,1,MIN(10,J$147))*(1+V_dPrecio))</f>
        <v>0</v>
      </c>
      <c r="K173" s="34" t="n">
        <f aca="false">IF(K$8=1,IF(Reales!$C$35="PYG",IF(K$10&gt;0,N(Reales!K35)/K$10,0),N(Reales!K35)),K$161*INDEX(Precio_V,11)*INDEX(IdxPrecio_V,1,MIN(10,K$147))*(1+V_dPrecio))</f>
        <v>0</v>
      </c>
      <c r="L173" s="34" t="n">
        <f aca="false">IF(L$8=1,IF(Reales!$C$35="PYG",IF(L$10&gt;0,N(Reales!L35)/L$10,0),N(Reales!L35)),L$161*INDEX(Precio_V,11)*INDEX(IdxPrecio_V,1,MIN(10,L$147))*(1+V_dPrecio))</f>
        <v>0</v>
      </c>
      <c r="M173" s="34" t="n">
        <f aca="false">IF(M$8=1,IF(Reales!$C$35="PYG",IF(M$10&gt;0,N(Reales!M35)/M$10,0),N(Reales!M35)),M$161*INDEX(Precio_V,11)*INDEX(IdxPrecio_V,1,MIN(10,M$147))*(1+V_dPrecio))</f>
        <v>0</v>
      </c>
      <c r="N173" s="34" t="n">
        <f aca="false">IF(N$8=1,IF(Reales!$C$35="PYG",IF(N$10&gt;0,N(Reales!N35)/N$10,0),N(Reales!N35)),N$161*INDEX(Precio_V,11)*INDEX(IdxPrecio_V,1,MIN(10,N$147))*(1+V_dPrecio))</f>
        <v>0</v>
      </c>
      <c r="O173" s="34" t="n">
        <f aca="false">IF(O$8=1,IF(Reales!$C$35="PYG",IF(O$10&gt;0,N(Reales!O35)/O$10,0),N(Reales!O35)),O$161*INDEX(Precio_V,11)*INDEX(IdxPrecio_V,1,MIN(10,O$147))*(1+V_dPrecio))</f>
        <v>0</v>
      </c>
      <c r="P173" s="34" t="n">
        <f aca="false">IF(P$8=1,IF(Reales!$C$35="PYG",IF(P$10&gt;0,N(Reales!P35)/P$10,0),N(Reales!P35)),P$161*INDEX(Precio_V,11)*INDEX(IdxPrecio_V,1,MIN(10,P$147))*(1+V_dPrecio))</f>
        <v>0</v>
      </c>
      <c r="Q173" s="34" t="n">
        <f aca="false">IF(Q$8=1,IF(Reales!$C$35="PYG",IF(Q$10&gt;0,N(Reales!Q35)/Q$10,0),N(Reales!Q35)),Q$161*INDEX(Precio_V,11)*INDEX(IdxPrecio_V,1,MIN(10,Q$147))*(1+V_dPrecio))</f>
        <v>0</v>
      </c>
      <c r="R173" s="34" t="n">
        <f aca="false">IF(R$8=1,IF(Reales!$C$35="PYG",IF(R$10&gt;0,N(Reales!R35)/R$10,0),N(Reales!R35)),R$161*INDEX(Precio_V,11)*INDEX(IdxPrecio_V,1,MIN(10,R$147))*(1+V_dPrecio))</f>
        <v>0</v>
      </c>
      <c r="S173" s="34" t="n">
        <f aca="false">IF(S$8=1,IF(Reales!$C$35="PYG",IF(S$10&gt;0,N(Reales!S35)/S$10,0),N(Reales!S35)),S$161*INDEX(Precio_V,11)*INDEX(IdxPrecio_V,1,MIN(10,S$147))*(1+V_dPrecio))</f>
        <v>0</v>
      </c>
      <c r="T173" s="34" t="n">
        <f aca="false">IF(T$8=1,IF(Reales!$C$35="PYG",IF(T$10&gt;0,N(Reales!T35)/T$10,0),N(Reales!T35)),T$161*INDEX(Precio_V,11)*INDEX(IdxPrecio_V,1,MIN(10,T$147))*(1+V_dPrecio))</f>
        <v>0</v>
      </c>
      <c r="U173" s="34" t="n">
        <f aca="false">IF(U$8=1,IF(Reales!$C$35="PYG",IF(U$10&gt;0,N(Reales!U35)/U$10,0),N(Reales!U35)),U$161*INDEX(Precio_V,11)*INDEX(IdxPrecio_V,1,MIN(10,U$147))*(1+V_dPrecio))</f>
        <v>0</v>
      </c>
      <c r="V173" s="34" t="n">
        <f aca="false">IF(V$8=1,IF(Reales!$C$35="PYG",IF(V$10&gt;0,N(Reales!V35)/V$10,0),N(Reales!V35)),V$161*INDEX(Precio_V,11)*INDEX(IdxPrecio_V,1,MIN(10,V$147))*(1+V_dPrecio))</f>
        <v>0</v>
      </c>
      <c r="W173" s="34" t="n">
        <f aca="false">IF(W$8=1,IF(Reales!$C$35="PYG",IF(W$10&gt;0,N(Reales!W35)/W$10,0),N(Reales!W35)),W$161*INDEX(Precio_V,11)*INDEX(IdxPrecio_V,1,MIN(10,W$147))*(1+V_dPrecio))</f>
        <v>0</v>
      </c>
      <c r="X173" s="34" t="n">
        <f aca="false">IF(X$8=1,IF(Reales!$C$35="PYG",IF(X$10&gt;0,N(Reales!X35)/X$10,0),N(Reales!X35)),X$161*INDEX(Precio_V,11)*INDEX(IdxPrecio_V,1,MIN(10,X$147))*(1+V_dPrecio))</f>
        <v>0</v>
      </c>
      <c r="Y173" s="34" t="n">
        <f aca="false">IF(Y$8=1,IF(Reales!$C$35="PYG",IF(Y$10&gt;0,N(Reales!Y35)/Y$10,0),N(Reales!Y35)),Y$161*INDEX(Precio_V,11)*INDEX(IdxPrecio_V,1,MIN(10,Y$147))*(1+V_dPrecio))</f>
        <v>0</v>
      </c>
      <c r="Z173" s="34" t="n">
        <f aca="false">IF(Z$8=1,IF(Reales!$C$35="PYG",IF(Z$10&gt;0,N(Reales!Z35)/Z$10,0),N(Reales!Z35)),Z$161*INDEX(Precio_V,11)*INDEX(IdxPrecio_V,1,MIN(10,Z$147))*(1+V_dPrecio))</f>
        <v>0</v>
      </c>
      <c r="AA173" s="34" t="n">
        <f aca="false">IF(AA$8=1,IF(Reales!$C$35="PYG",IF(AA$10&gt;0,N(Reales!AA35)/AA$10,0),N(Reales!AA35)),AA$161*INDEX(Precio_V,11)*INDEX(IdxPrecio_V,1,MIN(10,AA$147))*(1+V_dPrecio))</f>
        <v>0</v>
      </c>
      <c r="AB173" s="34" t="n">
        <f aca="false">IF(AB$8=1,IF(Reales!$C$35="PYG",IF(AB$10&gt;0,N(Reales!AB35)/AB$10,0),N(Reales!AB35)),AB$161*INDEX(Precio_V,11)*INDEX(IdxPrecio_V,1,MIN(10,AB$147))*(1+V_dPrecio))</f>
        <v>0</v>
      </c>
      <c r="AC173" s="34" t="n">
        <f aca="false">IF(AC$8=1,IF(Reales!$C$35="PYG",IF(AC$10&gt;0,N(Reales!AC35)/AC$10,0),N(Reales!AC35)),AC$161*INDEX(Precio_V,11)*INDEX(IdxPrecio_V,1,MIN(10,AC$147))*(1+V_dPrecio))</f>
        <v>0</v>
      </c>
      <c r="AD173" s="34" t="n">
        <f aca="false">IF(AD$8=1,IF(Reales!$C$35="PYG",IF(AD$10&gt;0,N(Reales!AD35)/AD$10,0),N(Reales!AD35)),AD$161*INDEX(Precio_V,11)*INDEX(IdxPrecio_V,1,MIN(10,AD$147))*(1+V_dPrecio))</f>
        <v>0</v>
      </c>
      <c r="AE173" s="34" t="n">
        <f aca="false">IF(AE$8=1,IF(Reales!$C$35="PYG",IF(AE$10&gt;0,N(Reales!AE35)/AE$10,0),N(Reales!AE35)),AE$161*INDEX(Precio_V,11)*INDEX(IdxPrecio_V,1,MIN(10,AE$147))*(1+V_dPrecio))</f>
        <v>0</v>
      </c>
      <c r="AF173" s="34" t="n">
        <f aca="false">IF(AF$8=1,IF(Reales!$C$35="PYG",IF(AF$10&gt;0,N(Reales!AF35)/AF$10,0),N(Reales!AF35)),AF$161*INDEX(Precio_V,11)*INDEX(IdxPrecio_V,1,MIN(10,AF$147))*(1+V_dPrecio))</f>
        <v>0</v>
      </c>
      <c r="AG173" s="34" t="n">
        <f aca="false">IF(AG$8=1,IF(Reales!$C$35="PYG",IF(AG$10&gt;0,N(Reales!AG35)/AG$10,0),N(Reales!AG35)),AG$161*INDEX(Precio_V,11)*INDEX(IdxPrecio_V,1,MIN(10,AG$147))*(1+V_dPrecio))</f>
        <v>0</v>
      </c>
      <c r="AH173" s="34" t="n">
        <f aca="false">IF(AH$8=1,IF(Reales!$C$35="PYG",IF(AH$10&gt;0,N(Reales!AH35)/AH$10,0),N(Reales!AH35)),AH$161*INDEX(Precio_V,11)*INDEX(IdxPrecio_V,1,MIN(10,AH$147))*(1+V_dPrecio))</f>
        <v>0</v>
      </c>
      <c r="AI173" s="34" t="n">
        <f aca="false">IF(AI$8=1,IF(Reales!$C$35="PYG",IF(AI$10&gt;0,N(Reales!AI35)/AI$10,0),N(Reales!AI35)),AI$161*INDEX(Precio_V,11)*INDEX(IdxPrecio_V,1,MIN(10,AI$147))*(1+V_dPrecio))</f>
        <v>0</v>
      </c>
      <c r="AJ173" s="34" t="n">
        <f aca="false">IF(AJ$8=1,IF(Reales!$C$35="PYG",IF(AJ$10&gt;0,N(Reales!AJ35)/AJ$10,0),N(Reales!AJ35)),AJ$161*INDEX(Precio_V,11)*INDEX(IdxPrecio_V,1,MIN(10,AJ$147))*(1+V_dPrecio))</f>
        <v>0</v>
      </c>
      <c r="AK173" s="34" t="n">
        <f aca="false">IF(AK$8=1,IF(Reales!$C$35="PYG",IF(AK$10&gt;0,N(Reales!AK35)/AK$10,0),N(Reales!AK35)),AK$161*INDEX(Precio_V,11)*INDEX(IdxPrecio_V,1,MIN(10,AK$147))*(1+V_dPrecio))</f>
        <v>0</v>
      </c>
      <c r="AL173" s="34" t="n">
        <f aca="false">IF(AL$8=1,IF(Reales!$C$35="PYG",IF(AL$10&gt;0,N(Reales!AL35)/AL$10,0),N(Reales!AL35)),AL$161*INDEX(Precio_V,11)*INDEX(IdxPrecio_V,1,MIN(10,AL$147))*(1+V_dPrecio))</f>
        <v>0</v>
      </c>
      <c r="AM173" s="34" t="n">
        <f aca="false">IF(AM$8=1,IF(Reales!$C$35="PYG",IF(AM$10&gt;0,N(Reales!AM35)/AM$10,0),N(Reales!AM35)),AM$161*INDEX(Precio_V,11)*INDEX(IdxPrecio_V,1,MIN(10,AM$147))*(1+V_dPrecio))</f>
        <v>0</v>
      </c>
      <c r="AN173" s="34" t="n">
        <f aca="false">IF(AN$8=1,IF(Reales!$C$35="PYG",IF(AN$10&gt;0,N(Reales!AN35)/AN$10,0),N(Reales!AN35)),AN$161*INDEX(Precio_V,11)*INDEX(IdxPrecio_V,1,MIN(10,AN$147))*(1+V_dPrecio))</f>
        <v>0</v>
      </c>
      <c r="AO173" s="34" t="n">
        <f aca="false">IF(AO$8=1,IF(Reales!$C$35="PYG",IF(AO$10&gt;0,N(Reales!AO35)/AO$10,0),N(Reales!AO35)),AO$161*INDEX(Precio_V,11)*INDEX(IdxPrecio_V,1,MIN(10,AO$147))*(1+V_dPrecio))</f>
        <v>0</v>
      </c>
      <c r="AP173" s="34" t="n">
        <f aca="false">IF(AP$8=1,IF(Reales!$C$35="PYG",IF(AP$10&gt;0,N(Reales!AP35)/AP$10,0),N(Reales!AP35)),AP$161*INDEX(Precio_V,11)*INDEX(IdxPrecio_V,1,MIN(10,AP$147))*(1+V_dPrecio))</f>
        <v>0</v>
      </c>
      <c r="AQ173" s="34" t="n">
        <f aca="false">IF(AQ$8=1,IF(Reales!$C$35="PYG",IF(AQ$10&gt;0,N(Reales!AQ35)/AQ$10,0),N(Reales!AQ35)),AQ$161*INDEX(Precio_V,11)*INDEX(IdxPrecio_V,1,MIN(10,AQ$147))*(1+V_dPrecio))</f>
        <v>0</v>
      </c>
      <c r="AR173" s="34" t="n">
        <f aca="false">IF(AR$8=1,IF(Reales!$C$35="PYG",IF(AR$10&gt;0,N(Reales!AR35)/AR$10,0),N(Reales!AR35)),AR$161*INDEX(Precio_V,11)*INDEX(IdxPrecio_V,1,MIN(10,AR$147))*(1+V_dPrecio))</f>
        <v>0</v>
      </c>
      <c r="AS173" s="34" t="n">
        <f aca="false">IF(AS$8=1,IF(Reales!$C$35="PYG",IF(AS$10&gt;0,N(Reales!AS35)/AS$10,0),N(Reales!AS35)),AS$161*INDEX(Precio_V,11)*INDEX(IdxPrecio_V,1,MIN(10,AS$147))*(1+V_dPrecio))</f>
        <v>0</v>
      </c>
      <c r="AT173" s="34" t="n">
        <f aca="false">IF(AT$8=1,IF(Reales!$C$35="PYG",IF(AT$10&gt;0,N(Reales!AT35)/AT$10,0),N(Reales!AT35)),AT$161*INDEX(Precio_V,11)*INDEX(IdxPrecio_V,1,MIN(10,AT$147))*(1+V_dPrecio))</f>
        <v>0</v>
      </c>
      <c r="AU173" s="34" t="n">
        <f aca="false">IF(AU$8=1,IF(Reales!$C$35="PYG",IF(AU$10&gt;0,N(Reales!AU35)/AU$10,0),N(Reales!AU35)),AU$161*INDEX(Precio_V,11)*INDEX(IdxPrecio_V,1,MIN(10,AU$147))*(1+V_dPrecio))</f>
        <v>0</v>
      </c>
      <c r="AV173" s="34" t="n">
        <f aca="false">IF(AV$8=1,IF(Reales!$C$35="PYG",IF(AV$10&gt;0,N(Reales!AV35)/AV$10,0),N(Reales!AV35)),AV$161*INDEX(Precio_V,11)*INDEX(IdxPrecio_V,1,MIN(10,AV$147))*(1+V_dPrecio))</f>
        <v>0</v>
      </c>
      <c r="AW173" s="34" t="n">
        <f aca="false">IF(AW$8=1,IF(Reales!$C$35="PYG",IF(AW$10&gt;0,N(Reales!AW35)/AW$10,0),N(Reales!AW35)),AW$161*INDEX(Precio_V,11)*INDEX(IdxPrecio_V,1,MIN(10,AW$147))*(1+V_dPrecio))</f>
        <v>0</v>
      </c>
      <c r="AX173" s="34" t="n">
        <f aca="false">IF(AX$8=1,IF(Reales!$C$35="PYG",IF(AX$10&gt;0,N(Reales!AX35)/AX$10,0),N(Reales!AX35)),AX$161*INDEX(Precio_V,11)*INDEX(IdxPrecio_V,1,MIN(10,AX$147))*(1+V_dPrecio))</f>
        <v>0</v>
      </c>
      <c r="AY173" s="34" t="n">
        <f aca="false">IF(AY$8=1,IF(Reales!$C$35="PYG",IF(AY$10&gt;0,N(Reales!AY35)/AY$10,0),N(Reales!AY35)),AY$161*INDEX(Precio_V,11)*INDEX(IdxPrecio_V,1,MIN(10,AY$147))*(1+V_dPrecio))</f>
        <v>0</v>
      </c>
      <c r="AZ173" s="34" t="n">
        <f aca="false">IF(AZ$8=1,IF(Reales!$C$35="PYG",IF(AZ$10&gt;0,N(Reales!AZ35)/AZ$10,0),N(Reales!AZ35)),AZ$161*INDEX(Precio_V,11)*INDEX(IdxPrecio_V,1,MIN(10,AZ$147))*(1+V_dPrecio))</f>
        <v>0</v>
      </c>
      <c r="BA173" s="34" t="n">
        <f aca="false">IF(BA$8=1,IF(Reales!$C$35="PYG",IF(BA$10&gt;0,N(Reales!BA35)/BA$10,0),N(Reales!BA35)),BA$161*INDEX(Precio_V,11)*INDEX(IdxPrecio_V,1,MIN(10,BA$147))*(1+V_dPrecio))</f>
        <v>0</v>
      </c>
      <c r="BB173" s="34" t="n">
        <f aca="false">IF(BB$8=1,IF(Reales!$C$35="PYG",IF(BB$10&gt;0,N(Reales!BB35)/BB$10,0),N(Reales!BB35)),BB$161*INDEX(Precio_V,11)*INDEX(IdxPrecio_V,1,MIN(10,BB$147))*(1+V_dPrecio))</f>
        <v>0</v>
      </c>
      <c r="BC173" s="34" t="n">
        <f aca="false">IF(BC$8=1,IF(Reales!$C$35="PYG",IF(BC$10&gt;0,N(Reales!BC35)/BC$10,0),N(Reales!BC35)),BC$161*INDEX(Precio_V,11)*INDEX(IdxPrecio_V,1,MIN(10,BC$147))*(1+V_dPrecio))</f>
        <v>0</v>
      </c>
      <c r="BD173" s="34" t="n">
        <f aca="false">IF(BD$8=1,IF(Reales!$C$35="PYG",IF(BD$10&gt;0,N(Reales!BD35)/BD$10,0),N(Reales!BD35)),BD$161*INDEX(Precio_V,11)*INDEX(IdxPrecio_V,1,MIN(10,BD$147))*(1+V_dPrecio))</f>
        <v>0</v>
      </c>
      <c r="BE173" s="34" t="n">
        <f aca="false">IF(BE$8=1,IF(Reales!$C$35="PYG",IF(BE$10&gt;0,N(Reales!BE35)/BE$10,0),N(Reales!BE35)),BE$161*INDEX(Precio_V,11)*INDEX(IdxPrecio_V,1,MIN(10,BE$147))*(1+V_dPrecio))</f>
        <v>0</v>
      </c>
      <c r="BF173" s="34" t="n">
        <f aca="false">IF(BF$8=1,IF(Reales!$C$35="PYG",IF(BF$10&gt;0,N(Reales!BF35)/BF$10,0),N(Reales!BF35)),BF$161*INDEX(Precio_V,11)*INDEX(IdxPrecio_V,1,MIN(10,BF$147))*(1+V_dPrecio))</f>
        <v>0</v>
      </c>
      <c r="BG173" s="34" t="n">
        <f aca="false">IF(BG$8=1,IF(Reales!$C$35="PYG",IF(BG$10&gt;0,N(Reales!BG35)/BG$10,0),N(Reales!BG35)),BG$161*INDEX(Precio_V,11)*INDEX(IdxPrecio_V,1,MIN(10,BG$147))*(1+V_dPrecio))</f>
        <v>0</v>
      </c>
      <c r="BH173" s="34" t="n">
        <f aca="false">IF(BH$8=1,IF(Reales!$C$35="PYG",IF(BH$10&gt;0,N(Reales!BH35)/BH$10,0),N(Reales!BH35)),BH$161*INDEX(Precio_V,11)*INDEX(IdxPrecio_V,1,MIN(10,BH$147))*(1+V_dPrecio))</f>
        <v>0</v>
      </c>
      <c r="BI173" s="34" t="n">
        <f aca="false">IF(BI$8=1,IF(Reales!$C$35="PYG",IF(BI$10&gt;0,N(Reales!BI35)/BI$10,0),N(Reales!BI35)),BI$161*INDEX(Precio_V,11)*INDEX(IdxPrecio_V,1,MIN(10,BI$147))*(1+V_dPrecio))</f>
        <v>0</v>
      </c>
      <c r="BJ173" s="34" t="n">
        <f aca="false">IF(BJ$8=1,IF(Reales!$C$35="PYG",IF(BJ$10&gt;0,N(Reales!BJ35)/BJ$10,0),N(Reales!BJ35)),BJ$161*INDEX(Precio_V,11)*INDEX(IdxPrecio_V,1,MIN(10,BJ$147))*(1+V_dPrecio))</f>
        <v>0</v>
      </c>
      <c r="BK173" s="34" t="n">
        <f aca="false">IF(BK$8=1,IF(Reales!$C$35="PYG",IF(BK$10&gt;0,N(Reales!BK35)/BK$10,0),N(Reales!BK35)),BK$161*INDEX(Precio_V,11)*INDEX(IdxPrecio_V,1,MIN(10,BK$147))*(1+V_dPrecio))</f>
        <v>0</v>
      </c>
      <c r="BL173" s="34" t="n">
        <f aca="false">IF(BL$8=1,IF(Reales!$C$35="PYG",IF(BL$10&gt;0,N(Reales!BL35)/BL$10,0),N(Reales!BL35)),BL$161*INDEX(Precio_V,11)*INDEX(IdxPrecio_V,1,MIN(10,BL$147))*(1+V_dPrecio))</f>
        <v>0</v>
      </c>
      <c r="BM173" s="34" t="n">
        <f aca="false">IF(BM$8=1,IF(Reales!$C$35="PYG",IF(BM$10&gt;0,N(Reales!BM35)/BM$10,0),N(Reales!BM35)),BM$161*INDEX(Precio_V,11)*INDEX(IdxPrecio_V,1,MIN(10,BM$147))*(1+V_dPrecio))</f>
        <v>0</v>
      </c>
      <c r="BN173" s="34" t="n">
        <f aca="false">IF(BN$8=1,IF(Reales!$C$35="PYG",IF(BN$10&gt;0,N(Reales!BN35)/BN$10,0),N(Reales!BN35)),BN$161*INDEX(Precio_V,11)*INDEX(IdxPrecio_V,1,MIN(10,BN$147))*(1+V_dPrecio))</f>
        <v>0</v>
      </c>
      <c r="BO173" s="34" t="n">
        <f aca="false">IF(BO$8=1,IF(Reales!$C$35="PYG",IF(BO$10&gt;0,N(Reales!BO35)/BO$10,0),N(Reales!BO35)),BO$161*INDEX(Precio_V,11)*INDEX(IdxPrecio_V,1,MIN(10,BO$147))*(1+V_dPrecio))</f>
        <v>0</v>
      </c>
      <c r="BP173" s="34" t="n">
        <f aca="false">IF(BP$8=1,IF(Reales!$C$35="PYG",IF(BP$10&gt;0,N(Reales!BP35)/BP$10,0),N(Reales!BP35)),BP$161*INDEX(Precio_V,11)*INDEX(IdxPrecio_V,1,MIN(10,BP$147))*(1+V_dPrecio))</f>
        <v>0</v>
      </c>
      <c r="BQ173" s="34" t="n">
        <f aca="false">IF(BQ$8=1,IF(Reales!$C$35="PYG",IF(BQ$10&gt;0,N(Reales!BQ35)/BQ$10,0),N(Reales!BQ35)),BQ$161*INDEX(Precio_V,11)*INDEX(IdxPrecio_V,1,MIN(10,BQ$147))*(1+V_dPrecio))</f>
        <v>0</v>
      </c>
      <c r="BR173" s="34" t="n">
        <f aca="false">IF(BR$8=1,IF(Reales!$C$35="PYG",IF(BR$10&gt;0,N(Reales!BR35)/BR$10,0),N(Reales!BR35)),BR$161*INDEX(Precio_V,11)*INDEX(IdxPrecio_V,1,MIN(10,BR$147))*(1+V_dPrecio))</f>
        <v>0</v>
      </c>
      <c r="BS173" s="34" t="n">
        <f aca="false">IF(BS$8=1,IF(Reales!$C$35="PYG",IF(BS$10&gt;0,N(Reales!BS35)/BS$10,0),N(Reales!BS35)),BS$161*INDEX(Precio_V,11)*INDEX(IdxPrecio_V,1,MIN(10,BS$147))*(1+V_dPrecio))</f>
        <v>0</v>
      </c>
      <c r="BT173" s="34" t="n">
        <f aca="false">IF(BT$8=1,IF(Reales!$C$35="PYG",IF(BT$10&gt;0,N(Reales!BT35)/BT$10,0),N(Reales!BT35)),BT$161*INDEX(Precio_V,11)*INDEX(IdxPrecio_V,1,MIN(10,BT$147))*(1+V_dPrecio))</f>
        <v>0</v>
      </c>
      <c r="BU173" s="34" t="n">
        <f aca="false">IF(BU$8=1,IF(Reales!$C$35="PYG",IF(BU$10&gt;0,N(Reales!BU35)/BU$10,0),N(Reales!BU35)),BU$161*INDEX(Precio_V,11)*INDEX(IdxPrecio_V,1,MIN(10,BU$147))*(1+V_dPrecio))</f>
        <v>0</v>
      </c>
      <c r="BV173" s="34" t="n">
        <f aca="false">IF(BV$8=1,IF(Reales!$C$35="PYG",IF(BV$10&gt;0,N(Reales!BV35)/BV$10,0),N(Reales!BV35)),BV$161*INDEX(Precio_V,11)*INDEX(IdxPrecio_V,1,MIN(10,BV$147))*(1+V_dPrecio))</f>
        <v>0</v>
      </c>
      <c r="BW173" s="34" t="n">
        <f aca="false">IF(BW$8=1,IF(Reales!$C$35="PYG",IF(BW$10&gt;0,N(Reales!BW35)/BW$10,0),N(Reales!BW35)),BW$161*INDEX(Precio_V,11)*INDEX(IdxPrecio_V,1,MIN(10,BW$147))*(1+V_dPrecio))</f>
        <v>0</v>
      </c>
      <c r="BX173" s="34" t="n">
        <f aca="false">IF(BX$8=1,IF(Reales!$C$35="PYG",IF(BX$10&gt;0,N(Reales!BX35)/BX$10,0),N(Reales!BX35)),BX$161*INDEX(Precio_V,11)*INDEX(IdxPrecio_V,1,MIN(10,BX$147))*(1+V_dPrecio))</f>
        <v>0</v>
      </c>
      <c r="BY173" s="34" t="n">
        <f aca="false">IF(BY$8=1,IF(Reales!$C$35="PYG",IF(BY$10&gt;0,N(Reales!BY35)/BY$10,0),N(Reales!BY35)),BY$161*INDEX(Precio_V,11)*INDEX(IdxPrecio_V,1,MIN(10,BY$147))*(1+V_dPrecio))</f>
        <v>0</v>
      </c>
      <c r="BZ173" s="34" t="n">
        <f aca="false">IF(BZ$8=1,IF(Reales!$C$35="PYG",IF(BZ$10&gt;0,N(Reales!BZ35)/BZ$10,0),N(Reales!BZ35)),BZ$161*INDEX(Precio_V,11)*INDEX(IdxPrecio_V,1,MIN(10,BZ$147))*(1+V_dPrecio))</f>
        <v>0</v>
      </c>
      <c r="CA173" s="34" t="n">
        <f aca="false">IF(CA$8=1,IF(Reales!$C$35="PYG",IF(CA$10&gt;0,N(Reales!CA35)/CA$10,0),N(Reales!CA35)),CA$161*INDEX(Precio_V,11)*INDEX(IdxPrecio_V,1,MIN(10,CA$147))*(1+V_dPrecio))</f>
        <v>0</v>
      </c>
      <c r="CB173" s="34" t="n">
        <f aca="false">IF(CB$8=1,IF(Reales!$C$35="PYG",IF(CB$10&gt;0,N(Reales!CB35)/CB$10,0),N(Reales!CB35)),CB$161*INDEX(Precio_V,11)*INDEX(IdxPrecio_V,1,MIN(10,CB$147))*(1+V_dPrecio))</f>
        <v>0</v>
      </c>
      <c r="CC173" s="34" t="n">
        <f aca="false">IF(CC$8=1,IF(Reales!$C$35="PYG",IF(CC$10&gt;0,N(Reales!CC35)/CC$10,0),N(Reales!CC35)),CC$161*INDEX(Precio_V,11)*INDEX(IdxPrecio_V,1,MIN(10,CC$147))*(1+V_dPrecio))</f>
        <v>0</v>
      </c>
      <c r="CD173" s="34" t="n">
        <f aca="false">IF(CD$8=1,IF(Reales!$C$35="PYG",IF(CD$10&gt;0,N(Reales!CD35)/CD$10,0),N(Reales!CD35)),CD$161*INDEX(Precio_V,11)*INDEX(IdxPrecio_V,1,MIN(10,CD$147))*(1+V_dPrecio))</f>
        <v>0</v>
      </c>
      <c r="CE173" s="34" t="n">
        <f aca="false">IF(CE$8=1,IF(Reales!$C$35="PYG",IF(CE$10&gt;0,N(Reales!CE35)/CE$10,0),N(Reales!CE35)),CE$161*INDEX(Precio_V,11)*INDEX(IdxPrecio_V,1,MIN(10,CE$147))*(1+V_dPrecio))</f>
        <v>0</v>
      </c>
      <c r="CF173" s="34" t="n">
        <f aca="false">IF(CF$8=1,IF(Reales!$C$35="PYG",IF(CF$10&gt;0,N(Reales!CF35)/CF$10,0),N(Reales!CF35)),CF$161*INDEX(Precio_V,11)*INDEX(IdxPrecio_V,1,MIN(10,CF$147))*(1+V_dPrecio))</f>
        <v>0</v>
      </c>
      <c r="CG173" s="34" t="n">
        <f aca="false">IF(CG$8=1,IF(Reales!$C$35="PYG",IF(CG$10&gt;0,N(Reales!CG35)/CG$10,0),N(Reales!CG35)),CG$161*INDEX(Precio_V,11)*INDEX(IdxPrecio_V,1,MIN(10,CG$147))*(1+V_dPrecio))</f>
        <v>0</v>
      </c>
      <c r="CH173" s="34" t="n">
        <f aca="false">IF(CH$8=1,IF(Reales!$C$35="PYG",IF(CH$10&gt;0,N(Reales!CH35)/CH$10,0),N(Reales!CH35)),CH$161*INDEX(Precio_V,11)*INDEX(IdxPrecio_V,1,MIN(10,CH$147))*(1+V_dPrecio))</f>
        <v>0</v>
      </c>
      <c r="CI173" s="34" t="n">
        <f aca="false">IF(CI$8=1,IF(Reales!$C$35="PYG",IF(CI$10&gt;0,N(Reales!CI35)/CI$10,0),N(Reales!CI35)),CI$161*INDEX(Precio_V,11)*INDEX(IdxPrecio_V,1,MIN(10,CI$147))*(1+V_dPrecio))</f>
        <v>0</v>
      </c>
      <c r="CJ173" s="34" t="n">
        <f aca="false">IF(CJ$8=1,IF(Reales!$C$35="PYG",IF(CJ$10&gt;0,N(Reales!CJ35)/CJ$10,0),N(Reales!CJ35)),CJ$161*INDEX(Precio_V,11)*INDEX(IdxPrecio_V,1,MIN(10,CJ$147))*(1+V_dPrecio))</f>
        <v>0</v>
      </c>
      <c r="CK173" s="34" t="n">
        <f aca="false">IF(CK$8=1,IF(Reales!$C$35="PYG",IF(CK$10&gt;0,N(Reales!CK35)/CK$10,0),N(Reales!CK35)),CK$161*INDEX(Precio_V,11)*INDEX(IdxPrecio_V,1,MIN(10,CK$147))*(1+V_dPrecio))</f>
        <v>0</v>
      </c>
      <c r="CL173" s="34" t="n">
        <f aca="false">IF(CL$8=1,IF(Reales!$C$35="PYG",IF(CL$10&gt;0,N(Reales!CL35)/CL$10,0),N(Reales!CL35)),CL$161*INDEX(Precio_V,11)*INDEX(IdxPrecio_V,1,MIN(10,CL$147))*(1+V_dPrecio))</f>
        <v>0</v>
      </c>
      <c r="CM173" s="34" t="n">
        <f aca="false">IF(CM$8=1,IF(Reales!$C$35="PYG",IF(CM$10&gt;0,N(Reales!CM35)/CM$10,0),N(Reales!CM35)),CM$161*INDEX(Precio_V,11)*INDEX(IdxPrecio_V,1,MIN(10,CM$147))*(1+V_dPrecio))</f>
        <v>0</v>
      </c>
      <c r="CN173" s="34" t="n">
        <f aca="false">IF(CN$8=1,IF(Reales!$C$35="PYG",IF(CN$10&gt;0,N(Reales!CN35)/CN$10,0),N(Reales!CN35)),CN$161*INDEX(Precio_V,11)*INDEX(IdxPrecio_V,1,MIN(10,CN$147))*(1+V_dPrecio))</f>
        <v>0</v>
      </c>
      <c r="CO173" s="34" t="n">
        <f aca="false">IF(CO$8=1,IF(Reales!$C$35="PYG",IF(CO$10&gt;0,N(Reales!CO35)/CO$10,0),N(Reales!CO35)),CO$161*INDEX(Precio_V,11)*INDEX(IdxPrecio_V,1,MIN(10,CO$147))*(1+V_dPrecio))</f>
        <v>0</v>
      </c>
      <c r="CP173" s="34" t="n">
        <f aca="false">IF(CP$8=1,IF(Reales!$C$35="PYG",IF(CP$10&gt;0,N(Reales!CP35)/CP$10,0),N(Reales!CP35)),CP$161*INDEX(Precio_V,11)*INDEX(IdxPrecio_V,1,MIN(10,CP$147))*(1+V_dPrecio))</f>
        <v>0</v>
      </c>
      <c r="CQ173" s="34" t="n">
        <f aca="false">IF(CQ$8=1,IF(Reales!$C$35="PYG",IF(CQ$10&gt;0,N(Reales!CQ35)/CQ$10,0),N(Reales!CQ35)),CQ$161*INDEX(Precio_V,11)*INDEX(IdxPrecio_V,1,MIN(10,CQ$147))*(1+V_dPrecio))</f>
        <v>0</v>
      </c>
      <c r="CR173" s="34" t="n">
        <f aca="false">IF(CR$8=1,IF(Reales!$C$35="PYG",IF(CR$10&gt;0,N(Reales!CR35)/CR$10,0),N(Reales!CR35)),CR$161*INDEX(Precio_V,11)*INDEX(IdxPrecio_V,1,MIN(10,CR$147))*(1+V_dPrecio))</f>
        <v>0</v>
      </c>
      <c r="CS173" s="34" t="n">
        <f aca="false">IF(CS$8=1,IF(Reales!$C$35="PYG",IF(CS$10&gt;0,N(Reales!CS35)/CS$10,0),N(Reales!CS35)),CS$161*INDEX(Precio_V,11)*INDEX(IdxPrecio_V,1,MIN(10,CS$147))*(1+V_dPrecio))</f>
        <v>0</v>
      </c>
      <c r="CT173" s="34" t="n">
        <f aca="false">IF(CT$8=1,IF(Reales!$C$35="PYG",IF(CT$10&gt;0,N(Reales!CT35)/CT$10,0),N(Reales!CT35)),CT$161*INDEX(Precio_V,11)*INDEX(IdxPrecio_V,1,MIN(10,CT$147))*(1+V_dPrecio))</f>
        <v>0</v>
      </c>
      <c r="CU173" s="34" t="n">
        <f aca="false">IF(CU$8=1,IF(Reales!$C$35="PYG",IF(CU$10&gt;0,N(Reales!CU35)/CU$10,0),N(Reales!CU35)),CU$161*INDEX(Precio_V,11)*INDEX(IdxPrecio_V,1,MIN(10,CU$147))*(1+V_dPrecio))</f>
        <v>0</v>
      </c>
      <c r="CV173" s="34" t="n">
        <f aca="false">IF(CV$8=1,IF(Reales!$C$35="PYG",IF(CV$10&gt;0,N(Reales!CV35)/CV$10,0),N(Reales!CV35)),CV$161*INDEX(Precio_V,11)*INDEX(IdxPrecio_V,1,MIN(10,CV$147))*(1+V_dPrecio))</f>
        <v>0</v>
      </c>
      <c r="CW173" s="34" t="n">
        <f aca="false">IF(CW$8=1,IF(Reales!$C$35="PYG",IF(CW$10&gt;0,N(Reales!CW35)/CW$10,0),N(Reales!CW35)),CW$161*INDEX(Precio_V,11)*INDEX(IdxPrecio_V,1,MIN(10,CW$147))*(1+V_dPrecio))</f>
        <v>0</v>
      </c>
      <c r="CX173" s="34" t="n">
        <f aca="false">IF(CX$8=1,IF(Reales!$C$35="PYG",IF(CX$10&gt;0,N(Reales!CX35)/CX$10,0),N(Reales!CX35)),CX$161*INDEX(Precio_V,11)*INDEX(IdxPrecio_V,1,MIN(10,CX$147))*(1+V_dPrecio))</f>
        <v>0</v>
      </c>
      <c r="CY173" s="34" t="n">
        <f aca="false">IF(CY$8=1,IF(Reales!$C$35="PYG",IF(CY$10&gt;0,N(Reales!CY35)/CY$10,0),N(Reales!CY35)),CY$161*INDEX(Precio_V,11)*INDEX(IdxPrecio_V,1,MIN(10,CY$147))*(1+V_dPrecio))</f>
        <v>0</v>
      </c>
      <c r="CZ173" s="34" t="n">
        <f aca="false">IF(CZ$8=1,IF(Reales!$C$35="PYG",IF(CZ$10&gt;0,N(Reales!CZ35)/CZ$10,0),N(Reales!CZ35)),CZ$161*INDEX(Precio_V,11)*INDEX(IdxPrecio_V,1,MIN(10,CZ$147))*(1+V_dPrecio))</f>
        <v>0</v>
      </c>
      <c r="DA173" s="34" t="n">
        <f aca="false">IF(DA$8=1,IF(Reales!$C$35="PYG",IF(DA$10&gt;0,N(Reales!DA35)/DA$10,0),N(Reales!DA35)),DA$161*INDEX(Precio_V,11)*INDEX(IdxPrecio_V,1,MIN(10,DA$147))*(1+V_dPrecio))</f>
        <v>0</v>
      </c>
      <c r="DB173" s="34" t="n">
        <f aca="false">IF(DB$8=1,IF(Reales!$C$35="PYG",IF(DB$10&gt;0,N(Reales!DB35)/DB$10,0),N(Reales!DB35)),DB$161*INDEX(Precio_V,11)*INDEX(IdxPrecio_V,1,MIN(10,DB$147))*(1+V_dPrecio))</f>
        <v>0</v>
      </c>
      <c r="DC173" s="34" t="n">
        <f aca="false">IF(DC$8=1,IF(Reales!$C$35="PYG",IF(DC$10&gt;0,N(Reales!DC35)/DC$10,0),N(Reales!DC35)),DC$161*INDEX(Precio_V,11)*INDEX(IdxPrecio_V,1,MIN(10,DC$147))*(1+V_dPrecio))</f>
        <v>0</v>
      </c>
      <c r="DD173" s="34" t="n">
        <f aca="false">IF(DD$8=1,IF(Reales!$C$35="PYG",IF(DD$10&gt;0,N(Reales!DD35)/DD$10,0),N(Reales!DD35)),DD$161*INDEX(Precio_V,11)*INDEX(IdxPrecio_V,1,MIN(10,DD$147))*(1+V_dPrecio))</f>
        <v>0</v>
      </c>
      <c r="DE173" s="34" t="n">
        <f aca="false">IF(DE$8=1,IF(Reales!$C$35="PYG",IF(DE$10&gt;0,N(Reales!DE35)/DE$10,0),N(Reales!DE35)),DE$161*INDEX(Precio_V,11)*INDEX(IdxPrecio_V,1,MIN(10,DE$147))*(1+V_dPrecio))</f>
        <v>0</v>
      </c>
      <c r="DF173" s="34" t="n">
        <f aca="false">IF(DF$8=1,IF(Reales!$C$35="PYG",IF(DF$10&gt;0,N(Reales!DF35)/DF$10,0),N(Reales!DF35)),DF$161*INDEX(Precio_V,11)*INDEX(IdxPrecio_V,1,MIN(10,DF$147))*(1+V_dPrecio))</f>
        <v>0</v>
      </c>
      <c r="DG173" s="34" t="n">
        <f aca="false">IF(DG$8=1,IF(Reales!$C$35="PYG",IF(DG$10&gt;0,N(Reales!DG35)/DG$10,0),N(Reales!DG35)),DG$161*INDEX(Precio_V,11)*INDEX(IdxPrecio_V,1,MIN(10,DG$147))*(1+V_dPrecio))</f>
        <v>0</v>
      </c>
      <c r="DH173" s="34" t="n">
        <f aca="false">IF(DH$8=1,IF(Reales!$C$35="PYG",IF(DH$10&gt;0,N(Reales!DH35)/DH$10,0),N(Reales!DH35)),DH$161*INDEX(Precio_V,11)*INDEX(IdxPrecio_V,1,MIN(10,DH$147))*(1+V_dPrecio))</f>
        <v>0</v>
      </c>
      <c r="DI173" s="34" t="n">
        <f aca="false">IF(DI$8=1,IF(Reales!$C$35="PYG",IF(DI$10&gt;0,N(Reales!DI35)/DI$10,0),N(Reales!DI35)),DI$161*INDEX(Precio_V,11)*INDEX(IdxPrecio_V,1,MIN(10,DI$147))*(1+V_dPrecio))</f>
        <v>0</v>
      </c>
      <c r="DJ173" s="34" t="n">
        <f aca="false">IF(DJ$8=1,IF(Reales!$C$35="PYG",IF(DJ$10&gt;0,N(Reales!DJ35)/DJ$10,0),N(Reales!DJ35)),DJ$161*INDEX(Precio_V,11)*INDEX(IdxPrecio_V,1,MIN(10,DJ$147))*(1+V_dPrecio))</f>
        <v>0</v>
      </c>
      <c r="DK173" s="34" t="n">
        <f aca="false">IF(DK$8=1,IF(Reales!$C$35="PYG",IF(DK$10&gt;0,N(Reales!DK35)/DK$10,0),N(Reales!DK35)),DK$161*INDEX(Precio_V,11)*INDEX(IdxPrecio_V,1,MIN(10,DK$147))*(1+V_dPrecio))</f>
        <v>0</v>
      </c>
      <c r="DL173" s="34" t="n">
        <f aca="false">IF(DL$8=1,IF(Reales!$C$35="PYG",IF(DL$10&gt;0,N(Reales!DL35)/DL$10,0),N(Reales!DL35)),DL$161*INDEX(Precio_V,11)*INDEX(IdxPrecio_V,1,MIN(10,DL$147))*(1+V_dPrecio))</f>
        <v>0</v>
      </c>
      <c r="DM173" s="34" t="n">
        <f aca="false">IF(DM$8=1,IF(Reales!$C$35="PYG",IF(DM$10&gt;0,N(Reales!DM35)/DM$10,0),N(Reales!DM35)),DM$161*INDEX(Precio_V,11)*INDEX(IdxPrecio_V,1,MIN(10,DM$147))*(1+V_dPrecio))</f>
        <v>0</v>
      </c>
      <c r="DN173" s="34" t="n">
        <f aca="false">IF(DN$8=1,IF(Reales!$C$35="PYG",IF(DN$10&gt;0,N(Reales!DN35)/DN$10,0),N(Reales!DN35)),DN$161*INDEX(Precio_V,11)*INDEX(IdxPrecio_V,1,MIN(10,DN$147))*(1+V_dPrecio))</f>
        <v>0</v>
      </c>
      <c r="DO173" s="34" t="n">
        <f aca="false">IF(DO$8=1,IF(Reales!$C$35="PYG",IF(DO$10&gt;0,N(Reales!DO35)/DO$10,0),N(Reales!DO35)),DO$161*INDEX(Precio_V,11)*INDEX(IdxPrecio_V,1,MIN(10,DO$147))*(1+V_dPrecio))</f>
        <v>0</v>
      </c>
      <c r="DP173" s="34" t="n">
        <f aca="false">IF(DP$8=1,IF(Reales!$C$35="PYG",IF(DP$10&gt;0,N(Reales!DP35)/DP$10,0),N(Reales!DP35)),DP$161*INDEX(Precio_V,11)*INDEX(IdxPrecio_V,1,MIN(10,DP$147))*(1+V_dPrecio))</f>
        <v>0</v>
      </c>
      <c r="DQ173" s="34" t="n">
        <f aca="false">IF(DQ$8=1,IF(Reales!$C$35="PYG",IF(DQ$10&gt;0,N(Reales!DQ35)/DQ$10,0),N(Reales!DQ35)),DQ$161*INDEX(Precio_V,11)*INDEX(IdxPrecio_V,1,MIN(10,DQ$147))*(1+V_dPrecio))</f>
        <v>0</v>
      </c>
      <c r="DR173" s="34" t="n">
        <f aca="false">IF(DR$8=1,IF(Reales!$C$35="PYG",IF(DR$10&gt;0,N(Reales!DR35)/DR$10,0),N(Reales!DR35)),DR$161*INDEX(Precio_V,11)*INDEX(IdxPrecio_V,1,MIN(10,DR$147))*(1+V_dPrecio))</f>
        <v>0</v>
      </c>
      <c r="DS173" s="34" t="n">
        <f aca="false">IF(DS$8=1,IF(Reales!$C$35="PYG",IF(DS$10&gt;0,N(Reales!DS35)/DS$10,0),N(Reales!DS35)),DS$161*INDEX(Precio_V,11)*INDEX(IdxPrecio_V,1,MIN(10,DS$147))*(1+V_dPrecio))</f>
        <v>0</v>
      </c>
      <c r="DT173" s="34" t="n">
        <f aca="false">IF(DT$8=1,IF(Reales!$C$35="PYG",IF(DT$10&gt;0,N(Reales!DT35)/DT$10,0),N(Reales!DT35)),DT$161*INDEX(Precio_V,11)*INDEX(IdxPrecio_V,1,MIN(10,DT$147))*(1+V_dPrecio))</f>
        <v>0</v>
      </c>
      <c r="DU173" s="34" t="n">
        <f aca="false">IF(DU$8=1,IF(Reales!$C$35="PYG",IF(DU$10&gt;0,N(Reales!DU35)/DU$10,0),N(Reales!DU35)),DU$161*INDEX(Precio_V,11)*INDEX(IdxPrecio_V,1,MIN(10,DU$147))*(1+V_dPrecio))</f>
        <v>0</v>
      </c>
      <c r="DV173" s="34" t="n">
        <f aca="false">IF(DV$8=1,IF(Reales!$C$35="PYG",IF(DV$10&gt;0,N(Reales!DV35)/DV$10,0),N(Reales!DV35)),DV$161*INDEX(Precio_V,11)*INDEX(IdxPrecio_V,1,MIN(10,DV$147))*(1+V_dPrecio))</f>
        <v>0</v>
      </c>
      <c r="DW173" s="34" t="n">
        <f aca="false">IF(DW$8=1,IF(Reales!$C$35="PYG",IF(DW$10&gt;0,N(Reales!DW35)/DW$10,0),N(Reales!DW35)),DW$161*INDEX(Precio_V,11)*INDEX(IdxPrecio_V,1,MIN(10,DW$147))*(1+V_dPrecio))</f>
        <v>0</v>
      </c>
      <c r="DX173" s="34" t="n">
        <f aca="false">IF(DX$8=1,IF(Reales!$C$35="PYG",IF(DX$10&gt;0,N(Reales!DX35)/DX$10,0),N(Reales!DX35)),DX$161*INDEX(Precio_V,11)*INDEX(IdxPrecio_V,1,MIN(10,DX$147))*(1+V_dPrecio))</f>
        <v>0</v>
      </c>
      <c r="DY173" s="34" t="n">
        <f aca="false">IF(DY$8=1,IF(Reales!$C$35="PYG",IF(DY$10&gt;0,N(Reales!DY35)/DY$10,0),N(Reales!DY35)),DY$161*INDEX(Precio_V,11)*INDEX(IdxPrecio_V,1,MIN(10,DY$147))*(1+V_dPrecio))</f>
        <v>0</v>
      </c>
      <c r="DZ173" s="34" t="n">
        <f aca="false">IF(DZ$8=1,IF(Reales!$C$35="PYG",IF(DZ$10&gt;0,N(Reales!DZ35)/DZ$10,0),N(Reales!DZ35)),DZ$161*INDEX(Precio_V,11)*INDEX(IdxPrecio_V,1,MIN(10,DZ$147))*(1+V_dPrecio))</f>
        <v>0</v>
      </c>
      <c r="EA173" s="34" t="n">
        <f aca="false">IF(EA$8=1,IF(Reales!$C$35="PYG",IF(EA$10&gt;0,N(Reales!EA35)/EA$10,0),N(Reales!EA35)),EA$161*INDEX(Precio_V,11)*INDEX(IdxPrecio_V,1,MIN(10,EA$147))*(1+V_dPrecio))</f>
        <v>0</v>
      </c>
      <c r="EB173" s="34" t="n">
        <f aca="false">IF(EB$8=1,IF(Reales!$C$35="PYG",IF(EB$10&gt;0,N(Reales!EB35)/EB$10,0),N(Reales!EB35)),EB$161*INDEX(Precio_V,11)*INDEX(IdxPrecio_V,1,MIN(10,EB$147))*(1+V_dPrecio))</f>
        <v>0</v>
      </c>
      <c r="EC173" s="34" t="n">
        <f aca="false">IF(EC$8=1,IF(Reales!$C$35="PYG",IF(EC$10&gt;0,N(Reales!EC35)/EC$10,0),N(Reales!EC35)),EC$161*INDEX(Precio_V,11)*INDEX(IdxPrecio_V,1,MIN(10,EC$147))*(1+V_dPrecio))</f>
        <v>0</v>
      </c>
      <c r="ED173" s="34" t="n">
        <f aca="false">IF(ED$8=1,IF(Reales!$C$35="PYG",IF(ED$10&gt;0,N(Reales!ED35)/ED$10,0),N(Reales!ED35)),ED$161*INDEX(Precio_V,11)*INDEX(IdxPrecio_V,1,MIN(10,ED$147))*(1+V_dPrecio))</f>
        <v>0</v>
      </c>
      <c r="EE173" s="34" t="n">
        <f aca="false">IF(EE$8=1,IF(Reales!$C$35="PYG",IF(EE$10&gt;0,N(Reales!EE35)/EE$10,0),N(Reales!EE35)),EE$161*INDEX(Precio_V,11)*INDEX(IdxPrecio_V,1,MIN(10,EE$147))*(1+V_dPrecio))</f>
        <v>0</v>
      </c>
      <c r="EF173" s="34" t="n">
        <f aca="false">IF(EF$8=1,IF(Reales!$C$35="PYG",IF(EF$10&gt;0,N(Reales!EF35)/EF$10,0),N(Reales!EF35)),EF$161*INDEX(Precio_V,11)*INDEX(IdxPrecio_V,1,MIN(10,EF$147))*(1+V_dPrecio))</f>
        <v>0</v>
      </c>
      <c r="EG173" s="34" t="n">
        <f aca="false">IF(EG$8=1,IF(Reales!$C$35="PYG",IF(EG$10&gt;0,N(Reales!EG35)/EG$10,0),N(Reales!EG35)),EG$161*INDEX(Precio_V,11)*INDEX(IdxPrecio_V,1,MIN(10,EG$147))*(1+V_dPrecio))</f>
        <v>0</v>
      </c>
      <c r="EH173" s="34" t="n">
        <f aca="false">IF(EH$8=1,IF(Reales!$C$35="PYG",IF(EH$10&gt;0,N(Reales!EH35)/EH$10,0),N(Reales!EH35)),EH$161*INDEX(Precio_V,11)*INDEX(IdxPrecio_V,1,MIN(10,EH$147))*(1+V_dPrecio))</f>
        <v>0</v>
      </c>
      <c r="EI173" s="34" t="n">
        <f aca="false">IF(EI$8=1,IF(Reales!$C$35="PYG",IF(EI$10&gt;0,N(Reales!EI35)/EI$10,0),N(Reales!EI35)),EI$161*INDEX(Precio_V,11)*INDEX(IdxPrecio_V,1,MIN(10,EI$147))*(1+V_dPrecio))</f>
        <v>0</v>
      </c>
      <c r="EJ173" s="34" t="n">
        <f aca="false">IF(EJ$8=1,IF(Reales!$C$35="PYG",IF(EJ$10&gt;0,N(Reales!EJ35)/EJ$10,0),N(Reales!EJ35)),EJ$161*INDEX(Precio_V,11)*INDEX(IdxPrecio_V,1,MIN(10,EJ$147))*(1+V_dPrecio))</f>
        <v>0</v>
      </c>
      <c r="EK173" s="34" t="n">
        <f aca="false">IF(EK$8=1,IF(Reales!$C$35="PYG",IF(EK$10&gt;0,N(Reales!EK35)/EK$10,0),N(Reales!EK35)),EK$161*INDEX(Precio_V,11)*INDEX(IdxPrecio_V,1,MIN(10,EK$147))*(1+V_dPrecio))</f>
        <v>0</v>
      </c>
      <c r="EL173" s="34" t="n">
        <f aca="false">IF(EL$8=1,IF(Reales!$C$35="PYG",IF(EL$10&gt;0,N(Reales!EL35)/EL$10,0),N(Reales!EL35)),EL$161*INDEX(Precio_V,11)*INDEX(IdxPrecio_V,1,MIN(10,EL$147))*(1+V_dPrecio))</f>
        <v>0</v>
      </c>
      <c r="EM173" s="34" t="n">
        <f aca="false">IF(EM$8=1,IF(Reales!$C$35="PYG",IF(EM$10&gt;0,N(Reales!EM35)/EM$10,0),N(Reales!EM35)),EM$161*INDEX(Precio_V,11)*INDEX(IdxPrecio_V,1,MIN(10,EM$147))*(1+V_dPrecio))</f>
        <v>0</v>
      </c>
      <c r="EN173" s="34" t="n">
        <f aca="false">IF(EN$8=1,IF(Reales!$C$35="PYG",IF(EN$10&gt;0,N(Reales!EN35)/EN$10,0),N(Reales!EN35)),EN$161*INDEX(Precio_V,11)*INDEX(IdxPrecio_V,1,MIN(10,EN$147))*(1+V_dPrecio))</f>
        <v>0</v>
      </c>
      <c r="EO173" s="34" t="n">
        <f aca="false">IF(EO$8=1,IF(Reales!$C$35="PYG",IF(EO$10&gt;0,N(Reales!EO35)/EO$10,0),N(Reales!EO35)),EO$161*INDEX(Precio_V,11)*INDEX(IdxPrecio_V,1,MIN(10,EO$147))*(1+V_dPrecio))</f>
        <v>0</v>
      </c>
      <c r="EP173" s="34" t="n">
        <f aca="false">IF(EP$8=1,IF(Reales!$C$35="PYG",IF(EP$10&gt;0,N(Reales!EP35)/EP$10,0),N(Reales!EP35)),EP$161*INDEX(Precio_V,11)*INDEX(IdxPrecio_V,1,MIN(10,EP$147))*(1+V_dPrecio))</f>
        <v>0</v>
      </c>
      <c r="EQ173" s="34" t="n">
        <f aca="false">IF(EQ$8=1,IF(Reales!$C$35="PYG",IF(EQ$10&gt;0,N(Reales!EQ35)/EQ$10,0),N(Reales!EQ35)),EQ$161*INDEX(Precio_V,11)*INDEX(IdxPrecio_V,1,MIN(10,EQ$147))*(1+V_dPrecio))</f>
        <v>0</v>
      </c>
      <c r="ER173" s="34" t="n">
        <f aca="false">IF(ER$8=1,IF(Reales!$C$35="PYG",IF(ER$10&gt;0,N(Reales!ER35)/ER$10,0),N(Reales!ER35)),ER$161*INDEX(Precio_V,11)*INDEX(IdxPrecio_V,1,MIN(10,ER$147))*(1+V_dPrecio))</f>
        <v>0</v>
      </c>
      <c r="ES173" s="34" t="n">
        <f aca="false">IF(ES$8=1,IF(Reales!$C$35="PYG",IF(ES$10&gt;0,N(Reales!ES35)/ES$10,0),N(Reales!ES35)),ES$161*INDEX(Precio_V,11)*INDEX(IdxPrecio_V,1,MIN(10,ES$147))*(1+V_dPrecio))</f>
        <v>0</v>
      </c>
    </row>
    <row r="174" customFormat="false" ht="15" hidden="false" customHeight="false" outlineLevel="0" collapsed="false">
      <c r="A174" s="2" t="s">
        <v>790</v>
      </c>
      <c r="B174" s="39" t="str">
        <f aca="false">IF(INDEX(Prod_Nombre,12)="","Producto 12",INDEX(Prod_Nombre,12))&amp;" — ventas USD"</f>
        <v>Producto 12 — ventas USD</v>
      </c>
      <c r="C174" s="6" t="s">
        <v>250</v>
      </c>
      <c r="E174" s="40" t="n">
        <f aca="false">SUM(F174:ES174)</f>
        <v>0</v>
      </c>
      <c r="F174" s="34" t="n">
        <f aca="false">IF(F$8=1,IF(Reales!$C$36="PYG",IF(F$10&gt;0,N(Reales!F36)/F$10,0),N(Reales!F36)),F$162*INDEX(Precio_V,12)*INDEX(IdxPrecio_V,1,MIN(10,F$147))*(1+V_dPrecio))</f>
        <v>0</v>
      </c>
      <c r="G174" s="34" t="n">
        <f aca="false">IF(G$8=1,IF(Reales!$C$36="PYG",IF(G$10&gt;0,N(Reales!G36)/G$10,0),N(Reales!G36)),G$162*INDEX(Precio_V,12)*INDEX(IdxPrecio_V,1,MIN(10,G$147))*(1+V_dPrecio))</f>
        <v>0</v>
      </c>
      <c r="H174" s="34" t="n">
        <f aca="false">IF(H$8=1,IF(Reales!$C$36="PYG",IF(H$10&gt;0,N(Reales!H36)/H$10,0),N(Reales!H36)),H$162*INDEX(Precio_V,12)*INDEX(IdxPrecio_V,1,MIN(10,H$147))*(1+V_dPrecio))</f>
        <v>0</v>
      </c>
      <c r="I174" s="34" t="n">
        <f aca="false">IF(I$8=1,IF(Reales!$C$36="PYG",IF(I$10&gt;0,N(Reales!I36)/I$10,0),N(Reales!I36)),I$162*INDEX(Precio_V,12)*INDEX(IdxPrecio_V,1,MIN(10,I$147))*(1+V_dPrecio))</f>
        <v>0</v>
      </c>
      <c r="J174" s="34" t="n">
        <f aca="false">IF(J$8=1,IF(Reales!$C$36="PYG",IF(J$10&gt;0,N(Reales!J36)/J$10,0),N(Reales!J36)),J$162*INDEX(Precio_V,12)*INDEX(IdxPrecio_V,1,MIN(10,J$147))*(1+V_dPrecio))</f>
        <v>0</v>
      </c>
      <c r="K174" s="34" t="n">
        <f aca="false">IF(K$8=1,IF(Reales!$C$36="PYG",IF(K$10&gt;0,N(Reales!K36)/K$10,0),N(Reales!K36)),K$162*INDEX(Precio_V,12)*INDEX(IdxPrecio_V,1,MIN(10,K$147))*(1+V_dPrecio))</f>
        <v>0</v>
      </c>
      <c r="L174" s="34" t="n">
        <f aca="false">IF(L$8=1,IF(Reales!$C$36="PYG",IF(L$10&gt;0,N(Reales!L36)/L$10,0),N(Reales!L36)),L$162*INDEX(Precio_V,12)*INDEX(IdxPrecio_V,1,MIN(10,L$147))*(1+V_dPrecio))</f>
        <v>0</v>
      </c>
      <c r="M174" s="34" t="n">
        <f aca="false">IF(M$8=1,IF(Reales!$C$36="PYG",IF(M$10&gt;0,N(Reales!M36)/M$10,0),N(Reales!M36)),M$162*INDEX(Precio_V,12)*INDEX(IdxPrecio_V,1,MIN(10,M$147))*(1+V_dPrecio))</f>
        <v>0</v>
      </c>
      <c r="N174" s="34" t="n">
        <f aca="false">IF(N$8=1,IF(Reales!$C$36="PYG",IF(N$10&gt;0,N(Reales!N36)/N$10,0),N(Reales!N36)),N$162*INDEX(Precio_V,12)*INDEX(IdxPrecio_V,1,MIN(10,N$147))*(1+V_dPrecio))</f>
        <v>0</v>
      </c>
      <c r="O174" s="34" t="n">
        <f aca="false">IF(O$8=1,IF(Reales!$C$36="PYG",IF(O$10&gt;0,N(Reales!O36)/O$10,0),N(Reales!O36)),O$162*INDEX(Precio_V,12)*INDEX(IdxPrecio_V,1,MIN(10,O$147))*(1+V_dPrecio))</f>
        <v>0</v>
      </c>
      <c r="P174" s="34" t="n">
        <f aca="false">IF(P$8=1,IF(Reales!$C$36="PYG",IF(P$10&gt;0,N(Reales!P36)/P$10,0),N(Reales!P36)),P$162*INDEX(Precio_V,12)*INDEX(IdxPrecio_V,1,MIN(10,P$147))*(1+V_dPrecio))</f>
        <v>0</v>
      </c>
      <c r="Q174" s="34" t="n">
        <f aca="false">IF(Q$8=1,IF(Reales!$C$36="PYG",IF(Q$10&gt;0,N(Reales!Q36)/Q$10,0),N(Reales!Q36)),Q$162*INDEX(Precio_V,12)*INDEX(IdxPrecio_V,1,MIN(10,Q$147))*(1+V_dPrecio))</f>
        <v>0</v>
      </c>
      <c r="R174" s="34" t="n">
        <f aca="false">IF(R$8=1,IF(Reales!$C$36="PYG",IF(R$10&gt;0,N(Reales!R36)/R$10,0),N(Reales!R36)),R$162*INDEX(Precio_V,12)*INDEX(IdxPrecio_V,1,MIN(10,R$147))*(1+V_dPrecio))</f>
        <v>0</v>
      </c>
      <c r="S174" s="34" t="n">
        <f aca="false">IF(S$8=1,IF(Reales!$C$36="PYG",IF(S$10&gt;0,N(Reales!S36)/S$10,0),N(Reales!S36)),S$162*INDEX(Precio_V,12)*INDEX(IdxPrecio_V,1,MIN(10,S$147))*(1+V_dPrecio))</f>
        <v>0</v>
      </c>
      <c r="T174" s="34" t="n">
        <f aca="false">IF(T$8=1,IF(Reales!$C$36="PYG",IF(T$10&gt;0,N(Reales!T36)/T$10,0),N(Reales!T36)),T$162*INDEX(Precio_V,12)*INDEX(IdxPrecio_V,1,MIN(10,T$147))*(1+V_dPrecio))</f>
        <v>0</v>
      </c>
      <c r="U174" s="34" t="n">
        <f aca="false">IF(U$8=1,IF(Reales!$C$36="PYG",IF(U$10&gt;0,N(Reales!U36)/U$10,0),N(Reales!U36)),U$162*INDEX(Precio_V,12)*INDEX(IdxPrecio_V,1,MIN(10,U$147))*(1+V_dPrecio))</f>
        <v>0</v>
      </c>
      <c r="V174" s="34" t="n">
        <f aca="false">IF(V$8=1,IF(Reales!$C$36="PYG",IF(V$10&gt;0,N(Reales!V36)/V$10,0),N(Reales!V36)),V$162*INDEX(Precio_V,12)*INDEX(IdxPrecio_V,1,MIN(10,V$147))*(1+V_dPrecio))</f>
        <v>0</v>
      </c>
      <c r="W174" s="34" t="n">
        <f aca="false">IF(W$8=1,IF(Reales!$C$36="PYG",IF(W$10&gt;0,N(Reales!W36)/W$10,0),N(Reales!W36)),W$162*INDEX(Precio_V,12)*INDEX(IdxPrecio_V,1,MIN(10,W$147))*(1+V_dPrecio))</f>
        <v>0</v>
      </c>
      <c r="X174" s="34" t="n">
        <f aca="false">IF(X$8=1,IF(Reales!$C$36="PYG",IF(X$10&gt;0,N(Reales!X36)/X$10,0),N(Reales!X36)),X$162*INDEX(Precio_V,12)*INDEX(IdxPrecio_V,1,MIN(10,X$147))*(1+V_dPrecio))</f>
        <v>0</v>
      </c>
      <c r="Y174" s="34" t="n">
        <f aca="false">IF(Y$8=1,IF(Reales!$C$36="PYG",IF(Y$10&gt;0,N(Reales!Y36)/Y$10,0),N(Reales!Y36)),Y$162*INDEX(Precio_V,12)*INDEX(IdxPrecio_V,1,MIN(10,Y$147))*(1+V_dPrecio))</f>
        <v>0</v>
      </c>
      <c r="Z174" s="34" t="n">
        <f aca="false">IF(Z$8=1,IF(Reales!$C$36="PYG",IF(Z$10&gt;0,N(Reales!Z36)/Z$10,0),N(Reales!Z36)),Z$162*INDEX(Precio_V,12)*INDEX(IdxPrecio_V,1,MIN(10,Z$147))*(1+V_dPrecio))</f>
        <v>0</v>
      </c>
      <c r="AA174" s="34" t="n">
        <f aca="false">IF(AA$8=1,IF(Reales!$C$36="PYG",IF(AA$10&gt;0,N(Reales!AA36)/AA$10,0),N(Reales!AA36)),AA$162*INDEX(Precio_V,12)*INDEX(IdxPrecio_V,1,MIN(10,AA$147))*(1+V_dPrecio))</f>
        <v>0</v>
      </c>
      <c r="AB174" s="34" t="n">
        <f aca="false">IF(AB$8=1,IF(Reales!$C$36="PYG",IF(AB$10&gt;0,N(Reales!AB36)/AB$10,0),N(Reales!AB36)),AB$162*INDEX(Precio_V,12)*INDEX(IdxPrecio_V,1,MIN(10,AB$147))*(1+V_dPrecio))</f>
        <v>0</v>
      </c>
      <c r="AC174" s="34" t="n">
        <f aca="false">IF(AC$8=1,IF(Reales!$C$36="PYG",IF(AC$10&gt;0,N(Reales!AC36)/AC$10,0),N(Reales!AC36)),AC$162*INDEX(Precio_V,12)*INDEX(IdxPrecio_V,1,MIN(10,AC$147))*(1+V_dPrecio))</f>
        <v>0</v>
      </c>
      <c r="AD174" s="34" t="n">
        <f aca="false">IF(AD$8=1,IF(Reales!$C$36="PYG",IF(AD$10&gt;0,N(Reales!AD36)/AD$10,0),N(Reales!AD36)),AD$162*INDEX(Precio_V,12)*INDEX(IdxPrecio_V,1,MIN(10,AD$147))*(1+V_dPrecio))</f>
        <v>0</v>
      </c>
      <c r="AE174" s="34" t="n">
        <f aca="false">IF(AE$8=1,IF(Reales!$C$36="PYG",IF(AE$10&gt;0,N(Reales!AE36)/AE$10,0),N(Reales!AE36)),AE$162*INDEX(Precio_V,12)*INDEX(IdxPrecio_V,1,MIN(10,AE$147))*(1+V_dPrecio))</f>
        <v>0</v>
      </c>
      <c r="AF174" s="34" t="n">
        <f aca="false">IF(AF$8=1,IF(Reales!$C$36="PYG",IF(AF$10&gt;0,N(Reales!AF36)/AF$10,0),N(Reales!AF36)),AF$162*INDEX(Precio_V,12)*INDEX(IdxPrecio_V,1,MIN(10,AF$147))*(1+V_dPrecio))</f>
        <v>0</v>
      </c>
      <c r="AG174" s="34" t="n">
        <f aca="false">IF(AG$8=1,IF(Reales!$C$36="PYG",IF(AG$10&gt;0,N(Reales!AG36)/AG$10,0),N(Reales!AG36)),AG$162*INDEX(Precio_V,12)*INDEX(IdxPrecio_V,1,MIN(10,AG$147))*(1+V_dPrecio))</f>
        <v>0</v>
      </c>
      <c r="AH174" s="34" t="n">
        <f aca="false">IF(AH$8=1,IF(Reales!$C$36="PYG",IF(AH$10&gt;0,N(Reales!AH36)/AH$10,0),N(Reales!AH36)),AH$162*INDEX(Precio_V,12)*INDEX(IdxPrecio_V,1,MIN(10,AH$147))*(1+V_dPrecio))</f>
        <v>0</v>
      </c>
      <c r="AI174" s="34" t="n">
        <f aca="false">IF(AI$8=1,IF(Reales!$C$36="PYG",IF(AI$10&gt;0,N(Reales!AI36)/AI$10,0),N(Reales!AI36)),AI$162*INDEX(Precio_V,12)*INDEX(IdxPrecio_V,1,MIN(10,AI$147))*(1+V_dPrecio))</f>
        <v>0</v>
      </c>
      <c r="AJ174" s="34" t="n">
        <f aca="false">IF(AJ$8=1,IF(Reales!$C$36="PYG",IF(AJ$10&gt;0,N(Reales!AJ36)/AJ$10,0),N(Reales!AJ36)),AJ$162*INDEX(Precio_V,12)*INDEX(IdxPrecio_V,1,MIN(10,AJ$147))*(1+V_dPrecio))</f>
        <v>0</v>
      </c>
      <c r="AK174" s="34" t="n">
        <f aca="false">IF(AK$8=1,IF(Reales!$C$36="PYG",IF(AK$10&gt;0,N(Reales!AK36)/AK$10,0),N(Reales!AK36)),AK$162*INDEX(Precio_V,12)*INDEX(IdxPrecio_V,1,MIN(10,AK$147))*(1+V_dPrecio))</f>
        <v>0</v>
      </c>
      <c r="AL174" s="34" t="n">
        <f aca="false">IF(AL$8=1,IF(Reales!$C$36="PYG",IF(AL$10&gt;0,N(Reales!AL36)/AL$10,0),N(Reales!AL36)),AL$162*INDEX(Precio_V,12)*INDEX(IdxPrecio_V,1,MIN(10,AL$147))*(1+V_dPrecio))</f>
        <v>0</v>
      </c>
      <c r="AM174" s="34" t="n">
        <f aca="false">IF(AM$8=1,IF(Reales!$C$36="PYG",IF(AM$10&gt;0,N(Reales!AM36)/AM$10,0),N(Reales!AM36)),AM$162*INDEX(Precio_V,12)*INDEX(IdxPrecio_V,1,MIN(10,AM$147))*(1+V_dPrecio))</f>
        <v>0</v>
      </c>
      <c r="AN174" s="34" t="n">
        <f aca="false">IF(AN$8=1,IF(Reales!$C$36="PYG",IF(AN$10&gt;0,N(Reales!AN36)/AN$10,0),N(Reales!AN36)),AN$162*INDEX(Precio_V,12)*INDEX(IdxPrecio_V,1,MIN(10,AN$147))*(1+V_dPrecio))</f>
        <v>0</v>
      </c>
      <c r="AO174" s="34" t="n">
        <f aca="false">IF(AO$8=1,IF(Reales!$C$36="PYG",IF(AO$10&gt;0,N(Reales!AO36)/AO$10,0),N(Reales!AO36)),AO$162*INDEX(Precio_V,12)*INDEX(IdxPrecio_V,1,MIN(10,AO$147))*(1+V_dPrecio))</f>
        <v>0</v>
      </c>
      <c r="AP174" s="34" t="n">
        <f aca="false">IF(AP$8=1,IF(Reales!$C$36="PYG",IF(AP$10&gt;0,N(Reales!AP36)/AP$10,0),N(Reales!AP36)),AP$162*INDEX(Precio_V,12)*INDEX(IdxPrecio_V,1,MIN(10,AP$147))*(1+V_dPrecio))</f>
        <v>0</v>
      </c>
      <c r="AQ174" s="34" t="n">
        <f aca="false">IF(AQ$8=1,IF(Reales!$C$36="PYG",IF(AQ$10&gt;0,N(Reales!AQ36)/AQ$10,0),N(Reales!AQ36)),AQ$162*INDEX(Precio_V,12)*INDEX(IdxPrecio_V,1,MIN(10,AQ$147))*(1+V_dPrecio))</f>
        <v>0</v>
      </c>
      <c r="AR174" s="34" t="n">
        <f aca="false">IF(AR$8=1,IF(Reales!$C$36="PYG",IF(AR$10&gt;0,N(Reales!AR36)/AR$10,0),N(Reales!AR36)),AR$162*INDEX(Precio_V,12)*INDEX(IdxPrecio_V,1,MIN(10,AR$147))*(1+V_dPrecio))</f>
        <v>0</v>
      </c>
      <c r="AS174" s="34" t="n">
        <f aca="false">IF(AS$8=1,IF(Reales!$C$36="PYG",IF(AS$10&gt;0,N(Reales!AS36)/AS$10,0),N(Reales!AS36)),AS$162*INDEX(Precio_V,12)*INDEX(IdxPrecio_V,1,MIN(10,AS$147))*(1+V_dPrecio))</f>
        <v>0</v>
      </c>
      <c r="AT174" s="34" t="n">
        <f aca="false">IF(AT$8=1,IF(Reales!$C$36="PYG",IF(AT$10&gt;0,N(Reales!AT36)/AT$10,0),N(Reales!AT36)),AT$162*INDEX(Precio_V,12)*INDEX(IdxPrecio_V,1,MIN(10,AT$147))*(1+V_dPrecio))</f>
        <v>0</v>
      </c>
      <c r="AU174" s="34" t="n">
        <f aca="false">IF(AU$8=1,IF(Reales!$C$36="PYG",IF(AU$10&gt;0,N(Reales!AU36)/AU$10,0),N(Reales!AU36)),AU$162*INDEX(Precio_V,12)*INDEX(IdxPrecio_V,1,MIN(10,AU$147))*(1+V_dPrecio))</f>
        <v>0</v>
      </c>
      <c r="AV174" s="34" t="n">
        <f aca="false">IF(AV$8=1,IF(Reales!$C$36="PYG",IF(AV$10&gt;0,N(Reales!AV36)/AV$10,0),N(Reales!AV36)),AV$162*INDEX(Precio_V,12)*INDEX(IdxPrecio_V,1,MIN(10,AV$147))*(1+V_dPrecio))</f>
        <v>0</v>
      </c>
      <c r="AW174" s="34" t="n">
        <f aca="false">IF(AW$8=1,IF(Reales!$C$36="PYG",IF(AW$10&gt;0,N(Reales!AW36)/AW$10,0),N(Reales!AW36)),AW$162*INDEX(Precio_V,12)*INDEX(IdxPrecio_V,1,MIN(10,AW$147))*(1+V_dPrecio))</f>
        <v>0</v>
      </c>
      <c r="AX174" s="34" t="n">
        <f aca="false">IF(AX$8=1,IF(Reales!$C$36="PYG",IF(AX$10&gt;0,N(Reales!AX36)/AX$10,0),N(Reales!AX36)),AX$162*INDEX(Precio_V,12)*INDEX(IdxPrecio_V,1,MIN(10,AX$147))*(1+V_dPrecio))</f>
        <v>0</v>
      </c>
      <c r="AY174" s="34" t="n">
        <f aca="false">IF(AY$8=1,IF(Reales!$C$36="PYG",IF(AY$10&gt;0,N(Reales!AY36)/AY$10,0),N(Reales!AY36)),AY$162*INDEX(Precio_V,12)*INDEX(IdxPrecio_V,1,MIN(10,AY$147))*(1+V_dPrecio))</f>
        <v>0</v>
      </c>
      <c r="AZ174" s="34" t="n">
        <f aca="false">IF(AZ$8=1,IF(Reales!$C$36="PYG",IF(AZ$10&gt;0,N(Reales!AZ36)/AZ$10,0),N(Reales!AZ36)),AZ$162*INDEX(Precio_V,12)*INDEX(IdxPrecio_V,1,MIN(10,AZ$147))*(1+V_dPrecio))</f>
        <v>0</v>
      </c>
      <c r="BA174" s="34" t="n">
        <f aca="false">IF(BA$8=1,IF(Reales!$C$36="PYG",IF(BA$10&gt;0,N(Reales!BA36)/BA$10,0),N(Reales!BA36)),BA$162*INDEX(Precio_V,12)*INDEX(IdxPrecio_V,1,MIN(10,BA$147))*(1+V_dPrecio))</f>
        <v>0</v>
      </c>
      <c r="BB174" s="34" t="n">
        <f aca="false">IF(BB$8=1,IF(Reales!$C$36="PYG",IF(BB$10&gt;0,N(Reales!BB36)/BB$10,0),N(Reales!BB36)),BB$162*INDEX(Precio_V,12)*INDEX(IdxPrecio_V,1,MIN(10,BB$147))*(1+V_dPrecio))</f>
        <v>0</v>
      </c>
      <c r="BC174" s="34" t="n">
        <f aca="false">IF(BC$8=1,IF(Reales!$C$36="PYG",IF(BC$10&gt;0,N(Reales!BC36)/BC$10,0),N(Reales!BC36)),BC$162*INDEX(Precio_V,12)*INDEX(IdxPrecio_V,1,MIN(10,BC$147))*(1+V_dPrecio))</f>
        <v>0</v>
      </c>
      <c r="BD174" s="34" t="n">
        <f aca="false">IF(BD$8=1,IF(Reales!$C$36="PYG",IF(BD$10&gt;0,N(Reales!BD36)/BD$10,0),N(Reales!BD36)),BD$162*INDEX(Precio_V,12)*INDEX(IdxPrecio_V,1,MIN(10,BD$147))*(1+V_dPrecio))</f>
        <v>0</v>
      </c>
      <c r="BE174" s="34" t="n">
        <f aca="false">IF(BE$8=1,IF(Reales!$C$36="PYG",IF(BE$10&gt;0,N(Reales!BE36)/BE$10,0),N(Reales!BE36)),BE$162*INDEX(Precio_V,12)*INDEX(IdxPrecio_V,1,MIN(10,BE$147))*(1+V_dPrecio))</f>
        <v>0</v>
      </c>
      <c r="BF174" s="34" t="n">
        <f aca="false">IF(BF$8=1,IF(Reales!$C$36="PYG",IF(BF$10&gt;0,N(Reales!BF36)/BF$10,0),N(Reales!BF36)),BF$162*INDEX(Precio_V,12)*INDEX(IdxPrecio_V,1,MIN(10,BF$147))*(1+V_dPrecio))</f>
        <v>0</v>
      </c>
      <c r="BG174" s="34" t="n">
        <f aca="false">IF(BG$8=1,IF(Reales!$C$36="PYG",IF(BG$10&gt;0,N(Reales!BG36)/BG$10,0),N(Reales!BG36)),BG$162*INDEX(Precio_V,12)*INDEX(IdxPrecio_V,1,MIN(10,BG$147))*(1+V_dPrecio))</f>
        <v>0</v>
      </c>
      <c r="BH174" s="34" t="n">
        <f aca="false">IF(BH$8=1,IF(Reales!$C$36="PYG",IF(BH$10&gt;0,N(Reales!BH36)/BH$10,0),N(Reales!BH36)),BH$162*INDEX(Precio_V,12)*INDEX(IdxPrecio_V,1,MIN(10,BH$147))*(1+V_dPrecio))</f>
        <v>0</v>
      </c>
      <c r="BI174" s="34" t="n">
        <f aca="false">IF(BI$8=1,IF(Reales!$C$36="PYG",IF(BI$10&gt;0,N(Reales!BI36)/BI$10,0),N(Reales!BI36)),BI$162*INDEX(Precio_V,12)*INDEX(IdxPrecio_V,1,MIN(10,BI$147))*(1+V_dPrecio))</f>
        <v>0</v>
      </c>
      <c r="BJ174" s="34" t="n">
        <f aca="false">IF(BJ$8=1,IF(Reales!$C$36="PYG",IF(BJ$10&gt;0,N(Reales!BJ36)/BJ$10,0),N(Reales!BJ36)),BJ$162*INDEX(Precio_V,12)*INDEX(IdxPrecio_V,1,MIN(10,BJ$147))*(1+V_dPrecio))</f>
        <v>0</v>
      </c>
      <c r="BK174" s="34" t="n">
        <f aca="false">IF(BK$8=1,IF(Reales!$C$36="PYG",IF(BK$10&gt;0,N(Reales!BK36)/BK$10,0),N(Reales!BK36)),BK$162*INDEX(Precio_V,12)*INDEX(IdxPrecio_V,1,MIN(10,BK$147))*(1+V_dPrecio))</f>
        <v>0</v>
      </c>
      <c r="BL174" s="34" t="n">
        <f aca="false">IF(BL$8=1,IF(Reales!$C$36="PYG",IF(BL$10&gt;0,N(Reales!BL36)/BL$10,0),N(Reales!BL36)),BL$162*INDEX(Precio_V,12)*INDEX(IdxPrecio_V,1,MIN(10,BL$147))*(1+V_dPrecio))</f>
        <v>0</v>
      </c>
      <c r="BM174" s="34" t="n">
        <f aca="false">IF(BM$8=1,IF(Reales!$C$36="PYG",IF(BM$10&gt;0,N(Reales!BM36)/BM$10,0),N(Reales!BM36)),BM$162*INDEX(Precio_V,12)*INDEX(IdxPrecio_V,1,MIN(10,BM$147))*(1+V_dPrecio))</f>
        <v>0</v>
      </c>
      <c r="BN174" s="34" t="n">
        <f aca="false">IF(BN$8=1,IF(Reales!$C$36="PYG",IF(BN$10&gt;0,N(Reales!BN36)/BN$10,0),N(Reales!BN36)),BN$162*INDEX(Precio_V,12)*INDEX(IdxPrecio_V,1,MIN(10,BN$147))*(1+V_dPrecio))</f>
        <v>0</v>
      </c>
      <c r="BO174" s="34" t="n">
        <f aca="false">IF(BO$8=1,IF(Reales!$C$36="PYG",IF(BO$10&gt;0,N(Reales!BO36)/BO$10,0),N(Reales!BO36)),BO$162*INDEX(Precio_V,12)*INDEX(IdxPrecio_V,1,MIN(10,BO$147))*(1+V_dPrecio))</f>
        <v>0</v>
      </c>
      <c r="BP174" s="34" t="n">
        <f aca="false">IF(BP$8=1,IF(Reales!$C$36="PYG",IF(BP$10&gt;0,N(Reales!BP36)/BP$10,0),N(Reales!BP36)),BP$162*INDEX(Precio_V,12)*INDEX(IdxPrecio_V,1,MIN(10,BP$147))*(1+V_dPrecio))</f>
        <v>0</v>
      </c>
      <c r="BQ174" s="34" t="n">
        <f aca="false">IF(BQ$8=1,IF(Reales!$C$36="PYG",IF(BQ$10&gt;0,N(Reales!BQ36)/BQ$10,0),N(Reales!BQ36)),BQ$162*INDEX(Precio_V,12)*INDEX(IdxPrecio_V,1,MIN(10,BQ$147))*(1+V_dPrecio))</f>
        <v>0</v>
      </c>
      <c r="BR174" s="34" t="n">
        <f aca="false">IF(BR$8=1,IF(Reales!$C$36="PYG",IF(BR$10&gt;0,N(Reales!BR36)/BR$10,0),N(Reales!BR36)),BR$162*INDEX(Precio_V,12)*INDEX(IdxPrecio_V,1,MIN(10,BR$147))*(1+V_dPrecio))</f>
        <v>0</v>
      </c>
      <c r="BS174" s="34" t="n">
        <f aca="false">IF(BS$8=1,IF(Reales!$C$36="PYG",IF(BS$10&gt;0,N(Reales!BS36)/BS$10,0),N(Reales!BS36)),BS$162*INDEX(Precio_V,12)*INDEX(IdxPrecio_V,1,MIN(10,BS$147))*(1+V_dPrecio))</f>
        <v>0</v>
      </c>
      <c r="BT174" s="34" t="n">
        <f aca="false">IF(BT$8=1,IF(Reales!$C$36="PYG",IF(BT$10&gt;0,N(Reales!BT36)/BT$10,0),N(Reales!BT36)),BT$162*INDEX(Precio_V,12)*INDEX(IdxPrecio_V,1,MIN(10,BT$147))*(1+V_dPrecio))</f>
        <v>0</v>
      </c>
      <c r="BU174" s="34" t="n">
        <f aca="false">IF(BU$8=1,IF(Reales!$C$36="PYG",IF(BU$10&gt;0,N(Reales!BU36)/BU$10,0),N(Reales!BU36)),BU$162*INDEX(Precio_V,12)*INDEX(IdxPrecio_V,1,MIN(10,BU$147))*(1+V_dPrecio))</f>
        <v>0</v>
      </c>
      <c r="BV174" s="34" t="n">
        <f aca="false">IF(BV$8=1,IF(Reales!$C$36="PYG",IF(BV$10&gt;0,N(Reales!BV36)/BV$10,0),N(Reales!BV36)),BV$162*INDEX(Precio_V,12)*INDEX(IdxPrecio_V,1,MIN(10,BV$147))*(1+V_dPrecio))</f>
        <v>0</v>
      </c>
      <c r="BW174" s="34" t="n">
        <f aca="false">IF(BW$8=1,IF(Reales!$C$36="PYG",IF(BW$10&gt;0,N(Reales!BW36)/BW$10,0),N(Reales!BW36)),BW$162*INDEX(Precio_V,12)*INDEX(IdxPrecio_V,1,MIN(10,BW$147))*(1+V_dPrecio))</f>
        <v>0</v>
      </c>
      <c r="BX174" s="34" t="n">
        <f aca="false">IF(BX$8=1,IF(Reales!$C$36="PYG",IF(BX$10&gt;0,N(Reales!BX36)/BX$10,0),N(Reales!BX36)),BX$162*INDEX(Precio_V,12)*INDEX(IdxPrecio_V,1,MIN(10,BX$147))*(1+V_dPrecio))</f>
        <v>0</v>
      </c>
      <c r="BY174" s="34" t="n">
        <f aca="false">IF(BY$8=1,IF(Reales!$C$36="PYG",IF(BY$10&gt;0,N(Reales!BY36)/BY$10,0),N(Reales!BY36)),BY$162*INDEX(Precio_V,12)*INDEX(IdxPrecio_V,1,MIN(10,BY$147))*(1+V_dPrecio))</f>
        <v>0</v>
      </c>
      <c r="BZ174" s="34" t="n">
        <f aca="false">IF(BZ$8=1,IF(Reales!$C$36="PYG",IF(BZ$10&gt;0,N(Reales!BZ36)/BZ$10,0),N(Reales!BZ36)),BZ$162*INDEX(Precio_V,12)*INDEX(IdxPrecio_V,1,MIN(10,BZ$147))*(1+V_dPrecio))</f>
        <v>0</v>
      </c>
      <c r="CA174" s="34" t="n">
        <f aca="false">IF(CA$8=1,IF(Reales!$C$36="PYG",IF(CA$10&gt;0,N(Reales!CA36)/CA$10,0),N(Reales!CA36)),CA$162*INDEX(Precio_V,12)*INDEX(IdxPrecio_V,1,MIN(10,CA$147))*(1+V_dPrecio))</f>
        <v>0</v>
      </c>
      <c r="CB174" s="34" t="n">
        <f aca="false">IF(CB$8=1,IF(Reales!$C$36="PYG",IF(CB$10&gt;0,N(Reales!CB36)/CB$10,0),N(Reales!CB36)),CB$162*INDEX(Precio_V,12)*INDEX(IdxPrecio_V,1,MIN(10,CB$147))*(1+V_dPrecio))</f>
        <v>0</v>
      </c>
      <c r="CC174" s="34" t="n">
        <f aca="false">IF(CC$8=1,IF(Reales!$C$36="PYG",IF(CC$10&gt;0,N(Reales!CC36)/CC$10,0),N(Reales!CC36)),CC$162*INDEX(Precio_V,12)*INDEX(IdxPrecio_V,1,MIN(10,CC$147))*(1+V_dPrecio))</f>
        <v>0</v>
      </c>
      <c r="CD174" s="34" t="n">
        <f aca="false">IF(CD$8=1,IF(Reales!$C$36="PYG",IF(CD$10&gt;0,N(Reales!CD36)/CD$10,0),N(Reales!CD36)),CD$162*INDEX(Precio_V,12)*INDEX(IdxPrecio_V,1,MIN(10,CD$147))*(1+V_dPrecio))</f>
        <v>0</v>
      </c>
      <c r="CE174" s="34" t="n">
        <f aca="false">IF(CE$8=1,IF(Reales!$C$36="PYG",IF(CE$10&gt;0,N(Reales!CE36)/CE$10,0),N(Reales!CE36)),CE$162*INDEX(Precio_V,12)*INDEX(IdxPrecio_V,1,MIN(10,CE$147))*(1+V_dPrecio))</f>
        <v>0</v>
      </c>
      <c r="CF174" s="34" t="n">
        <f aca="false">IF(CF$8=1,IF(Reales!$C$36="PYG",IF(CF$10&gt;0,N(Reales!CF36)/CF$10,0),N(Reales!CF36)),CF$162*INDEX(Precio_V,12)*INDEX(IdxPrecio_V,1,MIN(10,CF$147))*(1+V_dPrecio))</f>
        <v>0</v>
      </c>
      <c r="CG174" s="34" t="n">
        <f aca="false">IF(CG$8=1,IF(Reales!$C$36="PYG",IF(CG$10&gt;0,N(Reales!CG36)/CG$10,0),N(Reales!CG36)),CG$162*INDEX(Precio_V,12)*INDEX(IdxPrecio_V,1,MIN(10,CG$147))*(1+V_dPrecio))</f>
        <v>0</v>
      </c>
      <c r="CH174" s="34" t="n">
        <f aca="false">IF(CH$8=1,IF(Reales!$C$36="PYG",IF(CH$10&gt;0,N(Reales!CH36)/CH$10,0),N(Reales!CH36)),CH$162*INDEX(Precio_V,12)*INDEX(IdxPrecio_V,1,MIN(10,CH$147))*(1+V_dPrecio))</f>
        <v>0</v>
      </c>
      <c r="CI174" s="34" t="n">
        <f aca="false">IF(CI$8=1,IF(Reales!$C$36="PYG",IF(CI$10&gt;0,N(Reales!CI36)/CI$10,0),N(Reales!CI36)),CI$162*INDEX(Precio_V,12)*INDEX(IdxPrecio_V,1,MIN(10,CI$147))*(1+V_dPrecio))</f>
        <v>0</v>
      </c>
      <c r="CJ174" s="34" t="n">
        <f aca="false">IF(CJ$8=1,IF(Reales!$C$36="PYG",IF(CJ$10&gt;0,N(Reales!CJ36)/CJ$10,0),N(Reales!CJ36)),CJ$162*INDEX(Precio_V,12)*INDEX(IdxPrecio_V,1,MIN(10,CJ$147))*(1+V_dPrecio))</f>
        <v>0</v>
      </c>
      <c r="CK174" s="34" t="n">
        <f aca="false">IF(CK$8=1,IF(Reales!$C$36="PYG",IF(CK$10&gt;0,N(Reales!CK36)/CK$10,0),N(Reales!CK36)),CK$162*INDEX(Precio_V,12)*INDEX(IdxPrecio_V,1,MIN(10,CK$147))*(1+V_dPrecio))</f>
        <v>0</v>
      </c>
      <c r="CL174" s="34" t="n">
        <f aca="false">IF(CL$8=1,IF(Reales!$C$36="PYG",IF(CL$10&gt;0,N(Reales!CL36)/CL$10,0),N(Reales!CL36)),CL$162*INDEX(Precio_V,12)*INDEX(IdxPrecio_V,1,MIN(10,CL$147))*(1+V_dPrecio))</f>
        <v>0</v>
      </c>
      <c r="CM174" s="34" t="n">
        <f aca="false">IF(CM$8=1,IF(Reales!$C$36="PYG",IF(CM$10&gt;0,N(Reales!CM36)/CM$10,0),N(Reales!CM36)),CM$162*INDEX(Precio_V,12)*INDEX(IdxPrecio_V,1,MIN(10,CM$147))*(1+V_dPrecio))</f>
        <v>0</v>
      </c>
      <c r="CN174" s="34" t="n">
        <f aca="false">IF(CN$8=1,IF(Reales!$C$36="PYG",IF(CN$10&gt;0,N(Reales!CN36)/CN$10,0),N(Reales!CN36)),CN$162*INDEX(Precio_V,12)*INDEX(IdxPrecio_V,1,MIN(10,CN$147))*(1+V_dPrecio))</f>
        <v>0</v>
      </c>
      <c r="CO174" s="34" t="n">
        <f aca="false">IF(CO$8=1,IF(Reales!$C$36="PYG",IF(CO$10&gt;0,N(Reales!CO36)/CO$10,0),N(Reales!CO36)),CO$162*INDEX(Precio_V,12)*INDEX(IdxPrecio_V,1,MIN(10,CO$147))*(1+V_dPrecio))</f>
        <v>0</v>
      </c>
      <c r="CP174" s="34" t="n">
        <f aca="false">IF(CP$8=1,IF(Reales!$C$36="PYG",IF(CP$10&gt;0,N(Reales!CP36)/CP$10,0),N(Reales!CP36)),CP$162*INDEX(Precio_V,12)*INDEX(IdxPrecio_V,1,MIN(10,CP$147))*(1+V_dPrecio))</f>
        <v>0</v>
      </c>
      <c r="CQ174" s="34" t="n">
        <f aca="false">IF(CQ$8=1,IF(Reales!$C$36="PYG",IF(CQ$10&gt;0,N(Reales!CQ36)/CQ$10,0),N(Reales!CQ36)),CQ$162*INDEX(Precio_V,12)*INDEX(IdxPrecio_V,1,MIN(10,CQ$147))*(1+V_dPrecio))</f>
        <v>0</v>
      </c>
      <c r="CR174" s="34" t="n">
        <f aca="false">IF(CR$8=1,IF(Reales!$C$36="PYG",IF(CR$10&gt;0,N(Reales!CR36)/CR$10,0),N(Reales!CR36)),CR$162*INDEX(Precio_V,12)*INDEX(IdxPrecio_V,1,MIN(10,CR$147))*(1+V_dPrecio))</f>
        <v>0</v>
      </c>
      <c r="CS174" s="34" t="n">
        <f aca="false">IF(CS$8=1,IF(Reales!$C$36="PYG",IF(CS$10&gt;0,N(Reales!CS36)/CS$10,0),N(Reales!CS36)),CS$162*INDEX(Precio_V,12)*INDEX(IdxPrecio_V,1,MIN(10,CS$147))*(1+V_dPrecio))</f>
        <v>0</v>
      </c>
      <c r="CT174" s="34" t="n">
        <f aca="false">IF(CT$8=1,IF(Reales!$C$36="PYG",IF(CT$10&gt;0,N(Reales!CT36)/CT$10,0),N(Reales!CT36)),CT$162*INDEX(Precio_V,12)*INDEX(IdxPrecio_V,1,MIN(10,CT$147))*(1+V_dPrecio))</f>
        <v>0</v>
      </c>
      <c r="CU174" s="34" t="n">
        <f aca="false">IF(CU$8=1,IF(Reales!$C$36="PYG",IF(CU$10&gt;0,N(Reales!CU36)/CU$10,0),N(Reales!CU36)),CU$162*INDEX(Precio_V,12)*INDEX(IdxPrecio_V,1,MIN(10,CU$147))*(1+V_dPrecio))</f>
        <v>0</v>
      </c>
      <c r="CV174" s="34" t="n">
        <f aca="false">IF(CV$8=1,IF(Reales!$C$36="PYG",IF(CV$10&gt;0,N(Reales!CV36)/CV$10,0),N(Reales!CV36)),CV$162*INDEX(Precio_V,12)*INDEX(IdxPrecio_V,1,MIN(10,CV$147))*(1+V_dPrecio))</f>
        <v>0</v>
      </c>
      <c r="CW174" s="34" t="n">
        <f aca="false">IF(CW$8=1,IF(Reales!$C$36="PYG",IF(CW$10&gt;0,N(Reales!CW36)/CW$10,0),N(Reales!CW36)),CW$162*INDEX(Precio_V,12)*INDEX(IdxPrecio_V,1,MIN(10,CW$147))*(1+V_dPrecio))</f>
        <v>0</v>
      </c>
      <c r="CX174" s="34" t="n">
        <f aca="false">IF(CX$8=1,IF(Reales!$C$36="PYG",IF(CX$10&gt;0,N(Reales!CX36)/CX$10,0),N(Reales!CX36)),CX$162*INDEX(Precio_V,12)*INDEX(IdxPrecio_V,1,MIN(10,CX$147))*(1+V_dPrecio))</f>
        <v>0</v>
      </c>
      <c r="CY174" s="34" t="n">
        <f aca="false">IF(CY$8=1,IF(Reales!$C$36="PYG",IF(CY$10&gt;0,N(Reales!CY36)/CY$10,0),N(Reales!CY36)),CY$162*INDEX(Precio_V,12)*INDEX(IdxPrecio_V,1,MIN(10,CY$147))*(1+V_dPrecio))</f>
        <v>0</v>
      </c>
      <c r="CZ174" s="34" t="n">
        <f aca="false">IF(CZ$8=1,IF(Reales!$C$36="PYG",IF(CZ$10&gt;0,N(Reales!CZ36)/CZ$10,0),N(Reales!CZ36)),CZ$162*INDEX(Precio_V,12)*INDEX(IdxPrecio_V,1,MIN(10,CZ$147))*(1+V_dPrecio))</f>
        <v>0</v>
      </c>
      <c r="DA174" s="34" t="n">
        <f aca="false">IF(DA$8=1,IF(Reales!$C$36="PYG",IF(DA$10&gt;0,N(Reales!DA36)/DA$10,0),N(Reales!DA36)),DA$162*INDEX(Precio_V,12)*INDEX(IdxPrecio_V,1,MIN(10,DA$147))*(1+V_dPrecio))</f>
        <v>0</v>
      </c>
      <c r="DB174" s="34" t="n">
        <f aca="false">IF(DB$8=1,IF(Reales!$C$36="PYG",IF(DB$10&gt;0,N(Reales!DB36)/DB$10,0),N(Reales!DB36)),DB$162*INDEX(Precio_V,12)*INDEX(IdxPrecio_V,1,MIN(10,DB$147))*(1+V_dPrecio))</f>
        <v>0</v>
      </c>
      <c r="DC174" s="34" t="n">
        <f aca="false">IF(DC$8=1,IF(Reales!$C$36="PYG",IF(DC$10&gt;0,N(Reales!DC36)/DC$10,0),N(Reales!DC36)),DC$162*INDEX(Precio_V,12)*INDEX(IdxPrecio_V,1,MIN(10,DC$147))*(1+V_dPrecio))</f>
        <v>0</v>
      </c>
      <c r="DD174" s="34" t="n">
        <f aca="false">IF(DD$8=1,IF(Reales!$C$36="PYG",IF(DD$10&gt;0,N(Reales!DD36)/DD$10,0),N(Reales!DD36)),DD$162*INDEX(Precio_V,12)*INDEX(IdxPrecio_V,1,MIN(10,DD$147))*(1+V_dPrecio))</f>
        <v>0</v>
      </c>
      <c r="DE174" s="34" t="n">
        <f aca="false">IF(DE$8=1,IF(Reales!$C$36="PYG",IF(DE$10&gt;0,N(Reales!DE36)/DE$10,0),N(Reales!DE36)),DE$162*INDEX(Precio_V,12)*INDEX(IdxPrecio_V,1,MIN(10,DE$147))*(1+V_dPrecio))</f>
        <v>0</v>
      </c>
      <c r="DF174" s="34" t="n">
        <f aca="false">IF(DF$8=1,IF(Reales!$C$36="PYG",IF(DF$10&gt;0,N(Reales!DF36)/DF$10,0),N(Reales!DF36)),DF$162*INDEX(Precio_V,12)*INDEX(IdxPrecio_V,1,MIN(10,DF$147))*(1+V_dPrecio))</f>
        <v>0</v>
      </c>
      <c r="DG174" s="34" t="n">
        <f aca="false">IF(DG$8=1,IF(Reales!$C$36="PYG",IF(DG$10&gt;0,N(Reales!DG36)/DG$10,0),N(Reales!DG36)),DG$162*INDEX(Precio_V,12)*INDEX(IdxPrecio_V,1,MIN(10,DG$147))*(1+V_dPrecio))</f>
        <v>0</v>
      </c>
      <c r="DH174" s="34" t="n">
        <f aca="false">IF(DH$8=1,IF(Reales!$C$36="PYG",IF(DH$10&gt;0,N(Reales!DH36)/DH$10,0),N(Reales!DH36)),DH$162*INDEX(Precio_V,12)*INDEX(IdxPrecio_V,1,MIN(10,DH$147))*(1+V_dPrecio))</f>
        <v>0</v>
      </c>
      <c r="DI174" s="34" t="n">
        <f aca="false">IF(DI$8=1,IF(Reales!$C$36="PYG",IF(DI$10&gt;0,N(Reales!DI36)/DI$10,0),N(Reales!DI36)),DI$162*INDEX(Precio_V,12)*INDEX(IdxPrecio_V,1,MIN(10,DI$147))*(1+V_dPrecio))</f>
        <v>0</v>
      </c>
      <c r="DJ174" s="34" t="n">
        <f aca="false">IF(DJ$8=1,IF(Reales!$C$36="PYG",IF(DJ$10&gt;0,N(Reales!DJ36)/DJ$10,0),N(Reales!DJ36)),DJ$162*INDEX(Precio_V,12)*INDEX(IdxPrecio_V,1,MIN(10,DJ$147))*(1+V_dPrecio))</f>
        <v>0</v>
      </c>
      <c r="DK174" s="34" t="n">
        <f aca="false">IF(DK$8=1,IF(Reales!$C$36="PYG",IF(DK$10&gt;0,N(Reales!DK36)/DK$10,0),N(Reales!DK36)),DK$162*INDEX(Precio_V,12)*INDEX(IdxPrecio_V,1,MIN(10,DK$147))*(1+V_dPrecio))</f>
        <v>0</v>
      </c>
      <c r="DL174" s="34" t="n">
        <f aca="false">IF(DL$8=1,IF(Reales!$C$36="PYG",IF(DL$10&gt;0,N(Reales!DL36)/DL$10,0),N(Reales!DL36)),DL$162*INDEX(Precio_V,12)*INDEX(IdxPrecio_V,1,MIN(10,DL$147))*(1+V_dPrecio))</f>
        <v>0</v>
      </c>
      <c r="DM174" s="34" t="n">
        <f aca="false">IF(DM$8=1,IF(Reales!$C$36="PYG",IF(DM$10&gt;0,N(Reales!DM36)/DM$10,0),N(Reales!DM36)),DM$162*INDEX(Precio_V,12)*INDEX(IdxPrecio_V,1,MIN(10,DM$147))*(1+V_dPrecio))</f>
        <v>0</v>
      </c>
      <c r="DN174" s="34" t="n">
        <f aca="false">IF(DN$8=1,IF(Reales!$C$36="PYG",IF(DN$10&gt;0,N(Reales!DN36)/DN$10,0),N(Reales!DN36)),DN$162*INDEX(Precio_V,12)*INDEX(IdxPrecio_V,1,MIN(10,DN$147))*(1+V_dPrecio))</f>
        <v>0</v>
      </c>
      <c r="DO174" s="34" t="n">
        <f aca="false">IF(DO$8=1,IF(Reales!$C$36="PYG",IF(DO$10&gt;0,N(Reales!DO36)/DO$10,0),N(Reales!DO36)),DO$162*INDEX(Precio_V,12)*INDEX(IdxPrecio_V,1,MIN(10,DO$147))*(1+V_dPrecio))</f>
        <v>0</v>
      </c>
      <c r="DP174" s="34" t="n">
        <f aca="false">IF(DP$8=1,IF(Reales!$C$36="PYG",IF(DP$10&gt;0,N(Reales!DP36)/DP$10,0),N(Reales!DP36)),DP$162*INDEX(Precio_V,12)*INDEX(IdxPrecio_V,1,MIN(10,DP$147))*(1+V_dPrecio))</f>
        <v>0</v>
      </c>
      <c r="DQ174" s="34" t="n">
        <f aca="false">IF(DQ$8=1,IF(Reales!$C$36="PYG",IF(DQ$10&gt;0,N(Reales!DQ36)/DQ$10,0),N(Reales!DQ36)),DQ$162*INDEX(Precio_V,12)*INDEX(IdxPrecio_V,1,MIN(10,DQ$147))*(1+V_dPrecio))</f>
        <v>0</v>
      </c>
      <c r="DR174" s="34" t="n">
        <f aca="false">IF(DR$8=1,IF(Reales!$C$36="PYG",IF(DR$10&gt;0,N(Reales!DR36)/DR$10,0),N(Reales!DR36)),DR$162*INDEX(Precio_V,12)*INDEX(IdxPrecio_V,1,MIN(10,DR$147))*(1+V_dPrecio))</f>
        <v>0</v>
      </c>
      <c r="DS174" s="34" t="n">
        <f aca="false">IF(DS$8=1,IF(Reales!$C$36="PYG",IF(DS$10&gt;0,N(Reales!DS36)/DS$10,0),N(Reales!DS36)),DS$162*INDEX(Precio_V,12)*INDEX(IdxPrecio_V,1,MIN(10,DS$147))*(1+V_dPrecio))</f>
        <v>0</v>
      </c>
      <c r="DT174" s="34" t="n">
        <f aca="false">IF(DT$8=1,IF(Reales!$C$36="PYG",IF(DT$10&gt;0,N(Reales!DT36)/DT$10,0),N(Reales!DT36)),DT$162*INDEX(Precio_V,12)*INDEX(IdxPrecio_V,1,MIN(10,DT$147))*(1+V_dPrecio))</f>
        <v>0</v>
      </c>
      <c r="DU174" s="34" t="n">
        <f aca="false">IF(DU$8=1,IF(Reales!$C$36="PYG",IF(DU$10&gt;0,N(Reales!DU36)/DU$10,0),N(Reales!DU36)),DU$162*INDEX(Precio_V,12)*INDEX(IdxPrecio_V,1,MIN(10,DU$147))*(1+V_dPrecio))</f>
        <v>0</v>
      </c>
      <c r="DV174" s="34" t="n">
        <f aca="false">IF(DV$8=1,IF(Reales!$C$36="PYG",IF(DV$10&gt;0,N(Reales!DV36)/DV$10,0),N(Reales!DV36)),DV$162*INDEX(Precio_V,12)*INDEX(IdxPrecio_V,1,MIN(10,DV$147))*(1+V_dPrecio))</f>
        <v>0</v>
      </c>
      <c r="DW174" s="34" t="n">
        <f aca="false">IF(DW$8=1,IF(Reales!$C$36="PYG",IF(DW$10&gt;0,N(Reales!DW36)/DW$10,0),N(Reales!DW36)),DW$162*INDEX(Precio_V,12)*INDEX(IdxPrecio_V,1,MIN(10,DW$147))*(1+V_dPrecio))</f>
        <v>0</v>
      </c>
      <c r="DX174" s="34" t="n">
        <f aca="false">IF(DX$8=1,IF(Reales!$C$36="PYG",IF(DX$10&gt;0,N(Reales!DX36)/DX$10,0),N(Reales!DX36)),DX$162*INDEX(Precio_V,12)*INDEX(IdxPrecio_V,1,MIN(10,DX$147))*(1+V_dPrecio))</f>
        <v>0</v>
      </c>
      <c r="DY174" s="34" t="n">
        <f aca="false">IF(DY$8=1,IF(Reales!$C$36="PYG",IF(DY$10&gt;0,N(Reales!DY36)/DY$10,0),N(Reales!DY36)),DY$162*INDEX(Precio_V,12)*INDEX(IdxPrecio_V,1,MIN(10,DY$147))*(1+V_dPrecio))</f>
        <v>0</v>
      </c>
      <c r="DZ174" s="34" t="n">
        <f aca="false">IF(DZ$8=1,IF(Reales!$C$36="PYG",IF(DZ$10&gt;0,N(Reales!DZ36)/DZ$10,0),N(Reales!DZ36)),DZ$162*INDEX(Precio_V,12)*INDEX(IdxPrecio_V,1,MIN(10,DZ$147))*(1+V_dPrecio))</f>
        <v>0</v>
      </c>
      <c r="EA174" s="34" t="n">
        <f aca="false">IF(EA$8=1,IF(Reales!$C$36="PYG",IF(EA$10&gt;0,N(Reales!EA36)/EA$10,0),N(Reales!EA36)),EA$162*INDEX(Precio_V,12)*INDEX(IdxPrecio_V,1,MIN(10,EA$147))*(1+V_dPrecio))</f>
        <v>0</v>
      </c>
      <c r="EB174" s="34" t="n">
        <f aca="false">IF(EB$8=1,IF(Reales!$C$36="PYG",IF(EB$10&gt;0,N(Reales!EB36)/EB$10,0),N(Reales!EB36)),EB$162*INDEX(Precio_V,12)*INDEX(IdxPrecio_V,1,MIN(10,EB$147))*(1+V_dPrecio))</f>
        <v>0</v>
      </c>
      <c r="EC174" s="34" t="n">
        <f aca="false">IF(EC$8=1,IF(Reales!$C$36="PYG",IF(EC$10&gt;0,N(Reales!EC36)/EC$10,0),N(Reales!EC36)),EC$162*INDEX(Precio_V,12)*INDEX(IdxPrecio_V,1,MIN(10,EC$147))*(1+V_dPrecio))</f>
        <v>0</v>
      </c>
      <c r="ED174" s="34" t="n">
        <f aca="false">IF(ED$8=1,IF(Reales!$C$36="PYG",IF(ED$10&gt;0,N(Reales!ED36)/ED$10,0),N(Reales!ED36)),ED$162*INDEX(Precio_V,12)*INDEX(IdxPrecio_V,1,MIN(10,ED$147))*(1+V_dPrecio))</f>
        <v>0</v>
      </c>
      <c r="EE174" s="34" t="n">
        <f aca="false">IF(EE$8=1,IF(Reales!$C$36="PYG",IF(EE$10&gt;0,N(Reales!EE36)/EE$10,0),N(Reales!EE36)),EE$162*INDEX(Precio_V,12)*INDEX(IdxPrecio_V,1,MIN(10,EE$147))*(1+V_dPrecio))</f>
        <v>0</v>
      </c>
      <c r="EF174" s="34" t="n">
        <f aca="false">IF(EF$8=1,IF(Reales!$C$36="PYG",IF(EF$10&gt;0,N(Reales!EF36)/EF$10,0),N(Reales!EF36)),EF$162*INDEX(Precio_V,12)*INDEX(IdxPrecio_V,1,MIN(10,EF$147))*(1+V_dPrecio))</f>
        <v>0</v>
      </c>
      <c r="EG174" s="34" t="n">
        <f aca="false">IF(EG$8=1,IF(Reales!$C$36="PYG",IF(EG$10&gt;0,N(Reales!EG36)/EG$10,0),N(Reales!EG36)),EG$162*INDEX(Precio_V,12)*INDEX(IdxPrecio_V,1,MIN(10,EG$147))*(1+V_dPrecio))</f>
        <v>0</v>
      </c>
      <c r="EH174" s="34" t="n">
        <f aca="false">IF(EH$8=1,IF(Reales!$C$36="PYG",IF(EH$10&gt;0,N(Reales!EH36)/EH$10,0),N(Reales!EH36)),EH$162*INDEX(Precio_V,12)*INDEX(IdxPrecio_V,1,MIN(10,EH$147))*(1+V_dPrecio))</f>
        <v>0</v>
      </c>
      <c r="EI174" s="34" t="n">
        <f aca="false">IF(EI$8=1,IF(Reales!$C$36="PYG",IF(EI$10&gt;0,N(Reales!EI36)/EI$10,0),N(Reales!EI36)),EI$162*INDEX(Precio_V,12)*INDEX(IdxPrecio_V,1,MIN(10,EI$147))*(1+V_dPrecio))</f>
        <v>0</v>
      </c>
      <c r="EJ174" s="34" t="n">
        <f aca="false">IF(EJ$8=1,IF(Reales!$C$36="PYG",IF(EJ$10&gt;0,N(Reales!EJ36)/EJ$10,0),N(Reales!EJ36)),EJ$162*INDEX(Precio_V,12)*INDEX(IdxPrecio_V,1,MIN(10,EJ$147))*(1+V_dPrecio))</f>
        <v>0</v>
      </c>
      <c r="EK174" s="34" t="n">
        <f aca="false">IF(EK$8=1,IF(Reales!$C$36="PYG",IF(EK$10&gt;0,N(Reales!EK36)/EK$10,0),N(Reales!EK36)),EK$162*INDEX(Precio_V,12)*INDEX(IdxPrecio_V,1,MIN(10,EK$147))*(1+V_dPrecio))</f>
        <v>0</v>
      </c>
      <c r="EL174" s="34" t="n">
        <f aca="false">IF(EL$8=1,IF(Reales!$C$36="PYG",IF(EL$10&gt;0,N(Reales!EL36)/EL$10,0),N(Reales!EL36)),EL$162*INDEX(Precio_V,12)*INDEX(IdxPrecio_V,1,MIN(10,EL$147))*(1+V_dPrecio))</f>
        <v>0</v>
      </c>
      <c r="EM174" s="34" t="n">
        <f aca="false">IF(EM$8=1,IF(Reales!$C$36="PYG",IF(EM$10&gt;0,N(Reales!EM36)/EM$10,0),N(Reales!EM36)),EM$162*INDEX(Precio_V,12)*INDEX(IdxPrecio_V,1,MIN(10,EM$147))*(1+V_dPrecio))</f>
        <v>0</v>
      </c>
      <c r="EN174" s="34" t="n">
        <f aca="false">IF(EN$8=1,IF(Reales!$C$36="PYG",IF(EN$10&gt;0,N(Reales!EN36)/EN$10,0),N(Reales!EN36)),EN$162*INDEX(Precio_V,12)*INDEX(IdxPrecio_V,1,MIN(10,EN$147))*(1+V_dPrecio))</f>
        <v>0</v>
      </c>
      <c r="EO174" s="34" t="n">
        <f aca="false">IF(EO$8=1,IF(Reales!$C$36="PYG",IF(EO$10&gt;0,N(Reales!EO36)/EO$10,0),N(Reales!EO36)),EO$162*INDEX(Precio_V,12)*INDEX(IdxPrecio_V,1,MIN(10,EO$147))*(1+V_dPrecio))</f>
        <v>0</v>
      </c>
      <c r="EP174" s="34" t="n">
        <f aca="false">IF(EP$8=1,IF(Reales!$C$36="PYG",IF(EP$10&gt;0,N(Reales!EP36)/EP$10,0),N(Reales!EP36)),EP$162*INDEX(Precio_V,12)*INDEX(IdxPrecio_V,1,MIN(10,EP$147))*(1+V_dPrecio))</f>
        <v>0</v>
      </c>
      <c r="EQ174" s="34" t="n">
        <f aca="false">IF(EQ$8=1,IF(Reales!$C$36="PYG",IF(EQ$10&gt;0,N(Reales!EQ36)/EQ$10,0),N(Reales!EQ36)),EQ$162*INDEX(Precio_V,12)*INDEX(IdxPrecio_V,1,MIN(10,EQ$147))*(1+V_dPrecio))</f>
        <v>0</v>
      </c>
      <c r="ER174" s="34" t="n">
        <f aca="false">IF(ER$8=1,IF(Reales!$C$36="PYG",IF(ER$10&gt;0,N(Reales!ER36)/ER$10,0),N(Reales!ER36)),ER$162*INDEX(Precio_V,12)*INDEX(IdxPrecio_V,1,MIN(10,ER$147))*(1+V_dPrecio))</f>
        <v>0</v>
      </c>
      <c r="ES174" s="34" t="n">
        <f aca="false">IF(ES$8=1,IF(Reales!$C$36="PYG",IF(ES$10&gt;0,N(Reales!ES36)/ES$10,0),N(Reales!ES36)),ES$162*INDEX(Precio_V,12)*INDEX(IdxPrecio_V,1,MIN(10,ES$147))*(1+V_dPrecio))</f>
        <v>0</v>
      </c>
    </row>
    <row r="175" customFormat="false" ht="15" hidden="false" customHeight="false" outlineLevel="0" collapsed="false">
      <c r="A175" s="2" t="s">
        <v>791</v>
      </c>
      <c r="B175" s="52" t="s">
        <v>583</v>
      </c>
      <c r="C175" s="6" t="s">
        <v>250</v>
      </c>
      <c r="E175" s="40" t="n">
        <f aca="false">SUM(F175:ES175)</f>
        <v>81222447.7216454</v>
      </c>
      <c r="F175" s="10" t="n">
        <f aca="false">F$163+F$164+F$165+F$166+F$167+F$168+F$169+F$170+F$171+F$172+F$173+F$174</f>
        <v>404166.666666667</v>
      </c>
      <c r="G175" s="10" t="n">
        <f aca="false">G$163+G$164+G$165+G$166+G$167+G$168+G$169+G$170+G$171+G$172+G$173+G$174</f>
        <v>404166.666666667</v>
      </c>
      <c r="H175" s="10" t="n">
        <f aca="false">H$163+H$164+H$165+H$166+H$167+H$168+H$169+H$170+H$171+H$172+H$173+H$174</f>
        <v>404166.666666667</v>
      </c>
      <c r="I175" s="10" t="n">
        <f aca="false">I$163+I$164+I$165+I$166+I$167+I$168+I$169+I$170+I$171+I$172+I$173+I$174</f>
        <v>404166.666666667</v>
      </c>
      <c r="J175" s="10" t="n">
        <f aca="false">J$163+J$164+J$165+J$166+J$167+J$168+J$169+J$170+J$171+J$172+J$173+J$174</f>
        <v>404166.666666667</v>
      </c>
      <c r="K175" s="10" t="n">
        <f aca="false">K$163+K$164+K$165+K$166+K$167+K$168+K$169+K$170+K$171+K$172+K$173+K$174</f>
        <v>404166.666666667</v>
      </c>
      <c r="L175" s="10" t="n">
        <f aca="false">L$163+L$164+L$165+L$166+L$167+L$168+L$169+L$170+L$171+L$172+L$173+L$174</f>
        <v>404166.666666667</v>
      </c>
      <c r="M175" s="10" t="n">
        <f aca="false">M$163+M$164+M$165+M$166+M$167+M$168+M$169+M$170+M$171+M$172+M$173+M$174</f>
        <v>404166.666666667</v>
      </c>
      <c r="N175" s="10" t="n">
        <f aca="false">N$163+N$164+N$165+N$166+N$167+N$168+N$169+N$170+N$171+N$172+N$173+N$174</f>
        <v>404166.666666667</v>
      </c>
      <c r="O175" s="10" t="n">
        <f aca="false">O$163+O$164+O$165+O$166+O$167+O$168+O$169+O$170+O$171+O$172+O$173+O$174</f>
        <v>404166.666666667</v>
      </c>
      <c r="P175" s="10" t="n">
        <f aca="false">P$163+P$164+P$165+P$166+P$167+P$168+P$169+P$170+P$171+P$172+P$173+P$174</f>
        <v>404166.666666667</v>
      </c>
      <c r="Q175" s="10" t="n">
        <f aca="false">Q$163+Q$164+Q$165+Q$166+Q$167+Q$168+Q$169+Q$170+Q$171+Q$172+Q$173+Q$174</f>
        <v>404166.666666667</v>
      </c>
      <c r="R175" s="10" t="n">
        <f aca="false">R$163+R$164+R$165+R$166+R$167+R$168+R$169+R$170+R$171+R$172+R$173+R$174</f>
        <v>515100</v>
      </c>
      <c r="S175" s="10" t="n">
        <f aca="false">S$163+S$164+S$165+S$166+S$167+S$168+S$169+S$170+S$171+S$172+S$173+S$174</f>
        <v>515100</v>
      </c>
      <c r="T175" s="10" t="n">
        <f aca="false">T$163+T$164+T$165+T$166+T$167+T$168+T$169+T$170+T$171+T$172+T$173+T$174</f>
        <v>515100</v>
      </c>
      <c r="U175" s="10" t="n">
        <f aca="false">U$163+U$164+U$165+U$166+U$167+U$168+U$169+U$170+U$171+U$172+U$173+U$174</f>
        <v>515100</v>
      </c>
      <c r="V175" s="10" t="n">
        <f aca="false">V$163+V$164+V$165+V$166+V$167+V$168+V$169+V$170+V$171+V$172+V$173+V$174</f>
        <v>515100</v>
      </c>
      <c r="W175" s="10" t="n">
        <f aca="false">W$163+W$164+W$165+W$166+W$167+W$168+W$169+W$170+W$171+W$172+W$173+W$174</f>
        <v>515100</v>
      </c>
      <c r="X175" s="10" t="n">
        <f aca="false">X$163+X$164+X$165+X$166+X$167+X$168+X$169+X$170+X$171+X$172+X$173+X$174</f>
        <v>515100</v>
      </c>
      <c r="Y175" s="10" t="n">
        <f aca="false">Y$163+Y$164+Y$165+Y$166+Y$167+Y$168+Y$169+Y$170+Y$171+Y$172+Y$173+Y$174</f>
        <v>515100</v>
      </c>
      <c r="Z175" s="10" t="n">
        <f aca="false">Z$163+Z$164+Z$165+Z$166+Z$167+Z$168+Z$169+Z$170+Z$171+Z$172+Z$173+Z$174</f>
        <v>515100</v>
      </c>
      <c r="AA175" s="10" t="n">
        <f aca="false">AA$163+AA$164+AA$165+AA$166+AA$167+AA$168+AA$169+AA$170+AA$171+AA$172+AA$173+AA$174</f>
        <v>515100</v>
      </c>
      <c r="AB175" s="10" t="n">
        <f aca="false">AB$163+AB$164+AB$165+AB$166+AB$167+AB$168+AB$169+AB$170+AB$171+AB$172+AB$173+AB$174</f>
        <v>515100</v>
      </c>
      <c r="AC175" s="10" t="n">
        <f aca="false">AC$163+AC$164+AC$165+AC$166+AC$167+AC$168+AC$169+AC$170+AC$171+AC$172+AC$173+AC$174</f>
        <v>515100</v>
      </c>
      <c r="AD175" s="10" t="n">
        <f aca="false">AD$163+AD$164+AD$165+AD$166+AD$167+AD$168+AD$169+AD$170+AD$171+AD$172+AD$173+AD$174</f>
        <v>628211.583333333</v>
      </c>
      <c r="AE175" s="10" t="n">
        <f aca="false">AE$163+AE$164+AE$165+AE$166+AE$167+AE$168+AE$169+AE$170+AE$171+AE$172+AE$173+AE$174</f>
        <v>628211.583333333</v>
      </c>
      <c r="AF175" s="10" t="n">
        <f aca="false">AF$163+AF$164+AF$165+AF$166+AF$167+AF$168+AF$169+AF$170+AF$171+AF$172+AF$173+AF$174</f>
        <v>628211.583333333</v>
      </c>
      <c r="AG175" s="10" t="n">
        <f aca="false">AG$163+AG$164+AG$165+AG$166+AG$167+AG$168+AG$169+AG$170+AG$171+AG$172+AG$173+AG$174</f>
        <v>628211.583333333</v>
      </c>
      <c r="AH175" s="10" t="n">
        <f aca="false">AH$163+AH$164+AH$165+AH$166+AH$167+AH$168+AH$169+AH$170+AH$171+AH$172+AH$173+AH$174</f>
        <v>628211.583333333</v>
      </c>
      <c r="AI175" s="10" t="n">
        <f aca="false">AI$163+AI$164+AI$165+AI$166+AI$167+AI$168+AI$169+AI$170+AI$171+AI$172+AI$173+AI$174</f>
        <v>628211.583333333</v>
      </c>
      <c r="AJ175" s="10" t="n">
        <f aca="false">AJ$163+AJ$164+AJ$165+AJ$166+AJ$167+AJ$168+AJ$169+AJ$170+AJ$171+AJ$172+AJ$173+AJ$174</f>
        <v>628211.583333333</v>
      </c>
      <c r="AK175" s="10" t="n">
        <f aca="false">AK$163+AK$164+AK$165+AK$166+AK$167+AK$168+AK$169+AK$170+AK$171+AK$172+AK$173+AK$174</f>
        <v>628211.583333333</v>
      </c>
      <c r="AL175" s="10" t="n">
        <f aca="false">AL$163+AL$164+AL$165+AL$166+AL$167+AL$168+AL$169+AL$170+AL$171+AL$172+AL$173+AL$174</f>
        <v>628211.583333333</v>
      </c>
      <c r="AM175" s="10" t="n">
        <f aca="false">AM$163+AM$164+AM$165+AM$166+AM$167+AM$168+AM$169+AM$170+AM$171+AM$172+AM$173+AM$174</f>
        <v>628211.583333333</v>
      </c>
      <c r="AN175" s="10" t="n">
        <f aca="false">AN$163+AN$164+AN$165+AN$166+AN$167+AN$168+AN$169+AN$170+AN$171+AN$172+AN$173+AN$174</f>
        <v>628211.583333333</v>
      </c>
      <c r="AO175" s="10" t="n">
        <f aca="false">AO$163+AO$164+AO$165+AO$166+AO$167+AO$168+AO$169+AO$170+AO$171+AO$172+AO$173+AO$174</f>
        <v>628211.583333333</v>
      </c>
      <c r="AP175" s="10" t="n">
        <f aca="false">AP$163+AP$164+AP$165+AP$166+AP$167+AP$168+AP$169+AP$170+AP$171+AP$172+AP$173+AP$174</f>
        <v>723786.4525</v>
      </c>
      <c r="AQ175" s="10" t="n">
        <f aca="false">AQ$163+AQ$164+AQ$165+AQ$166+AQ$167+AQ$168+AQ$169+AQ$170+AQ$171+AQ$172+AQ$173+AQ$174</f>
        <v>723786.4525</v>
      </c>
      <c r="AR175" s="10" t="n">
        <f aca="false">AR$163+AR$164+AR$165+AR$166+AR$167+AR$168+AR$169+AR$170+AR$171+AR$172+AR$173+AR$174</f>
        <v>723786.4525</v>
      </c>
      <c r="AS175" s="10" t="n">
        <f aca="false">AS$163+AS$164+AS$165+AS$166+AS$167+AS$168+AS$169+AS$170+AS$171+AS$172+AS$173+AS$174</f>
        <v>723786.4525</v>
      </c>
      <c r="AT175" s="10" t="n">
        <f aca="false">AT$163+AT$164+AT$165+AT$166+AT$167+AT$168+AT$169+AT$170+AT$171+AT$172+AT$173+AT$174</f>
        <v>723786.4525</v>
      </c>
      <c r="AU175" s="10" t="n">
        <f aca="false">AU$163+AU$164+AU$165+AU$166+AU$167+AU$168+AU$169+AU$170+AU$171+AU$172+AU$173+AU$174</f>
        <v>723786.4525</v>
      </c>
      <c r="AV175" s="10" t="n">
        <f aca="false">AV$163+AV$164+AV$165+AV$166+AV$167+AV$168+AV$169+AV$170+AV$171+AV$172+AV$173+AV$174</f>
        <v>723786.4525</v>
      </c>
      <c r="AW175" s="10" t="n">
        <f aca="false">AW$163+AW$164+AW$165+AW$166+AW$167+AW$168+AW$169+AW$170+AW$171+AW$172+AW$173+AW$174</f>
        <v>723786.4525</v>
      </c>
      <c r="AX175" s="10" t="n">
        <f aca="false">AX$163+AX$164+AX$165+AX$166+AX$167+AX$168+AX$169+AX$170+AX$171+AX$172+AX$173+AX$174</f>
        <v>723786.4525</v>
      </c>
      <c r="AY175" s="10" t="n">
        <f aca="false">AY$163+AY$164+AY$165+AY$166+AY$167+AY$168+AY$169+AY$170+AY$171+AY$172+AY$173+AY$174</f>
        <v>723786.4525</v>
      </c>
      <c r="AZ175" s="10" t="n">
        <f aca="false">AZ$163+AZ$164+AZ$165+AZ$166+AZ$167+AZ$168+AZ$169+AZ$170+AZ$171+AZ$172+AZ$173+AZ$174</f>
        <v>723786.4525</v>
      </c>
      <c r="BA175" s="10" t="n">
        <f aca="false">BA$163+BA$164+BA$165+BA$166+BA$167+BA$168+BA$169+BA$170+BA$171+BA$172+BA$173+BA$174</f>
        <v>723786.4525</v>
      </c>
      <c r="BB175" s="10" t="n">
        <f aca="false">BB$163+BB$164+BB$165+BB$166+BB$167+BB$168+BB$169+BB$170+BB$171+BB$172+BB$173+BB$174</f>
        <v>731024.317025</v>
      </c>
      <c r="BC175" s="10" t="n">
        <f aca="false">BC$163+BC$164+BC$165+BC$166+BC$167+BC$168+BC$169+BC$170+BC$171+BC$172+BC$173+BC$174</f>
        <v>731024.317025</v>
      </c>
      <c r="BD175" s="10" t="n">
        <f aca="false">BD$163+BD$164+BD$165+BD$166+BD$167+BD$168+BD$169+BD$170+BD$171+BD$172+BD$173+BD$174</f>
        <v>731024.317025</v>
      </c>
      <c r="BE175" s="10" t="n">
        <f aca="false">BE$163+BE$164+BE$165+BE$166+BE$167+BE$168+BE$169+BE$170+BE$171+BE$172+BE$173+BE$174</f>
        <v>731024.317025</v>
      </c>
      <c r="BF175" s="10" t="n">
        <f aca="false">BF$163+BF$164+BF$165+BF$166+BF$167+BF$168+BF$169+BF$170+BF$171+BF$172+BF$173+BF$174</f>
        <v>731024.317025</v>
      </c>
      <c r="BG175" s="10" t="n">
        <f aca="false">BG$163+BG$164+BG$165+BG$166+BG$167+BG$168+BG$169+BG$170+BG$171+BG$172+BG$173+BG$174</f>
        <v>731024.317025</v>
      </c>
      <c r="BH175" s="10" t="n">
        <f aca="false">BH$163+BH$164+BH$165+BH$166+BH$167+BH$168+BH$169+BH$170+BH$171+BH$172+BH$173+BH$174</f>
        <v>731024.317025</v>
      </c>
      <c r="BI175" s="10" t="n">
        <f aca="false">BI$163+BI$164+BI$165+BI$166+BI$167+BI$168+BI$169+BI$170+BI$171+BI$172+BI$173+BI$174</f>
        <v>731024.317025</v>
      </c>
      <c r="BJ175" s="10" t="n">
        <f aca="false">BJ$163+BJ$164+BJ$165+BJ$166+BJ$167+BJ$168+BJ$169+BJ$170+BJ$171+BJ$172+BJ$173+BJ$174</f>
        <v>731024.317025</v>
      </c>
      <c r="BK175" s="10" t="n">
        <f aca="false">BK$163+BK$164+BK$165+BK$166+BK$167+BK$168+BK$169+BK$170+BK$171+BK$172+BK$173+BK$174</f>
        <v>731024.317025</v>
      </c>
      <c r="BL175" s="10" t="n">
        <f aca="false">BL$163+BL$164+BL$165+BL$166+BL$167+BL$168+BL$169+BL$170+BL$171+BL$172+BL$173+BL$174</f>
        <v>731024.317025</v>
      </c>
      <c r="BM175" s="10" t="n">
        <f aca="false">BM$163+BM$164+BM$165+BM$166+BM$167+BM$168+BM$169+BM$170+BM$171+BM$172+BM$173+BM$174</f>
        <v>731024.317025</v>
      </c>
      <c r="BN175" s="10" t="n">
        <f aca="false">BN$163+BN$164+BN$165+BN$166+BN$167+BN$168+BN$169+BN$170+BN$171+BN$172+BN$173+BN$174</f>
        <v>738334.56019525</v>
      </c>
      <c r="BO175" s="10" t="n">
        <f aca="false">BO$163+BO$164+BO$165+BO$166+BO$167+BO$168+BO$169+BO$170+BO$171+BO$172+BO$173+BO$174</f>
        <v>738334.56019525</v>
      </c>
      <c r="BP175" s="10" t="n">
        <f aca="false">BP$163+BP$164+BP$165+BP$166+BP$167+BP$168+BP$169+BP$170+BP$171+BP$172+BP$173+BP$174</f>
        <v>738334.56019525</v>
      </c>
      <c r="BQ175" s="10" t="n">
        <f aca="false">BQ$163+BQ$164+BQ$165+BQ$166+BQ$167+BQ$168+BQ$169+BQ$170+BQ$171+BQ$172+BQ$173+BQ$174</f>
        <v>738334.56019525</v>
      </c>
      <c r="BR175" s="10" t="n">
        <f aca="false">BR$163+BR$164+BR$165+BR$166+BR$167+BR$168+BR$169+BR$170+BR$171+BR$172+BR$173+BR$174</f>
        <v>738334.56019525</v>
      </c>
      <c r="BS175" s="10" t="n">
        <f aca="false">BS$163+BS$164+BS$165+BS$166+BS$167+BS$168+BS$169+BS$170+BS$171+BS$172+BS$173+BS$174</f>
        <v>738334.56019525</v>
      </c>
      <c r="BT175" s="10" t="n">
        <f aca="false">BT$163+BT$164+BT$165+BT$166+BT$167+BT$168+BT$169+BT$170+BT$171+BT$172+BT$173+BT$174</f>
        <v>738334.56019525</v>
      </c>
      <c r="BU175" s="10" t="n">
        <f aca="false">BU$163+BU$164+BU$165+BU$166+BU$167+BU$168+BU$169+BU$170+BU$171+BU$172+BU$173+BU$174</f>
        <v>738334.56019525</v>
      </c>
      <c r="BV175" s="10" t="n">
        <f aca="false">BV$163+BV$164+BV$165+BV$166+BV$167+BV$168+BV$169+BV$170+BV$171+BV$172+BV$173+BV$174</f>
        <v>738334.56019525</v>
      </c>
      <c r="BW175" s="10" t="n">
        <f aca="false">BW$163+BW$164+BW$165+BW$166+BW$167+BW$168+BW$169+BW$170+BW$171+BW$172+BW$173+BW$174</f>
        <v>738334.56019525</v>
      </c>
      <c r="BX175" s="10" t="n">
        <f aca="false">BX$163+BX$164+BX$165+BX$166+BX$167+BX$168+BX$169+BX$170+BX$171+BX$172+BX$173+BX$174</f>
        <v>738334.56019525</v>
      </c>
      <c r="BY175" s="10" t="n">
        <f aca="false">BY$163+BY$164+BY$165+BY$166+BY$167+BY$168+BY$169+BY$170+BY$171+BY$172+BY$173+BY$174</f>
        <v>738334.56019525</v>
      </c>
      <c r="BZ175" s="10" t="n">
        <f aca="false">BZ$163+BZ$164+BZ$165+BZ$166+BZ$167+BZ$168+BZ$169+BZ$170+BZ$171+BZ$172+BZ$173+BZ$174</f>
        <v>745717.905797202</v>
      </c>
      <c r="CA175" s="10" t="n">
        <f aca="false">CA$163+CA$164+CA$165+CA$166+CA$167+CA$168+CA$169+CA$170+CA$171+CA$172+CA$173+CA$174</f>
        <v>745717.905797202</v>
      </c>
      <c r="CB175" s="10" t="n">
        <f aca="false">CB$163+CB$164+CB$165+CB$166+CB$167+CB$168+CB$169+CB$170+CB$171+CB$172+CB$173+CB$174</f>
        <v>745717.905797202</v>
      </c>
      <c r="CC175" s="10" t="n">
        <f aca="false">CC$163+CC$164+CC$165+CC$166+CC$167+CC$168+CC$169+CC$170+CC$171+CC$172+CC$173+CC$174</f>
        <v>745717.905797202</v>
      </c>
      <c r="CD175" s="10" t="n">
        <f aca="false">CD$163+CD$164+CD$165+CD$166+CD$167+CD$168+CD$169+CD$170+CD$171+CD$172+CD$173+CD$174</f>
        <v>745717.905797202</v>
      </c>
      <c r="CE175" s="10" t="n">
        <f aca="false">CE$163+CE$164+CE$165+CE$166+CE$167+CE$168+CE$169+CE$170+CE$171+CE$172+CE$173+CE$174</f>
        <v>745717.905797202</v>
      </c>
      <c r="CF175" s="10" t="n">
        <f aca="false">CF$163+CF$164+CF$165+CF$166+CF$167+CF$168+CF$169+CF$170+CF$171+CF$172+CF$173+CF$174</f>
        <v>745717.905797202</v>
      </c>
      <c r="CG175" s="10" t="n">
        <f aca="false">CG$163+CG$164+CG$165+CG$166+CG$167+CG$168+CG$169+CG$170+CG$171+CG$172+CG$173+CG$174</f>
        <v>745717.905797202</v>
      </c>
      <c r="CH175" s="10" t="n">
        <f aca="false">CH$163+CH$164+CH$165+CH$166+CH$167+CH$168+CH$169+CH$170+CH$171+CH$172+CH$173+CH$174</f>
        <v>745717.905797202</v>
      </c>
      <c r="CI175" s="10" t="n">
        <f aca="false">CI$163+CI$164+CI$165+CI$166+CI$167+CI$168+CI$169+CI$170+CI$171+CI$172+CI$173+CI$174</f>
        <v>745717.905797202</v>
      </c>
      <c r="CJ175" s="10" t="n">
        <f aca="false">CJ$163+CJ$164+CJ$165+CJ$166+CJ$167+CJ$168+CJ$169+CJ$170+CJ$171+CJ$172+CJ$173+CJ$174</f>
        <v>745717.905797202</v>
      </c>
      <c r="CK175" s="10" t="n">
        <f aca="false">CK$163+CK$164+CK$165+CK$166+CK$167+CK$168+CK$169+CK$170+CK$171+CK$172+CK$173+CK$174</f>
        <v>745717.905797202</v>
      </c>
      <c r="CL175" s="10" t="n">
        <f aca="false">CL$163+CL$164+CL$165+CL$166+CL$167+CL$168+CL$169+CL$170+CL$171+CL$172+CL$173+CL$174</f>
        <v>753175.084855174</v>
      </c>
      <c r="CM175" s="10" t="n">
        <f aca="false">CM$163+CM$164+CM$165+CM$166+CM$167+CM$168+CM$169+CM$170+CM$171+CM$172+CM$173+CM$174</f>
        <v>753175.084855174</v>
      </c>
      <c r="CN175" s="10" t="n">
        <f aca="false">CN$163+CN$164+CN$165+CN$166+CN$167+CN$168+CN$169+CN$170+CN$171+CN$172+CN$173+CN$174</f>
        <v>753175.084855174</v>
      </c>
      <c r="CO175" s="10" t="n">
        <f aca="false">CO$163+CO$164+CO$165+CO$166+CO$167+CO$168+CO$169+CO$170+CO$171+CO$172+CO$173+CO$174</f>
        <v>753175.084855174</v>
      </c>
      <c r="CP175" s="10" t="n">
        <f aca="false">CP$163+CP$164+CP$165+CP$166+CP$167+CP$168+CP$169+CP$170+CP$171+CP$172+CP$173+CP$174</f>
        <v>753175.084855174</v>
      </c>
      <c r="CQ175" s="10" t="n">
        <f aca="false">CQ$163+CQ$164+CQ$165+CQ$166+CQ$167+CQ$168+CQ$169+CQ$170+CQ$171+CQ$172+CQ$173+CQ$174</f>
        <v>753175.084855174</v>
      </c>
      <c r="CR175" s="10" t="n">
        <f aca="false">CR$163+CR$164+CR$165+CR$166+CR$167+CR$168+CR$169+CR$170+CR$171+CR$172+CR$173+CR$174</f>
        <v>753175.084855174</v>
      </c>
      <c r="CS175" s="10" t="n">
        <f aca="false">CS$163+CS$164+CS$165+CS$166+CS$167+CS$168+CS$169+CS$170+CS$171+CS$172+CS$173+CS$174</f>
        <v>753175.084855174</v>
      </c>
      <c r="CT175" s="10" t="n">
        <f aca="false">CT$163+CT$164+CT$165+CT$166+CT$167+CT$168+CT$169+CT$170+CT$171+CT$172+CT$173+CT$174</f>
        <v>753175.084855174</v>
      </c>
      <c r="CU175" s="10" t="n">
        <f aca="false">CU$163+CU$164+CU$165+CU$166+CU$167+CU$168+CU$169+CU$170+CU$171+CU$172+CU$173+CU$174</f>
        <v>753175.084855174</v>
      </c>
      <c r="CV175" s="10" t="n">
        <f aca="false">CV$163+CV$164+CV$165+CV$166+CV$167+CV$168+CV$169+CV$170+CV$171+CV$172+CV$173+CV$174</f>
        <v>753175.084855174</v>
      </c>
      <c r="CW175" s="10" t="n">
        <f aca="false">CW$163+CW$164+CW$165+CW$166+CW$167+CW$168+CW$169+CW$170+CW$171+CW$172+CW$173+CW$174</f>
        <v>753175.084855174</v>
      </c>
      <c r="CX175" s="10" t="n">
        <f aca="false">CX$163+CX$164+CX$165+CX$166+CX$167+CX$168+CX$169+CX$170+CX$171+CX$172+CX$173+CX$174</f>
        <v>760706.835703726</v>
      </c>
      <c r="CY175" s="10" t="n">
        <f aca="false">CY$163+CY$164+CY$165+CY$166+CY$167+CY$168+CY$169+CY$170+CY$171+CY$172+CY$173+CY$174</f>
        <v>760706.835703726</v>
      </c>
      <c r="CZ175" s="10" t="n">
        <f aca="false">CZ$163+CZ$164+CZ$165+CZ$166+CZ$167+CZ$168+CZ$169+CZ$170+CZ$171+CZ$172+CZ$173+CZ$174</f>
        <v>760706.835703726</v>
      </c>
      <c r="DA175" s="10" t="n">
        <f aca="false">DA$163+DA$164+DA$165+DA$166+DA$167+DA$168+DA$169+DA$170+DA$171+DA$172+DA$173+DA$174</f>
        <v>760706.835703726</v>
      </c>
      <c r="DB175" s="10" t="n">
        <f aca="false">DB$163+DB$164+DB$165+DB$166+DB$167+DB$168+DB$169+DB$170+DB$171+DB$172+DB$173+DB$174</f>
        <v>760706.835703726</v>
      </c>
      <c r="DC175" s="10" t="n">
        <f aca="false">DC$163+DC$164+DC$165+DC$166+DC$167+DC$168+DC$169+DC$170+DC$171+DC$172+DC$173+DC$174</f>
        <v>760706.835703726</v>
      </c>
      <c r="DD175" s="10" t="n">
        <f aca="false">DD$163+DD$164+DD$165+DD$166+DD$167+DD$168+DD$169+DD$170+DD$171+DD$172+DD$173+DD$174</f>
        <v>760706.835703726</v>
      </c>
      <c r="DE175" s="10" t="n">
        <f aca="false">DE$163+DE$164+DE$165+DE$166+DE$167+DE$168+DE$169+DE$170+DE$171+DE$172+DE$173+DE$174</f>
        <v>760706.835703726</v>
      </c>
      <c r="DF175" s="10" t="n">
        <f aca="false">DF$163+DF$164+DF$165+DF$166+DF$167+DF$168+DF$169+DF$170+DF$171+DF$172+DF$173+DF$174</f>
        <v>760706.835703726</v>
      </c>
      <c r="DG175" s="10" t="n">
        <f aca="false">DG$163+DG$164+DG$165+DG$166+DG$167+DG$168+DG$169+DG$170+DG$171+DG$172+DG$173+DG$174</f>
        <v>760706.835703726</v>
      </c>
      <c r="DH175" s="10" t="n">
        <f aca="false">DH$163+DH$164+DH$165+DH$166+DH$167+DH$168+DH$169+DH$170+DH$171+DH$172+DH$173+DH$174</f>
        <v>760706.835703726</v>
      </c>
      <c r="DI175" s="10" t="n">
        <f aca="false">DI$163+DI$164+DI$165+DI$166+DI$167+DI$168+DI$169+DI$170+DI$171+DI$172+DI$173+DI$174</f>
        <v>760706.835703726</v>
      </c>
      <c r="DJ175" s="10" t="n">
        <f aca="false">DJ$163+DJ$164+DJ$165+DJ$166+DJ$167+DJ$168+DJ$169+DJ$170+DJ$171+DJ$172+DJ$173+DJ$174</f>
        <v>768313.904060764</v>
      </c>
      <c r="DK175" s="10" t="n">
        <f aca="false">DK$163+DK$164+DK$165+DK$166+DK$167+DK$168+DK$169+DK$170+DK$171+DK$172+DK$173+DK$174</f>
        <v>768313.904060764</v>
      </c>
      <c r="DL175" s="10" t="n">
        <f aca="false">DL$163+DL$164+DL$165+DL$166+DL$167+DL$168+DL$169+DL$170+DL$171+DL$172+DL$173+DL$174</f>
        <v>768313.904060764</v>
      </c>
      <c r="DM175" s="10" t="n">
        <f aca="false">DM$163+DM$164+DM$165+DM$166+DM$167+DM$168+DM$169+DM$170+DM$171+DM$172+DM$173+DM$174</f>
        <v>768313.904060764</v>
      </c>
      <c r="DN175" s="10" t="n">
        <f aca="false">DN$163+DN$164+DN$165+DN$166+DN$167+DN$168+DN$169+DN$170+DN$171+DN$172+DN$173+DN$174</f>
        <v>768313.904060764</v>
      </c>
      <c r="DO175" s="10" t="n">
        <f aca="false">DO$163+DO$164+DO$165+DO$166+DO$167+DO$168+DO$169+DO$170+DO$171+DO$172+DO$173+DO$174</f>
        <v>768313.904060764</v>
      </c>
      <c r="DP175" s="10" t="n">
        <f aca="false">DP$163+DP$164+DP$165+DP$166+DP$167+DP$168+DP$169+DP$170+DP$171+DP$172+DP$173+DP$174</f>
        <v>768313.904060764</v>
      </c>
      <c r="DQ175" s="10" t="n">
        <f aca="false">DQ$163+DQ$164+DQ$165+DQ$166+DQ$167+DQ$168+DQ$169+DQ$170+DQ$171+DQ$172+DQ$173+DQ$174</f>
        <v>768313.904060764</v>
      </c>
      <c r="DR175" s="10" t="n">
        <f aca="false">DR$163+DR$164+DR$165+DR$166+DR$167+DR$168+DR$169+DR$170+DR$171+DR$172+DR$173+DR$174</f>
        <v>768313.904060764</v>
      </c>
      <c r="DS175" s="10" t="n">
        <f aca="false">DS$163+DS$164+DS$165+DS$166+DS$167+DS$168+DS$169+DS$170+DS$171+DS$172+DS$173+DS$174</f>
        <v>768313.904060764</v>
      </c>
      <c r="DT175" s="10" t="n">
        <f aca="false">DT$163+DT$164+DT$165+DT$166+DT$167+DT$168+DT$169+DT$170+DT$171+DT$172+DT$173+DT$174</f>
        <v>768313.904060764</v>
      </c>
      <c r="DU175" s="10" t="n">
        <f aca="false">DU$163+DU$164+DU$165+DU$166+DU$167+DU$168+DU$169+DU$170+DU$171+DU$172+DU$173+DU$174</f>
        <v>768313.904060764</v>
      </c>
      <c r="DV175" s="10" t="n">
        <f aca="false">DV$163+DV$164+DV$165+DV$166+DV$167+DV$168+DV$169+DV$170+DV$171+DV$172+DV$173+DV$174</f>
        <v>0</v>
      </c>
      <c r="DW175" s="10" t="n">
        <f aca="false">DW$163+DW$164+DW$165+DW$166+DW$167+DW$168+DW$169+DW$170+DW$171+DW$172+DW$173+DW$174</f>
        <v>0</v>
      </c>
      <c r="DX175" s="10" t="n">
        <f aca="false">DX$163+DX$164+DX$165+DX$166+DX$167+DX$168+DX$169+DX$170+DX$171+DX$172+DX$173+DX$174</f>
        <v>0</v>
      </c>
      <c r="DY175" s="10" t="n">
        <f aca="false">DY$163+DY$164+DY$165+DY$166+DY$167+DY$168+DY$169+DY$170+DY$171+DY$172+DY$173+DY$174</f>
        <v>0</v>
      </c>
      <c r="DZ175" s="10" t="n">
        <f aca="false">DZ$163+DZ$164+DZ$165+DZ$166+DZ$167+DZ$168+DZ$169+DZ$170+DZ$171+DZ$172+DZ$173+DZ$174</f>
        <v>0</v>
      </c>
      <c r="EA175" s="10" t="n">
        <f aca="false">EA$163+EA$164+EA$165+EA$166+EA$167+EA$168+EA$169+EA$170+EA$171+EA$172+EA$173+EA$174</f>
        <v>0</v>
      </c>
      <c r="EB175" s="10" t="n">
        <f aca="false">EB$163+EB$164+EB$165+EB$166+EB$167+EB$168+EB$169+EB$170+EB$171+EB$172+EB$173+EB$174</f>
        <v>0</v>
      </c>
      <c r="EC175" s="10" t="n">
        <f aca="false">EC$163+EC$164+EC$165+EC$166+EC$167+EC$168+EC$169+EC$170+EC$171+EC$172+EC$173+EC$174</f>
        <v>0</v>
      </c>
      <c r="ED175" s="10" t="n">
        <f aca="false">ED$163+ED$164+ED$165+ED$166+ED$167+ED$168+ED$169+ED$170+ED$171+ED$172+ED$173+ED$174</f>
        <v>0</v>
      </c>
      <c r="EE175" s="10" t="n">
        <f aca="false">EE$163+EE$164+EE$165+EE$166+EE$167+EE$168+EE$169+EE$170+EE$171+EE$172+EE$173+EE$174</f>
        <v>0</v>
      </c>
      <c r="EF175" s="10" t="n">
        <f aca="false">EF$163+EF$164+EF$165+EF$166+EF$167+EF$168+EF$169+EF$170+EF$171+EF$172+EF$173+EF$174</f>
        <v>0</v>
      </c>
      <c r="EG175" s="10" t="n">
        <f aca="false">EG$163+EG$164+EG$165+EG$166+EG$167+EG$168+EG$169+EG$170+EG$171+EG$172+EG$173+EG$174</f>
        <v>0</v>
      </c>
      <c r="EH175" s="10" t="n">
        <f aca="false">EH$163+EH$164+EH$165+EH$166+EH$167+EH$168+EH$169+EH$170+EH$171+EH$172+EH$173+EH$174</f>
        <v>0</v>
      </c>
      <c r="EI175" s="10" t="n">
        <f aca="false">EI$163+EI$164+EI$165+EI$166+EI$167+EI$168+EI$169+EI$170+EI$171+EI$172+EI$173+EI$174</f>
        <v>0</v>
      </c>
      <c r="EJ175" s="10" t="n">
        <f aca="false">EJ$163+EJ$164+EJ$165+EJ$166+EJ$167+EJ$168+EJ$169+EJ$170+EJ$171+EJ$172+EJ$173+EJ$174</f>
        <v>0</v>
      </c>
      <c r="EK175" s="10" t="n">
        <f aca="false">EK$163+EK$164+EK$165+EK$166+EK$167+EK$168+EK$169+EK$170+EK$171+EK$172+EK$173+EK$174</f>
        <v>0</v>
      </c>
      <c r="EL175" s="10" t="n">
        <f aca="false">EL$163+EL$164+EL$165+EL$166+EL$167+EL$168+EL$169+EL$170+EL$171+EL$172+EL$173+EL$174</f>
        <v>0</v>
      </c>
      <c r="EM175" s="10" t="n">
        <f aca="false">EM$163+EM$164+EM$165+EM$166+EM$167+EM$168+EM$169+EM$170+EM$171+EM$172+EM$173+EM$174</f>
        <v>0</v>
      </c>
      <c r="EN175" s="10" t="n">
        <f aca="false">EN$163+EN$164+EN$165+EN$166+EN$167+EN$168+EN$169+EN$170+EN$171+EN$172+EN$173+EN$174</f>
        <v>0</v>
      </c>
      <c r="EO175" s="10" t="n">
        <f aca="false">EO$163+EO$164+EO$165+EO$166+EO$167+EO$168+EO$169+EO$170+EO$171+EO$172+EO$173+EO$174</f>
        <v>0</v>
      </c>
      <c r="EP175" s="10" t="n">
        <f aca="false">EP$163+EP$164+EP$165+EP$166+EP$167+EP$168+EP$169+EP$170+EP$171+EP$172+EP$173+EP$174</f>
        <v>0</v>
      </c>
      <c r="EQ175" s="10" t="n">
        <f aca="false">EQ$163+EQ$164+EQ$165+EQ$166+EQ$167+EQ$168+EQ$169+EQ$170+EQ$171+EQ$172+EQ$173+EQ$174</f>
        <v>0</v>
      </c>
      <c r="ER175" s="10" t="n">
        <f aca="false">ER$163+ER$164+ER$165+ER$166+ER$167+ER$168+ER$169+ER$170+ER$171+ER$172+ER$173+ER$174</f>
        <v>0</v>
      </c>
      <c r="ES175" s="10" t="n">
        <f aca="false">ES$163+ES$164+ES$165+ES$166+ES$167+ES$168+ES$169+ES$170+ES$171+ES$172+ES$173+ES$174</f>
        <v>0</v>
      </c>
    </row>
    <row r="176" customFormat="false" ht="15" hidden="false" customHeight="false" outlineLevel="0" collapsed="false">
      <c r="A176" s="4"/>
      <c r="B176" s="3" t="s">
        <v>584</v>
      </c>
      <c r="C176" s="4"/>
      <c r="D176" s="4"/>
      <c r="E176" s="4"/>
    </row>
    <row r="177" customFormat="false" ht="15" hidden="false" customHeight="false" outlineLevel="0" collapsed="false">
      <c r="A177" s="2" t="s">
        <v>792</v>
      </c>
      <c r="B177" s="6" t="s">
        <v>586</v>
      </c>
      <c r="C177" s="6" t="s">
        <v>250</v>
      </c>
      <c r="E177" s="40" t="n">
        <f aca="false">SUM(F177:ES177)</f>
        <v>25293483.38356</v>
      </c>
      <c r="F177" s="34" t="n">
        <f aca="false">SUMPRODUCT(F151:F162,MP_V)*INDEX(IdxMP_V,1,MIN(10,F$147))*(1+V_dMat)/(1-V_Merma)</f>
        <v>125875</v>
      </c>
      <c r="G177" s="34" t="n">
        <f aca="false">SUMPRODUCT(G151:G162,MP_V)*INDEX(IdxMP_V,1,MIN(10,G$147))*(1+V_dMat)/(1-V_Merma)</f>
        <v>125875</v>
      </c>
      <c r="H177" s="34" t="n">
        <f aca="false">SUMPRODUCT(H151:H162,MP_V)*INDEX(IdxMP_V,1,MIN(10,H$147))*(1+V_dMat)/(1-V_Merma)</f>
        <v>125875</v>
      </c>
      <c r="I177" s="34" t="n">
        <f aca="false">SUMPRODUCT(I151:I162,MP_V)*INDEX(IdxMP_V,1,MIN(10,I$147))*(1+V_dMat)/(1-V_Merma)</f>
        <v>125875</v>
      </c>
      <c r="J177" s="34" t="n">
        <f aca="false">SUMPRODUCT(J151:J162,MP_V)*INDEX(IdxMP_V,1,MIN(10,J$147))*(1+V_dMat)/(1-V_Merma)</f>
        <v>125875</v>
      </c>
      <c r="K177" s="34" t="n">
        <f aca="false">SUMPRODUCT(K151:K162,MP_V)*INDEX(IdxMP_V,1,MIN(10,K$147))*(1+V_dMat)/(1-V_Merma)</f>
        <v>125875</v>
      </c>
      <c r="L177" s="34" t="n">
        <f aca="false">SUMPRODUCT(L151:L162,MP_V)*INDEX(IdxMP_V,1,MIN(10,L$147))*(1+V_dMat)/(1-V_Merma)</f>
        <v>125875</v>
      </c>
      <c r="M177" s="34" t="n">
        <f aca="false">SUMPRODUCT(M151:M162,MP_V)*INDEX(IdxMP_V,1,MIN(10,M$147))*(1+V_dMat)/(1-V_Merma)</f>
        <v>125875</v>
      </c>
      <c r="N177" s="34" t="n">
        <f aca="false">SUMPRODUCT(N151:N162,MP_V)*INDEX(IdxMP_V,1,MIN(10,N$147))*(1+V_dMat)/(1-V_Merma)</f>
        <v>125875</v>
      </c>
      <c r="O177" s="34" t="n">
        <f aca="false">SUMPRODUCT(O151:O162,MP_V)*INDEX(IdxMP_V,1,MIN(10,O$147))*(1+V_dMat)/(1-V_Merma)</f>
        <v>125875</v>
      </c>
      <c r="P177" s="34" t="n">
        <f aca="false">SUMPRODUCT(P151:P162,MP_V)*INDEX(IdxMP_V,1,MIN(10,P$147))*(1+V_dMat)/(1-V_Merma)</f>
        <v>125875</v>
      </c>
      <c r="Q177" s="34" t="n">
        <f aca="false">SUMPRODUCT(Q151:Q162,MP_V)*INDEX(IdxMP_V,1,MIN(10,Q$147))*(1+V_dMat)/(1-V_Merma)</f>
        <v>125875</v>
      </c>
      <c r="R177" s="34" t="n">
        <f aca="false">SUMPRODUCT(R151:R162,MP_V)*INDEX(IdxMP_V,1,MIN(10,R$147))*(1+V_dMat)/(1-V_Merma)</f>
        <v>160476.375</v>
      </c>
      <c r="S177" s="34" t="n">
        <f aca="false">SUMPRODUCT(S151:S162,MP_V)*INDEX(IdxMP_V,1,MIN(10,S$147))*(1+V_dMat)/(1-V_Merma)</f>
        <v>160476.375</v>
      </c>
      <c r="T177" s="34" t="n">
        <f aca="false">SUMPRODUCT(T151:T162,MP_V)*INDEX(IdxMP_V,1,MIN(10,T$147))*(1+V_dMat)/(1-V_Merma)</f>
        <v>160476.375</v>
      </c>
      <c r="U177" s="34" t="n">
        <f aca="false">SUMPRODUCT(U151:U162,MP_V)*INDEX(IdxMP_V,1,MIN(10,U$147))*(1+V_dMat)/(1-V_Merma)</f>
        <v>160476.375</v>
      </c>
      <c r="V177" s="34" t="n">
        <f aca="false">SUMPRODUCT(V151:V162,MP_V)*INDEX(IdxMP_V,1,MIN(10,V$147))*(1+V_dMat)/(1-V_Merma)</f>
        <v>160476.375</v>
      </c>
      <c r="W177" s="34" t="n">
        <f aca="false">SUMPRODUCT(W151:W162,MP_V)*INDEX(IdxMP_V,1,MIN(10,W$147))*(1+V_dMat)/(1-V_Merma)</f>
        <v>160476.375</v>
      </c>
      <c r="X177" s="34" t="n">
        <f aca="false">SUMPRODUCT(X151:X162,MP_V)*INDEX(IdxMP_V,1,MIN(10,X$147))*(1+V_dMat)/(1-V_Merma)</f>
        <v>160476.375</v>
      </c>
      <c r="Y177" s="34" t="n">
        <f aca="false">SUMPRODUCT(Y151:Y162,MP_V)*INDEX(IdxMP_V,1,MIN(10,Y$147))*(1+V_dMat)/(1-V_Merma)</f>
        <v>160476.375</v>
      </c>
      <c r="Z177" s="34" t="n">
        <f aca="false">SUMPRODUCT(Z151:Z162,MP_V)*INDEX(IdxMP_V,1,MIN(10,Z$147))*(1+V_dMat)/(1-V_Merma)</f>
        <v>160476.375</v>
      </c>
      <c r="AA177" s="34" t="n">
        <f aca="false">SUMPRODUCT(AA151:AA162,MP_V)*INDEX(IdxMP_V,1,MIN(10,AA$147))*(1+V_dMat)/(1-V_Merma)</f>
        <v>160476.375</v>
      </c>
      <c r="AB177" s="34" t="n">
        <f aca="false">SUMPRODUCT(AB151:AB162,MP_V)*INDEX(IdxMP_V,1,MIN(10,AB$147))*(1+V_dMat)/(1-V_Merma)</f>
        <v>160476.375</v>
      </c>
      <c r="AC177" s="34" t="n">
        <f aca="false">SUMPRODUCT(AC151:AC162,MP_V)*INDEX(IdxMP_V,1,MIN(10,AC$147))*(1+V_dMat)/(1-V_Merma)</f>
        <v>160476.375</v>
      </c>
      <c r="AD177" s="34" t="n">
        <f aca="false">SUMPRODUCT(AD151:AD162,MP_V)*INDEX(IdxMP_V,1,MIN(10,AD$147))*(1+V_dMat)/(1-V_Merma)</f>
        <v>195757.19</v>
      </c>
      <c r="AE177" s="34" t="n">
        <f aca="false">SUMPRODUCT(AE151:AE162,MP_V)*INDEX(IdxMP_V,1,MIN(10,AE$147))*(1+V_dMat)/(1-V_Merma)</f>
        <v>195757.19</v>
      </c>
      <c r="AF177" s="34" t="n">
        <f aca="false">SUMPRODUCT(AF151:AF162,MP_V)*INDEX(IdxMP_V,1,MIN(10,AF$147))*(1+V_dMat)/(1-V_Merma)</f>
        <v>195757.19</v>
      </c>
      <c r="AG177" s="34" t="n">
        <f aca="false">SUMPRODUCT(AG151:AG162,MP_V)*INDEX(IdxMP_V,1,MIN(10,AG$147))*(1+V_dMat)/(1-V_Merma)</f>
        <v>195757.19</v>
      </c>
      <c r="AH177" s="34" t="n">
        <f aca="false">SUMPRODUCT(AH151:AH162,MP_V)*INDEX(IdxMP_V,1,MIN(10,AH$147))*(1+V_dMat)/(1-V_Merma)</f>
        <v>195757.19</v>
      </c>
      <c r="AI177" s="34" t="n">
        <f aca="false">SUMPRODUCT(AI151:AI162,MP_V)*INDEX(IdxMP_V,1,MIN(10,AI$147))*(1+V_dMat)/(1-V_Merma)</f>
        <v>195757.19</v>
      </c>
      <c r="AJ177" s="34" t="n">
        <f aca="false">SUMPRODUCT(AJ151:AJ162,MP_V)*INDEX(IdxMP_V,1,MIN(10,AJ$147))*(1+V_dMat)/(1-V_Merma)</f>
        <v>195757.19</v>
      </c>
      <c r="AK177" s="34" t="n">
        <f aca="false">SUMPRODUCT(AK151:AK162,MP_V)*INDEX(IdxMP_V,1,MIN(10,AK$147))*(1+V_dMat)/(1-V_Merma)</f>
        <v>195757.19</v>
      </c>
      <c r="AL177" s="34" t="n">
        <f aca="false">SUMPRODUCT(AL151:AL162,MP_V)*INDEX(IdxMP_V,1,MIN(10,AL$147))*(1+V_dMat)/(1-V_Merma)</f>
        <v>195757.19</v>
      </c>
      <c r="AM177" s="34" t="n">
        <f aca="false">SUMPRODUCT(AM151:AM162,MP_V)*INDEX(IdxMP_V,1,MIN(10,AM$147))*(1+V_dMat)/(1-V_Merma)</f>
        <v>195757.19</v>
      </c>
      <c r="AN177" s="34" t="n">
        <f aca="false">SUMPRODUCT(AN151:AN162,MP_V)*INDEX(IdxMP_V,1,MIN(10,AN$147))*(1+V_dMat)/(1-V_Merma)</f>
        <v>195757.19</v>
      </c>
      <c r="AO177" s="34" t="n">
        <f aca="false">SUMPRODUCT(AO151:AO162,MP_V)*INDEX(IdxMP_V,1,MIN(10,AO$147))*(1+V_dMat)/(1-V_Merma)</f>
        <v>195757.19</v>
      </c>
      <c r="AP177" s="34" t="n">
        <f aca="false">SUMPRODUCT(AP151:AP162,MP_V)*INDEX(IdxMP_V,1,MIN(10,AP$147))*(1+V_dMat)/(1-V_Merma)</f>
        <v>225365.4649875</v>
      </c>
      <c r="AQ177" s="34" t="n">
        <f aca="false">SUMPRODUCT(AQ151:AQ162,MP_V)*INDEX(IdxMP_V,1,MIN(10,AQ$147))*(1+V_dMat)/(1-V_Merma)</f>
        <v>225365.4649875</v>
      </c>
      <c r="AR177" s="34" t="n">
        <f aca="false">SUMPRODUCT(AR151:AR162,MP_V)*INDEX(IdxMP_V,1,MIN(10,AR$147))*(1+V_dMat)/(1-V_Merma)</f>
        <v>225365.4649875</v>
      </c>
      <c r="AS177" s="34" t="n">
        <f aca="false">SUMPRODUCT(AS151:AS162,MP_V)*INDEX(IdxMP_V,1,MIN(10,AS$147))*(1+V_dMat)/(1-V_Merma)</f>
        <v>225365.4649875</v>
      </c>
      <c r="AT177" s="34" t="n">
        <f aca="false">SUMPRODUCT(AT151:AT162,MP_V)*INDEX(IdxMP_V,1,MIN(10,AT$147))*(1+V_dMat)/(1-V_Merma)</f>
        <v>225365.4649875</v>
      </c>
      <c r="AU177" s="34" t="n">
        <f aca="false">SUMPRODUCT(AU151:AU162,MP_V)*INDEX(IdxMP_V,1,MIN(10,AU$147))*(1+V_dMat)/(1-V_Merma)</f>
        <v>225365.4649875</v>
      </c>
      <c r="AV177" s="34" t="n">
        <f aca="false">SUMPRODUCT(AV151:AV162,MP_V)*INDEX(IdxMP_V,1,MIN(10,AV$147))*(1+V_dMat)/(1-V_Merma)</f>
        <v>225365.4649875</v>
      </c>
      <c r="AW177" s="34" t="n">
        <f aca="false">SUMPRODUCT(AW151:AW162,MP_V)*INDEX(IdxMP_V,1,MIN(10,AW$147))*(1+V_dMat)/(1-V_Merma)</f>
        <v>225365.4649875</v>
      </c>
      <c r="AX177" s="34" t="n">
        <f aca="false">SUMPRODUCT(AX151:AX162,MP_V)*INDEX(IdxMP_V,1,MIN(10,AX$147))*(1+V_dMat)/(1-V_Merma)</f>
        <v>225365.4649875</v>
      </c>
      <c r="AY177" s="34" t="n">
        <f aca="false">SUMPRODUCT(AY151:AY162,MP_V)*INDEX(IdxMP_V,1,MIN(10,AY$147))*(1+V_dMat)/(1-V_Merma)</f>
        <v>225365.4649875</v>
      </c>
      <c r="AZ177" s="34" t="n">
        <f aca="false">SUMPRODUCT(AZ151:AZ162,MP_V)*INDEX(IdxMP_V,1,MIN(10,AZ$147))*(1+V_dMat)/(1-V_Merma)</f>
        <v>225365.4649875</v>
      </c>
      <c r="BA177" s="34" t="n">
        <f aca="false">SUMPRODUCT(BA151:BA162,MP_V)*INDEX(IdxMP_V,1,MIN(10,BA$147))*(1+V_dMat)/(1-V_Merma)</f>
        <v>225365.4649875</v>
      </c>
      <c r="BB177" s="34" t="n">
        <f aca="false">SUMPRODUCT(BB151:BB162,MP_V)*INDEX(IdxMP_V,1,MIN(10,BB$147))*(1+V_dMat)/(1-V_Merma)</f>
        <v>227619.119637375</v>
      </c>
      <c r="BC177" s="34" t="n">
        <f aca="false">SUMPRODUCT(BC151:BC162,MP_V)*INDEX(IdxMP_V,1,MIN(10,BC$147))*(1+V_dMat)/(1-V_Merma)</f>
        <v>227619.119637375</v>
      </c>
      <c r="BD177" s="34" t="n">
        <f aca="false">SUMPRODUCT(BD151:BD162,MP_V)*INDEX(IdxMP_V,1,MIN(10,BD$147))*(1+V_dMat)/(1-V_Merma)</f>
        <v>227619.119637375</v>
      </c>
      <c r="BE177" s="34" t="n">
        <f aca="false">SUMPRODUCT(BE151:BE162,MP_V)*INDEX(IdxMP_V,1,MIN(10,BE$147))*(1+V_dMat)/(1-V_Merma)</f>
        <v>227619.119637375</v>
      </c>
      <c r="BF177" s="34" t="n">
        <f aca="false">SUMPRODUCT(BF151:BF162,MP_V)*INDEX(IdxMP_V,1,MIN(10,BF$147))*(1+V_dMat)/(1-V_Merma)</f>
        <v>227619.119637375</v>
      </c>
      <c r="BG177" s="34" t="n">
        <f aca="false">SUMPRODUCT(BG151:BG162,MP_V)*INDEX(IdxMP_V,1,MIN(10,BG$147))*(1+V_dMat)/(1-V_Merma)</f>
        <v>227619.119637375</v>
      </c>
      <c r="BH177" s="34" t="n">
        <f aca="false">SUMPRODUCT(BH151:BH162,MP_V)*INDEX(IdxMP_V,1,MIN(10,BH$147))*(1+V_dMat)/(1-V_Merma)</f>
        <v>227619.119637375</v>
      </c>
      <c r="BI177" s="34" t="n">
        <f aca="false">SUMPRODUCT(BI151:BI162,MP_V)*INDEX(IdxMP_V,1,MIN(10,BI$147))*(1+V_dMat)/(1-V_Merma)</f>
        <v>227619.119637375</v>
      </c>
      <c r="BJ177" s="34" t="n">
        <f aca="false">SUMPRODUCT(BJ151:BJ162,MP_V)*INDEX(IdxMP_V,1,MIN(10,BJ$147))*(1+V_dMat)/(1-V_Merma)</f>
        <v>227619.119637375</v>
      </c>
      <c r="BK177" s="34" t="n">
        <f aca="false">SUMPRODUCT(BK151:BK162,MP_V)*INDEX(IdxMP_V,1,MIN(10,BK$147))*(1+V_dMat)/(1-V_Merma)</f>
        <v>227619.119637375</v>
      </c>
      <c r="BL177" s="34" t="n">
        <f aca="false">SUMPRODUCT(BL151:BL162,MP_V)*INDEX(IdxMP_V,1,MIN(10,BL$147))*(1+V_dMat)/(1-V_Merma)</f>
        <v>227619.119637375</v>
      </c>
      <c r="BM177" s="34" t="n">
        <f aca="false">SUMPRODUCT(BM151:BM162,MP_V)*INDEX(IdxMP_V,1,MIN(10,BM$147))*(1+V_dMat)/(1-V_Merma)</f>
        <v>227619.119637375</v>
      </c>
      <c r="BN177" s="34" t="n">
        <f aca="false">SUMPRODUCT(BN151:BN162,MP_V)*INDEX(IdxMP_V,1,MIN(10,BN$147))*(1+V_dMat)/(1-V_Merma)</f>
        <v>229895.310833749</v>
      </c>
      <c r="BO177" s="34" t="n">
        <f aca="false">SUMPRODUCT(BO151:BO162,MP_V)*INDEX(IdxMP_V,1,MIN(10,BO$147))*(1+V_dMat)/(1-V_Merma)</f>
        <v>229895.310833749</v>
      </c>
      <c r="BP177" s="34" t="n">
        <f aca="false">SUMPRODUCT(BP151:BP162,MP_V)*INDEX(IdxMP_V,1,MIN(10,BP$147))*(1+V_dMat)/(1-V_Merma)</f>
        <v>229895.310833749</v>
      </c>
      <c r="BQ177" s="34" t="n">
        <f aca="false">SUMPRODUCT(BQ151:BQ162,MP_V)*INDEX(IdxMP_V,1,MIN(10,BQ$147))*(1+V_dMat)/(1-V_Merma)</f>
        <v>229895.310833749</v>
      </c>
      <c r="BR177" s="34" t="n">
        <f aca="false">SUMPRODUCT(BR151:BR162,MP_V)*INDEX(IdxMP_V,1,MIN(10,BR$147))*(1+V_dMat)/(1-V_Merma)</f>
        <v>229895.310833749</v>
      </c>
      <c r="BS177" s="34" t="n">
        <f aca="false">SUMPRODUCT(BS151:BS162,MP_V)*INDEX(IdxMP_V,1,MIN(10,BS$147))*(1+V_dMat)/(1-V_Merma)</f>
        <v>229895.310833749</v>
      </c>
      <c r="BT177" s="34" t="n">
        <f aca="false">SUMPRODUCT(BT151:BT162,MP_V)*INDEX(IdxMP_V,1,MIN(10,BT$147))*(1+V_dMat)/(1-V_Merma)</f>
        <v>229895.310833749</v>
      </c>
      <c r="BU177" s="34" t="n">
        <f aca="false">SUMPRODUCT(BU151:BU162,MP_V)*INDEX(IdxMP_V,1,MIN(10,BU$147))*(1+V_dMat)/(1-V_Merma)</f>
        <v>229895.310833749</v>
      </c>
      <c r="BV177" s="34" t="n">
        <f aca="false">SUMPRODUCT(BV151:BV162,MP_V)*INDEX(IdxMP_V,1,MIN(10,BV$147))*(1+V_dMat)/(1-V_Merma)</f>
        <v>229895.310833749</v>
      </c>
      <c r="BW177" s="34" t="n">
        <f aca="false">SUMPRODUCT(BW151:BW162,MP_V)*INDEX(IdxMP_V,1,MIN(10,BW$147))*(1+V_dMat)/(1-V_Merma)</f>
        <v>229895.310833749</v>
      </c>
      <c r="BX177" s="34" t="n">
        <f aca="false">SUMPRODUCT(BX151:BX162,MP_V)*INDEX(IdxMP_V,1,MIN(10,BX$147))*(1+V_dMat)/(1-V_Merma)</f>
        <v>229895.310833749</v>
      </c>
      <c r="BY177" s="34" t="n">
        <f aca="false">SUMPRODUCT(BY151:BY162,MP_V)*INDEX(IdxMP_V,1,MIN(10,BY$147))*(1+V_dMat)/(1-V_Merma)</f>
        <v>229895.310833749</v>
      </c>
      <c r="BZ177" s="34" t="n">
        <f aca="false">SUMPRODUCT(BZ151:BZ162,MP_V)*INDEX(IdxMP_V,1,MIN(10,BZ$147))*(1+V_dMat)/(1-V_Merma)</f>
        <v>232194.263942086</v>
      </c>
      <c r="CA177" s="34" t="n">
        <f aca="false">SUMPRODUCT(CA151:CA162,MP_V)*INDEX(IdxMP_V,1,MIN(10,CA$147))*(1+V_dMat)/(1-V_Merma)</f>
        <v>232194.263942086</v>
      </c>
      <c r="CB177" s="34" t="n">
        <f aca="false">SUMPRODUCT(CB151:CB162,MP_V)*INDEX(IdxMP_V,1,MIN(10,CB$147))*(1+V_dMat)/(1-V_Merma)</f>
        <v>232194.263942086</v>
      </c>
      <c r="CC177" s="34" t="n">
        <f aca="false">SUMPRODUCT(CC151:CC162,MP_V)*INDEX(IdxMP_V,1,MIN(10,CC$147))*(1+V_dMat)/(1-V_Merma)</f>
        <v>232194.263942086</v>
      </c>
      <c r="CD177" s="34" t="n">
        <f aca="false">SUMPRODUCT(CD151:CD162,MP_V)*INDEX(IdxMP_V,1,MIN(10,CD$147))*(1+V_dMat)/(1-V_Merma)</f>
        <v>232194.263942086</v>
      </c>
      <c r="CE177" s="34" t="n">
        <f aca="false">SUMPRODUCT(CE151:CE162,MP_V)*INDEX(IdxMP_V,1,MIN(10,CE$147))*(1+V_dMat)/(1-V_Merma)</f>
        <v>232194.263942086</v>
      </c>
      <c r="CF177" s="34" t="n">
        <f aca="false">SUMPRODUCT(CF151:CF162,MP_V)*INDEX(IdxMP_V,1,MIN(10,CF$147))*(1+V_dMat)/(1-V_Merma)</f>
        <v>232194.263942086</v>
      </c>
      <c r="CG177" s="34" t="n">
        <f aca="false">SUMPRODUCT(CG151:CG162,MP_V)*INDEX(IdxMP_V,1,MIN(10,CG$147))*(1+V_dMat)/(1-V_Merma)</f>
        <v>232194.263942086</v>
      </c>
      <c r="CH177" s="34" t="n">
        <f aca="false">SUMPRODUCT(CH151:CH162,MP_V)*INDEX(IdxMP_V,1,MIN(10,CH$147))*(1+V_dMat)/(1-V_Merma)</f>
        <v>232194.263942086</v>
      </c>
      <c r="CI177" s="34" t="n">
        <f aca="false">SUMPRODUCT(CI151:CI162,MP_V)*INDEX(IdxMP_V,1,MIN(10,CI$147))*(1+V_dMat)/(1-V_Merma)</f>
        <v>232194.263942086</v>
      </c>
      <c r="CJ177" s="34" t="n">
        <f aca="false">SUMPRODUCT(CJ151:CJ162,MP_V)*INDEX(IdxMP_V,1,MIN(10,CJ$147))*(1+V_dMat)/(1-V_Merma)</f>
        <v>232194.263942086</v>
      </c>
      <c r="CK177" s="34" t="n">
        <f aca="false">SUMPRODUCT(CK151:CK162,MP_V)*INDEX(IdxMP_V,1,MIN(10,CK$147))*(1+V_dMat)/(1-V_Merma)</f>
        <v>232194.263942086</v>
      </c>
      <c r="CL177" s="34" t="n">
        <f aca="false">SUMPRODUCT(CL151:CL162,MP_V)*INDEX(IdxMP_V,1,MIN(10,CL$147))*(1+V_dMat)/(1-V_Merma)</f>
        <v>234516.206581507</v>
      </c>
      <c r="CM177" s="34" t="n">
        <f aca="false">SUMPRODUCT(CM151:CM162,MP_V)*INDEX(IdxMP_V,1,MIN(10,CM$147))*(1+V_dMat)/(1-V_Merma)</f>
        <v>234516.206581507</v>
      </c>
      <c r="CN177" s="34" t="n">
        <f aca="false">SUMPRODUCT(CN151:CN162,MP_V)*INDEX(IdxMP_V,1,MIN(10,CN$147))*(1+V_dMat)/(1-V_Merma)</f>
        <v>234516.206581507</v>
      </c>
      <c r="CO177" s="34" t="n">
        <f aca="false">SUMPRODUCT(CO151:CO162,MP_V)*INDEX(IdxMP_V,1,MIN(10,CO$147))*(1+V_dMat)/(1-V_Merma)</f>
        <v>234516.206581507</v>
      </c>
      <c r="CP177" s="34" t="n">
        <f aca="false">SUMPRODUCT(CP151:CP162,MP_V)*INDEX(IdxMP_V,1,MIN(10,CP$147))*(1+V_dMat)/(1-V_Merma)</f>
        <v>234516.206581507</v>
      </c>
      <c r="CQ177" s="34" t="n">
        <f aca="false">SUMPRODUCT(CQ151:CQ162,MP_V)*INDEX(IdxMP_V,1,MIN(10,CQ$147))*(1+V_dMat)/(1-V_Merma)</f>
        <v>234516.206581507</v>
      </c>
      <c r="CR177" s="34" t="n">
        <f aca="false">SUMPRODUCT(CR151:CR162,MP_V)*INDEX(IdxMP_V,1,MIN(10,CR$147))*(1+V_dMat)/(1-V_Merma)</f>
        <v>234516.206581507</v>
      </c>
      <c r="CS177" s="34" t="n">
        <f aca="false">SUMPRODUCT(CS151:CS162,MP_V)*INDEX(IdxMP_V,1,MIN(10,CS$147))*(1+V_dMat)/(1-V_Merma)</f>
        <v>234516.206581507</v>
      </c>
      <c r="CT177" s="34" t="n">
        <f aca="false">SUMPRODUCT(CT151:CT162,MP_V)*INDEX(IdxMP_V,1,MIN(10,CT$147))*(1+V_dMat)/(1-V_Merma)</f>
        <v>234516.206581507</v>
      </c>
      <c r="CU177" s="34" t="n">
        <f aca="false">SUMPRODUCT(CU151:CU162,MP_V)*INDEX(IdxMP_V,1,MIN(10,CU$147))*(1+V_dMat)/(1-V_Merma)</f>
        <v>234516.206581507</v>
      </c>
      <c r="CV177" s="34" t="n">
        <f aca="false">SUMPRODUCT(CV151:CV162,MP_V)*INDEX(IdxMP_V,1,MIN(10,CV$147))*(1+V_dMat)/(1-V_Merma)</f>
        <v>234516.206581507</v>
      </c>
      <c r="CW177" s="34" t="n">
        <f aca="false">SUMPRODUCT(CW151:CW162,MP_V)*INDEX(IdxMP_V,1,MIN(10,CW$147))*(1+V_dMat)/(1-V_Merma)</f>
        <v>234516.206581507</v>
      </c>
      <c r="CX177" s="34" t="n">
        <f aca="false">SUMPRODUCT(CX151:CX162,MP_V)*INDEX(IdxMP_V,1,MIN(10,CX$147))*(1+V_dMat)/(1-V_Merma)</f>
        <v>236861.368647322</v>
      </c>
      <c r="CY177" s="34" t="n">
        <f aca="false">SUMPRODUCT(CY151:CY162,MP_V)*INDEX(IdxMP_V,1,MIN(10,CY$147))*(1+V_dMat)/(1-V_Merma)</f>
        <v>236861.368647322</v>
      </c>
      <c r="CZ177" s="34" t="n">
        <f aca="false">SUMPRODUCT(CZ151:CZ162,MP_V)*INDEX(IdxMP_V,1,MIN(10,CZ$147))*(1+V_dMat)/(1-V_Merma)</f>
        <v>236861.368647322</v>
      </c>
      <c r="DA177" s="34" t="n">
        <f aca="false">SUMPRODUCT(DA151:DA162,MP_V)*INDEX(IdxMP_V,1,MIN(10,DA$147))*(1+V_dMat)/(1-V_Merma)</f>
        <v>236861.368647322</v>
      </c>
      <c r="DB177" s="34" t="n">
        <f aca="false">SUMPRODUCT(DB151:DB162,MP_V)*INDEX(IdxMP_V,1,MIN(10,DB$147))*(1+V_dMat)/(1-V_Merma)</f>
        <v>236861.368647322</v>
      </c>
      <c r="DC177" s="34" t="n">
        <f aca="false">SUMPRODUCT(DC151:DC162,MP_V)*INDEX(IdxMP_V,1,MIN(10,DC$147))*(1+V_dMat)/(1-V_Merma)</f>
        <v>236861.368647322</v>
      </c>
      <c r="DD177" s="34" t="n">
        <f aca="false">SUMPRODUCT(DD151:DD162,MP_V)*INDEX(IdxMP_V,1,MIN(10,DD$147))*(1+V_dMat)/(1-V_Merma)</f>
        <v>236861.368647322</v>
      </c>
      <c r="DE177" s="34" t="n">
        <f aca="false">SUMPRODUCT(DE151:DE162,MP_V)*INDEX(IdxMP_V,1,MIN(10,DE$147))*(1+V_dMat)/(1-V_Merma)</f>
        <v>236861.368647322</v>
      </c>
      <c r="DF177" s="34" t="n">
        <f aca="false">SUMPRODUCT(DF151:DF162,MP_V)*INDEX(IdxMP_V,1,MIN(10,DF$147))*(1+V_dMat)/(1-V_Merma)</f>
        <v>236861.368647322</v>
      </c>
      <c r="DG177" s="34" t="n">
        <f aca="false">SUMPRODUCT(DG151:DG162,MP_V)*INDEX(IdxMP_V,1,MIN(10,DG$147))*(1+V_dMat)/(1-V_Merma)</f>
        <v>236861.368647322</v>
      </c>
      <c r="DH177" s="34" t="n">
        <f aca="false">SUMPRODUCT(DH151:DH162,MP_V)*INDEX(IdxMP_V,1,MIN(10,DH$147))*(1+V_dMat)/(1-V_Merma)</f>
        <v>236861.368647322</v>
      </c>
      <c r="DI177" s="34" t="n">
        <f aca="false">SUMPRODUCT(DI151:DI162,MP_V)*INDEX(IdxMP_V,1,MIN(10,DI$147))*(1+V_dMat)/(1-V_Merma)</f>
        <v>236861.368647322</v>
      </c>
      <c r="DJ177" s="34" t="n">
        <f aca="false">SUMPRODUCT(DJ151:DJ162,MP_V)*INDEX(IdxMP_V,1,MIN(10,DJ$147))*(1+V_dMat)/(1-V_Merma)</f>
        <v>239229.982333795</v>
      </c>
      <c r="DK177" s="34" t="n">
        <f aca="false">SUMPRODUCT(DK151:DK162,MP_V)*INDEX(IdxMP_V,1,MIN(10,DK$147))*(1+V_dMat)/(1-V_Merma)</f>
        <v>239229.982333795</v>
      </c>
      <c r="DL177" s="34" t="n">
        <f aca="false">SUMPRODUCT(DL151:DL162,MP_V)*INDEX(IdxMP_V,1,MIN(10,DL$147))*(1+V_dMat)/(1-V_Merma)</f>
        <v>239229.982333795</v>
      </c>
      <c r="DM177" s="34" t="n">
        <f aca="false">SUMPRODUCT(DM151:DM162,MP_V)*INDEX(IdxMP_V,1,MIN(10,DM$147))*(1+V_dMat)/(1-V_Merma)</f>
        <v>239229.982333795</v>
      </c>
      <c r="DN177" s="34" t="n">
        <f aca="false">SUMPRODUCT(DN151:DN162,MP_V)*INDEX(IdxMP_V,1,MIN(10,DN$147))*(1+V_dMat)/(1-V_Merma)</f>
        <v>239229.982333795</v>
      </c>
      <c r="DO177" s="34" t="n">
        <f aca="false">SUMPRODUCT(DO151:DO162,MP_V)*INDEX(IdxMP_V,1,MIN(10,DO$147))*(1+V_dMat)/(1-V_Merma)</f>
        <v>239229.982333795</v>
      </c>
      <c r="DP177" s="34" t="n">
        <f aca="false">SUMPRODUCT(DP151:DP162,MP_V)*INDEX(IdxMP_V,1,MIN(10,DP$147))*(1+V_dMat)/(1-V_Merma)</f>
        <v>239229.982333795</v>
      </c>
      <c r="DQ177" s="34" t="n">
        <f aca="false">SUMPRODUCT(DQ151:DQ162,MP_V)*INDEX(IdxMP_V,1,MIN(10,DQ$147))*(1+V_dMat)/(1-V_Merma)</f>
        <v>239229.982333795</v>
      </c>
      <c r="DR177" s="34" t="n">
        <f aca="false">SUMPRODUCT(DR151:DR162,MP_V)*INDEX(IdxMP_V,1,MIN(10,DR$147))*(1+V_dMat)/(1-V_Merma)</f>
        <v>239229.982333795</v>
      </c>
      <c r="DS177" s="34" t="n">
        <f aca="false">SUMPRODUCT(DS151:DS162,MP_V)*INDEX(IdxMP_V,1,MIN(10,DS$147))*(1+V_dMat)/(1-V_Merma)</f>
        <v>239229.982333795</v>
      </c>
      <c r="DT177" s="34" t="n">
        <f aca="false">SUMPRODUCT(DT151:DT162,MP_V)*INDEX(IdxMP_V,1,MIN(10,DT$147))*(1+V_dMat)/(1-V_Merma)</f>
        <v>239229.982333795</v>
      </c>
      <c r="DU177" s="34" t="n">
        <f aca="false">SUMPRODUCT(DU151:DU162,MP_V)*INDEX(IdxMP_V,1,MIN(10,DU$147))*(1+V_dMat)/(1-V_Merma)</f>
        <v>239229.982333795</v>
      </c>
      <c r="DV177" s="34" t="n">
        <f aca="false">SUMPRODUCT(DV151:DV162,MP_V)*INDEX(IdxMP_V,1,MIN(10,DV$147))*(1+V_dMat)/(1-V_Merma)</f>
        <v>0</v>
      </c>
      <c r="DW177" s="34" t="n">
        <f aca="false">SUMPRODUCT(DW151:DW162,MP_V)*INDEX(IdxMP_V,1,MIN(10,DW$147))*(1+V_dMat)/(1-V_Merma)</f>
        <v>0</v>
      </c>
      <c r="DX177" s="34" t="n">
        <f aca="false">SUMPRODUCT(DX151:DX162,MP_V)*INDEX(IdxMP_V,1,MIN(10,DX$147))*(1+V_dMat)/(1-V_Merma)</f>
        <v>0</v>
      </c>
      <c r="DY177" s="34" t="n">
        <f aca="false">SUMPRODUCT(DY151:DY162,MP_V)*INDEX(IdxMP_V,1,MIN(10,DY$147))*(1+V_dMat)/(1-V_Merma)</f>
        <v>0</v>
      </c>
      <c r="DZ177" s="34" t="n">
        <f aca="false">SUMPRODUCT(DZ151:DZ162,MP_V)*INDEX(IdxMP_V,1,MIN(10,DZ$147))*(1+V_dMat)/(1-V_Merma)</f>
        <v>0</v>
      </c>
      <c r="EA177" s="34" t="n">
        <f aca="false">SUMPRODUCT(EA151:EA162,MP_V)*INDEX(IdxMP_V,1,MIN(10,EA$147))*(1+V_dMat)/(1-V_Merma)</f>
        <v>0</v>
      </c>
      <c r="EB177" s="34" t="n">
        <f aca="false">SUMPRODUCT(EB151:EB162,MP_V)*INDEX(IdxMP_V,1,MIN(10,EB$147))*(1+V_dMat)/(1-V_Merma)</f>
        <v>0</v>
      </c>
      <c r="EC177" s="34" t="n">
        <f aca="false">SUMPRODUCT(EC151:EC162,MP_V)*INDEX(IdxMP_V,1,MIN(10,EC$147))*(1+V_dMat)/(1-V_Merma)</f>
        <v>0</v>
      </c>
      <c r="ED177" s="34" t="n">
        <f aca="false">SUMPRODUCT(ED151:ED162,MP_V)*INDEX(IdxMP_V,1,MIN(10,ED$147))*(1+V_dMat)/(1-V_Merma)</f>
        <v>0</v>
      </c>
      <c r="EE177" s="34" t="n">
        <f aca="false">SUMPRODUCT(EE151:EE162,MP_V)*INDEX(IdxMP_V,1,MIN(10,EE$147))*(1+V_dMat)/(1-V_Merma)</f>
        <v>0</v>
      </c>
      <c r="EF177" s="34" t="n">
        <f aca="false">SUMPRODUCT(EF151:EF162,MP_V)*INDEX(IdxMP_V,1,MIN(10,EF$147))*(1+V_dMat)/(1-V_Merma)</f>
        <v>0</v>
      </c>
      <c r="EG177" s="34" t="n">
        <f aca="false">SUMPRODUCT(EG151:EG162,MP_V)*INDEX(IdxMP_V,1,MIN(10,EG$147))*(1+V_dMat)/(1-V_Merma)</f>
        <v>0</v>
      </c>
      <c r="EH177" s="34" t="n">
        <f aca="false">SUMPRODUCT(EH151:EH162,MP_V)*INDEX(IdxMP_V,1,MIN(10,EH$147))*(1+V_dMat)/(1-V_Merma)</f>
        <v>0</v>
      </c>
      <c r="EI177" s="34" t="n">
        <f aca="false">SUMPRODUCT(EI151:EI162,MP_V)*INDEX(IdxMP_V,1,MIN(10,EI$147))*(1+V_dMat)/(1-V_Merma)</f>
        <v>0</v>
      </c>
      <c r="EJ177" s="34" t="n">
        <f aca="false">SUMPRODUCT(EJ151:EJ162,MP_V)*INDEX(IdxMP_V,1,MIN(10,EJ$147))*(1+V_dMat)/(1-V_Merma)</f>
        <v>0</v>
      </c>
      <c r="EK177" s="34" t="n">
        <f aca="false">SUMPRODUCT(EK151:EK162,MP_V)*INDEX(IdxMP_V,1,MIN(10,EK$147))*(1+V_dMat)/(1-V_Merma)</f>
        <v>0</v>
      </c>
      <c r="EL177" s="34" t="n">
        <f aca="false">SUMPRODUCT(EL151:EL162,MP_V)*INDEX(IdxMP_V,1,MIN(10,EL$147))*(1+V_dMat)/(1-V_Merma)</f>
        <v>0</v>
      </c>
      <c r="EM177" s="34" t="n">
        <f aca="false">SUMPRODUCT(EM151:EM162,MP_V)*INDEX(IdxMP_V,1,MIN(10,EM$147))*(1+V_dMat)/(1-V_Merma)</f>
        <v>0</v>
      </c>
      <c r="EN177" s="34" t="n">
        <f aca="false">SUMPRODUCT(EN151:EN162,MP_V)*INDEX(IdxMP_V,1,MIN(10,EN$147))*(1+V_dMat)/(1-V_Merma)</f>
        <v>0</v>
      </c>
      <c r="EO177" s="34" t="n">
        <f aca="false">SUMPRODUCT(EO151:EO162,MP_V)*INDEX(IdxMP_V,1,MIN(10,EO$147))*(1+V_dMat)/(1-V_Merma)</f>
        <v>0</v>
      </c>
      <c r="EP177" s="34" t="n">
        <f aca="false">SUMPRODUCT(EP151:EP162,MP_V)*INDEX(IdxMP_V,1,MIN(10,EP$147))*(1+V_dMat)/(1-V_Merma)</f>
        <v>0</v>
      </c>
      <c r="EQ177" s="34" t="n">
        <f aca="false">SUMPRODUCT(EQ151:EQ162,MP_V)*INDEX(IdxMP_V,1,MIN(10,EQ$147))*(1+V_dMat)/(1-V_Merma)</f>
        <v>0</v>
      </c>
      <c r="ER177" s="34" t="n">
        <f aca="false">SUMPRODUCT(ER151:ER162,MP_V)*INDEX(IdxMP_V,1,MIN(10,ER$147))*(1+V_dMat)/(1-V_Merma)</f>
        <v>0</v>
      </c>
      <c r="ES177" s="34" t="n">
        <f aca="false">SUMPRODUCT(ES151:ES162,MP_V)*INDEX(IdxMP_V,1,MIN(10,ES$147))*(1+V_dMat)/(1-V_Merma)</f>
        <v>0</v>
      </c>
    </row>
    <row r="178" customFormat="false" ht="15" hidden="false" customHeight="false" outlineLevel="0" collapsed="false">
      <c r="A178" s="2" t="s">
        <v>793</v>
      </c>
      <c r="B178" s="6" t="s">
        <v>588</v>
      </c>
      <c r="C178" s="6" t="s">
        <v>250</v>
      </c>
      <c r="E178" s="40" t="n">
        <f aca="false">SUM(F178:ES178)</f>
        <v>14024610</v>
      </c>
      <c r="F178" s="34" t="n">
        <f aca="false">SUMPRODUCT(F151:F162,INS_V)*INDEX(IdxOV_V,1,MIN(10,F$147))*(1+V_dMat)/(1-V_Merma)</f>
        <v>73297.5</v>
      </c>
      <c r="G178" s="34" t="n">
        <f aca="false">SUMPRODUCT(G151:G162,INS_V)*INDEX(IdxOV_V,1,MIN(10,G$147))*(1+V_dMat)/(1-V_Merma)</f>
        <v>73297.5</v>
      </c>
      <c r="H178" s="34" t="n">
        <f aca="false">SUMPRODUCT(H151:H162,INS_V)*INDEX(IdxOV_V,1,MIN(10,H$147))*(1+V_dMat)/(1-V_Merma)</f>
        <v>73297.5</v>
      </c>
      <c r="I178" s="34" t="n">
        <f aca="false">SUMPRODUCT(I151:I162,INS_V)*INDEX(IdxOV_V,1,MIN(10,I$147))*(1+V_dMat)/(1-V_Merma)</f>
        <v>73297.5</v>
      </c>
      <c r="J178" s="34" t="n">
        <f aca="false">SUMPRODUCT(J151:J162,INS_V)*INDEX(IdxOV_V,1,MIN(10,J$147))*(1+V_dMat)/(1-V_Merma)</f>
        <v>73297.5</v>
      </c>
      <c r="K178" s="34" t="n">
        <f aca="false">SUMPRODUCT(K151:K162,INS_V)*INDEX(IdxOV_V,1,MIN(10,K$147))*(1+V_dMat)/(1-V_Merma)</f>
        <v>73297.5</v>
      </c>
      <c r="L178" s="34" t="n">
        <f aca="false">SUMPRODUCT(L151:L162,INS_V)*INDEX(IdxOV_V,1,MIN(10,L$147))*(1+V_dMat)/(1-V_Merma)</f>
        <v>73297.5</v>
      </c>
      <c r="M178" s="34" t="n">
        <f aca="false">SUMPRODUCT(M151:M162,INS_V)*INDEX(IdxOV_V,1,MIN(10,M$147))*(1+V_dMat)/(1-V_Merma)</f>
        <v>73297.5</v>
      </c>
      <c r="N178" s="34" t="n">
        <f aca="false">SUMPRODUCT(N151:N162,INS_V)*INDEX(IdxOV_V,1,MIN(10,N$147))*(1+V_dMat)/(1-V_Merma)</f>
        <v>73297.5</v>
      </c>
      <c r="O178" s="34" t="n">
        <f aca="false">SUMPRODUCT(O151:O162,INS_V)*INDEX(IdxOV_V,1,MIN(10,O$147))*(1+V_dMat)/(1-V_Merma)</f>
        <v>73297.5</v>
      </c>
      <c r="P178" s="34" t="n">
        <f aca="false">SUMPRODUCT(P151:P162,INS_V)*INDEX(IdxOV_V,1,MIN(10,P$147))*(1+V_dMat)/(1-V_Merma)</f>
        <v>73297.5</v>
      </c>
      <c r="Q178" s="34" t="n">
        <f aca="false">SUMPRODUCT(Q151:Q162,INS_V)*INDEX(IdxOV_V,1,MIN(10,Q$147))*(1+V_dMat)/(1-V_Merma)</f>
        <v>73297.5</v>
      </c>
      <c r="R178" s="34" t="n">
        <f aca="false">SUMPRODUCT(R151:R162,INS_V)*INDEX(IdxOV_V,1,MIN(10,R$147))*(1+V_dMat)/(1-V_Merma)</f>
        <v>92632.5</v>
      </c>
      <c r="S178" s="34" t="n">
        <f aca="false">SUMPRODUCT(S151:S162,INS_V)*INDEX(IdxOV_V,1,MIN(10,S$147))*(1+V_dMat)/(1-V_Merma)</f>
        <v>92632.5</v>
      </c>
      <c r="T178" s="34" t="n">
        <f aca="false">SUMPRODUCT(T151:T162,INS_V)*INDEX(IdxOV_V,1,MIN(10,T$147))*(1+V_dMat)/(1-V_Merma)</f>
        <v>92632.5</v>
      </c>
      <c r="U178" s="34" t="n">
        <f aca="false">SUMPRODUCT(U151:U162,INS_V)*INDEX(IdxOV_V,1,MIN(10,U$147))*(1+V_dMat)/(1-V_Merma)</f>
        <v>92632.5</v>
      </c>
      <c r="V178" s="34" t="n">
        <f aca="false">SUMPRODUCT(V151:V162,INS_V)*INDEX(IdxOV_V,1,MIN(10,V$147))*(1+V_dMat)/(1-V_Merma)</f>
        <v>92632.5</v>
      </c>
      <c r="W178" s="34" t="n">
        <f aca="false">SUMPRODUCT(W151:W162,INS_V)*INDEX(IdxOV_V,1,MIN(10,W$147))*(1+V_dMat)/(1-V_Merma)</f>
        <v>92632.5</v>
      </c>
      <c r="X178" s="34" t="n">
        <f aca="false">SUMPRODUCT(X151:X162,INS_V)*INDEX(IdxOV_V,1,MIN(10,X$147))*(1+V_dMat)/(1-V_Merma)</f>
        <v>92632.5</v>
      </c>
      <c r="Y178" s="34" t="n">
        <f aca="false">SUMPRODUCT(Y151:Y162,INS_V)*INDEX(IdxOV_V,1,MIN(10,Y$147))*(1+V_dMat)/(1-V_Merma)</f>
        <v>92632.5</v>
      </c>
      <c r="Z178" s="34" t="n">
        <f aca="false">SUMPRODUCT(Z151:Z162,INS_V)*INDEX(IdxOV_V,1,MIN(10,Z$147))*(1+V_dMat)/(1-V_Merma)</f>
        <v>92632.5</v>
      </c>
      <c r="AA178" s="34" t="n">
        <f aca="false">SUMPRODUCT(AA151:AA162,INS_V)*INDEX(IdxOV_V,1,MIN(10,AA$147))*(1+V_dMat)/(1-V_Merma)</f>
        <v>92632.5</v>
      </c>
      <c r="AB178" s="34" t="n">
        <f aca="false">SUMPRODUCT(AB151:AB162,INS_V)*INDEX(IdxOV_V,1,MIN(10,AB$147))*(1+V_dMat)/(1-V_Merma)</f>
        <v>92632.5</v>
      </c>
      <c r="AC178" s="34" t="n">
        <f aca="false">SUMPRODUCT(AC151:AC162,INS_V)*INDEX(IdxOV_V,1,MIN(10,AC$147))*(1+V_dMat)/(1-V_Merma)</f>
        <v>92632.5</v>
      </c>
      <c r="AD178" s="34" t="n">
        <f aca="false">SUMPRODUCT(AD151:AD162,INS_V)*INDEX(IdxOV_V,1,MIN(10,AD$147))*(1+V_dMat)/(1-V_Merma)</f>
        <v>111967.5</v>
      </c>
      <c r="AE178" s="34" t="n">
        <f aca="false">SUMPRODUCT(AE151:AE162,INS_V)*INDEX(IdxOV_V,1,MIN(10,AE$147))*(1+V_dMat)/(1-V_Merma)</f>
        <v>111967.5</v>
      </c>
      <c r="AF178" s="34" t="n">
        <f aca="false">SUMPRODUCT(AF151:AF162,INS_V)*INDEX(IdxOV_V,1,MIN(10,AF$147))*(1+V_dMat)/(1-V_Merma)</f>
        <v>111967.5</v>
      </c>
      <c r="AG178" s="34" t="n">
        <f aca="false">SUMPRODUCT(AG151:AG162,INS_V)*INDEX(IdxOV_V,1,MIN(10,AG$147))*(1+V_dMat)/(1-V_Merma)</f>
        <v>111967.5</v>
      </c>
      <c r="AH178" s="34" t="n">
        <f aca="false">SUMPRODUCT(AH151:AH162,INS_V)*INDEX(IdxOV_V,1,MIN(10,AH$147))*(1+V_dMat)/(1-V_Merma)</f>
        <v>111967.5</v>
      </c>
      <c r="AI178" s="34" t="n">
        <f aca="false">SUMPRODUCT(AI151:AI162,INS_V)*INDEX(IdxOV_V,1,MIN(10,AI$147))*(1+V_dMat)/(1-V_Merma)</f>
        <v>111967.5</v>
      </c>
      <c r="AJ178" s="34" t="n">
        <f aca="false">SUMPRODUCT(AJ151:AJ162,INS_V)*INDEX(IdxOV_V,1,MIN(10,AJ$147))*(1+V_dMat)/(1-V_Merma)</f>
        <v>111967.5</v>
      </c>
      <c r="AK178" s="34" t="n">
        <f aca="false">SUMPRODUCT(AK151:AK162,INS_V)*INDEX(IdxOV_V,1,MIN(10,AK$147))*(1+V_dMat)/(1-V_Merma)</f>
        <v>111967.5</v>
      </c>
      <c r="AL178" s="34" t="n">
        <f aca="false">SUMPRODUCT(AL151:AL162,INS_V)*INDEX(IdxOV_V,1,MIN(10,AL$147))*(1+V_dMat)/(1-V_Merma)</f>
        <v>111967.5</v>
      </c>
      <c r="AM178" s="34" t="n">
        <f aca="false">SUMPRODUCT(AM151:AM162,INS_V)*INDEX(IdxOV_V,1,MIN(10,AM$147))*(1+V_dMat)/(1-V_Merma)</f>
        <v>111967.5</v>
      </c>
      <c r="AN178" s="34" t="n">
        <f aca="false">SUMPRODUCT(AN151:AN162,INS_V)*INDEX(IdxOV_V,1,MIN(10,AN$147))*(1+V_dMat)/(1-V_Merma)</f>
        <v>111967.5</v>
      </c>
      <c r="AO178" s="34" t="n">
        <f aca="false">SUMPRODUCT(AO151:AO162,INS_V)*INDEX(IdxOV_V,1,MIN(10,AO$147))*(1+V_dMat)/(1-V_Merma)</f>
        <v>111967.5</v>
      </c>
      <c r="AP178" s="34" t="n">
        <f aca="false">SUMPRODUCT(AP151:AP162,INS_V)*INDEX(IdxOV_V,1,MIN(10,AP$147))*(1+V_dMat)/(1-V_Merma)</f>
        <v>127260</v>
      </c>
      <c r="AQ178" s="34" t="n">
        <f aca="false">SUMPRODUCT(AQ151:AQ162,INS_V)*INDEX(IdxOV_V,1,MIN(10,AQ$147))*(1+V_dMat)/(1-V_Merma)</f>
        <v>127260</v>
      </c>
      <c r="AR178" s="34" t="n">
        <f aca="false">SUMPRODUCT(AR151:AR162,INS_V)*INDEX(IdxOV_V,1,MIN(10,AR$147))*(1+V_dMat)/(1-V_Merma)</f>
        <v>127260</v>
      </c>
      <c r="AS178" s="34" t="n">
        <f aca="false">SUMPRODUCT(AS151:AS162,INS_V)*INDEX(IdxOV_V,1,MIN(10,AS$147))*(1+V_dMat)/(1-V_Merma)</f>
        <v>127260</v>
      </c>
      <c r="AT178" s="34" t="n">
        <f aca="false">SUMPRODUCT(AT151:AT162,INS_V)*INDEX(IdxOV_V,1,MIN(10,AT$147))*(1+V_dMat)/(1-V_Merma)</f>
        <v>127260</v>
      </c>
      <c r="AU178" s="34" t="n">
        <f aca="false">SUMPRODUCT(AU151:AU162,INS_V)*INDEX(IdxOV_V,1,MIN(10,AU$147))*(1+V_dMat)/(1-V_Merma)</f>
        <v>127260</v>
      </c>
      <c r="AV178" s="34" t="n">
        <f aca="false">SUMPRODUCT(AV151:AV162,INS_V)*INDEX(IdxOV_V,1,MIN(10,AV$147))*(1+V_dMat)/(1-V_Merma)</f>
        <v>127260</v>
      </c>
      <c r="AW178" s="34" t="n">
        <f aca="false">SUMPRODUCT(AW151:AW162,INS_V)*INDEX(IdxOV_V,1,MIN(10,AW$147))*(1+V_dMat)/(1-V_Merma)</f>
        <v>127260</v>
      </c>
      <c r="AX178" s="34" t="n">
        <f aca="false">SUMPRODUCT(AX151:AX162,INS_V)*INDEX(IdxOV_V,1,MIN(10,AX$147))*(1+V_dMat)/(1-V_Merma)</f>
        <v>127260</v>
      </c>
      <c r="AY178" s="34" t="n">
        <f aca="false">SUMPRODUCT(AY151:AY162,INS_V)*INDEX(IdxOV_V,1,MIN(10,AY$147))*(1+V_dMat)/(1-V_Merma)</f>
        <v>127260</v>
      </c>
      <c r="AZ178" s="34" t="n">
        <f aca="false">SUMPRODUCT(AZ151:AZ162,INS_V)*INDEX(IdxOV_V,1,MIN(10,AZ$147))*(1+V_dMat)/(1-V_Merma)</f>
        <v>127260</v>
      </c>
      <c r="BA178" s="34" t="n">
        <f aca="false">SUMPRODUCT(BA151:BA162,INS_V)*INDEX(IdxOV_V,1,MIN(10,BA$147))*(1+V_dMat)/(1-V_Merma)</f>
        <v>127260</v>
      </c>
      <c r="BB178" s="34" t="n">
        <f aca="false">SUMPRODUCT(BB151:BB162,INS_V)*INDEX(IdxOV_V,1,MIN(10,BB$147))*(1+V_dMat)/(1-V_Merma)</f>
        <v>127260</v>
      </c>
      <c r="BC178" s="34" t="n">
        <f aca="false">SUMPRODUCT(BC151:BC162,INS_V)*INDEX(IdxOV_V,1,MIN(10,BC$147))*(1+V_dMat)/(1-V_Merma)</f>
        <v>127260</v>
      </c>
      <c r="BD178" s="34" t="n">
        <f aca="false">SUMPRODUCT(BD151:BD162,INS_V)*INDEX(IdxOV_V,1,MIN(10,BD$147))*(1+V_dMat)/(1-V_Merma)</f>
        <v>127260</v>
      </c>
      <c r="BE178" s="34" t="n">
        <f aca="false">SUMPRODUCT(BE151:BE162,INS_V)*INDEX(IdxOV_V,1,MIN(10,BE$147))*(1+V_dMat)/(1-V_Merma)</f>
        <v>127260</v>
      </c>
      <c r="BF178" s="34" t="n">
        <f aca="false">SUMPRODUCT(BF151:BF162,INS_V)*INDEX(IdxOV_V,1,MIN(10,BF$147))*(1+V_dMat)/(1-V_Merma)</f>
        <v>127260</v>
      </c>
      <c r="BG178" s="34" t="n">
        <f aca="false">SUMPRODUCT(BG151:BG162,INS_V)*INDEX(IdxOV_V,1,MIN(10,BG$147))*(1+V_dMat)/(1-V_Merma)</f>
        <v>127260</v>
      </c>
      <c r="BH178" s="34" t="n">
        <f aca="false">SUMPRODUCT(BH151:BH162,INS_V)*INDEX(IdxOV_V,1,MIN(10,BH$147))*(1+V_dMat)/(1-V_Merma)</f>
        <v>127260</v>
      </c>
      <c r="BI178" s="34" t="n">
        <f aca="false">SUMPRODUCT(BI151:BI162,INS_V)*INDEX(IdxOV_V,1,MIN(10,BI$147))*(1+V_dMat)/(1-V_Merma)</f>
        <v>127260</v>
      </c>
      <c r="BJ178" s="34" t="n">
        <f aca="false">SUMPRODUCT(BJ151:BJ162,INS_V)*INDEX(IdxOV_V,1,MIN(10,BJ$147))*(1+V_dMat)/(1-V_Merma)</f>
        <v>127260</v>
      </c>
      <c r="BK178" s="34" t="n">
        <f aca="false">SUMPRODUCT(BK151:BK162,INS_V)*INDEX(IdxOV_V,1,MIN(10,BK$147))*(1+V_dMat)/(1-V_Merma)</f>
        <v>127260</v>
      </c>
      <c r="BL178" s="34" t="n">
        <f aca="false">SUMPRODUCT(BL151:BL162,INS_V)*INDEX(IdxOV_V,1,MIN(10,BL$147))*(1+V_dMat)/(1-V_Merma)</f>
        <v>127260</v>
      </c>
      <c r="BM178" s="34" t="n">
        <f aca="false">SUMPRODUCT(BM151:BM162,INS_V)*INDEX(IdxOV_V,1,MIN(10,BM$147))*(1+V_dMat)/(1-V_Merma)</f>
        <v>127260</v>
      </c>
      <c r="BN178" s="34" t="n">
        <f aca="false">SUMPRODUCT(BN151:BN162,INS_V)*INDEX(IdxOV_V,1,MIN(10,BN$147))*(1+V_dMat)/(1-V_Merma)</f>
        <v>127260</v>
      </c>
      <c r="BO178" s="34" t="n">
        <f aca="false">SUMPRODUCT(BO151:BO162,INS_V)*INDEX(IdxOV_V,1,MIN(10,BO$147))*(1+V_dMat)/(1-V_Merma)</f>
        <v>127260</v>
      </c>
      <c r="BP178" s="34" t="n">
        <f aca="false">SUMPRODUCT(BP151:BP162,INS_V)*INDEX(IdxOV_V,1,MIN(10,BP$147))*(1+V_dMat)/(1-V_Merma)</f>
        <v>127260</v>
      </c>
      <c r="BQ178" s="34" t="n">
        <f aca="false">SUMPRODUCT(BQ151:BQ162,INS_V)*INDEX(IdxOV_V,1,MIN(10,BQ$147))*(1+V_dMat)/(1-V_Merma)</f>
        <v>127260</v>
      </c>
      <c r="BR178" s="34" t="n">
        <f aca="false">SUMPRODUCT(BR151:BR162,INS_V)*INDEX(IdxOV_V,1,MIN(10,BR$147))*(1+V_dMat)/(1-V_Merma)</f>
        <v>127260</v>
      </c>
      <c r="BS178" s="34" t="n">
        <f aca="false">SUMPRODUCT(BS151:BS162,INS_V)*INDEX(IdxOV_V,1,MIN(10,BS$147))*(1+V_dMat)/(1-V_Merma)</f>
        <v>127260</v>
      </c>
      <c r="BT178" s="34" t="n">
        <f aca="false">SUMPRODUCT(BT151:BT162,INS_V)*INDEX(IdxOV_V,1,MIN(10,BT$147))*(1+V_dMat)/(1-V_Merma)</f>
        <v>127260</v>
      </c>
      <c r="BU178" s="34" t="n">
        <f aca="false">SUMPRODUCT(BU151:BU162,INS_V)*INDEX(IdxOV_V,1,MIN(10,BU$147))*(1+V_dMat)/(1-V_Merma)</f>
        <v>127260</v>
      </c>
      <c r="BV178" s="34" t="n">
        <f aca="false">SUMPRODUCT(BV151:BV162,INS_V)*INDEX(IdxOV_V,1,MIN(10,BV$147))*(1+V_dMat)/(1-V_Merma)</f>
        <v>127260</v>
      </c>
      <c r="BW178" s="34" t="n">
        <f aca="false">SUMPRODUCT(BW151:BW162,INS_V)*INDEX(IdxOV_V,1,MIN(10,BW$147))*(1+V_dMat)/(1-V_Merma)</f>
        <v>127260</v>
      </c>
      <c r="BX178" s="34" t="n">
        <f aca="false">SUMPRODUCT(BX151:BX162,INS_V)*INDEX(IdxOV_V,1,MIN(10,BX$147))*(1+V_dMat)/(1-V_Merma)</f>
        <v>127260</v>
      </c>
      <c r="BY178" s="34" t="n">
        <f aca="false">SUMPRODUCT(BY151:BY162,INS_V)*INDEX(IdxOV_V,1,MIN(10,BY$147))*(1+V_dMat)/(1-V_Merma)</f>
        <v>127260</v>
      </c>
      <c r="BZ178" s="34" t="n">
        <f aca="false">SUMPRODUCT(BZ151:BZ162,INS_V)*INDEX(IdxOV_V,1,MIN(10,BZ$147))*(1+V_dMat)/(1-V_Merma)</f>
        <v>127260</v>
      </c>
      <c r="CA178" s="34" t="n">
        <f aca="false">SUMPRODUCT(CA151:CA162,INS_V)*INDEX(IdxOV_V,1,MIN(10,CA$147))*(1+V_dMat)/(1-V_Merma)</f>
        <v>127260</v>
      </c>
      <c r="CB178" s="34" t="n">
        <f aca="false">SUMPRODUCT(CB151:CB162,INS_V)*INDEX(IdxOV_V,1,MIN(10,CB$147))*(1+V_dMat)/(1-V_Merma)</f>
        <v>127260</v>
      </c>
      <c r="CC178" s="34" t="n">
        <f aca="false">SUMPRODUCT(CC151:CC162,INS_V)*INDEX(IdxOV_V,1,MIN(10,CC$147))*(1+V_dMat)/(1-V_Merma)</f>
        <v>127260</v>
      </c>
      <c r="CD178" s="34" t="n">
        <f aca="false">SUMPRODUCT(CD151:CD162,INS_V)*INDEX(IdxOV_V,1,MIN(10,CD$147))*(1+V_dMat)/(1-V_Merma)</f>
        <v>127260</v>
      </c>
      <c r="CE178" s="34" t="n">
        <f aca="false">SUMPRODUCT(CE151:CE162,INS_V)*INDEX(IdxOV_V,1,MIN(10,CE$147))*(1+V_dMat)/(1-V_Merma)</f>
        <v>127260</v>
      </c>
      <c r="CF178" s="34" t="n">
        <f aca="false">SUMPRODUCT(CF151:CF162,INS_V)*INDEX(IdxOV_V,1,MIN(10,CF$147))*(1+V_dMat)/(1-V_Merma)</f>
        <v>127260</v>
      </c>
      <c r="CG178" s="34" t="n">
        <f aca="false">SUMPRODUCT(CG151:CG162,INS_V)*INDEX(IdxOV_V,1,MIN(10,CG$147))*(1+V_dMat)/(1-V_Merma)</f>
        <v>127260</v>
      </c>
      <c r="CH178" s="34" t="n">
        <f aca="false">SUMPRODUCT(CH151:CH162,INS_V)*INDEX(IdxOV_V,1,MIN(10,CH$147))*(1+V_dMat)/(1-V_Merma)</f>
        <v>127260</v>
      </c>
      <c r="CI178" s="34" t="n">
        <f aca="false">SUMPRODUCT(CI151:CI162,INS_V)*INDEX(IdxOV_V,1,MIN(10,CI$147))*(1+V_dMat)/(1-V_Merma)</f>
        <v>127260</v>
      </c>
      <c r="CJ178" s="34" t="n">
        <f aca="false">SUMPRODUCT(CJ151:CJ162,INS_V)*INDEX(IdxOV_V,1,MIN(10,CJ$147))*(1+V_dMat)/(1-V_Merma)</f>
        <v>127260</v>
      </c>
      <c r="CK178" s="34" t="n">
        <f aca="false">SUMPRODUCT(CK151:CK162,INS_V)*INDEX(IdxOV_V,1,MIN(10,CK$147))*(1+V_dMat)/(1-V_Merma)</f>
        <v>127260</v>
      </c>
      <c r="CL178" s="34" t="n">
        <f aca="false">SUMPRODUCT(CL151:CL162,INS_V)*INDEX(IdxOV_V,1,MIN(10,CL$147))*(1+V_dMat)/(1-V_Merma)</f>
        <v>127260</v>
      </c>
      <c r="CM178" s="34" t="n">
        <f aca="false">SUMPRODUCT(CM151:CM162,INS_V)*INDEX(IdxOV_V,1,MIN(10,CM$147))*(1+V_dMat)/(1-V_Merma)</f>
        <v>127260</v>
      </c>
      <c r="CN178" s="34" t="n">
        <f aca="false">SUMPRODUCT(CN151:CN162,INS_V)*INDEX(IdxOV_V,1,MIN(10,CN$147))*(1+V_dMat)/(1-V_Merma)</f>
        <v>127260</v>
      </c>
      <c r="CO178" s="34" t="n">
        <f aca="false">SUMPRODUCT(CO151:CO162,INS_V)*INDEX(IdxOV_V,1,MIN(10,CO$147))*(1+V_dMat)/(1-V_Merma)</f>
        <v>127260</v>
      </c>
      <c r="CP178" s="34" t="n">
        <f aca="false">SUMPRODUCT(CP151:CP162,INS_V)*INDEX(IdxOV_V,1,MIN(10,CP$147))*(1+V_dMat)/(1-V_Merma)</f>
        <v>127260</v>
      </c>
      <c r="CQ178" s="34" t="n">
        <f aca="false">SUMPRODUCT(CQ151:CQ162,INS_V)*INDEX(IdxOV_V,1,MIN(10,CQ$147))*(1+V_dMat)/(1-V_Merma)</f>
        <v>127260</v>
      </c>
      <c r="CR178" s="34" t="n">
        <f aca="false">SUMPRODUCT(CR151:CR162,INS_V)*INDEX(IdxOV_V,1,MIN(10,CR$147))*(1+V_dMat)/(1-V_Merma)</f>
        <v>127260</v>
      </c>
      <c r="CS178" s="34" t="n">
        <f aca="false">SUMPRODUCT(CS151:CS162,INS_V)*INDEX(IdxOV_V,1,MIN(10,CS$147))*(1+V_dMat)/(1-V_Merma)</f>
        <v>127260</v>
      </c>
      <c r="CT178" s="34" t="n">
        <f aca="false">SUMPRODUCT(CT151:CT162,INS_V)*INDEX(IdxOV_V,1,MIN(10,CT$147))*(1+V_dMat)/(1-V_Merma)</f>
        <v>127260</v>
      </c>
      <c r="CU178" s="34" t="n">
        <f aca="false">SUMPRODUCT(CU151:CU162,INS_V)*INDEX(IdxOV_V,1,MIN(10,CU$147))*(1+V_dMat)/(1-V_Merma)</f>
        <v>127260</v>
      </c>
      <c r="CV178" s="34" t="n">
        <f aca="false">SUMPRODUCT(CV151:CV162,INS_V)*INDEX(IdxOV_V,1,MIN(10,CV$147))*(1+V_dMat)/(1-V_Merma)</f>
        <v>127260</v>
      </c>
      <c r="CW178" s="34" t="n">
        <f aca="false">SUMPRODUCT(CW151:CW162,INS_V)*INDEX(IdxOV_V,1,MIN(10,CW$147))*(1+V_dMat)/(1-V_Merma)</f>
        <v>127260</v>
      </c>
      <c r="CX178" s="34" t="n">
        <f aca="false">SUMPRODUCT(CX151:CX162,INS_V)*INDEX(IdxOV_V,1,MIN(10,CX$147))*(1+V_dMat)/(1-V_Merma)</f>
        <v>127260</v>
      </c>
      <c r="CY178" s="34" t="n">
        <f aca="false">SUMPRODUCT(CY151:CY162,INS_V)*INDEX(IdxOV_V,1,MIN(10,CY$147))*(1+V_dMat)/(1-V_Merma)</f>
        <v>127260</v>
      </c>
      <c r="CZ178" s="34" t="n">
        <f aca="false">SUMPRODUCT(CZ151:CZ162,INS_V)*INDEX(IdxOV_V,1,MIN(10,CZ$147))*(1+V_dMat)/(1-V_Merma)</f>
        <v>127260</v>
      </c>
      <c r="DA178" s="34" t="n">
        <f aca="false">SUMPRODUCT(DA151:DA162,INS_V)*INDEX(IdxOV_V,1,MIN(10,DA$147))*(1+V_dMat)/(1-V_Merma)</f>
        <v>127260</v>
      </c>
      <c r="DB178" s="34" t="n">
        <f aca="false">SUMPRODUCT(DB151:DB162,INS_V)*INDEX(IdxOV_V,1,MIN(10,DB$147))*(1+V_dMat)/(1-V_Merma)</f>
        <v>127260</v>
      </c>
      <c r="DC178" s="34" t="n">
        <f aca="false">SUMPRODUCT(DC151:DC162,INS_V)*INDEX(IdxOV_V,1,MIN(10,DC$147))*(1+V_dMat)/(1-V_Merma)</f>
        <v>127260</v>
      </c>
      <c r="DD178" s="34" t="n">
        <f aca="false">SUMPRODUCT(DD151:DD162,INS_V)*INDEX(IdxOV_V,1,MIN(10,DD$147))*(1+V_dMat)/(1-V_Merma)</f>
        <v>127260</v>
      </c>
      <c r="DE178" s="34" t="n">
        <f aca="false">SUMPRODUCT(DE151:DE162,INS_V)*INDEX(IdxOV_V,1,MIN(10,DE$147))*(1+V_dMat)/(1-V_Merma)</f>
        <v>127260</v>
      </c>
      <c r="DF178" s="34" t="n">
        <f aca="false">SUMPRODUCT(DF151:DF162,INS_V)*INDEX(IdxOV_V,1,MIN(10,DF$147))*(1+V_dMat)/(1-V_Merma)</f>
        <v>127260</v>
      </c>
      <c r="DG178" s="34" t="n">
        <f aca="false">SUMPRODUCT(DG151:DG162,INS_V)*INDEX(IdxOV_V,1,MIN(10,DG$147))*(1+V_dMat)/(1-V_Merma)</f>
        <v>127260</v>
      </c>
      <c r="DH178" s="34" t="n">
        <f aca="false">SUMPRODUCT(DH151:DH162,INS_V)*INDEX(IdxOV_V,1,MIN(10,DH$147))*(1+V_dMat)/(1-V_Merma)</f>
        <v>127260</v>
      </c>
      <c r="DI178" s="34" t="n">
        <f aca="false">SUMPRODUCT(DI151:DI162,INS_V)*INDEX(IdxOV_V,1,MIN(10,DI$147))*(1+V_dMat)/(1-V_Merma)</f>
        <v>127260</v>
      </c>
      <c r="DJ178" s="34" t="n">
        <f aca="false">SUMPRODUCT(DJ151:DJ162,INS_V)*INDEX(IdxOV_V,1,MIN(10,DJ$147))*(1+V_dMat)/(1-V_Merma)</f>
        <v>127260</v>
      </c>
      <c r="DK178" s="34" t="n">
        <f aca="false">SUMPRODUCT(DK151:DK162,INS_V)*INDEX(IdxOV_V,1,MIN(10,DK$147))*(1+V_dMat)/(1-V_Merma)</f>
        <v>127260</v>
      </c>
      <c r="DL178" s="34" t="n">
        <f aca="false">SUMPRODUCT(DL151:DL162,INS_V)*INDEX(IdxOV_V,1,MIN(10,DL$147))*(1+V_dMat)/(1-V_Merma)</f>
        <v>127260</v>
      </c>
      <c r="DM178" s="34" t="n">
        <f aca="false">SUMPRODUCT(DM151:DM162,INS_V)*INDEX(IdxOV_V,1,MIN(10,DM$147))*(1+V_dMat)/(1-V_Merma)</f>
        <v>127260</v>
      </c>
      <c r="DN178" s="34" t="n">
        <f aca="false">SUMPRODUCT(DN151:DN162,INS_V)*INDEX(IdxOV_V,1,MIN(10,DN$147))*(1+V_dMat)/(1-V_Merma)</f>
        <v>127260</v>
      </c>
      <c r="DO178" s="34" t="n">
        <f aca="false">SUMPRODUCT(DO151:DO162,INS_V)*INDEX(IdxOV_V,1,MIN(10,DO$147))*(1+V_dMat)/(1-V_Merma)</f>
        <v>127260</v>
      </c>
      <c r="DP178" s="34" t="n">
        <f aca="false">SUMPRODUCT(DP151:DP162,INS_V)*INDEX(IdxOV_V,1,MIN(10,DP$147))*(1+V_dMat)/(1-V_Merma)</f>
        <v>127260</v>
      </c>
      <c r="DQ178" s="34" t="n">
        <f aca="false">SUMPRODUCT(DQ151:DQ162,INS_V)*INDEX(IdxOV_V,1,MIN(10,DQ$147))*(1+V_dMat)/(1-V_Merma)</f>
        <v>127260</v>
      </c>
      <c r="DR178" s="34" t="n">
        <f aca="false">SUMPRODUCT(DR151:DR162,INS_V)*INDEX(IdxOV_V,1,MIN(10,DR$147))*(1+V_dMat)/(1-V_Merma)</f>
        <v>127260</v>
      </c>
      <c r="DS178" s="34" t="n">
        <f aca="false">SUMPRODUCT(DS151:DS162,INS_V)*INDEX(IdxOV_V,1,MIN(10,DS$147))*(1+V_dMat)/(1-V_Merma)</f>
        <v>127260</v>
      </c>
      <c r="DT178" s="34" t="n">
        <f aca="false">SUMPRODUCT(DT151:DT162,INS_V)*INDEX(IdxOV_V,1,MIN(10,DT$147))*(1+V_dMat)/(1-V_Merma)</f>
        <v>127260</v>
      </c>
      <c r="DU178" s="34" t="n">
        <f aca="false">SUMPRODUCT(DU151:DU162,INS_V)*INDEX(IdxOV_V,1,MIN(10,DU$147))*(1+V_dMat)/(1-V_Merma)</f>
        <v>127260</v>
      </c>
      <c r="DV178" s="34" t="n">
        <f aca="false">SUMPRODUCT(DV151:DV162,INS_V)*INDEX(IdxOV_V,1,MIN(10,DV$147))*(1+V_dMat)/(1-V_Merma)</f>
        <v>0</v>
      </c>
      <c r="DW178" s="34" t="n">
        <f aca="false">SUMPRODUCT(DW151:DW162,INS_V)*INDEX(IdxOV_V,1,MIN(10,DW$147))*(1+V_dMat)/(1-V_Merma)</f>
        <v>0</v>
      </c>
      <c r="DX178" s="34" t="n">
        <f aca="false">SUMPRODUCT(DX151:DX162,INS_V)*INDEX(IdxOV_V,1,MIN(10,DX$147))*(1+V_dMat)/(1-V_Merma)</f>
        <v>0</v>
      </c>
      <c r="DY178" s="34" t="n">
        <f aca="false">SUMPRODUCT(DY151:DY162,INS_V)*INDEX(IdxOV_V,1,MIN(10,DY$147))*(1+V_dMat)/(1-V_Merma)</f>
        <v>0</v>
      </c>
      <c r="DZ178" s="34" t="n">
        <f aca="false">SUMPRODUCT(DZ151:DZ162,INS_V)*INDEX(IdxOV_V,1,MIN(10,DZ$147))*(1+V_dMat)/(1-V_Merma)</f>
        <v>0</v>
      </c>
      <c r="EA178" s="34" t="n">
        <f aca="false">SUMPRODUCT(EA151:EA162,INS_V)*INDEX(IdxOV_V,1,MIN(10,EA$147))*(1+V_dMat)/(1-V_Merma)</f>
        <v>0</v>
      </c>
      <c r="EB178" s="34" t="n">
        <f aca="false">SUMPRODUCT(EB151:EB162,INS_V)*INDEX(IdxOV_V,1,MIN(10,EB$147))*(1+V_dMat)/(1-V_Merma)</f>
        <v>0</v>
      </c>
      <c r="EC178" s="34" t="n">
        <f aca="false">SUMPRODUCT(EC151:EC162,INS_V)*INDEX(IdxOV_V,1,MIN(10,EC$147))*(1+V_dMat)/(1-V_Merma)</f>
        <v>0</v>
      </c>
      <c r="ED178" s="34" t="n">
        <f aca="false">SUMPRODUCT(ED151:ED162,INS_V)*INDEX(IdxOV_V,1,MIN(10,ED$147))*(1+V_dMat)/(1-V_Merma)</f>
        <v>0</v>
      </c>
      <c r="EE178" s="34" t="n">
        <f aca="false">SUMPRODUCT(EE151:EE162,INS_V)*INDEX(IdxOV_V,1,MIN(10,EE$147))*(1+V_dMat)/(1-V_Merma)</f>
        <v>0</v>
      </c>
      <c r="EF178" s="34" t="n">
        <f aca="false">SUMPRODUCT(EF151:EF162,INS_V)*INDEX(IdxOV_V,1,MIN(10,EF$147))*(1+V_dMat)/(1-V_Merma)</f>
        <v>0</v>
      </c>
      <c r="EG178" s="34" t="n">
        <f aca="false">SUMPRODUCT(EG151:EG162,INS_V)*INDEX(IdxOV_V,1,MIN(10,EG$147))*(1+V_dMat)/(1-V_Merma)</f>
        <v>0</v>
      </c>
      <c r="EH178" s="34" t="n">
        <f aca="false">SUMPRODUCT(EH151:EH162,INS_V)*INDEX(IdxOV_V,1,MIN(10,EH$147))*(1+V_dMat)/(1-V_Merma)</f>
        <v>0</v>
      </c>
      <c r="EI178" s="34" t="n">
        <f aca="false">SUMPRODUCT(EI151:EI162,INS_V)*INDEX(IdxOV_V,1,MIN(10,EI$147))*(1+V_dMat)/(1-V_Merma)</f>
        <v>0</v>
      </c>
      <c r="EJ178" s="34" t="n">
        <f aca="false">SUMPRODUCT(EJ151:EJ162,INS_V)*INDEX(IdxOV_V,1,MIN(10,EJ$147))*(1+V_dMat)/(1-V_Merma)</f>
        <v>0</v>
      </c>
      <c r="EK178" s="34" t="n">
        <f aca="false">SUMPRODUCT(EK151:EK162,INS_V)*INDEX(IdxOV_V,1,MIN(10,EK$147))*(1+V_dMat)/(1-V_Merma)</f>
        <v>0</v>
      </c>
      <c r="EL178" s="34" t="n">
        <f aca="false">SUMPRODUCT(EL151:EL162,INS_V)*INDEX(IdxOV_V,1,MIN(10,EL$147))*(1+V_dMat)/(1-V_Merma)</f>
        <v>0</v>
      </c>
      <c r="EM178" s="34" t="n">
        <f aca="false">SUMPRODUCT(EM151:EM162,INS_V)*INDEX(IdxOV_V,1,MIN(10,EM$147))*(1+V_dMat)/(1-V_Merma)</f>
        <v>0</v>
      </c>
      <c r="EN178" s="34" t="n">
        <f aca="false">SUMPRODUCT(EN151:EN162,INS_V)*INDEX(IdxOV_V,1,MIN(10,EN$147))*(1+V_dMat)/(1-V_Merma)</f>
        <v>0</v>
      </c>
      <c r="EO178" s="34" t="n">
        <f aca="false">SUMPRODUCT(EO151:EO162,INS_V)*INDEX(IdxOV_V,1,MIN(10,EO$147))*(1+V_dMat)/(1-V_Merma)</f>
        <v>0</v>
      </c>
      <c r="EP178" s="34" t="n">
        <f aca="false">SUMPRODUCT(EP151:EP162,INS_V)*INDEX(IdxOV_V,1,MIN(10,EP$147))*(1+V_dMat)/(1-V_Merma)</f>
        <v>0</v>
      </c>
      <c r="EQ178" s="34" t="n">
        <f aca="false">SUMPRODUCT(EQ151:EQ162,INS_V)*INDEX(IdxOV_V,1,MIN(10,EQ$147))*(1+V_dMat)/(1-V_Merma)</f>
        <v>0</v>
      </c>
      <c r="ER178" s="34" t="n">
        <f aca="false">SUMPRODUCT(ER151:ER162,INS_V)*INDEX(IdxOV_V,1,MIN(10,ER$147))*(1+V_dMat)/(1-V_Merma)</f>
        <v>0</v>
      </c>
      <c r="ES178" s="34" t="n">
        <f aca="false">SUMPRODUCT(ES151:ES162,INS_V)*INDEX(IdxOV_V,1,MIN(10,ES$147))*(1+V_dMat)/(1-V_Merma)</f>
        <v>0</v>
      </c>
    </row>
    <row r="179" customFormat="false" ht="15" hidden="false" customHeight="false" outlineLevel="0" collapsed="false">
      <c r="A179" s="2" t="s">
        <v>794</v>
      </c>
      <c r="B179" s="6" t="s">
        <v>590</v>
      </c>
      <c r="C179" s="6" t="s">
        <v>250</v>
      </c>
      <c r="E179" s="40" t="n">
        <f aca="false">SUM(F179:ES179)</f>
        <v>8388891.936</v>
      </c>
      <c r="F179" s="34" t="n">
        <f aca="false">SUMPRODUCT(F151:F162,OV_V)*INDEX(IdxOV_V,1,MIN(10,F$147))*(1+V_dMat)/(1-V_Merma)</f>
        <v>43834.333</v>
      </c>
      <c r="G179" s="34" t="n">
        <f aca="false">SUMPRODUCT(G151:G162,OV_V)*INDEX(IdxOV_V,1,MIN(10,G$147))*(1+V_dMat)/(1-V_Merma)</f>
        <v>43834.333</v>
      </c>
      <c r="H179" s="34" t="n">
        <f aca="false">SUMPRODUCT(H151:H162,OV_V)*INDEX(IdxOV_V,1,MIN(10,H$147))*(1+V_dMat)/(1-V_Merma)</f>
        <v>43834.333</v>
      </c>
      <c r="I179" s="34" t="n">
        <f aca="false">SUMPRODUCT(I151:I162,OV_V)*INDEX(IdxOV_V,1,MIN(10,I$147))*(1+V_dMat)/(1-V_Merma)</f>
        <v>43834.333</v>
      </c>
      <c r="J179" s="34" t="n">
        <f aca="false">SUMPRODUCT(J151:J162,OV_V)*INDEX(IdxOV_V,1,MIN(10,J$147))*(1+V_dMat)/(1-V_Merma)</f>
        <v>43834.333</v>
      </c>
      <c r="K179" s="34" t="n">
        <f aca="false">SUMPRODUCT(K151:K162,OV_V)*INDEX(IdxOV_V,1,MIN(10,K$147))*(1+V_dMat)/(1-V_Merma)</f>
        <v>43834.333</v>
      </c>
      <c r="L179" s="34" t="n">
        <f aca="false">SUMPRODUCT(L151:L162,OV_V)*INDEX(IdxOV_V,1,MIN(10,L$147))*(1+V_dMat)/(1-V_Merma)</f>
        <v>43834.333</v>
      </c>
      <c r="M179" s="34" t="n">
        <f aca="false">SUMPRODUCT(M151:M162,OV_V)*INDEX(IdxOV_V,1,MIN(10,M$147))*(1+V_dMat)/(1-V_Merma)</f>
        <v>43834.333</v>
      </c>
      <c r="N179" s="34" t="n">
        <f aca="false">SUMPRODUCT(N151:N162,OV_V)*INDEX(IdxOV_V,1,MIN(10,N$147))*(1+V_dMat)/(1-V_Merma)</f>
        <v>43834.333</v>
      </c>
      <c r="O179" s="34" t="n">
        <f aca="false">SUMPRODUCT(O151:O162,OV_V)*INDEX(IdxOV_V,1,MIN(10,O$147))*(1+V_dMat)/(1-V_Merma)</f>
        <v>43834.333</v>
      </c>
      <c r="P179" s="34" t="n">
        <f aca="false">SUMPRODUCT(P151:P162,OV_V)*INDEX(IdxOV_V,1,MIN(10,P$147))*(1+V_dMat)/(1-V_Merma)</f>
        <v>43834.333</v>
      </c>
      <c r="Q179" s="34" t="n">
        <f aca="false">SUMPRODUCT(Q151:Q162,OV_V)*INDEX(IdxOV_V,1,MIN(10,Q$147))*(1+V_dMat)/(1-V_Merma)</f>
        <v>43834.333</v>
      </c>
      <c r="R179" s="34" t="n">
        <f aca="false">SUMPRODUCT(R151:R162,OV_V)*INDEX(IdxOV_V,1,MIN(10,R$147))*(1+V_dMat)/(1-V_Merma)</f>
        <v>55361.66625</v>
      </c>
      <c r="S179" s="34" t="n">
        <f aca="false">SUMPRODUCT(S151:S162,OV_V)*INDEX(IdxOV_V,1,MIN(10,S$147))*(1+V_dMat)/(1-V_Merma)</f>
        <v>55361.66625</v>
      </c>
      <c r="T179" s="34" t="n">
        <f aca="false">SUMPRODUCT(T151:T162,OV_V)*INDEX(IdxOV_V,1,MIN(10,T$147))*(1+V_dMat)/(1-V_Merma)</f>
        <v>55361.66625</v>
      </c>
      <c r="U179" s="34" t="n">
        <f aca="false">SUMPRODUCT(U151:U162,OV_V)*INDEX(IdxOV_V,1,MIN(10,U$147))*(1+V_dMat)/(1-V_Merma)</f>
        <v>55361.66625</v>
      </c>
      <c r="V179" s="34" t="n">
        <f aca="false">SUMPRODUCT(V151:V162,OV_V)*INDEX(IdxOV_V,1,MIN(10,V$147))*(1+V_dMat)/(1-V_Merma)</f>
        <v>55361.66625</v>
      </c>
      <c r="W179" s="34" t="n">
        <f aca="false">SUMPRODUCT(W151:W162,OV_V)*INDEX(IdxOV_V,1,MIN(10,W$147))*(1+V_dMat)/(1-V_Merma)</f>
        <v>55361.66625</v>
      </c>
      <c r="X179" s="34" t="n">
        <f aca="false">SUMPRODUCT(X151:X162,OV_V)*INDEX(IdxOV_V,1,MIN(10,X$147))*(1+V_dMat)/(1-V_Merma)</f>
        <v>55361.66625</v>
      </c>
      <c r="Y179" s="34" t="n">
        <f aca="false">SUMPRODUCT(Y151:Y162,OV_V)*INDEX(IdxOV_V,1,MIN(10,Y$147))*(1+V_dMat)/(1-V_Merma)</f>
        <v>55361.66625</v>
      </c>
      <c r="Z179" s="34" t="n">
        <f aca="false">SUMPRODUCT(Z151:Z162,OV_V)*INDEX(IdxOV_V,1,MIN(10,Z$147))*(1+V_dMat)/(1-V_Merma)</f>
        <v>55361.66625</v>
      </c>
      <c r="AA179" s="34" t="n">
        <f aca="false">SUMPRODUCT(AA151:AA162,OV_V)*INDEX(IdxOV_V,1,MIN(10,AA$147))*(1+V_dMat)/(1-V_Merma)</f>
        <v>55361.66625</v>
      </c>
      <c r="AB179" s="34" t="n">
        <f aca="false">SUMPRODUCT(AB151:AB162,OV_V)*INDEX(IdxOV_V,1,MIN(10,AB$147))*(1+V_dMat)/(1-V_Merma)</f>
        <v>55361.66625</v>
      </c>
      <c r="AC179" s="34" t="n">
        <f aca="false">SUMPRODUCT(AC151:AC162,OV_V)*INDEX(IdxOV_V,1,MIN(10,AC$147))*(1+V_dMat)/(1-V_Merma)</f>
        <v>55361.66625</v>
      </c>
      <c r="AD179" s="34" t="n">
        <f aca="false">SUMPRODUCT(AD151:AD162,OV_V)*INDEX(IdxOV_V,1,MIN(10,AD$147))*(1+V_dMat)/(1-V_Merma)</f>
        <v>66888.9995</v>
      </c>
      <c r="AE179" s="34" t="n">
        <f aca="false">SUMPRODUCT(AE151:AE162,OV_V)*INDEX(IdxOV_V,1,MIN(10,AE$147))*(1+V_dMat)/(1-V_Merma)</f>
        <v>66888.9995</v>
      </c>
      <c r="AF179" s="34" t="n">
        <f aca="false">SUMPRODUCT(AF151:AF162,OV_V)*INDEX(IdxOV_V,1,MIN(10,AF$147))*(1+V_dMat)/(1-V_Merma)</f>
        <v>66888.9995</v>
      </c>
      <c r="AG179" s="34" t="n">
        <f aca="false">SUMPRODUCT(AG151:AG162,OV_V)*INDEX(IdxOV_V,1,MIN(10,AG$147))*(1+V_dMat)/(1-V_Merma)</f>
        <v>66888.9995</v>
      </c>
      <c r="AH179" s="34" t="n">
        <f aca="false">SUMPRODUCT(AH151:AH162,OV_V)*INDEX(IdxOV_V,1,MIN(10,AH$147))*(1+V_dMat)/(1-V_Merma)</f>
        <v>66888.9995</v>
      </c>
      <c r="AI179" s="34" t="n">
        <f aca="false">SUMPRODUCT(AI151:AI162,OV_V)*INDEX(IdxOV_V,1,MIN(10,AI$147))*(1+V_dMat)/(1-V_Merma)</f>
        <v>66888.9995</v>
      </c>
      <c r="AJ179" s="34" t="n">
        <f aca="false">SUMPRODUCT(AJ151:AJ162,OV_V)*INDEX(IdxOV_V,1,MIN(10,AJ$147))*(1+V_dMat)/(1-V_Merma)</f>
        <v>66888.9995</v>
      </c>
      <c r="AK179" s="34" t="n">
        <f aca="false">SUMPRODUCT(AK151:AK162,OV_V)*INDEX(IdxOV_V,1,MIN(10,AK$147))*(1+V_dMat)/(1-V_Merma)</f>
        <v>66888.9995</v>
      </c>
      <c r="AL179" s="34" t="n">
        <f aca="false">SUMPRODUCT(AL151:AL162,OV_V)*INDEX(IdxOV_V,1,MIN(10,AL$147))*(1+V_dMat)/(1-V_Merma)</f>
        <v>66888.9995</v>
      </c>
      <c r="AM179" s="34" t="n">
        <f aca="false">SUMPRODUCT(AM151:AM162,OV_V)*INDEX(IdxOV_V,1,MIN(10,AM$147))*(1+V_dMat)/(1-V_Merma)</f>
        <v>66888.9995</v>
      </c>
      <c r="AN179" s="34" t="n">
        <f aca="false">SUMPRODUCT(AN151:AN162,OV_V)*INDEX(IdxOV_V,1,MIN(10,AN$147))*(1+V_dMat)/(1-V_Merma)</f>
        <v>66888.9995</v>
      </c>
      <c r="AO179" s="34" t="n">
        <f aca="false">SUMPRODUCT(AO151:AO162,OV_V)*INDEX(IdxOV_V,1,MIN(10,AO$147))*(1+V_dMat)/(1-V_Merma)</f>
        <v>66888.9995</v>
      </c>
      <c r="AP179" s="34" t="n">
        <f aca="false">SUMPRODUCT(AP151:AP162,OV_V)*INDEX(IdxOV_V,1,MIN(10,AP$147))*(1+V_dMat)/(1-V_Merma)</f>
        <v>76141.33275</v>
      </c>
      <c r="AQ179" s="34" t="n">
        <f aca="false">SUMPRODUCT(AQ151:AQ162,OV_V)*INDEX(IdxOV_V,1,MIN(10,AQ$147))*(1+V_dMat)/(1-V_Merma)</f>
        <v>76141.33275</v>
      </c>
      <c r="AR179" s="34" t="n">
        <f aca="false">SUMPRODUCT(AR151:AR162,OV_V)*INDEX(IdxOV_V,1,MIN(10,AR$147))*(1+V_dMat)/(1-V_Merma)</f>
        <v>76141.33275</v>
      </c>
      <c r="AS179" s="34" t="n">
        <f aca="false">SUMPRODUCT(AS151:AS162,OV_V)*INDEX(IdxOV_V,1,MIN(10,AS$147))*(1+V_dMat)/(1-V_Merma)</f>
        <v>76141.33275</v>
      </c>
      <c r="AT179" s="34" t="n">
        <f aca="false">SUMPRODUCT(AT151:AT162,OV_V)*INDEX(IdxOV_V,1,MIN(10,AT$147))*(1+V_dMat)/(1-V_Merma)</f>
        <v>76141.33275</v>
      </c>
      <c r="AU179" s="34" t="n">
        <f aca="false">SUMPRODUCT(AU151:AU162,OV_V)*INDEX(IdxOV_V,1,MIN(10,AU$147))*(1+V_dMat)/(1-V_Merma)</f>
        <v>76141.33275</v>
      </c>
      <c r="AV179" s="34" t="n">
        <f aca="false">SUMPRODUCT(AV151:AV162,OV_V)*INDEX(IdxOV_V,1,MIN(10,AV$147))*(1+V_dMat)/(1-V_Merma)</f>
        <v>76141.33275</v>
      </c>
      <c r="AW179" s="34" t="n">
        <f aca="false">SUMPRODUCT(AW151:AW162,OV_V)*INDEX(IdxOV_V,1,MIN(10,AW$147))*(1+V_dMat)/(1-V_Merma)</f>
        <v>76141.33275</v>
      </c>
      <c r="AX179" s="34" t="n">
        <f aca="false">SUMPRODUCT(AX151:AX162,OV_V)*INDEX(IdxOV_V,1,MIN(10,AX$147))*(1+V_dMat)/(1-V_Merma)</f>
        <v>76141.33275</v>
      </c>
      <c r="AY179" s="34" t="n">
        <f aca="false">SUMPRODUCT(AY151:AY162,OV_V)*INDEX(IdxOV_V,1,MIN(10,AY$147))*(1+V_dMat)/(1-V_Merma)</f>
        <v>76141.33275</v>
      </c>
      <c r="AZ179" s="34" t="n">
        <f aca="false">SUMPRODUCT(AZ151:AZ162,OV_V)*INDEX(IdxOV_V,1,MIN(10,AZ$147))*(1+V_dMat)/(1-V_Merma)</f>
        <v>76141.33275</v>
      </c>
      <c r="BA179" s="34" t="n">
        <f aca="false">SUMPRODUCT(BA151:BA162,OV_V)*INDEX(IdxOV_V,1,MIN(10,BA$147))*(1+V_dMat)/(1-V_Merma)</f>
        <v>76141.33275</v>
      </c>
      <c r="BB179" s="34" t="n">
        <f aca="false">SUMPRODUCT(BB151:BB162,OV_V)*INDEX(IdxOV_V,1,MIN(10,BB$147))*(1+V_dMat)/(1-V_Merma)</f>
        <v>76141.33275</v>
      </c>
      <c r="BC179" s="34" t="n">
        <f aca="false">SUMPRODUCT(BC151:BC162,OV_V)*INDEX(IdxOV_V,1,MIN(10,BC$147))*(1+V_dMat)/(1-V_Merma)</f>
        <v>76141.33275</v>
      </c>
      <c r="BD179" s="34" t="n">
        <f aca="false">SUMPRODUCT(BD151:BD162,OV_V)*INDEX(IdxOV_V,1,MIN(10,BD$147))*(1+V_dMat)/(1-V_Merma)</f>
        <v>76141.33275</v>
      </c>
      <c r="BE179" s="34" t="n">
        <f aca="false">SUMPRODUCT(BE151:BE162,OV_V)*INDEX(IdxOV_V,1,MIN(10,BE$147))*(1+V_dMat)/(1-V_Merma)</f>
        <v>76141.33275</v>
      </c>
      <c r="BF179" s="34" t="n">
        <f aca="false">SUMPRODUCT(BF151:BF162,OV_V)*INDEX(IdxOV_V,1,MIN(10,BF$147))*(1+V_dMat)/(1-V_Merma)</f>
        <v>76141.33275</v>
      </c>
      <c r="BG179" s="34" t="n">
        <f aca="false">SUMPRODUCT(BG151:BG162,OV_V)*INDEX(IdxOV_V,1,MIN(10,BG$147))*(1+V_dMat)/(1-V_Merma)</f>
        <v>76141.33275</v>
      </c>
      <c r="BH179" s="34" t="n">
        <f aca="false">SUMPRODUCT(BH151:BH162,OV_V)*INDEX(IdxOV_V,1,MIN(10,BH$147))*(1+V_dMat)/(1-V_Merma)</f>
        <v>76141.33275</v>
      </c>
      <c r="BI179" s="34" t="n">
        <f aca="false">SUMPRODUCT(BI151:BI162,OV_V)*INDEX(IdxOV_V,1,MIN(10,BI$147))*(1+V_dMat)/(1-V_Merma)</f>
        <v>76141.33275</v>
      </c>
      <c r="BJ179" s="34" t="n">
        <f aca="false">SUMPRODUCT(BJ151:BJ162,OV_V)*INDEX(IdxOV_V,1,MIN(10,BJ$147))*(1+V_dMat)/(1-V_Merma)</f>
        <v>76141.33275</v>
      </c>
      <c r="BK179" s="34" t="n">
        <f aca="false">SUMPRODUCT(BK151:BK162,OV_V)*INDEX(IdxOV_V,1,MIN(10,BK$147))*(1+V_dMat)/(1-V_Merma)</f>
        <v>76141.33275</v>
      </c>
      <c r="BL179" s="34" t="n">
        <f aca="false">SUMPRODUCT(BL151:BL162,OV_V)*INDEX(IdxOV_V,1,MIN(10,BL$147))*(1+V_dMat)/(1-V_Merma)</f>
        <v>76141.33275</v>
      </c>
      <c r="BM179" s="34" t="n">
        <f aca="false">SUMPRODUCT(BM151:BM162,OV_V)*INDEX(IdxOV_V,1,MIN(10,BM$147))*(1+V_dMat)/(1-V_Merma)</f>
        <v>76141.33275</v>
      </c>
      <c r="BN179" s="34" t="n">
        <f aca="false">SUMPRODUCT(BN151:BN162,OV_V)*INDEX(IdxOV_V,1,MIN(10,BN$147))*(1+V_dMat)/(1-V_Merma)</f>
        <v>76141.33275</v>
      </c>
      <c r="BO179" s="34" t="n">
        <f aca="false">SUMPRODUCT(BO151:BO162,OV_V)*INDEX(IdxOV_V,1,MIN(10,BO$147))*(1+V_dMat)/(1-V_Merma)</f>
        <v>76141.33275</v>
      </c>
      <c r="BP179" s="34" t="n">
        <f aca="false">SUMPRODUCT(BP151:BP162,OV_V)*INDEX(IdxOV_V,1,MIN(10,BP$147))*(1+V_dMat)/(1-V_Merma)</f>
        <v>76141.33275</v>
      </c>
      <c r="BQ179" s="34" t="n">
        <f aca="false">SUMPRODUCT(BQ151:BQ162,OV_V)*INDEX(IdxOV_V,1,MIN(10,BQ$147))*(1+V_dMat)/(1-V_Merma)</f>
        <v>76141.33275</v>
      </c>
      <c r="BR179" s="34" t="n">
        <f aca="false">SUMPRODUCT(BR151:BR162,OV_V)*INDEX(IdxOV_V,1,MIN(10,BR$147))*(1+V_dMat)/(1-V_Merma)</f>
        <v>76141.33275</v>
      </c>
      <c r="BS179" s="34" t="n">
        <f aca="false">SUMPRODUCT(BS151:BS162,OV_V)*INDEX(IdxOV_V,1,MIN(10,BS$147))*(1+V_dMat)/(1-V_Merma)</f>
        <v>76141.33275</v>
      </c>
      <c r="BT179" s="34" t="n">
        <f aca="false">SUMPRODUCT(BT151:BT162,OV_V)*INDEX(IdxOV_V,1,MIN(10,BT$147))*(1+V_dMat)/(1-V_Merma)</f>
        <v>76141.33275</v>
      </c>
      <c r="BU179" s="34" t="n">
        <f aca="false">SUMPRODUCT(BU151:BU162,OV_V)*INDEX(IdxOV_V,1,MIN(10,BU$147))*(1+V_dMat)/(1-V_Merma)</f>
        <v>76141.33275</v>
      </c>
      <c r="BV179" s="34" t="n">
        <f aca="false">SUMPRODUCT(BV151:BV162,OV_V)*INDEX(IdxOV_V,1,MIN(10,BV$147))*(1+V_dMat)/(1-V_Merma)</f>
        <v>76141.33275</v>
      </c>
      <c r="BW179" s="34" t="n">
        <f aca="false">SUMPRODUCT(BW151:BW162,OV_V)*INDEX(IdxOV_V,1,MIN(10,BW$147))*(1+V_dMat)/(1-V_Merma)</f>
        <v>76141.33275</v>
      </c>
      <c r="BX179" s="34" t="n">
        <f aca="false">SUMPRODUCT(BX151:BX162,OV_V)*INDEX(IdxOV_V,1,MIN(10,BX$147))*(1+V_dMat)/(1-V_Merma)</f>
        <v>76141.33275</v>
      </c>
      <c r="BY179" s="34" t="n">
        <f aca="false">SUMPRODUCT(BY151:BY162,OV_V)*INDEX(IdxOV_V,1,MIN(10,BY$147))*(1+V_dMat)/(1-V_Merma)</f>
        <v>76141.33275</v>
      </c>
      <c r="BZ179" s="34" t="n">
        <f aca="false">SUMPRODUCT(BZ151:BZ162,OV_V)*INDEX(IdxOV_V,1,MIN(10,BZ$147))*(1+V_dMat)/(1-V_Merma)</f>
        <v>76141.33275</v>
      </c>
      <c r="CA179" s="34" t="n">
        <f aca="false">SUMPRODUCT(CA151:CA162,OV_V)*INDEX(IdxOV_V,1,MIN(10,CA$147))*(1+V_dMat)/(1-V_Merma)</f>
        <v>76141.33275</v>
      </c>
      <c r="CB179" s="34" t="n">
        <f aca="false">SUMPRODUCT(CB151:CB162,OV_V)*INDEX(IdxOV_V,1,MIN(10,CB$147))*(1+V_dMat)/(1-V_Merma)</f>
        <v>76141.33275</v>
      </c>
      <c r="CC179" s="34" t="n">
        <f aca="false">SUMPRODUCT(CC151:CC162,OV_V)*INDEX(IdxOV_V,1,MIN(10,CC$147))*(1+V_dMat)/(1-V_Merma)</f>
        <v>76141.33275</v>
      </c>
      <c r="CD179" s="34" t="n">
        <f aca="false">SUMPRODUCT(CD151:CD162,OV_V)*INDEX(IdxOV_V,1,MIN(10,CD$147))*(1+V_dMat)/(1-V_Merma)</f>
        <v>76141.33275</v>
      </c>
      <c r="CE179" s="34" t="n">
        <f aca="false">SUMPRODUCT(CE151:CE162,OV_V)*INDEX(IdxOV_V,1,MIN(10,CE$147))*(1+V_dMat)/(1-V_Merma)</f>
        <v>76141.33275</v>
      </c>
      <c r="CF179" s="34" t="n">
        <f aca="false">SUMPRODUCT(CF151:CF162,OV_V)*INDEX(IdxOV_V,1,MIN(10,CF$147))*(1+V_dMat)/(1-V_Merma)</f>
        <v>76141.33275</v>
      </c>
      <c r="CG179" s="34" t="n">
        <f aca="false">SUMPRODUCT(CG151:CG162,OV_V)*INDEX(IdxOV_V,1,MIN(10,CG$147))*(1+V_dMat)/(1-V_Merma)</f>
        <v>76141.33275</v>
      </c>
      <c r="CH179" s="34" t="n">
        <f aca="false">SUMPRODUCT(CH151:CH162,OV_V)*INDEX(IdxOV_V,1,MIN(10,CH$147))*(1+V_dMat)/(1-V_Merma)</f>
        <v>76141.33275</v>
      </c>
      <c r="CI179" s="34" t="n">
        <f aca="false">SUMPRODUCT(CI151:CI162,OV_V)*INDEX(IdxOV_V,1,MIN(10,CI$147))*(1+V_dMat)/(1-V_Merma)</f>
        <v>76141.33275</v>
      </c>
      <c r="CJ179" s="34" t="n">
        <f aca="false">SUMPRODUCT(CJ151:CJ162,OV_V)*INDEX(IdxOV_V,1,MIN(10,CJ$147))*(1+V_dMat)/(1-V_Merma)</f>
        <v>76141.33275</v>
      </c>
      <c r="CK179" s="34" t="n">
        <f aca="false">SUMPRODUCT(CK151:CK162,OV_V)*INDEX(IdxOV_V,1,MIN(10,CK$147))*(1+V_dMat)/(1-V_Merma)</f>
        <v>76141.33275</v>
      </c>
      <c r="CL179" s="34" t="n">
        <f aca="false">SUMPRODUCT(CL151:CL162,OV_V)*INDEX(IdxOV_V,1,MIN(10,CL$147))*(1+V_dMat)/(1-V_Merma)</f>
        <v>76141.33275</v>
      </c>
      <c r="CM179" s="34" t="n">
        <f aca="false">SUMPRODUCT(CM151:CM162,OV_V)*INDEX(IdxOV_V,1,MIN(10,CM$147))*(1+V_dMat)/(1-V_Merma)</f>
        <v>76141.33275</v>
      </c>
      <c r="CN179" s="34" t="n">
        <f aca="false">SUMPRODUCT(CN151:CN162,OV_V)*INDEX(IdxOV_V,1,MIN(10,CN$147))*(1+V_dMat)/(1-V_Merma)</f>
        <v>76141.33275</v>
      </c>
      <c r="CO179" s="34" t="n">
        <f aca="false">SUMPRODUCT(CO151:CO162,OV_V)*INDEX(IdxOV_V,1,MIN(10,CO$147))*(1+V_dMat)/(1-V_Merma)</f>
        <v>76141.33275</v>
      </c>
      <c r="CP179" s="34" t="n">
        <f aca="false">SUMPRODUCT(CP151:CP162,OV_V)*INDEX(IdxOV_V,1,MIN(10,CP$147))*(1+V_dMat)/(1-V_Merma)</f>
        <v>76141.33275</v>
      </c>
      <c r="CQ179" s="34" t="n">
        <f aca="false">SUMPRODUCT(CQ151:CQ162,OV_V)*INDEX(IdxOV_V,1,MIN(10,CQ$147))*(1+V_dMat)/(1-V_Merma)</f>
        <v>76141.33275</v>
      </c>
      <c r="CR179" s="34" t="n">
        <f aca="false">SUMPRODUCT(CR151:CR162,OV_V)*INDEX(IdxOV_V,1,MIN(10,CR$147))*(1+V_dMat)/(1-V_Merma)</f>
        <v>76141.33275</v>
      </c>
      <c r="CS179" s="34" t="n">
        <f aca="false">SUMPRODUCT(CS151:CS162,OV_V)*INDEX(IdxOV_V,1,MIN(10,CS$147))*(1+V_dMat)/(1-V_Merma)</f>
        <v>76141.33275</v>
      </c>
      <c r="CT179" s="34" t="n">
        <f aca="false">SUMPRODUCT(CT151:CT162,OV_V)*INDEX(IdxOV_V,1,MIN(10,CT$147))*(1+V_dMat)/(1-V_Merma)</f>
        <v>76141.33275</v>
      </c>
      <c r="CU179" s="34" t="n">
        <f aca="false">SUMPRODUCT(CU151:CU162,OV_V)*INDEX(IdxOV_V,1,MIN(10,CU$147))*(1+V_dMat)/(1-V_Merma)</f>
        <v>76141.33275</v>
      </c>
      <c r="CV179" s="34" t="n">
        <f aca="false">SUMPRODUCT(CV151:CV162,OV_V)*INDEX(IdxOV_V,1,MIN(10,CV$147))*(1+V_dMat)/(1-V_Merma)</f>
        <v>76141.33275</v>
      </c>
      <c r="CW179" s="34" t="n">
        <f aca="false">SUMPRODUCT(CW151:CW162,OV_V)*INDEX(IdxOV_V,1,MIN(10,CW$147))*(1+V_dMat)/(1-V_Merma)</f>
        <v>76141.33275</v>
      </c>
      <c r="CX179" s="34" t="n">
        <f aca="false">SUMPRODUCT(CX151:CX162,OV_V)*INDEX(IdxOV_V,1,MIN(10,CX$147))*(1+V_dMat)/(1-V_Merma)</f>
        <v>76141.33275</v>
      </c>
      <c r="CY179" s="34" t="n">
        <f aca="false">SUMPRODUCT(CY151:CY162,OV_V)*INDEX(IdxOV_V,1,MIN(10,CY$147))*(1+V_dMat)/(1-V_Merma)</f>
        <v>76141.33275</v>
      </c>
      <c r="CZ179" s="34" t="n">
        <f aca="false">SUMPRODUCT(CZ151:CZ162,OV_V)*INDEX(IdxOV_V,1,MIN(10,CZ$147))*(1+V_dMat)/(1-V_Merma)</f>
        <v>76141.33275</v>
      </c>
      <c r="DA179" s="34" t="n">
        <f aca="false">SUMPRODUCT(DA151:DA162,OV_V)*INDEX(IdxOV_V,1,MIN(10,DA$147))*(1+V_dMat)/(1-V_Merma)</f>
        <v>76141.33275</v>
      </c>
      <c r="DB179" s="34" t="n">
        <f aca="false">SUMPRODUCT(DB151:DB162,OV_V)*INDEX(IdxOV_V,1,MIN(10,DB$147))*(1+V_dMat)/(1-V_Merma)</f>
        <v>76141.33275</v>
      </c>
      <c r="DC179" s="34" t="n">
        <f aca="false">SUMPRODUCT(DC151:DC162,OV_V)*INDEX(IdxOV_V,1,MIN(10,DC$147))*(1+V_dMat)/(1-V_Merma)</f>
        <v>76141.33275</v>
      </c>
      <c r="DD179" s="34" t="n">
        <f aca="false">SUMPRODUCT(DD151:DD162,OV_V)*INDEX(IdxOV_V,1,MIN(10,DD$147))*(1+V_dMat)/(1-V_Merma)</f>
        <v>76141.33275</v>
      </c>
      <c r="DE179" s="34" t="n">
        <f aca="false">SUMPRODUCT(DE151:DE162,OV_V)*INDEX(IdxOV_V,1,MIN(10,DE$147))*(1+V_dMat)/(1-V_Merma)</f>
        <v>76141.33275</v>
      </c>
      <c r="DF179" s="34" t="n">
        <f aca="false">SUMPRODUCT(DF151:DF162,OV_V)*INDEX(IdxOV_V,1,MIN(10,DF$147))*(1+V_dMat)/(1-V_Merma)</f>
        <v>76141.33275</v>
      </c>
      <c r="DG179" s="34" t="n">
        <f aca="false">SUMPRODUCT(DG151:DG162,OV_V)*INDEX(IdxOV_V,1,MIN(10,DG$147))*(1+V_dMat)/(1-V_Merma)</f>
        <v>76141.33275</v>
      </c>
      <c r="DH179" s="34" t="n">
        <f aca="false">SUMPRODUCT(DH151:DH162,OV_V)*INDEX(IdxOV_V,1,MIN(10,DH$147))*(1+V_dMat)/(1-V_Merma)</f>
        <v>76141.33275</v>
      </c>
      <c r="DI179" s="34" t="n">
        <f aca="false">SUMPRODUCT(DI151:DI162,OV_V)*INDEX(IdxOV_V,1,MIN(10,DI$147))*(1+V_dMat)/(1-V_Merma)</f>
        <v>76141.33275</v>
      </c>
      <c r="DJ179" s="34" t="n">
        <f aca="false">SUMPRODUCT(DJ151:DJ162,OV_V)*INDEX(IdxOV_V,1,MIN(10,DJ$147))*(1+V_dMat)/(1-V_Merma)</f>
        <v>76141.33275</v>
      </c>
      <c r="DK179" s="34" t="n">
        <f aca="false">SUMPRODUCT(DK151:DK162,OV_V)*INDEX(IdxOV_V,1,MIN(10,DK$147))*(1+V_dMat)/(1-V_Merma)</f>
        <v>76141.33275</v>
      </c>
      <c r="DL179" s="34" t="n">
        <f aca="false">SUMPRODUCT(DL151:DL162,OV_V)*INDEX(IdxOV_V,1,MIN(10,DL$147))*(1+V_dMat)/(1-V_Merma)</f>
        <v>76141.33275</v>
      </c>
      <c r="DM179" s="34" t="n">
        <f aca="false">SUMPRODUCT(DM151:DM162,OV_V)*INDEX(IdxOV_V,1,MIN(10,DM$147))*(1+V_dMat)/(1-V_Merma)</f>
        <v>76141.33275</v>
      </c>
      <c r="DN179" s="34" t="n">
        <f aca="false">SUMPRODUCT(DN151:DN162,OV_V)*INDEX(IdxOV_V,1,MIN(10,DN$147))*(1+V_dMat)/(1-V_Merma)</f>
        <v>76141.33275</v>
      </c>
      <c r="DO179" s="34" t="n">
        <f aca="false">SUMPRODUCT(DO151:DO162,OV_V)*INDEX(IdxOV_V,1,MIN(10,DO$147))*(1+V_dMat)/(1-V_Merma)</f>
        <v>76141.33275</v>
      </c>
      <c r="DP179" s="34" t="n">
        <f aca="false">SUMPRODUCT(DP151:DP162,OV_V)*INDEX(IdxOV_V,1,MIN(10,DP$147))*(1+V_dMat)/(1-V_Merma)</f>
        <v>76141.33275</v>
      </c>
      <c r="DQ179" s="34" t="n">
        <f aca="false">SUMPRODUCT(DQ151:DQ162,OV_V)*INDEX(IdxOV_V,1,MIN(10,DQ$147))*(1+V_dMat)/(1-V_Merma)</f>
        <v>76141.33275</v>
      </c>
      <c r="DR179" s="34" t="n">
        <f aca="false">SUMPRODUCT(DR151:DR162,OV_V)*INDEX(IdxOV_V,1,MIN(10,DR$147))*(1+V_dMat)/(1-V_Merma)</f>
        <v>76141.33275</v>
      </c>
      <c r="DS179" s="34" t="n">
        <f aca="false">SUMPRODUCT(DS151:DS162,OV_V)*INDEX(IdxOV_V,1,MIN(10,DS$147))*(1+V_dMat)/(1-V_Merma)</f>
        <v>76141.33275</v>
      </c>
      <c r="DT179" s="34" t="n">
        <f aca="false">SUMPRODUCT(DT151:DT162,OV_V)*INDEX(IdxOV_V,1,MIN(10,DT$147))*(1+V_dMat)/(1-V_Merma)</f>
        <v>76141.33275</v>
      </c>
      <c r="DU179" s="34" t="n">
        <f aca="false">SUMPRODUCT(DU151:DU162,OV_V)*INDEX(IdxOV_V,1,MIN(10,DU$147))*(1+V_dMat)/(1-V_Merma)</f>
        <v>76141.33275</v>
      </c>
      <c r="DV179" s="34" t="n">
        <f aca="false">SUMPRODUCT(DV151:DV162,OV_V)*INDEX(IdxOV_V,1,MIN(10,DV$147))*(1+V_dMat)/(1-V_Merma)</f>
        <v>0</v>
      </c>
      <c r="DW179" s="34" t="n">
        <f aca="false">SUMPRODUCT(DW151:DW162,OV_V)*INDEX(IdxOV_V,1,MIN(10,DW$147))*(1+V_dMat)/(1-V_Merma)</f>
        <v>0</v>
      </c>
      <c r="DX179" s="34" t="n">
        <f aca="false">SUMPRODUCT(DX151:DX162,OV_V)*INDEX(IdxOV_V,1,MIN(10,DX$147))*(1+V_dMat)/(1-V_Merma)</f>
        <v>0</v>
      </c>
      <c r="DY179" s="34" t="n">
        <f aca="false">SUMPRODUCT(DY151:DY162,OV_V)*INDEX(IdxOV_V,1,MIN(10,DY$147))*(1+V_dMat)/(1-V_Merma)</f>
        <v>0</v>
      </c>
      <c r="DZ179" s="34" t="n">
        <f aca="false">SUMPRODUCT(DZ151:DZ162,OV_V)*INDEX(IdxOV_V,1,MIN(10,DZ$147))*(1+V_dMat)/(1-V_Merma)</f>
        <v>0</v>
      </c>
      <c r="EA179" s="34" t="n">
        <f aca="false">SUMPRODUCT(EA151:EA162,OV_V)*INDEX(IdxOV_V,1,MIN(10,EA$147))*(1+V_dMat)/(1-V_Merma)</f>
        <v>0</v>
      </c>
      <c r="EB179" s="34" t="n">
        <f aca="false">SUMPRODUCT(EB151:EB162,OV_V)*INDEX(IdxOV_V,1,MIN(10,EB$147))*(1+V_dMat)/(1-V_Merma)</f>
        <v>0</v>
      </c>
      <c r="EC179" s="34" t="n">
        <f aca="false">SUMPRODUCT(EC151:EC162,OV_V)*INDEX(IdxOV_V,1,MIN(10,EC$147))*(1+V_dMat)/(1-V_Merma)</f>
        <v>0</v>
      </c>
      <c r="ED179" s="34" t="n">
        <f aca="false">SUMPRODUCT(ED151:ED162,OV_V)*INDEX(IdxOV_V,1,MIN(10,ED$147))*(1+V_dMat)/(1-V_Merma)</f>
        <v>0</v>
      </c>
      <c r="EE179" s="34" t="n">
        <f aca="false">SUMPRODUCT(EE151:EE162,OV_V)*INDEX(IdxOV_V,1,MIN(10,EE$147))*(1+V_dMat)/(1-V_Merma)</f>
        <v>0</v>
      </c>
      <c r="EF179" s="34" t="n">
        <f aca="false">SUMPRODUCT(EF151:EF162,OV_V)*INDEX(IdxOV_V,1,MIN(10,EF$147))*(1+V_dMat)/(1-V_Merma)</f>
        <v>0</v>
      </c>
      <c r="EG179" s="34" t="n">
        <f aca="false">SUMPRODUCT(EG151:EG162,OV_V)*INDEX(IdxOV_V,1,MIN(10,EG$147))*(1+V_dMat)/(1-V_Merma)</f>
        <v>0</v>
      </c>
      <c r="EH179" s="34" t="n">
        <f aca="false">SUMPRODUCT(EH151:EH162,OV_V)*INDEX(IdxOV_V,1,MIN(10,EH$147))*(1+V_dMat)/(1-V_Merma)</f>
        <v>0</v>
      </c>
      <c r="EI179" s="34" t="n">
        <f aca="false">SUMPRODUCT(EI151:EI162,OV_V)*INDEX(IdxOV_V,1,MIN(10,EI$147))*(1+V_dMat)/(1-V_Merma)</f>
        <v>0</v>
      </c>
      <c r="EJ179" s="34" t="n">
        <f aca="false">SUMPRODUCT(EJ151:EJ162,OV_V)*INDEX(IdxOV_V,1,MIN(10,EJ$147))*(1+V_dMat)/(1-V_Merma)</f>
        <v>0</v>
      </c>
      <c r="EK179" s="34" t="n">
        <f aca="false">SUMPRODUCT(EK151:EK162,OV_V)*INDEX(IdxOV_V,1,MIN(10,EK$147))*(1+V_dMat)/(1-V_Merma)</f>
        <v>0</v>
      </c>
      <c r="EL179" s="34" t="n">
        <f aca="false">SUMPRODUCT(EL151:EL162,OV_V)*INDEX(IdxOV_V,1,MIN(10,EL$147))*(1+V_dMat)/(1-V_Merma)</f>
        <v>0</v>
      </c>
      <c r="EM179" s="34" t="n">
        <f aca="false">SUMPRODUCT(EM151:EM162,OV_V)*INDEX(IdxOV_V,1,MIN(10,EM$147))*(1+V_dMat)/(1-V_Merma)</f>
        <v>0</v>
      </c>
      <c r="EN179" s="34" t="n">
        <f aca="false">SUMPRODUCT(EN151:EN162,OV_V)*INDEX(IdxOV_V,1,MIN(10,EN$147))*(1+V_dMat)/(1-V_Merma)</f>
        <v>0</v>
      </c>
      <c r="EO179" s="34" t="n">
        <f aca="false">SUMPRODUCT(EO151:EO162,OV_V)*INDEX(IdxOV_V,1,MIN(10,EO$147))*(1+V_dMat)/(1-V_Merma)</f>
        <v>0</v>
      </c>
      <c r="EP179" s="34" t="n">
        <f aca="false">SUMPRODUCT(EP151:EP162,OV_V)*INDEX(IdxOV_V,1,MIN(10,EP$147))*(1+V_dMat)/(1-V_Merma)</f>
        <v>0</v>
      </c>
      <c r="EQ179" s="34" t="n">
        <f aca="false">SUMPRODUCT(EQ151:EQ162,OV_V)*INDEX(IdxOV_V,1,MIN(10,EQ$147))*(1+V_dMat)/(1-V_Merma)</f>
        <v>0</v>
      </c>
      <c r="ER179" s="34" t="n">
        <f aca="false">SUMPRODUCT(ER151:ER162,OV_V)*INDEX(IdxOV_V,1,MIN(10,ER$147))*(1+V_dMat)/(1-V_Merma)</f>
        <v>0</v>
      </c>
      <c r="ES179" s="34" t="n">
        <f aca="false">SUMPRODUCT(ES151:ES162,OV_V)*INDEX(IdxOV_V,1,MIN(10,ES$147))*(1+V_dMat)/(1-V_Merma)</f>
        <v>0</v>
      </c>
    </row>
    <row r="180" customFormat="false" ht="15" hidden="false" customHeight="false" outlineLevel="0" collapsed="false">
      <c r="A180" s="2" t="s">
        <v>795</v>
      </c>
      <c r="B180" s="6" t="s">
        <v>592</v>
      </c>
      <c r="C180" s="6" t="s">
        <v>250</v>
      </c>
      <c r="E180" s="40" t="n">
        <f aca="false">SUM(F180:ES180)</f>
        <v>1179542.8015068</v>
      </c>
      <c r="F180" s="34" t="n">
        <f aca="false">V_Desp*(F$177+F$178)</f>
        <v>5975.175</v>
      </c>
      <c r="G180" s="34" t="n">
        <f aca="false">V_Desp*(G$177+G$178)</f>
        <v>5975.175</v>
      </c>
      <c r="H180" s="34" t="n">
        <f aca="false">V_Desp*(H$177+H$178)</f>
        <v>5975.175</v>
      </c>
      <c r="I180" s="34" t="n">
        <f aca="false">V_Desp*(I$177+I$178)</f>
        <v>5975.175</v>
      </c>
      <c r="J180" s="34" t="n">
        <f aca="false">V_Desp*(J$177+J$178)</f>
        <v>5975.175</v>
      </c>
      <c r="K180" s="34" t="n">
        <f aca="false">V_Desp*(K$177+K$178)</f>
        <v>5975.175</v>
      </c>
      <c r="L180" s="34" t="n">
        <f aca="false">V_Desp*(L$177+L$178)</f>
        <v>5975.175</v>
      </c>
      <c r="M180" s="34" t="n">
        <f aca="false">V_Desp*(M$177+M$178)</f>
        <v>5975.175</v>
      </c>
      <c r="N180" s="34" t="n">
        <f aca="false">V_Desp*(N$177+N$178)</f>
        <v>5975.175</v>
      </c>
      <c r="O180" s="34" t="n">
        <f aca="false">V_Desp*(O$177+O$178)</f>
        <v>5975.175</v>
      </c>
      <c r="P180" s="34" t="n">
        <f aca="false">V_Desp*(P$177+P$178)</f>
        <v>5975.175</v>
      </c>
      <c r="Q180" s="34" t="n">
        <f aca="false">V_Desp*(Q$177+Q$178)</f>
        <v>5975.175</v>
      </c>
      <c r="R180" s="34" t="n">
        <f aca="false">V_Desp*(R$177+R$178)</f>
        <v>7593.26625</v>
      </c>
      <c r="S180" s="34" t="n">
        <f aca="false">V_Desp*(S$177+S$178)</f>
        <v>7593.26625</v>
      </c>
      <c r="T180" s="34" t="n">
        <f aca="false">V_Desp*(T$177+T$178)</f>
        <v>7593.26625</v>
      </c>
      <c r="U180" s="34" t="n">
        <f aca="false">V_Desp*(U$177+U$178)</f>
        <v>7593.26625</v>
      </c>
      <c r="V180" s="34" t="n">
        <f aca="false">V_Desp*(V$177+V$178)</f>
        <v>7593.26625</v>
      </c>
      <c r="W180" s="34" t="n">
        <f aca="false">V_Desp*(W$177+W$178)</f>
        <v>7593.26625</v>
      </c>
      <c r="X180" s="34" t="n">
        <f aca="false">V_Desp*(X$177+X$178)</f>
        <v>7593.26625</v>
      </c>
      <c r="Y180" s="34" t="n">
        <f aca="false">V_Desp*(Y$177+Y$178)</f>
        <v>7593.26625</v>
      </c>
      <c r="Z180" s="34" t="n">
        <f aca="false">V_Desp*(Z$177+Z$178)</f>
        <v>7593.26625</v>
      </c>
      <c r="AA180" s="34" t="n">
        <f aca="false">V_Desp*(AA$177+AA$178)</f>
        <v>7593.26625</v>
      </c>
      <c r="AB180" s="34" t="n">
        <f aca="false">V_Desp*(AB$177+AB$178)</f>
        <v>7593.26625</v>
      </c>
      <c r="AC180" s="34" t="n">
        <f aca="false">V_Desp*(AC$177+AC$178)</f>
        <v>7593.26625</v>
      </c>
      <c r="AD180" s="34" t="n">
        <f aca="false">V_Desp*(AD$177+AD$178)</f>
        <v>9231.7407</v>
      </c>
      <c r="AE180" s="34" t="n">
        <f aca="false">V_Desp*(AE$177+AE$178)</f>
        <v>9231.7407</v>
      </c>
      <c r="AF180" s="34" t="n">
        <f aca="false">V_Desp*(AF$177+AF$178)</f>
        <v>9231.7407</v>
      </c>
      <c r="AG180" s="34" t="n">
        <f aca="false">V_Desp*(AG$177+AG$178)</f>
        <v>9231.7407</v>
      </c>
      <c r="AH180" s="34" t="n">
        <f aca="false">V_Desp*(AH$177+AH$178)</f>
        <v>9231.7407</v>
      </c>
      <c r="AI180" s="34" t="n">
        <f aca="false">V_Desp*(AI$177+AI$178)</f>
        <v>9231.7407</v>
      </c>
      <c r="AJ180" s="34" t="n">
        <f aca="false">V_Desp*(AJ$177+AJ$178)</f>
        <v>9231.7407</v>
      </c>
      <c r="AK180" s="34" t="n">
        <f aca="false">V_Desp*(AK$177+AK$178)</f>
        <v>9231.7407</v>
      </c>
      <c r="AL180" s="34" t="n">
        <f aca="false">V_Desp*(AL$177+AL$178)</f>
        <v>9231.7407</v>
      </c>
      <c r="AM180" s="34" t="n">
        <f aca="false">V_Desp*(AM$177+AM$178)</f>
        <v>9231.7407</v>
      </c>
      <c r="AN180" s="34" t="n">
        <f aca="false">V_Desp*(AN$177+AN$178)</f>
        <v>9231.7407</v>
      </c>
      <c r="AO180" s="34" t="n">
        <f aca="false">V_Desp*(AO$177+AO$178)</f>
        <v>9231.7407</v>
      </c>
      <c r="AP180" s="34" t="n">
        <f aca="false">V_Desp*(AP$177+AP$178)</f>
        <v>10578.763949625</v>
      </c>
      <c r="AQ180" s="34" t="n">
        <f aca="false">V_Desp*(AQ$177+AQ$178)</f>
        <v>10578.763949625</v>
      </c>
      <c r="AR180" s="34" t="n">
        <f aca="false">V_Desp*(AR$177+AR$178)</f>
        <v>10578.763949625</v>
      </c>
      <c r="AS180" s="34" t="n">
        <f aca="false">V_Desp*(AS$177+AS$178)</f>
        <v>10578.763949625</v>
      </c>
      <c r="AT180" s="34" t="n">
        <f aca="false">V_Desp*(AT$177+AT$178)</f>
        <v>10578.763949625</v>
      </c>
      <c r="AU180" s="34" t="n">
        <f aca="false">V_Desp*(AU$177+AU$178)</f>
        <v>10578.763949625</v>
      </c>
      <c r="AV180" s="34" t="n">
        <f aca="false">V_Desp*(AV$177+AV$178)</f>
        <v>10578.763949625</v>
      </c>
      <c r="AW180" s="34" t="n">
        <f aca="false">V_Desp*(AW$177+AW$178)</f>
        <v>10578.763949625</v>
      </c>
      <c r="AX180" s="34" t="n">
        <f aca="false">V_Desp*(AX$177+AX$178)</f>
        <v>10578.763949625</v>
      </c>
      <c r="AY180" s="34" t="n">
        <f aca="false">V_Desp*(AY$177+AY$178)</f>
        <v>10578.763949625</v>
      </c>
      <c r="AZ180" s="34" t="n">
        <f aca="false">V_Desp*(AZ$177+AZ$178)</f>
        <v>10578.763949625</v>
      </c>
      <c r="BA180" s="34" t="n">
        <f aca="false">V_Desp*(BA$177+BA$178)</f>
        <v>10578.763949625</v>
      </c>
      <c r="BB180" s="34" t="n">
        <f aca="false">V_Desp*(BB$177+BB$178)</f>
        <v>10646.3735891213</v>
      </c>
      <c r="BC180" s="34" t="n">
        <f aca="false">V_Desp*(BC$177+BC$178)</f>
        <v>10646.3735891213</v>
      </c>
      <c r="BD180" s="34" t="n">
        <f aca="false">V_Desp*(BD$177+BD$178)</f>
        <v>10646.3735891213</v>
      </c>
      <c r="BE180" s="34" t="n">
        <f aca="false">V_Desp*(BE$177+BE$178)</f>
        <v>10646.3735891213</v>
      </c>
      <c r="BF180" s="34" t="n">
        <f aca="false">V_Desp*(BF$177+BF$178)</f>
        <v>10646.3735891213</v>
      </c>
      <c r="BG180" s="34" t="n">
        <f aca="false">V_Desp*(BG$177+BG$178)</f>
        <v>10646.3735891213</v>
      </c>
      <c r="BH180" s="34" t="n">
        <f aca="false">V_Desp*(BH$177+BH$178)</f>
        <v>10646.3735891213</v>
      </c>
      <c r="BI180" s="34" t="n">
        <f aca="false">V_Desp*(BI$177+BI$178)</f>
        <v>10646.3735891213</v>
      </c>
      <c r="BJ180" s="34" t="n">
        <f aca="false">V_Desp*(BJ$177+BJ$178)</f>
        <v>10646.3735891213</v>
      </c>
      <c r="BK180" s="34" t="n">
        <f aca="false">V_Desp*(BK$177+BK$178)</f>
        <v>10646.3735891213</v>
      </c>
      <c r="BL180" s="34" t="n">
        <f aca="false">V_Desp*(BL$177+BL$178)</f>
        <v>10646.3735891213</v>
      </c>
      <c r="BM180" s="34" t="n">
        <f aca="false">V_Desp*(BM$177+BM$178)</f>
        <v>10646.3735891213</v>
      </c>
      <c r="BN180" s="34" t="n">
        <f aca="false">V_Desp*(BN$177+BN$178)</f>
        <v>10714.6593250125</v>
      </c>
      <c r="BO180" s="34" t="n">
        <f aca="false">V_Desp*(BO$177+BO$178)</f>
        <v>10714.6593250125</v>
      </c>
      <c r="BP180" s="34" t="n">
        <f aca="false">V_Desp*(BP$177+BP$178)</f>
        <v>10714.6593250125</v>
      </c>
      <c r="BQ180" s="34" t="n">
        <f aca="false">V_Desp*(BQ$177+BQ$178)</f>
        <v>10714.6593250125</v>
      </c>
      <c r="BR180" s="34" t="n">
        <f aca="false">V_Desp*(BR$177+BR$178)</f>
        <v>10714.6593250125</v>
      </c>
      <c r="BS180" s="34" t="n">
        <f aca="false">V_Desp*(BS$177+BS$178)</f>
        <v>10714.6593250125</v>
      </c>
      <c r="BT180" s="34" t="n">
        <f aca="false">V_Desp*(BT$177+BT$178)</f>
        <v>10714.6593250125</v>
      </c>
      <c r="BU180" s="34" t="n">
        <f aca="false">V_Desp*(BU$177+BU$178)</f>
        <v>10714.6593250125</v>
      </c>
      <c r="BV180" s="34" t="n">
        <f aca="false">V_Desp*(BV$177+BV$178)</f>
        <v>10714.6593250125</v>
      </c>
      <c r="BW180" s="34" t="n">
        <f aca="false">V_Desp*(BW$177+BW$178)</f>
        <v>10714.6593250125</v>
      </c>
      <c r="BX180" s="34" t="n">
        <f aca="false">V_Desp*(BX$177+BX$178)</f>
        <v>10714.6593250125</v>
      </c>
      <c r="BY180" s="34" t="n">
        <f aca="false">V_Desp*(BY$177+BY$178)</f>
        <v>10714.6593250125</v>
      </c>
      <c r="BZ180" s="34" t="n">
        <f aca="false">V_Desp*(BZ$177+BZ$178)</f>
        <v>10783.6279182626</v>
      </c>
      <c r="CA180" s="34" t="n">
        <f aca="false">V_Desp*(CA$177+CA$178)</f>
        <v>10783.6279182626</v>
      </c>
      <c r="CB180" s="34" t="n">
        <f aca="false">V_Desp*(CB$177+CB$178)</f>
        <v>10783.6279182626</v>
      </c>
      <c r="CC180" s="34" t="n">
        <f aca="false">V_Desp*(CC$177+CC$178)</f>
        <v>10783.6279182626</v>
      </c>
      <c r="CD180" s="34" t="n">
        <f aca="false">V_Desp*(CD$177+CD$178)</f>
        <v>10783.6279182626</v>
      </c>
      <c r="CE180" s="34" t="n">
        <f aca="false">V_Desp*(CE$177+CE$178)</f>
        <v>10783.6279182626</v>
      </c>
      <c r="CF180" s="34" t="n">
        <f aca="false">V_Desp*(CF$177+CF$178)</f>
        <v>10783.6279182626</v>
      </c>
      <c r="CG180" s="34" t="n">
        <f aca="false">V_Desp*(CG$177+CG$178)</f>
        <v>10783.6279182626</v>
      </c>
      <c r="CH180" s="34" t="n">
        <f aca="false">V_Desp*(CH$177+CH$178)</f>
        <v>10783.6279182626</v>
      </c>
      <c r="CI180" s="34" t="n">
        <f aca="false">V_Desp*(CI$177+CI$178)</f>
        <v>10783.6279182626</v>
      </c>
      <c r="CJ180" s="34" t="n">
        <f aca="false">V_Desp*(CJ$177+CJ$178)</f>
        <v>10783.6279182626</v>
      </c>
      <c r="CK180" s="34" t="n">
        <f aca="false">V_Desp*(CK$177+CK$178)</f>
        <v>10783.6279182626</v>
      </c>
      <c r="CL180" s="34" t="n">
        <f aca="false">V_Desp*(CL$177+CL$178)</f>
        <v>10853.2861974452</v>
      </c>
      <c r="CM180" s="34" t="n">
        <f aca="false">V_Desp*(CM$177+CM$178)</f>
        <v>10853.2861974452</v>
      </c>
      <c r="CN180" s="34" t="n">
        <f aca="false">V_Desp*(CN$177+CN$178)</f>
        <v>10853.2861974452</v>
      </c>
      <c r="CO180" s="34" t="n">
        <f aca="false">V_Desp*(CO$177+CO$178)</f>
        <v>10853.2861974452</v>
      </c>
      <c r="CP180" s="34" t="n">
        <f aca="false">V_Desp*(CP$177+CP$178)</f>
        <v>10853.2861974452</v>
      </c>
      <c r="CQ180" s="34" t="n">
        <f aca="false">V_Desp*(CQ$177+CQ$178)</f>
        <v>10853.2861974452</v>
      </c>
      <c r="CR180" s="34" t="n">
        <f aca="false">V_Desp*(CR$177+CR$178)</f>
        <v>10853.2861974452</v>
      </c>
      <c r="CS180" s="34" t="n">
        <f aca="false">V_Desp*(CS$177+CS$178)</f>
        <v>10853.2861974452</v>
      </c>
      <c r="CT180" s="34" t="n">
        <f aca="false">V_Desp*(CT$177+CT$178)</f>
        <v>10853.2861974452</v>
      </c>
      <c r="CU180" s="34" t="n">
        <f aca="false">V_Desp*(CU$177+CU$178)</f>
        <v>10853.2861974452</v>
      </c>
      <c r="CV180" s="34" t="n">
        <f aca="false">V_Desp*(CV$177+CV$178)</f>
        <v>10853.2861974452</v>
      </c>
      <c r="CW180" s="34" t="n">
        <f aca="false">V_Desp*(CW$177+CW$178)</f>
        <v>10853.2861974452</v>
      </c>
      <c r="CX180" s="34" t="n">
        <f aca="false">V_Desp*(CX$177+CX$178)</f>
        <v>10923.6410594197</v>
      </c>
      <c r="CY180" s="34" t="n">
        <f aca="false">V_Desp*(CY$177+CY$178)</f>
        <v>10923.6410594197</v>
      </c>
      <c r="CZ180" s="34" t="n">
        <f aca="false">V_Desp*(CZ$177+CZ$178)</f>
        <v>10923.6410594197</v>
      </c>
      <c r="DA180" s="34" t="n">
        <f aca="false">V_Desp*(DA$177+DA$178)</f>
        <v>10923.6410594197</v>
      </c>
      <c r="DB180" s="34" t="n">
        <f aca="false">V_Desp*(DB$177+DB$178)</f>
        <v>10923.6410594197</v>
      </c>
      <c r="DC180" s="34" t="n">
        <f aca="false">V_Desp*(DC$177+DC$178)</f>
        <v>10923.6410594197</v>
      </c>
      <c r="DD180" s="34" t="n">
        <f aca="false">V_Desp*(DD$177+DD$178)</f>
        <v>10923.6410594197</v>
      </c>
      <c r="DE180" s="34" t="n">
        <f aca="false">V_Desp*(DE$177+DE$178)</f>
        <v>10923.6410594197</v>
      </c>
      <c r="DF180" s="34" t="n">
        <f aca="false">V_Desp*(DF$177+DF$178)</f>
        <v>10923.6410594197</v>
      </c>
      <c r="DG180" s="34" t="n">
        <f aca="false">V_Desp*(DG$177+DG$178)</f>
        <v>10923.6410594197</v>
      </c>
      <c r="DH180" s="34" t="n">
        <f aca="false">V_Desp*(DH$177+DH$178)</f>
        <v>10923.6410594197</v>
      </c>
      <c r="DI180" s="34" t="n">
        <f aca="false">V_Desp*(DI$177+DI$178)</f>
        <v>10923.6410594197</v>
      </c>
      <c r="DJ180" s="34" t="n">
        <f aca="false">V_Desp*(DJ$177+DJ$178)</f>
        <v>10994.6994700139</v>
      </c>
      <c r="DK180" s="34" t="n">
        <f aca="false">V_Desp*(DK$177+DK$178)</f>
        <v>10994.6994700139</v>
      </c>
      <c r="DL180" s="34" t="n">
        <f aca="false">V_Desp*(DL$177+DL$178)</f>
        <v>10994.6994700139</v>
      </c>
      <c r="DM180" s="34" t="n">
        <f aca="false">V_Desp*(DM$177+DM$178)</f>
        <v>10994.6994700139</v>
      </c>
      <c r="DN180" s="34" t="n">
        <f aca="false">V_Desp*(DN$177+DN$178)</f>
        <v>10994.6994700139</v>
      </c>
      <c r="DO180" s="34" t="n">
        <f aca="false">V_Desp*(DO$177+DO$178)</f>
        <v>10994.6994700139</v>
      </c>
      <c r="DP180" s="34" t="n">
        <f aca="false">V_Desp*(DP$177+DP$178)</f>
        <v>10994.6994700139</v>
      </c>
      <c r="DQ180" s="34" t="n">
        <f aca="false">V_Desp*(DQ$177+DQ$178)</f>
        <v>10994.6994700139</v>
      </c>
      <c r="DR180" s="34" t="n">
        <f aca="false">V_Desp*(DR$177+DR$178)</f>
        <v>10994.6994700139</v>
      </c>
      <c r="DS180" s="34" t="n">
        <f aca="false">V_Desp*(DS$177+DS$178)</f>
        <v>10994.6994700139</v>
      </c>
      <c r="DT180" s="34" t="n">
        <f aca="false">V_Desp*(DT$177+DT$178)</f>
        <v>10994.6994700139</v>
      </c>
      <c r="DU180" s="34" t="n">
        <f aca="false">V_Desp*(DU$177+DU$178)</f>
        <v>10994.6994700139</v>
      </c>
      <c r="DV180" s="34" t="n">
        <f aca="false">V_Desp*(DV$177+DV$178)</f>
        <v>0</v>
      </c>
      <c r="DW180" s="34" t="n">
        <f aca="false">V_Desp*(DW$177+DW$178)</f>
        <v>0</v>
      </c>
      <c r="DX180" s="34" t="n">
        <f aca="false">V_Desp*(DX$177+DX$178)</f>
        <v>0</v>
      </c>
      <c r="DY180" s="34" t="n">
        <f aca="false">V_Desp*(DY$177+DY$178)</f>
        <v>0</v>
      </c>
      <c r="DZ180" s="34" t="n">
        <f aca="false">V_Desp*(DZ$177+DZ$178)</f>
        <v>0</v>
      </c>
      <c r="EA180" s="34" t="n">
        <f aca="false">V_Desp*(EA$177+EA$178)</f>
        <v>0</v>
      </c>
      <c r="EB180" s="34" t="n">
        <f aca="false">V_Desp*(EB$177+EB$178)</f>
        <v>0</v>
      </c>
      <c r="EC180" s="34" t="n">
        <f aca="false">V_Desp*(EC$177+EC$178)</f>
        <v>0</v>
      </c>
      <c r="ED180" s="34" t="n">
        <f aca="false">V_Desp*(ED$177+ED$178)</f>
        <v>0</v>
      </c>
      <c r="EE180" s="34" t="n">
        <f aca="false">V_Desp*(EE$177+EE$178)</f>
        <v>0</v>
      </c>
      <c r="EF180" s="34" t="n">
        <f aca="false">V_Desp*(EF$177+EF$178)</f>
        <v>0</v>
      </c>
      <c r="EG180" s="34" t="n">
        <f aca="false">V_Desp*(EG$177+EG$178)</f>
        <v>0</v>
      </c>
      <c r="EH180" s="34" t="n">
        <f aca="false">V_Desp*(EH$177+EH$178)</f>
        <v>0</v>
      </c>
      <c r="EI180" s="34" t="n">
        <f aca="false">V_Desp*(EI$177+EI$178)</f>
        <v>0</v>
      </c>
      <c r="EJ180" s="34" t="n">
        <f aca="false">V_Desp*(EJ$177+EJ$178)</f>
        <v>0</v>
      </c>
      <c r="EK180" s="34" t="n">
        <f aca="false">V_Desp*(EK$177+EK$178)</f>
        <v>0</v>
      </c>
      <c r="EL180" s="34" t="n">
        <f aca="false">V_Desp*(EL$177+EL$178)</f>
        <v>0</v>
      </c>
      <c r="EM180" s="34" t="n">
        <f aca="false">V_Desp*(EM$177+EM$178)</f>
        <v>0</v>
      </c>
      <c r="EN180" s="34" t="n">
        <f aca="false">V_Desp*(EN$177+EN$178)</f>
        <v>0</v>
      </c>
      <c r="EO180" s="34" t="n">
        <f aca="false">V_Desp*(EO$177+EO$178)</f>
        <v>0</v>
      </c>
      <c r="EP180" s="34" t="n">
        <f aca="false">V_Desp*(EP$177+EP$178)</f>
        <v>0</v>
      </c>
      <c r="EQ180" s="34" t="n">
        <f aca="false">V_Desp*(EQ$177+EQ$178)</f>
        <v>0</v>
      </c>
      <c r="ER180" s="34" t="n">
        <f aca="false">V_Desp*(ER$177+ER$178)</f>
        <v>0</v>
      </c>
      <c r="ES180" s="34" t="n">
        <f aca="false">V_Desp*(ES$177+ES$178)</f>
        <v>0</v>
      </c>
    </row>
    <row r="181" customFormat="false" ht="15" hidden="false" customHeight="false" outlineLevel="0" collapsed="false">
      <c r="A181" s="2" t="s">
        <v>796</v>
      </c>
      <c r="B181" s="6" t="s">
        <v>594</v>
      </c>
      <c r="C181" s="6" t="s">
        <v>595</v>
      </c>
      <c r="F181" s="36" t="n">
        <f aca="false">SUMPRODUCT((Per_Clase="Directo")*INDEX(Dot_V,0,MIN(10,F$147)))*(F$145+F$146*V_PreDir)</f>
        <v>43</v>
      </c>
      <c r="G181" s="36" t="n">
        <f aca="false">SUMPRODUCT((Per_Clase="Directo")*INDEX(Dot_V,0,MIN(10,G$147)))*(G$145+G$146*V_PreDir)</f>
        <v>43</v>
      </c>
      <c r="H181" s="36" t="n">
        <f aca="false">SUMPRODUCT((Per_Clase="Directo")*INDEX(Dot_V,0,MIN(10,H$147)))*(H$145+H$146*V_PreDir)</f>
        <v>43</v>
      </c>
      <c r="I181" s="36" t="n">
        <f aca="false">SUMPRODUCT((Per_Clase="Directo")*INDEX(Dot_V,0,MIN(10,I$147)))*(I$145+I$146*V_PreDir)</f>
        <v>43</v>
      </c>
      <c r="J181" s="36" t="n">
        <f aca="false">SUMPRODUCT((Per_Clase="Directo")*INDEX(Dot_V,0,MIN(10,J$147)))*(J$145+J$146*V_PreDir)</f>
        <v>43</v>
      </c>
      <c r="K181" s="36" t="n">
        <f aca="false">SUMPRODUCT((Per_Clase="Directo")*INDEX(Dot_V,0,MIN(10,K$147)))*(K$145+K$146*V_PreDir)</f>
        <v>43</v>
      </c>
      <c r="L181" s="36" t="n">
        <f aca="false">SUMPRODUCT((Per_Clase="Directo")*INDEX(Dot_V,0,MIN(10,L$147)))*(L$145+L$146*V_PreDir)</f>
        <v>43</v>
      </c>
      <c r="M181" s="36" t="n">
        <f aca="false">SUMPRODUCT((Per_Clase="Directo")*INDEX(Dot_V,0,MIN(10,M$147)))*(M$145+M$146*V_PreDir)</f>
        <v>43</v>
      </c>
      <c r="N181" s="36" t="n">
        <f aca="false">SUMPRODUCT((Per_Clase="Directo")*INDEX(Dot_V,0,MIN(10,N$147)))*(N$145+N$146*V_PreDir)</f>
        <v>43</v>
      </c>
      <c r="O181" s="36" t="n">
        <f aca="false">SUMPRODUCT((Per_Clase="Directo")*INDEX(Dot_V,0,MIN(10,O$147)))*(O$145+O$146*V_PreDir)</f>
        <v>43</v>
      </c>
      <c r="P181" s="36" t="n">
        <f aca="false">SUMPRODUCT((Per_Clase="Directo")*INDEX(Dot_V,0,MIN(10,P$147)))*(P$145+P$146*V_PreDir)</f>
        <v>43</v>
      </c>
      <c r="Q181" s="36" t="n">
        <f aca="false">SUMPRODUCT((Per_Clase="Directo")*INDEX(Dot_V,0,MIN(10,Q$147)))*(Q$145+Q$146*V_PreDir)</f>
        <v>43</v>
      </c>
      <c r="R181" s="36" t="n">
        <f aca="false">SUMPRODUCT((Per_Clase="Directo")*INDEX(Dot_V,0,MIN(10,R$147)))*(R$145+R$146*V_PreDir)</f>
        <v>43</v>
      </c>
      <c r="S181" s="36" t="n">
        <f aca="false">SUMPRODUCT((Per_Clase="Directo")*INDEX(Dot_V,0,MIN(10,S$147)))*(S$145+S$146*V_PreDir)</f>
        <v>43</v>
      </c>
      <c r="T181" s="36" t="n">
        <f aca="false">SUMPRODUCT((Per_Clase="Directo")*INDEX(Dot_V,0,MIN(10,T$147)))*(T$145+T$146*V_PreDir)</f>
        <v>43</v>
      </c>
      <c r="U181" s="36" t="n">
        <f aca="false">SUMPRODUCT((Per_Clase="Directo")*INDEX(Dot_V,0,MIN(10,U$147)))*(U$145+U$146*V_PreDir)</f>
        <v>43</v>
      </c>
      <c r="V181" s="36" t="n">
        <f aca="false">SUMPRODUCT((Per_Clase="Directo")*INDEX(Dot_V,0,MIN(10,V$147)))*(V$145+V$146*V_PreDir)</f>
        <v>43</v>
      </c>
      <c r="W181" s="36" t="n">
        <f aca="false">SUMPRODUCT((Per_Clase="Directo")*INDEX(Dot_V,0,MIN(10,W$147)))*(W$145+W$146*V_PreDir)</f>
        <v>43</v>
      </c>
      <c r="X181" s="36" t="n">
        <f aca="false">SUMPRODUCT((Per_Clase="Directo")*INDEX(Dot_V,0,MIN(10,X$147)))*(X$145+X$146*V_PreDir)</f>
        <v>43</v>
      </c>
      <c r="Y181" s="36" t="n">
        <f aca="false">SUMPRODUCT((Per_Clase="Directo")*INDEX(Dot_V,0,MIN(10,Y$147)))*(Y$145+Y$146*V_PreDir)</f>
        <v>43</v>
      </c>
      <c r="Z181" s="36" t="n">
        <f aca="false">SUMPRODUCT((Per_Clase="Directo")*INDEX(Dot_V,0,MIN(10,Z$147)))*(Z$145+Z$146*V_PreDir)</f>
        <v>43</v>
      </c>
      <c r="AA181" s="36" t="n">
        <f aca="false">SUMPRODUCT((Per_Clase="Directo")*INDEX(Dot_V,0,MIN(10,AA$147)))*(AA$145+AA$146*V_PreDir)</f>
        <v>43</v>
      </c>
      <c r="AB181" s="36" t="n">
        <f aca="false">SUMPRODUCT((Per_Clase="Directo")*INDEX(Dot_V,0,MIN(10,AB$147)))*(AB$145+AB$146*V_PreDir)</f>
        <v>43</v>
      </c>
      <c r="AC181" s="36" t="n">
        <f aca="false">SUMPRODUCT((Per_Clase="Directo")*INDEX(Dot_V,0,MIN(10,AC$147)))*(AC$145+AC$146*V_PreDir)</f>
        <v>43</v>
      </c>
      <c r="AD181" s="36" t="n">
        <f aca="false">SUMPRODUCT((Per_Clase="Directo")*INDEX(Dot_V,0,MIN(10,AD$147)))*(AD$145+AD$146*V_PreDir)</f>
        <v>46</v>
      </c>
      <c r="AE181" s="36" t="n">
        <f aca="false">SUMPRODUCT((Per_Clase="Directo")*INDEX(Dot_V,0,MIN(10,AE$147)))*(AE$145+AE$146*V_PreDir)</f>
        <v>46</v>
      </c>
      <c r="AF181" s="36" t="n">
        <f aca="false">SUMPRODUCT((Per_Clase="Directo")*INDEX(Dot_V,0,MIN(10,AF$147)))*(AF$145+AF$146*V_PreDir)</f>
        <v>46</v>
      </c>
      <c r="AG181" s="36" t="n">
        <f aca="false">SUMPRODUCT((Per_Clase="Directo")*INDEX(Dot_V,0,MIN(10,AG$147)))*(AG$145+AG$146*V_PreDir)</f>
        <v>46</v>
      </c>
      <c r="AH181" s="36" t="n">
        <f aca="false">SUMPRODUCT((Per_Clase="Directo")*INDEX(Dot_V,0,MIN(10,AH$147)))*(AH$145+AH$146*V_PreDir)</f>
        <v>46</v>
      </c>
      <c r="AI181" s="36" t="n">
        <f aca="false">SUMPRODUCT((Per_Clase="Directo")*INDEX(Dot_V,0,MIN(10,AI$147)))*(AI$145+AI$146*V_PreDir)</f>
        <v>46</v>
      </c>
      <c r="AJ181" s="36" t="n">
        <f aca="false">SUMPRODUCT((Per_Clase="Directo")*INDEX(Dot_V,0,MIN(10,AJ$147)))*(AJ$145+AJ$146*V_PreDir)</f>
        <v>46</v>
      </c>
      <c r="AK181" s="36" t="n">
        <f aca="false">SUMPRODUCT((Per_Clase="Directo")*INDEX(Dot_V,0,MIN(10,AK$147)))*(AK$145+AK$146*V_PreDir)</f>
        <v>46</v>
      </c>
      <c r="AL181" s="36" t="n">
        <f aca="false">SUMPRODUCT((Per_Clase="Directo")*INDEX(Dot_V,0,MIN(10,AL$147)))*(AL$145+AL$146*V_PreDir)</f>
        <v>46</v>
      </c>
      <c r="AM181" s="36" t="n">
        <f aca="false">SUMPRODUCT((Per_Clase="Directo")*INDEX(Dot_V,0,MIN(10,AM$147)))*(AM$145+AM$146*V_PreDir)</f>
        <v>46</v>
      </c>
      <c r="AN181" s="36" t="n">
        <f aca="false">SUMPRODUCT((Per_Clase="Directo")*INDEX(Dot_V,0,MIN(10,AN$147)))*(AN$145+AN$146*V_PreDir)</f>
        <v>46</v>
      </c>
      <c r="AO181" s="36" t="n">
        <f aca="false">SUMPRODUCT((Per_Clase="Directo")*INDEX(Dot_V,0,MIN(10,AO$147)))*(AO$145+AO$146*V_PreDir)</f>
        <v>46</v>
      </c>
      <c r="AP181" s="36" t="n">
        <f aca="false">SUMPRODUCT((Per_Clase="Directo")*INDEX(Dot_V,0,MIN(10,AP$147)))*(AP$145+AP$146*V_PreDir)</f>
        <v>49</v>
      </c>
      <c r="AQ181" s="36" t="n">
        <f aca="false">SUMPRODUCT((Per_Clase="Directo")*INDEX(Dot_V,0,MIN(10,AQ$147)))*(AQ$145+AQ$146*V_PreDir)</f>
        <v>49</v>
      </c>
      <c r="AR181" s="36" t="n">
        <f aca="false">SUMPRODUCT((Per_Clase="Directo")*INDEX(Dot_V,0,MIN(10,AR$147)))*(AR$145+AR$146*V_PreDir)</f>
        <v>49</v>
      </c>
      <c r="AS181" s="36" t="n">
        <f aca="false">SUMPRODUCT((Per_Clase="Directo")*INDEX(Dot_V,0,MIN(10,AS$147)))*(AS$145+AS$146*V_PreDir)</f>
        <v>49</v>
      </c>
      <c r="AT181" s="36" t="n">
        <f aca="false">SUMPRODUCT((Per_Clase="Directo")*INDEX(Dot_V,0,MIN(10,AT$147)))*(AT$145+AT$146*V_PreDir)</f>
        <v>49</v>
      </c>
      <c r="AU181" s="36" t="n">
        <f aca="false">SUMPRODUCT((Per_Clase="Directo")*INDEX(Dot_V,0,MIN(10,AU$147)))*(AU$145+AU$146*V_PreDir)</f>
        <v>49</v>
      </c>
      <c r="AV181" s="36" t="n">
        <f aca="false">SUMPRODUCT((Per_Clase="Directo")*INDEX(Dot_V,0,MIN(10,AV$147)))*(AV$145+AV$146*V_PreDir)</f>
        <v>49</v>
      </c>
      <c r="AW181" s="36" t="n">
        <f aca="false">SUMPRODUCT((Per_Clase="Directo")*INDEX(Dot_V,0,MIN(10,AW$147)))*(AW$145+AW$146*V_PreDir)</f>
        <v>49</v>
      </c>
      <c r="AX181" s="36" t="n">
        <f aca="false">SUMPRODUCT((Per_Clase="Directo")*INDEX(Dot_V,0,MIN(10,AX$147)))*(AX$145+AX$146*V_PreDir)</f>
        <v>49</v>
      </c>
      <c r="AY181" s="36" t="n">
        <f aca="false">SUMPRODUCT((Per_Clase="Directo")*INDEX(Dot_V,0,MIN(10,AY$147)))*(AY$145+AY$146*V_PreDir)</f>
        <v>49</v>
      </c>
      <c r="AZ181" s="36" t="n">
        <f aca="false">SUMPRODUCT((Per_Clase="Directo")*INDEX(Dot_V,0,MIN(10,AZ$147)))*(AZ$145+AZ$146*V_PreDir)</f>
        <v>49</v>
      </c>
      <c r="BA181" s="36" t="n">
        <f aca="false">SUMPRODUCT((Per_Clase="Directo")*INDEX(Dot_V,0,MIN(10,BA$147)))*(BA$145+BA$146*V_PreDir)</f>
        <v>49</v>
      </c>
      <c r="BB181" s="36" t="n">
        <f aca="false">SUMPRODUCT((Per_Clase="Directo")*INDEX(Dot_V,0,MIN(10,BB$147)))*(BB$145+BB$146*V_PreDir)</f>
        <v>52</v>
      </c>
      <c r="BC181" s="36" t="n">
        <f aca="false">SUMPRODUCT((Per_Clase="Directo")*INDEX(Dot_V,0,MIN(10,BC$147)))*(BC$145+BC$146*V_PreDir)</f>
        <v>52</v>
      </c>
      <c r="BD181" s="36" t="n">
        <f aca="false">SUMPRODUCT((Per_Clase="Directo")*INDEX(Dot_V,0,MIN(10,BD$147)))*(BD$145+BD$146*V_PreDir)</f>
        <v>52</v>
      </c>
      <c r="BE181" s="36" t="n">
        <f aca="false">SUMPRODUCT((Per_Clase="Directo")*INDEX(Dot_V,0,MIN(10,BE$147)))*(BE$145+BE$146*V_PreDir)</f>
        <v>52</v>
      </c>
      <c r="BF181" s="36" t="n">
        <f aca="false">SUMPRODUCT((Per_Clase="Directo")*INDEX(Dot_V,0,MIN(10,BF$147)))*(BF$145+BF$146*V_PreDir)</f>
        <v>52</v>
      </c>
      <c r="BG181" s="36" t="n">
        <f aca="false">SUMPRODUCT((Per_Clase="Directo")*INDEX(Dot_V,0,MIN(10,BG$147)))*(BG$145+BG$146*V_PreDir)</f>
        <v>52</v>
      </c>
      <c r="BH181" s="36" t="n">
        <f aca="false">SUMPRODUCT((Per_Clase="Directo")*INDEX(Dot_V,0,MIN(10,BH$147)))*(BH$145+BH$146*V_PreDir)</f>
        <v>52</v>
      </c>
      <c r="BI181" s="36" t="n">
        <f aca="false">SUMPRODUCT((Per_Clase="Directo")*INDEX(Dot_V,0,MIN(10,BI$147)))*(BI$145+BI$146*V_PreDir)</f>
        <v>52</v>
      </c>
      <c r="BJ181" s="36" t="n">
        <f aca="false">SUMPRODUCT((Per_Clase="Directo")*INDEX(Dot_V,0,MIN(10,BJ$147)))*(BJ$145+BJ$146*V_PreDir)</f>
        <v>52</v>
      </c>
      <c r="BK181" s="36" t="n">
        <f aca="false">SUMPRODUCT((Per_Clase="Directo")*INDEX(Dot_V,0,MIN(10,BK$147)))*(BK$145+BK$146*V_PreDir)</f>
        <v>52</v>
      </c>
      <c r="BL181" s="36" t="n">
        <f aca="false">SUMPRODUCT((Per_Clase="Directo")*INDEX(Dot_V,0,MIN(10,BL$147)))*(BL$145+BL$146*V_PreDir)</f>
        <v>52</v>
      </c>
      <c r="BM181" s="36" t="n">
        <f aca="false">SUMPRODUCT((Per_Clase="Directo")*INDEX(Dot_V,0,MIN(10,BM$147)))*(BM$145+BM$146*V_PreDir)</f>
        <v>52</v>
      </c>
      <c r="BN181" s="36" t="n">
        <f aca="false">SUMPRODUCT((Per_Clase="Directo")*INDEX(Dot_V,0,MIN(10,BN$147)))*(BN$145+BN$146*V_PreDir)</f>
        <v>52</v>
      </c>
      <c r="BO181" s="36" t="n">
        <f aca="false">SUMPRODUCT((Per_Clase="Directo")*INDEX(Dot_V,0,MIN(10,BO$147)))*(BO$145+BO$146*V_PreDir)</f>
        <v>52</v>
      </c>
      <c r="BP181" s="36" t="n">
        <f aca="false">SUMPRODUCT((Per_Clase="Directo")*INDEX(Dot_V,0,MIN(10,BP$147)))*(BP$145+BP$146*V_PreDir)</f>
        <v>52</v>
      </c>
      <c r="BQ181" s="36" t="n">
        <f aca="false">SUMPRODUCT((Per_Clase="Directo")*INDEX(Dot_V,0,MIN(10,BQ$147)))*(BQ$145+BQ$146*V_PreDir)</f>
        <v>52</v>
      </c>
      <c r="BR181" s="36" t="n">
        <f aca="false">SUMPRODUCT((Per_Clase="Directo")*INDEX(Dot_V,0,MIN(10,BR$147)))*(BR$145+BR$146*V_PreDir)</f>
        <v>52</v>
      </c>
      <c r="BS181" s="36" t="n">
        <f aca="false">SUMPRODUCT((Per_Clase="Directo")*INDEX(Dot_V,0,MIN(10,BS$147)))*(BS$145+BS$146*V_PreDir)</f>
        <v>52</v>
      </c>
      <c r="BT181" s="36" t="n">
        <f aca="false">SUMPRODUCT((Per_Clase="Directo")*INDEX(Dot_V,0,MIN(10,BT$147)))*(BT$145+BT$146*V_PreDir)</f>
        <v>52</v>
      </c>
      <c r="BU181" s="36" t="n">
        <f aca="false">SUMPRODUCT((Per_Clase="Directo")*INDEX(Dot_V,0,MIN(10,BU$147)))*(BU$145+BU$146*V_PreDir)</f>
        <v>52</v>
      </c>
      <c r="BV181" s="36" t="n">
        <f aca="false">SUMPRODUCT((Per_Clase="Directo")*INDEX(Dot_V,0,MIN(10,BV$147)))*(BV$145+BV$146*V_PreDir)</f>
        <v>52</v>
      </c>
      <c r="BW181" s="36" t="n">
        <f aca="false">SUMPRODUCT((Per_Clase="Directo")*INDEX(Dot_V,0,MIN(10,BW$147)))*(BW$145+BW$146*V_PreDir)</f>
        <v>52</v>
      </c>
      <c r="BX181" s="36" t="n">
        <f aca="false">SUMPRODUCT((Per_Clase="Directo")*INDEX(Dot_V,0,MIN(10,BX$147)))*(BX$145+BX$146*V_PreDir)</f>
        <v>52</v>
      </c>
      <c r="BY181" s="36" t="n">
        <f aca="false">SUMPRODUCT((Per_Clase="Directo")*INDEX(Dot_V,0,MIN(10,BY$147)))*(BY$145+BY$146*V_PreDir)</f>
        <v>52</v>
      </c>
      <c r="BZ181" s="36" t="n">
        <f aca="false">SUMPRODUCT((Per_Clase="Directo")*INDEX(Dot_V,0,MIN(10,BZ$147)))*(BZ$145+BZ$146*V_PreDir)</f>
        <v>52</v>
      </c>
      <c r="CA181" s="36" t="n">
        <f aca="false">SUMPRODUCT((Per_Clase="Directo")*INDEX(Dot_V,0,MIN(10,CA$147)))*(CA$145+CA$146*V_PreDir)</f>
        <v>52</v>
      </c>
      <c r="CB181" s="36" t="n">
        <f aca="false">SUMPRODUCT((Per_Clase="Directo")*INDEX(Dot_V,0,MIN(10,CB$147)))*(CB$145+CB$146*V_PreDir)</f>
        <v>52</v>
      </c>
      <c r="CC181" s="36" t="n">
        <f aca="false">SUMPRODUCT((Per_Clase="Directo")*INDEX(Dot_V,0,MIN(10,CC$147)))*(CC$145+CC$146*V_PreDir)</f>
        <v>52</v>
      </c>
      <c r="CD181" s="36" t="n">
        <f aca="false">SUMPRODUCT((Per_Clase="Directo")*INDEX(Dot_V,0,MIN(10,CD$147)))*(CD$145+CD$146*V_PreDir)</f>
        <v>52</v>
      </c>
      <c r="CE181" s="36" t="n">
        <f aca="false">SUMPRODUCT((Per_Clase="Directo")*INDEX(Dot_V,0,MIN(10,CE$147)))*(CE$145+CE$146*V_PreDir)</f>
        <v>52</v>
      </c>
      <c r="CF181" s="36" t="n">
        <f aca="false">SUMPRODUCT((Per_Clase="Directo")*INDEX(Dot_V,0,MIN(10,CF$147)))*(CF$145+CF$146*V_PreDir)</f>
        <v>52</v>
      </c>
      <c r="CG181" s="36" t="n">
        <f aca="false">SUMPRODUCT((Per_Clase="Directo")*INDEX(Dot_V,0,MIN(10,CG$147)))*(CG$145+CG$146*V_PreDir)</f>
        <v>52</v>
      </c>
      <c r="CH181" s="36" t="n">
        <f aca="false">SUMPRODUCT((Per_Clase="Directo")*INDEX(Dot_V,0,MIN(10,CH$147)))*(CH$145+CH$146*V_PreDir)</f>
        <v>52</v>
      </c>
      <c r="CI181" s="36" t="n">
        <f aca="false">SUMPRODUCT((Per_Clase="Directo")*INDEX(Dot_V,0,MIN(10,CI$147)))*(CI$145+CI$146*V_PreDir)</f>
        <v>52</v>
      </c>
      <c r="CJ181" s="36" t="n">
        <f aca="false">SUMPRODUCT((Per_Clase="Directo")*INDEX(Dot_V,0,MIN(10,CJ$147)))*(CJ$145+CJ$146*V_PreDir)</f>
        <v>52</v>
      </c>
      <c r="CK181" s="36" t="n">
        <f aca="false">SUMPRODUCT((Per_Clase="Directo")*INDEX(Dot_V,0,MIN(10,CK$147)))*(CK$145+CK$146*V_PreDir)</f>
        <v>52</v>
      </c>
      <c r="CL181" s="36" t="n">
        <f aca="false">SUMPRODUCT((Per_Clase="Directo")*INDEX(Dot_V,0,MIN(10,CL$147)))*(CL$145+CL$146*V_PreDir)</f>
        <v>52</v>
      </c>
      <c r="CM181" s="36" t="n">
        <f aca="false">SUMPRODUCT((Per_Clase="Directo")*INDEX(Dot_V,0,MIN(10,CM$147)))*(CM$145+CM$146*V_PreDir)</f>
        <v>52</v>
      </c>
      <c r="CN181" s="36" t="n">
        <f aca="false">SUMPRODUCT((Per_Clase="Directo")*INDEX(Dot_V,0,MIN(10,CN$147)))*(CN$145+CN$146*V_PreDir)</f>
        <v>52</v>
      </c>
      <c r="CO181" s="36" t="n">
        <f aca="false">SUMPRODUCT((Per_Clase="Directo")*INDEX(Dot_V,0,MIN(10,CO$147)))*(CO$145+CO$146*V_PreDir)</f>
        <v>52</v>
      </c>
      <c r="CP181" s="36" t="n">
        <f aca="false">SUMPRODUCT((Per_Clase="Directo")*INDEX(Dot_V,0,MIN(10,CP$147)))*(CP$145+CP$146*V_PreDir)</f>
        <v>52</v>
      </c>
      <c r="CQ181" s="36" t="n">
        <f aca="false">SUMPRODUCT((Per_Clase="Directo")*INDEX(Dot_V,0,MIN(10,CQ$147)))*(CQ$145+CQ$146*V_PreDir)</f>
        <v>52</v>
      </c>
      <c r="CR181" s="36" t="n">
        <f aca="false">SUMPRODUCT((Per_Clase="Directo")*INDEX(Dot_V,0,MIN(10,CR$147)))*(CR$145+CR$146*V_PreDir)</f>
        <v>52</v>
      </c>
      <c r="CS181" s="36" t="n">
        <f aca="false">SUMPRODUCT((Per_Clase="Directo")*INDEX(Dot_V,0,MIN(10,CS$147)))*(CS$145+CS$146*V_PreDir)</f>
        <v>52</v>
      </c>
      <c r="CT181" s="36" t="n">
        <f aca="false">SUMPRODUCT((Per_Clase="Directo")*INDEX(Dot_V,0,MIN(10,CT$147)))*(CT$145+CT$146*V_PreDir)</f>
        <v>52</v>
      </c>
      <c r="CU181" s="36" t="n">
        <f aca="false">SUMPRODUCT((Per_Clase="Directo")*INDEX(Dot_V,0,MIN(10,CU$147)))*(CU$145+CU$146*V_PreDir)</f>
        <v>52</v>
      </c>
      <c r="CV181" s="36" t="n">
        <f aca="false">SUMPRODUCT((Per_Clase="Directo")*INDEX(Dot_V,0,MIN(10,CV$147)))*(CV$145+CV$146*V_PreDir)</f>
        <v>52</v>
      </c>
      <c r="CW181" s="36" t="n">
        <f aca="false">SUMPRODUCT((Per_Clase="Directo")*INDEX(Dot_V,0,MIN(10,CW$147)))*(CW$145+CW$146*V_PreDir)</f>
        <v>52</v>
      </c>
      <c r="CX181" s="36" t="n">
        <f aca="false">SUMPRODUCT((Per_Clase="Directo")*INDEX(Dot_V,0,MIN(10,CX$147)))*(CX$145+CX$146*V_PreDir)</f>
        <v>52</v>
      </c>
      <c r="CY181" s="36" t="n">
        <f aca="false">SUMPRODUCT((Per_Clase="Directo")*INDEX(Dot_V,0,MIN(10,CY$147)))*(CY$145+CY$146*V_PreDir)</f>
        <v>52</v>
      </c>
      <c r="CZ181" s="36" t="n">
        <f aca="false">SUMPRODUCT((Per_Clase="Directo")*INDEX(Dot_V,0,MIN(10,CZ$147)))*(CZ$145+CZ$146*V_PreDir)</f>
        <v>52</v>
      </c>
      <c r="DA181" s="36" t="n">
        <f aca="false">SUMPRODUCT((Per_Clase="Directo")*INDEX(Dot_V,0,MIN(10,DA$147)))*(DA$145+DA$146*V_PreDir)</f>
        <v>52</v>
      </c>
      <c r="DB181" s="36" t="n">
        <f aca="false">SUMPRODUCT((Per_Clase="Directo")*INDEX(Dot_V,0,MIN(10,DB$147)))*(DB$145+DB$146*V_PreDir)</f>
        <v>52</v>
      </c>
      <c r="DC181" s="36" t="n">
        <f aca="false">SUMPRODUCT((Per_Clase="Directo")*INDEX(Dot_V,0,MIN(10,DC$147)))*(DC$145+DC$146*V_PreDir)</f>
        <v>52</v>
      </c>
      <c r="DD181" s="36" t="n">
        <f aca="false">SUMPRODUCT((Per_Clase="Directo")*INDEX(Dot_V,0,MIN(10,DD$147)))*(DD$145+DD$146*V_PreDir)</f>
        <v>52</v>
      </c>
      <c r="DE181" s="36" t="n">
        <f aca="false">SUMPRODUCT((Per_Clase="Directo")*INDEX(Dot_V,0,MIN(10,DE$147)))*(DE$145+DE$146*V_PreDir)</f>
        <v>52</v>
      </c>
      <c r="DF181" s="36" t="n">
        <f aca="false">SUMPRODUCT((Per_Clase="Directo")*INDEX(Dot_V,0,MIN(10,DF$147)))*(DF$145+DF$146*V_PreDir)</f>
        <v>52</v>
      </c>
      <c r="DG181" s="36" t="n">
        <f aca="false">SUMPRODUCT((Per_Clase="Directo")*INDEX(Dot_V,0,MIN(10,DG$147)))*(DG$145+DG$146*V_PreDir)</f>
        <v>52</v>
      </c>
      <c r="DH181" s="36" t="n">
        <f aca="false">SUMPRODUCT((Per_Clase="Directo")*INDEX(Dot_V,0,MIN(10,DH$147)))*(DH$145+DH$146*V_PreDir)</f>
        <v>52</v>
      </c>
      <c r="DI181" s="36" t="n">
        <f aca="false">SUMPRODUCT((Per_Clase="Directo")*INDEX(Dot_V,0,MIN(10,DI$147)))*(DI$145+DI$146*V_PreDir)</f>
        <v>52</v>
      </c>
      <c r="DJ181" s="36" t="n">
        <f aca="false">SUMPRODUCT((Per_Clase="Directo")*INDEX(Dot_V,0,MIN(10,DJ$147)))*(DJ$145+DJ$146*V_PreDir)</f>
        <v>52</v>
      </c>
      <c r="DK181" s="36" t="n">
        <f aca="false">SUMPRODUCT((Per_Clase="Directo")*INDEX(Dot_V,0,MIN(10,DK$147)))*(DK$145+DK$146*V_PreDir)</f>
        <v>52</v>
      </c>
      <c r="DL181" s="36" t="n">
        <f aca="false">SUMPRODUCT((Per_Clase="Directo")*INDEX(Dot_V,0,MIN(10,DL$147)))*(DL$145+DL$146*V_PreDir)</f>
        <v>52</v>
      </c>
      <c r="DM181" s="36" t="n">
        <f aca="false">SUMPRODUCT((Per_Clase="Directo")*INDEX(Dot_V,0,MIN(10,DM$147)))*(DM$145+DM$146*V_PreDir)</f>
        <v>52</v>
      </c>
      <c r="DN181" s="36" t="n">
        <f aca="false">SUMPRODUCT((Per_Clase="Directo")*INDEX(Dot_V,0,MIN(10,DN$147)))*(DN$145+DN$146*V_PreDir)</f>
        <v>52</v>
      </c>
      <c r="DO181" s="36" t="n">
        <f aca="false">SUMPRODUCT((Per_Clase="Directo")*INDEX(Dot_V,0,MIN(10,DO$147)))*(DO$145+DO$146*V_PreDir)</f>
        <v>52</v>
      </c>
      <c r="DP181" s="36" t="n">
        <f aca="false">SUMPRODUCT((Per_Clase="Directo")*INDEX(Dot_V,0,MIN(10,DP$147)))*(DP$145+DP$146*V_PreDir)</f>
        <v>52</v>
      </c>
      <c r="DQ181" s="36" t="n">
        <f aca="false">SUMPRODUCT((Per_Clase="Directo")*INDEX(Dot_V,0,MIN(10,DQ$147)))*(DQ$145+DQ$146*V_PreDir)</f>
        <v>52</v>
      </c>
      <c r="DR181" s="36" t="n">
        <f aca="false">SUMPRODUCT((Per_Clase="Directo")*INDEX(Dot_V,0,MIN(10,DR$147)))*(DR$145+DR$146*V_PreDir)</f>
        <v>52</v>
      </c>
      <c r="DS181" s="36" t="n">
        <f aca="false">SUMPRODUCT((Per_Clase="Directo")*INDEX(Dot_V,0,MIN(10,DS$147)))*(DS$145+DS$146*V_PreDir)</f>
        <v>52</v>
      </c>
      <c r="DT181" s="36" t="n">
        <f aca="false">SUMPRODUCT((Per_Clase="Directo")*INDEX(Dot_V,0,MIN(10,DT$147)))*(DT$145+DT$146*V_PreDir)</f>
        <v>52</v>
      </c>
      <c r="DU181" s="36" t="n">
        <f aca="false">SUMPRODUCT((Per_Clase="Directo")*INDEX(Dot_V,0,MIN(10,DU$147)))*(DU$145+DU$146*V_PreDir)</f>
        <v>52</v>
      </c>
      <c r="DV181" s="36" t="n">
        <f aca="false">SUMPRODUCT((Per_Clase="Directo")*INDEX(Dot_V,0,MIN(10,DV$147)))*(DV$145+DV$146*V_PreDir)</f>
        <v>0</v>
      </c>
      <c r="DW181" s="36" t="n">
        <f aca="false">SUMPRODUCT((Per_Clase="Directo")*INDEX(Dot_V,0,MIN(10,DW$147)))*(DW$145+DW$146*V_PreDir)</f>
        <v>0</v>
      </c>
      <c r="DX181" s="36" t="n">
        <f aca="false">SUMPRODUCT((Per_Clase="Directo")*INDEX(Dot_V,0,MIN(10,DX$147)))*(DX$145+DX$146*V_PreDir)</f>
        <v>0</v>
      </c>
      <c r="DY181" s="36" t="n">
        <f aca="false">SUMPRODUCT((Per_Clase="Directo")*INDEX(Dot_V,0,MIN(10,DY$147)))*(DY$145+DY$146*V_PreDir)</f>
        <v>0</v>
      </c>
      <c r="DZ181" s="36" t="n">
        <f aca="false">SUMPRODUCT((Per_Clase="Directo")*INDEX(Dot_V,0,MIN(10,DZ$147)))*(DZ$145+DZ$146*V_PreDir)</f>
        <v>0</v>
      </c>
      <c r="EA181" s="36" t="n">
        <f aca="false">SUMPRODUCT((Per_Clase="Directo")*INDEX(Dot_V,0,MIN(10,EA$147)))*(EA$145+EA$146*V_PreDir)</f>
        <v>0</v>
      </c>
      <c r="EB181" s="36" t="n">
        <f aca="false">SUMPRODUCT((Per_Clase="Directo")*INDEX(Dot_V,0,MIN(10,EB$147)))*(EB$145+EB$146*V_PreDir)</f>
        <v>0</v>
      </c>
      <c r="EC181" s="36" t="n">
        <f aca="false">SUMPRODUCT((Per_Clase="Directo")*INDEX(Dot_V,0,MIN(10,EC$147)))*(EC$145+EC$146*V_PreDir)</f>
        <v>0</v>
      </c>
      <c r="ED181" s="36" t="n">
        <f aca="false">SUMPRODUCT((Per_Clase="Directo")*INDEX(Dot_V,0,MIN(10,ED$147)))*(ED$145+ED$146*V_PreDir)</f>
        <v>0</v>
      </c>
      <c r="EE181" s="36" t="n">
        <f aca="false">SUMPRODUCT((Per_Clase="Directo")*INDEX(Dot_V,0,MIN(10,EE$147)))*(EE$145+EE$146*V_PreDir)</f>
        <v>0</v>
      </c>
      <c r="EF181" s="36" t="n">
        <f aca="false">SUMPRODUCT((Per_Clase="Directo")*INDEX(Dot_V,0,MIN(10,EF$147)))*(EF$145+EF$146*V_PreDir)</f>
        <v>0</v>
      </c>
      <c r="EG181" s="36" t="n">
        <f aca="false">SUMPRODUCT((Per_Clase="Directo")*INDEX(Dot_V,0,MIN(10,EG$147)))*(EG$145+EG$146*V_PreDir)</f>
        <v>0</v>
      </c>
      <c r="EH181" s="36" t="n">
        <f aca="false">SUMPRODUCT((Per_Clase="Directo")*INDEX(Dot_V,0,MIN(10,EH$147)))*(EH$145+EH$146*V_PreDir)</f>
        <v>0</v>
      </c>
      <c r="EI181" s="36" t="n">
        <f aca="false">SUMPRODUCT((Per_Clase="Directo")*INDEX(Dot_V,0,MIN(10,EI$147)))*(EI$145+EI$146*V_PreDir)</f>
        <v>0</v>
      </c>
      <c r="EJ181" s="36" t="n">
        <f aca="false">SUMPRODUCT((Per_Clase="Directo")*INDEX(Dot_V,0,MIN(10,EJ$147)))*(EJ$145+EJ$146*V_PreDir)</f>
        <v>0</v>
      </c>
      <c r="EK181" s="36" t="n">
        <f aca="false">SUMPRODUCT((Per_Clase="Directo")*INDEX(Dot_V,0,MIN(10,EK$147)))*(EK$145+EK$146*V_PreDir)</f>
        <v>0</v>
      </c>
      <c r="EL181" s="36" t="n">
        <f aca="false">SUMPRODUCT((Per_Clase="Directo")*INDEX(Dot_V,0,MIN(10,EL$147)))*(EL$145+EL$146*V_PreDir)</f>
        <v>0</v>
      </c>
      <c r="EM181" s="36" t="n">
        <f aca="false">SUMPRODUCT((Per_Clase="Directo")*INDEX(Dot_V,0,MIN(10,EM$147)))*(EM$145+EM$146*V_PreDir)</f>
        <v>0</v>
      </c>
      <c r="EN181" s="36" t="n">
        <f aca="false">SUMPRODUCT((Per_Clase="Directo")*INDEX(Dot_V,0,MIN(10,EN$147)))*(EN$145+EN$146*V_PreDir)</f>
        <v>0</v>
      </c>
      <c r="EO181" s="36" t="n">
        <f aca="false">SUMPRODUCT((Per_Clase="Directo")*INDEX(Dot_V,0,MIN(10,EO$147)))*(EO$145+EO$146*V_PreDir)</f>
        <v>0</v>
      </c>
      <c r="EP181" s="36" t="n">
        <f aca="false">SUMPRODUCT((Per_Clase="Directo")*INDEX(Dot_V,0,MIN(10,EP$147)))*(EP$145+EP$146*V_PreDir)</f>
        <v>0</v>
      </c>
      <c r="EQ181" s="36" t="n">
        <f aca="false">SUMPRODUCT((Per_Clase="Directo")*INDEX(Dot_V,0,MIN(10,EQ$147)))*(EQ$145+EQ$146*V_PreDir)</f>
        <v>0</v>
      </c>
      <c r="ER181" s="36" t="n">
        <f aca="false">SUMPRODUCT((Per_Clase="Directo")*INDEX(Dot_V,0,MIN(10,ER$147)))*(ER$145+ER$146*V_PreDir)</f>
        <v>0</v>
      </c>
      <c r="ES181" s="36" t="n">
        <f aca="false">SUMPRODUCT((Per_Clase="Directo")*INDEX(Dot_V,0,MIN(10,ES$147)))*(ES$145+ES$146*V_PreDir)</f>
        <v>0</v>
      </c>
    </row>
    <row r="182" customFormat="false" ht="15" hidden="false" customHeight="false" outlineLevel="0" collapsed="false">
      <c r="A182" s="2" t="s">
        <v>797</v>
      </c>
      <c r="B182" s="6" t="s">
        <v>597</v>
      </c>
      <c r="C182" s="6" t="s">
        <v>250</v>
      </c>
      <c r="E182" s="40" t="n">
        <f aca="false">SUM(F182:ES182)</f>
        <v>4532548.91505156</v>
      </c>
      <c r="F182" s="34" t="n">
        <f aca="false">SUMPRODUCT((Per_Clase="Directo")*Sal_V*INDEX(Dot_V,0,MIN(10,F$147))*((Per_Mon="PYG")*F$149+(Per_Mon&lt;&gt;"PYG")))*(F$145+F$146*V_PreDir)*INDEX(IdxSal_V,1,MIN(10,F$147))*(1+V_Cargas)+F$181*V_Alim*F$149</f>
        <v>32622.2257971233</v>
      </c>
      <c r="G182" s="34" t="n">
        <f aca="false">SUMPRODUCT((Per_Clase="Directo")*Sal_V*INDEX(Dot_V,0,MIN(10,G$147))*((Per_Mon="PYG")*G$149+(Per_Mon&lt;&gt;"PYG")))*(G$145+G$146*V_PreDir)*INDEX(IdxSal_V,1,MIN(10,G$147))*(1+V_Cargas)+G$181*V_Alim*G$149</f>
        <v>32622.2257971233</v>
      </c>
      <c r="H182" s="34" t="n">
        <f aca="false">SUMPRODUCT((Per_Clase="Directo")*Sal_V*INDEX(Dot_V,0,MIN(10,H$147))*((Per_Mon="PYG")*H$149+(Per_Mon&lt;&gt;"PYG")))*(H$145+H$146*V_PreDir)*INDEX(IdxSal_V,1,MIN(10,H$147))*(1+V_Cargas)+H$181*V_Alim*H$149</f>
        <v>32622.2257971233</v>
      </c>
      <c r="I182" s="34" t="n">
        <f aca="false">SUMPRODUCT((Per_Clase="Directo")*Sal_V*INDEX(Dot_V,0,MIN(10,I$147))*((Per_Mon="PYG")*I$149+(Per_Mon&lt;&gt;"PYG")))*(I$145+I$146*V_PreDir)*INDEX(IdxSal_V,1,MIN(10,I$147))*(1+V_Cargas)+I$181*V_Alim*I$149</f>
        <v>32622.2257971233</v>
      </c>
      <c r="J182" s="34" t="n">
        <f aca="false">SUMPRODUCT((Per_Clase="Directo")*Sal_V*INDEX(Dot_V,0,MIN(10,J$147))*((Per_Mon="PYG")*J$149+(Per_Mon&lt;&gt;"PYG")))*(J$145+J$146*V_PreDir)*INDEX(IdxSal_V,1,MIN(10,J$147))*(1+V_Cargas)+J$181*V_Alim*J$149</f>
        <v>32622.2257971233</v>
      </c>
      <c r="K182" s="34" t="n">
        <f aca="false">SUMPRODUCT((Per_Clase="Directo")*Sal_V*INDEX(Dot_V,0,MIN(10,K$147))*((Per_Mon="PYG")*K$149+(Per_Mon&lt;&gt;"PYG")))*(K$145+K$146*V_PreDir)*INDEX(IdxSal_V,1,MIN(10,K$147))*(1+V_Cargas)+K$181*V_Alim*K$149</f>
        <v>32622.2257971233</v>
      </c>
      <c r="L182" s="34" t="n">
        <f aca="false">SUMPRODUCT((Per_Clase="Directo")*Sal_V*INDEX(Dot_V,0,MIN(10,L$147))*((Per_Mon="PYG")*L$149+(Per_Mon&lt;&gt;"PYG")))*(L$145+L$146*V_PreDir)*INDEX(IdxSal_V,1,MIN(10,L$147))*(1+V_Cargas)+L$181*V_Alim*L$149</f>
        <v>32622.2257971233</v>
      </c>
      <c r="M182" s="34" t="n">
        <f aca="false">SUMPRODUCT((Per_Clase="Directo")*Sal_V*INDEX(Dot_V,0,MIN(10,M$147))*((Per_Mon="PYG")*M$149+(Per_Mon&lt;&gt;"PYG")))*(M$145+M$146*V_PreDir)*INDEX(IdxSal_V,1,MIN(10,M$147))*(1+V_Cargas)+M$181*V_Alim*M$149</f>
        <v>32622.2257971233</v>
      </c>
      <c r="N182" s="34" t="n">
        <f aca="false">SUMPRODUCT((Per_Clase="Directo")*Sal_V*INDEX(Dot_V,0,MIN(10,N$147))*((Per_Mon="PYG")*N$149+(Per_Mon&lt;&gt;"PYG")))*(N$145+N$146*V_PreDir)*INDEX(IdxSal_V,1,MIN(10,N$147))*(1+V_Cargas)+N$181*V_Alim*N$149</f>
        <v>32622.2257971233</v>
      </c>
      <c r="O182" s="34" t="n">
        <f aca="false">SUMPRODUCT((Per_Clase="Directo")*Sal_V*INDEX(Dot_V,0,MIN(10,O$147))*((Per_Mon="PYG")*O$149+(Per_Mon&lt;&gt;"PYG")))*(O$145+O$146*V_PreDir)*INDEX(IdxSal_V,1,MIN(10,O$147))*(1+V_Cargas)+O$181*V_Alim*O$149</f>
        <v>32622.2257971233</v>
      </c>
      <c r="P182" s="34" t="n">
        <f aca="false">SUMPRODUCT((Per_Clase="Directo")*Sal_V*INDEX(Dot_V,0,MIN(10,P$147))*((Per_Mon="PYG")*P$149+(Per_Mon&lt;&gt;"PYG")))*(P$145+P$146*V_PreDir)*INDEX(IdxSal_V,1,MIN(10,P$147))*(1+V_Cargas)+P$181*V_Alim*P$149</f>
        <v>32622.2257971233</v>
      </c>
      <c r="Q182" s="34" t="n">
        <f aca="false">SUMPRODUCT((Per_Clase="Directo")*Sal_V*INDEX(Dot_V,0,MIN(10,Q$147))*((Per_Mon="PYG")*Q$149+(Per_Mon&lt;&gt;"PYG")))*(Q$145+Q$146*V_PreDir)*INDEX(IdxSal_V,1,MIN(10,Q$147))*(1+V_Cargas)+Q$181*V_Alim*Q$149</f>
        <v>32622.2257971233</v>
      </c>
      <c r="R182" s="34" t="n">
        <f aca="false">SUMPRODUCT((Per_Clase="Directo")*Sal_V*INDEX(Dot_V,0,MIN(10,R$147))*((Per_Mon="PYG")*R$149+(Per_Mon&lt;&gt;"PYG")))*(R$145+R$146*V_PreDir)*INDEX(IdxSal_V,1,MIN(10,R$147))*(1+V_Cargas)+R$181*V_Alim*R$149</f>
        <v>32622.2257971233</v>
      </c>
      <c r="S182" s="34" t="n">
        <f aca="false">SUMPRODUCT((Per_Clase="Directo")*Sal_V*INDEX(Dot_V,0,MIN(10,S$147))*((Per_Mon="PYG")*S$149+(Per_Mon&lt;&gt;"PYG")))*(S$145+S$146*V_PreDir)*INDEX(IdxSal_V,1,MIN(10,S$147))*(1+V_Cargas)+S$181*V_Alim*S$149</f>
        <v>32622.2257971233</v>
      </c>
      <c r="T182" s="34" t="n">
        <f aca="false">SUMPRODUCT((Per_Clase="Directo")*Sal_V*INDEX(Dot_V,0,MIN(10,T$147))*((Per_Mon="PYG")*T$149+(Per_Mon&lt;&gt;"PYG")))*(T$145+T$146*V_PreDir)*INDEX(IdxSal_V,1,MIN(10,T$147))*(1+V_Cargas)+T$181*V_Alim*T$149</f>
        <v>32622.2257971233</v>
      </c>
      <c r="U182" s="34" t="n">
        <f aca="false">SUMPRODUCT((Per_Clase="Directo")*Sal_V*INDEX(Dot_V,0,MIN(10,U$147))*((Per_Mon="PYG")*U$149+(Per_Mon&lt;&gt;"PYG")))*(U$145+U$146*V_PreDir)*INDEX(IdxSal_V,1,MIN(10,U$147))*(1+V_Cargas)+U$181*V_Alim*U$149</f>
        <v>32622.2257971233</v>
      </c>
      <c r="V182" s="34" t="n">
        <f aca="false">SUMPRODUCT((Per_Clase="Directo")*Sal_V*INDEX(Dot_V,0,MIN(10,V$147))*((Per_Mon="PYG")*V$149+(Per_Mon&lt;&gt;"PYG")))*(V$145+V$146*V_PreDir)*INDEX(IdxSal_V,1,MIN(10,V$147))*(1+V_Cargas)+V$181*V_Alim*V$149</f>
        <v>32622.2257971233</v>
      </c>
      <c r="W182" s="34" t="n">
        <f aca="false">SUMPRODUCT((Per_Clase="Directo")*Sal_V*INDEX(Dot_V,0,MIN(10,W$147))*((Per_Mon="PYG")*W$149+(Per_Mon&lt;&gt;"PYG")))*(W$145+W$146*V_PreDir)*INDEX(IdxSal_V,1,MIN(10,W$147))*(1+V_Cargas)+W$181*V_Alim*W$149</f>
        <v>32622.2257971233</v>
      </c>
      <c r="X182" s="34" t="n">
        <f aca="false">SUMPRODUCT((Per_Clase="Directo")*Sal_V*INDEX(Dot_V,0,MIN(10,X$147))*((Per_Mon="PYG")*X$149+(Per_Mon&lt;&gt;"PYG")))*(X$145+X$146*V_PreDir)*INDEX(IdxSal_V,1,MIN(10,X$147))*(1+V_Cargas)+X$181*V_Alim*X$149</f>
        <v>32622.2257971233</v>
      </c>
      <c r="Y182" s="34" t="n">
        <f aca="false">SUMPRODUCT((Per_Clase="Directo")*Sal_V*INDEX(Dot_V,0,MIN(10,Y$147))*((Per_Mon="PYG")*Y$149+(Per_Mon&lt;&gt;"PYG")))*(Y$145+Y$146*V_PreDir)*INDEX(IdxSal_V,1,MIN(10,Y$147))*(1+V_Cargas)+Y$181*V_Alim*Y$149</f>
        <v>32622.2257971233</v>
      </c>
      <c r="Z182" s="34" t="n">
        <f aca="false">SUMPRODUCT((Per_Clase="Directo")*Sal_V*INDEX(Dot_V,0,MIN(10,Z$147))*((Per_Mon="PYG")*Z$149+(Per_Mon&lt;&gt;"PYG")))*(Z$145+Z$146*V_PreDir)*INDEX(IdxSal_V,1,MIN(10,Z$147))*(1+V_Cargas)+Z$181*V_Alim*Z$149</f>
        <v>32622.2257971233</v>
      </c>
      <c r="AA182" s="34" t="n">
        <f aca="false">SUMPRODUCT((Per_Clase="Directo")*Sal_V*INDEX(Dot_V,0,MIN(10,AA$147))*((Per_Mon="PYG")*AA$149+(Per_Mon&lt;&gt;"PYG")))*(AA$145+AA$146*V_PreDir)*INDEX(IdxSal_V,1,MIN(10,AA$147))*(1+V_Cargas)+AA$181*V_Alim*AA$149</f>
        <v>32622.2257971233</v>
      </c>
      <c r="AB182" s="34" t="n">
        <f aca="false">SUMPRODUCT((Per_Clase="Directo")*Sal_V*INDEX(Dot_V,0,MIN(10,AB$147))*((Per_Mon="PYG")*AB$149+(Per_Mon&lt;&gt;"PYG")))*(AB$145+AB$146*V_PreDir)*INDEX(IdxSal_V,1,MIN(10,AB$147))*(1+V_Cargas)+AB$181*V_Alim*AB$149</f>
        <v>32622.2257971233</v>
      </c>
      <c r="AC182" s="34" t="n">
        <f aca="false">SUMPRODUCT((Per_Clase="Directo")*Sal_V*INDEX(Dot_V,0,MIN(10,AC$147))*((Per_Mon="PYG")*AC$149+(Per_Mon&lt;&gt;"PYG")))*(AC$145+AC$146*V_PreDir)*INDEX(IdxSal_V,1,MIN(10,AC$147))*(1+V_Cargas)+AC$181*V_Alim*AC$149</f>
        <v>32622.2257971233</v>
      </c>
      <c r="AD182" s="34" t="n">
        <f aca="false">SUMPRODUCT((Per_Clase="Directo")*Sal_V*INDEX(Dot_V,0,MIN(10,AD$147))*((Per_Mon="PYG")*AD$149+(Per_Mon&lt;&gt;"PYG")))*(AD$145+AD$146*V_PreDir)*INDEX(IdxSal_V,1,MIN(10,AD$147))*(1+V_Cargas)+AD$181*V_Alim*AD$149</f>
        <v>35267.6436408904</v>
      </c>
      <c r="AE182" s="34" t="n">
        <f aca="false">SUMPRODUCT((Per_Clase="Directo")*Sal_V*INDEX(Dot_V,0,MIN(10,AE$147))*((Per_Mon="PYG")*AE$149+(Per_Mon&lt;&gt;"PYG")))*(AE$145+AE$146*V_PreDir)*INDEX(IdxSal_V,1,MIN(10,AE$147))*(1+V_Cargas)+AE$181*V_Alim*AE$149</f>
        <v>35267.6436408904</v>
      </c>
      <c r="AF182" s="34" t="n">
        <f aca="false">SUMPRODUCT((Per_Clase="Directo")*Sal_V*INDEX(Dot_V,0,MIN(10,AF$147))*((Per_Mon="PYG")*AF$149+(Per_Mon&lt;&gt;"PYG")))*(AF$145+AF$146*V_PreDir)*INDEX(IdxSal_V,1,MIN(10,AF$147))*(1+V_Cargas)+AF$181*V_Alim*AF$149</f>
        <v>35267.6436408904</v>
      </c>
      <c r="AG182" s="34" t="n">
        <f aca="false">SUMPRODUCT((Per_Clase="Directo")*Sal_V*INDEX(Dot_V,0,MIN(10,AG$147))*((Per_Mon="PYG")*AG$149+(Per_Mon&lt;&gt;"PYG")))*(AG$145+AG$146*V_PreDir)*INDEX(IdxSal_V,1,MIN(10,AG$147))*(1+V_Cargas)+AG$181*V_Alim*AG$149</f>
        <v>35267.6436408904</v>
      </c>
      <c r="AH182" s="34" t="n">
        <f aca="false">SUMPRODUCT((Per_Clase="Directo")*Sal_V*INDEX(Dot_V,0,MIN(10,AH$147))*((Per_Mon="PYG")*AH$149+(Per_Mon&lt;&gt;"PYG")))*(AH$145+AH$146*V_PreDir)*INDEX(IdxSal_V,1,MIN(10,AH$147))*(1+V_Cargas)+AH$181*V_Alim*AH$149</f>
        <v>35267.6436408904</v>
      </c>
      <c r="AI182" s="34" t="n">
        <f aca="false">SUMPRODUCT((Per_Clase="Directo")*Sal_V*INDEX(Dot_V,0,MIN(10,AI$147))*((Per_Mon="PYG")*AI$149+(Per_Mon&lt;&gt;"PYG")))*(AI$145+AI$146*V_PreDir)*INDEX(IdxSal_V,1,MIN(10,AI$147))*(1+V_Cargas)+AI$181*V_Alim*AI$149</f>
        <v>35267.6436408904</v>
      </c>
      <c r="AJ182" s="34" t="n">
        <f aca="false">SUMPRODUCT((Per_Clase="Directo")*Sal_V*INDEX(Dot_V,0,MIN(10,AJ$147))*((Per_Mon="PYG")*AJ$149+(Per_Mon&lt;&gt;"PYG")))*(AJ$145+AJ$146*V_PreDir)*INDEX(IdxSal_V,1,MIN(10,AJ$147))*(1+V_Cargas)+AJ$181*V_Alim*AJ$149</f>
        <v>35267.6436408904</v>
      </c>
      <c r="AK182" s="34" t="n">
        <f aca="false">SUMPRODUCT((Per_Clase="Directo")*Sal_V*INDEX(Dot_V,0,MIN(10,AK$147))*((Per_Mon="PYG")*AK$149+(Per_Mon&lt;&gt;"PYG")))*(AK$145+AK$146*V_PreDir)*INDEX(IdxSal_V,1,MIN(10,AK$147))*(1+V_Cargas)+AK$181*V_Alim*AK$149</f>
        <v>35267.6436408904</v>
      </c>
      <c r="AL182" s="34" t="n">
        <f aca="false">SUMPRODUCT((Per_Clase="Directo")*Sal_V*INDEX(Dot_V,0,MIN(10,AL$147))*((Per_Mon="PYG")*AL$149+(Per_Mon&lt;&gt;"PYG")))*(AL$145+AL$146*V_PreDir)*INDEX(IdxSal_V,1,MIN(10,AL$147))*(1+V_Cargas)+AL$181*V_Alim*AL$149</f>
        <v>35267.6436408904</v>
      </c>
      <c r="AM182" s="34" t="n">
        <f aca="false">SUMPRODUCT((Per_Clase="Directo")*Sal_V*INDEX(Dot_V,0,MIN(10,AM$147))*((Per_Mon="PYG")*AM$149+(Per_Mon&lt;&gt;"PYG")))*(AM$145+AM$146*V_PreDir)*INDEX(IdxSal_V,1,MIN(10,AM$147))*(1+V_Cargas)+AM$181*V_Alim*AM$149</f>
        <v>35267.6436408904</v>
      </c>
      <c r="AN182" s="34" t="n">
        <f aca="false">SUMPRODUCT((Per_Clase="Directo")*Sal_V*INDEX(Dot_V,0,MIN(10,AN$147))*((Per_Mon="PYG")*AN$149+(Per_Mon&lt;&gt;"PYG")))*(AN$145+AN$146*V_PreDir)*INDEX(IdxSal_V,1,MIN(10,AN$147))*(1+V_Cargas)+AN$181*V_Alim*AN$149</f>
        <v>35267.6436408904</v>
      </c>
      <c r="AO182" s="34" t="n">
        <f aca="false">SUMPRODUCT((Per_Clase="Directo")*Sal_V*INDEX(Dot_V,0,MIN(10,AO$147))*((Per_Mon="PYG")*AO$149+(Per_Mon&lt;&gt;"PYG")))*(AO$145+AO$146*V_PreDir)*INDEX(IdxSal_V,1,MIN(10,AO$147))*(1+V_Cargas)+AO$181*V_Alim*AO$149</f>
        <v>35267.6436408904</v>
      </c>
      <c r="AP182" s="34" t="n">
        <f aca="false">SUMPRODUCT((Per_Clase="Directo")*Sal_V*INDEX(Dot_V,0,MIN(10,AP$147))*((Per_Mon="PYG")*AP$149+(Per_Mon&lt;&gt;"PYG")))*(AP$145+AP$146*V_PreDir)*INDEX(IdxSal_V,1,MIN(10,AP$147))*(1+V_Cargas)+AP$181*V_Alim*AP$149</f>
        <v>37386.0127952877</v>
      </c>
      <c r="AQ182" s="34" t="n">
        <f aca="false">SUMPRODUCT((Per_Clase="Directo")*Sal_V*INDEX(Dot_V,0,MIN(10,AQ$147))*((Per_Mon="PYG")*AQ$149+(Per_Mon&lt;&gt;"PYG")))*(AQ$145+AQ$146*V_PreDir)*INDEX(IdxSal_V,1,MIN(10,AQ$147))*(1+V_Cargas)+AQ$181*V_Alim*AQ$149</f>
        <v>37386.0127952877</v>
      </c>
      <c r="AR182" s="34" t="n">
        <f aca="false">SUMPRODUCT((Per_Clase="Directo")*Sal_V*INDEX(Dot_V,0,MIN(10,AR$147))*((Per_Mon="PYG")*AR$149+(Per_Mon&lt;&gt;"PYG")))*(AR$145+AR$146*V_PreDir)*INDEX(IdxSal_V,1,MIN(10,AR$147))*(1+V_Cargas)+AR$181*V_Alim*AR$149</f>
        <v>37386.0127952877</v>
      </c>
      <c r="AS182" s="34" t="n">
        <f aca="false">SUMPRODUCT((Per_Clase="Directo")*Sal_V*INDEX(Dot_V,0,MIN(10,AS$147))*((Per_Mon="PYG")*AS$149+(Per_Mon&lt;&gt;"PYG")))*(AS$145+AS$146*V_PreDir)*INDEX(IdxSal_V,1,MIN(10,AS$147))*(1+V_Cargas)+AS$181*V_Alim*AS$149</f>
        <v>37386.0127952877</v>
      </c>
      <c r="AT182" s="34" t="n">
        <f aca="false">SUMPRODUCT((Per_Clase="Directo")*Sal_V*INDEX(Dot_V,0,MIN(10,AT$147))*((Per_Mon="PYG")*AT$149+(Per_Mon&lt;&gt;"PYG")))*(AT$145+AT$146*V_PreDir)*INDEX(IdxSal_V,1,MIN(10,AT$147))*(1+V_Cargas)+AT$181*V_Alim*AT$149</f>
        <v>37386.0127952877</v>
      </c>
      <c r="AU182" s="34" t="n">
        <f aca="false">SUMPRODUCT((Per_Clase="Directo")*Sal_V*INDEX(Dot_V,0,MIN(10,AU$147))*((Per_Mon="PYG")*AU$149+(Per_Mon&lt;&gt;"PYG")))*(AU$145+AU$146*V_PreDir)*INDEX(IdxSal_V,1,MIN(10,AU$147))*(1+V_Cargas)+AU$181*V_Alim*AU$149</f>
        <v>37386.0127952877</v>
      </c>
      <c r="AV182" s="34" t="n">
        <f aca="false">SUMPRODUCT((Per_Clase="Directo")*Sal_V*INDEX(Dot_V,0,MIN(10,AV$147))*((Per_Mon="PYG")*AV$149+(Per_Mon&lt;&gt;"PYG")))*(AV$145+AV$146*V_PreDir)*INDEX(IdxSal_V,1,MIN(10,AV$147))*(1+V_Cargas)+AV$181*V_Alim*AV$149</f>
        <v>37386.0127952877</v>
      </c>
      <c r="AW182" s="34" t="n">
        <f aca="false">SUMPRODUCT((Per_Clase="Directo")*Sal_V*INDEX(Dot_V,0,MIN(10,AW$147))*((Per_Mon="PYG")*AW$149+(Per_Mon&lt;&gt;"PYG")))*(AW$145+AW$146*V_PreDir)*INDEX(IdxSal_V,1,MIN(10,AW$147))*(1+V_Cargas)+AW$181*V_Alim*AW$149</f>
        <v>37386.0127952877</v>
      </c>
      <c r="AX182" s="34" t="n">
        <f aca="false">SUMPRODUCT((Per_Clase="Directo")*Sal_V*INDEX(Dot_V,0,MIN(10,AX$147))*((Per_Mon="PYG")*AX$149+(Per_Mon&lt;&gt;"PYG")))*(AX$145+AX$146*V_PreDir)*INDEX(IdxSal_V,1,MIN(10,AX$147))*(1+V_Cargas)+AX$181*V_Alim*AX$149</f>
        <v>37386.0127952877</v>
      </c>
      <c r="AY182" s="34" t="n">
        <f aca="false">SUMPRODUCT((Per_Clase="Directo")*Sal_V*INDEX(Dot_V,0,MIN(10,AY$147))*((Per_Mon="PYG")*AY$149+(Per_Mon&lt;&gt;"PYG")))*(AY$145+AY$146*V_PreDir)*INDEX(IdxSal_V,1,MIN(10,AY$147))*(1+V_Cargas)+AY$181*V_Alim*AY$149</f>
        <v>37386.0127952877</v>
      </c>
      <c r="AZ182" s="34" t="n">
        <f aca="false">SUMPRODUCT((Per_Clase="Directo")*Sal_V*INDEX(Dot_V,0,MIN(10,AZ$147))*((Per_Mon="PYG")*AZ$149+(Per_Mon&lt;&gt;"PYG")))*(AZ$145+AZ$146*V_PreDir)*INDEX(IdxSal_V,1,MIN(10,AZ$147))*(1+V_Cargas)+AZ$181*V_Alim*AZ$149</f>
        <v>37386.0127952877</v>
      </c>
      <c r="BA182" s="34" t="n">
        <f aca="false">SUMPRODUCT((Per_Clase="Directo")*Sal_V*INDEX(Dot_V,0,MIN(10,BA$147))*((Per_Mon="PYG")*BA$149+(Per_Mon&lt;&gt;"PYG")))*(BA$145+BA$146*V_PreDir)*INDEX(IdxSal_V,1,MIN(10,BA$147))*(1+V_Cargas)+BA$181*V_Alim*BA$149</f>
        <v>37386.0127952877</v>
      </c>
      <c r="BB182" s="34" t="n">
        <f aca="false">SUMPRODUCT((Per_Clase="Directo")*Sal_V*INDEX(Dot_V,0,MIN(10,BB$147))*((Per_Mon="PYG")*BB$149+(Per_Mon&lt;&gt;"PYG")))*(BB$145+BB$146*V_PreDir)*INDEX(IdxSal_V,1,MIN(10,BB$147))*(1+V_Cargas)+BB$181*V_Alim*BB$149</f>
        <v>39969.0502595343</v>
      </c>
      <c r="BC182" s="34" t="n">
        <f aca="false">SUMPRODUCT((Per_Clase="Directo")*Sal_V*INDEX(Dot_V,0,MIN(10,BC$147))*((Per_Mon="PYG")*BC$149+(Per_Mon&lt;&gt;"PYG")))*(BC$145+BC$146*V_PreDir)*INDEX(IdxSal_V,1,MIN(10,BC$147))*(1+V_Cargas)+BC$181*V_Alim*BC$149</f>
        <v>39969.0502595343</v>
      </c>
      <c r="BD182" s="34" t="n">
        <f aca="false">SUMPRODUCT((Per_Clase="Directo")*Sal_V*INDEX(Dot_V,0,MIN(10,BD$147))*((Per_Mon="PYG")*BD$149+(Per_Mon&lt;&gt;"PYG")))*(BD$145+BD$146*V_PreDir)*INDEX(IdxSal_V,1,MIN(10,BD$147))*(1+V_Cargas)+BD$181*V_Alim*BD$149</f>
        <v>39969.0502595343</v>
      </c>
      <c r="BE182" s="34" t="n">
        <f aca="false">SUMPRODUCT((Per_Clase="Directo")*Sal_V*INDEX(Dot_V,0,MIN(10,BE$147))*((Per_Mon="PYG")*BE$149+(Per_Mon&lt;&gt;"PYG")))*(BE$145+BE$146*V_PreDir)*INDEX(IdxSal_V,1,MIN(10,BE$147))*(1+V_Cargas)+BE$181*V_Alim*BE$149</f>
        <v>39969.0502595343</v>
      </c>
      <c r="BF182" s="34" t="n">
        <f aca="false">SUMPRODUCT((Per_Clase="Directo")*Sal_V*INDEX(Dot_V,0,MIN(10,BF$147))*((Per_Mon="PYG")*BF$149+(Per_Mon&lt;&gt;"PYG")))*(BF$145+BF$146*V_PreDir)*INDEX(IdxSal_V,1,MIN(10,BF$147))*(1+V_Cargas)+BF$181*V_Alim*BF$149</f>
        <v>39969.0502595343</v>
      </c>
      <c r="BG182" s="34" t="n">
        <f aca="false">SUMPRODUCT((Per_Clase="Directo")*Sal_V*INDEX(Dot_V,0,MIN(10,BG$147))*((Per_Mon="PYG")*BG$149+(Per_Mon&lt;&gt;"PYG")))*(BG$145+BG$146*V_PreDir)*INDEX(IdxSal_V,1,MIN(10,BG$147))*(1+V_Cargas)+BG$181*V_Alim*BG$149</f>
        <v>39969.0502595343</v>
      </c>
      <c r="BH182" s="34" t="n">
        <f aca="false">SUMPRODUCT((Per_Clase="Directo")*Sal_V*INDEX(Dot_V,0,MIN(10,BH$147))*((Per_Mon="PYG")*BH$149+(Per_Mon&lt;&gt;"PYG")))*(BH$145+BH$146*V_PreDir)*INDEX(IdxSal_V,1,MIN(10,BH$147))*(1+V_Cargas)+BH$181*V_Alim*BH$149</f>
        <v>39969.0502595343</v>
      </c>
      <c r="BI182" s="34" t="n">
        <f aca="false">SUMPRODUCT((Per_Clase="Directo")*Sal_V*INDEX(Dot_V,0,MIN(10,BI$147))*((Per_Mon="PYG")*BI$149+(Per_Mon&lt;&gt;"PYG")))*(BI$145+BI$146*V_PreDir)*INDEX(IdxSal_V,1,MIN(10,BI$147))*(1+V_Cargas)+BI$181*V_Alim*BI$149</f>
        <v>39969.0502595343</v>
      </c>
      <c r="BJ182" s="34" t="n">
        <f aca="false">SUMPRODUCT((Per_Clase="Directo")*Sal_V*INDEX(Dot_V,0,MIN(10,BJ$147))*((Per_Mon="PYG")*BJ$149+(Per_Mon&lt;&gt;"PYG")))*(BJ$145+BJ$146*V_PreDir)*INDEX(IdxSal_V,1,MIN(10,BJ$147))*(1+V_Cargas)+BJ$181*V_Alim*BJ$149</f>
        <v>39969.0502595343</v>
      </c>
      <c r="BK182" s="34" t="n">
        <f aca="false">SUMPRODUCT((Per_Clase="Directo")*Sal_V*INDEX(Dot_V,0,MIN(10,BK$147))*((Per_Mon="PYG")*BK$149+(Per_Mon&lt;&gt;"PYG")))*(BK$145+BK$146*V_PreDir)*INDEX(IdxSal_V,1,MIN(10,BK$147))*(1+V_Cargas)+BK$181*V_Alim*BK$149</f>
        <v>39969.0502595343</v>
      </c>
      <c r="BL182" s="34" t="n">
        <f aca="false">SUMPRODUCT((Per_Clase="Directo")*Sal_V*INDEX(Dot_V,0,MIN(10,BL$147))*((Per_Mon="PYG")*BL$149+(Per_Mon&lt;&gt;"PYG")))*(BL$145+BL$146*V_PreDir)*INDEX(IdxSal_V,1,MIN(10,BL$147))*(1+V_Cargas)+BL$181*V_Alim*BL$149</f>
        <v>39969.0502595343</v>
      </c>
      <c r="BM182" s="34" t="n">
        <f aca="false">SUMPRODUCT((Per_Clase="Directo")*Sal_V*INDEX(Dot_V,0,MIN(10,BM$147))*((Per_Mon="PYG")*BM$149+(Per_Mon&lt;&gt;"PYG")))*(BM$145+BM$146*V_PreDir)*INDEX(IdxSal_V,1,MIN(10,BM$147))*(1+V_Cargas)+BM$181*V_Alim*BM$149</f>
        <v>39969.0502595343</v>
      </c>
      <c r="BN182" s="34" t="n">
        <f aca="false">SUMPRODUCT((Per_Clase="Directo")*Sal_V*INDEX(Dot_V,0,MIN(10,BN$147))*((Per_Mon="PYG")*BN$149+(Per_Mon&lt;&gt;"PYG")))*(BN$145+BN$146*V_PreDir)*INDEX(IdxSal_V,1,MIN(10,BN$147))*(1+V_Cargas)+BN$181*V_Alim*BN$149</f>
        <v>39969.0502595343</v>
      </c>
      <c r="BO182" s="34" t="n">
        <f aca="false">SUMPRODUCT((Per_Clase="Directo")*Sal_V*INDEX(Dot_V,0,MIN(10,BO$147))*((Per_Mon="PYG")*BO$149+(Per_Mon&lt;&gt;"PYG")))*(BO$145+BO$146*V_PreDir)*INDEX(IdxSal_V,1,MIN(10,BO$147))*(1+V_Cargas)+BO$181*V_Alim*BO$149</f>
        <v>39969.0502595343</v>
      </c>
      <c r="BP182" s="34" t="n">
        <f aca="false">SUMPRODUCT((Per_Clase="Directo")*Sal_V*INDEX(Dot_V,0,MIN(10,BP$147))*((Per_Mon="PYG")*BP$149+(Per_Mon&lt;&gt;"PYG")))*(BP$145+BP$146*V_PreDir)*INDEX(IdxSal_V,1,MIN(10,BP$147))*(1+V_Cargas)+BP$181*V_Alim*BP$149</f>
        <v>39969.0502595343</v>
      </c>
      <c r="BQ182" s="34" t="n">
        <f aca="false">SUMPRODUCT((Per_Clase="Directo")*Sal_V*INDEX(Dot_V,0,MIN(10,BQ$147))*((Per_Mon="PYG")*BQ$149+(Per_Mon&lt;&gt;"PYG")))*(BQ$145+BQ$146*V_PreDir)*INDEX(IdxSal_V,1,MIN(10,BQ$147))*(1+V_Cargas)+BQ$181*V_Alim*BQ$149</f>
        <v>39969.0502595343</v>
      </c>
      <c r="BR182" s="34" t="n">
        <f aca="false">SUMPRODUCT((Per_Clase="Directo")*Sal_V*INDEX(Dot_V,0,MIN(10,BR$147))*((Per_Mon="PYG")*BR$149+(Per_Mon&lt;&gt;"PYG")))*(BR$145+BR$146*V_PreDir)*INDEX(IdxSal_V,1,MIN(10,BR$147))*(1+V_Cargas)+BR$181*V_Alim*BR$149</f>
        <v>39969.0502595343</v>
      </c>
      <c r="BS182" s="34" t="n">
        <f aca="false">SUMPRODUCT((Per_Clase="Directo")*Sal_V*INDEX(Dot_V,0,MIN(10,BS$147))*((Per_Mon="PYG")*BS$149+(Per_Mon&lt;&gt;"PYG")))*(BS$145+BS$146*V_PreDir)*INDEX(IdxSal_V,1,MIN(10,BS$147))*(1+V_Cargas)+BS$181*V_Alim*BS$149</f>
        <v>39969.0502595343</v>
      </c>
      <c r="BT182" s="34" t="n">
        <f aca="false">SUMPRODUCT((Per_Clase="Directo")*Sal_V*INDEX(Dot_V,0,MIN(10,BT$147))*((Per_Mon="PYG")*BT$149+(Per_Mon&lt;&gt;"PYG")))*(BT$145+BT$146*V_PreDir)*INDEX(IdxSal_V,1,MIN(10,BT$147))*(1+V_Cargas)+BT$181*V_Alim*BT$149</f>
        <v>39969.0502595343</v>
      </c>
      <c r="BU182" s="34" t="n">
        <f aca="false">SUMPRODUCT((Per_Clase="Directo")*Sal_V*INDEX(Dot_V,0,MIN(10,BU$147))*((Per_Mon="PYG")*BU$149+(Per_Mon&lt;&gt;"PYG")))*(BU$145+BU$146*V_PreDir)*INDEX(IdxSal_V,1,MIN(10,BU$147))*(1+V_Cargas)+BU$181*V_Alim*BU$149</f>
        <v>39969.0502595343</v>
      </c>
      <c r="BV182" s="34" t="n">
        <f aca="false">SUMPRODUCT((Per_Clase="Directo")*Sal_V*INDEX(Dot_V,0,MIN(10,BV$147))*((Per_Mon="PYG")*BV$149+(Per_Mon&lt;&gt;"PYG")))*(BV$145+BV$146*V_PreDir)*INDEX(IdxSal_V,1,MIN(10,BV$147))*(1+V_Cargas)+BV$181*V_Alim*BV$149</f>
        <v>39969.0502595343</v>
      </c>
      <c r="BW182" s="34" t="n">
        <f aca="false">SUMPRODUCT((Per_Clase="Directo")*Sal_V*INDEX(Dot_V,0,MIN(10,BW$147))*((Per_Mon="PYG")*BW$149+(Per_Mon&lt;&gt;"PYG")))*(BW$145+BW$146*V_PreDir)*INDEX(IdxSal_V,1,MIN(10,BW$147))*(1+V_Cargas)+BW$181*V_Alim*BW$149</f>
        <v>39969.0502595343</v>
      </c>
      <c r="BX182" s="34" t="n">
        <f aca="false">SUMPRODUCT((Per_Clase="Directo")*Sal_V*INDEX(Dot_V,0,MIN(10,BX$147))*((Per_Mon="PYG")*BX$149+(Per_Mon&lt;&gt;"PYG")))*(BX$145+BX$146*V_PreDir)*INDEX(IdxSal_V,1,MIN(10,BX$147))*(1+V_Cargas)+BX$181*V_Alim*BX$149</f>
        <v>39969.0502595343</v>
      </c>
      <c r="BY182" s="34" t="n">
        <f aca="false">SUMPRODUCT((Per_Clase="Directo")*Sal_V*INDEX(Dot_V,0,MIN(10,BY$147))*((Per_Mon="PYG")*BY$149+(Per_Mon&lt;&gt;"PYG")))*(BY$145+BY$146*V_PreDir)*INDEX(IdxSal_V,1,MIN(10,BY$147))*(1+V_Cargas)+BY$181*V_Alim*BY$149</f>
        <v>39969.0502595343</v>
      </c>
      <c r="BZ182" s="34" t="n">
        <f aca="false">SUMPRODUCT((Per_Clase="Directo")*Sal_V*INDEX(Dot_V,0,MIN(10,BZ$147))*((Per_Mon="PYG")*BZ$149+(Per_Mon&lt;&gt;"PYG")))*(BZ$145+BZ$146*V_PreDir)*INDEX(IdxSal_V,1,MIN(10,BZ$147))*(1+V_Cargas)+BZ$181*V_Alim*BZ$149</f>
        <v>39969.0502595343</v>
      </c>
      <c r="CA182" s="34" t="n">
        <f aca="false">SUMPRODUCT((Per_Clase="Directo")*Sal_V*INDEX(Dot_V,0,MIN(10,CA$147))*((Per_Mon="PYG")*CA$149+(Per_Mon&lt;&gt;"PYG")))*(CA$145+CA$146*V_PreDir)*INDEX(IdxSal_V,1,MIN(10,CA$147))*(1+V_Cargas)+CA$181*V_Alim*CA$149</f>
        <v>39969.0502595343</v>
      </c>
      <c r="CB182" s="34" t="n">
        <f aca="false">SUMPRODUCT((Per_Clase="Directo")*Sal_V*INDEX(Dot_V,0,MIN(10,CB$147))*((Per_Mon="PYG")*CB$149+(Per_Mon&lt;&gt;"PYG")))*(CB$145+CB$146*V_PreDir)*INDEX(IdxSal_V,1,MIN(10,CB$147))*(1+V_Cargas)+CB$181*V_Alim*CB$149</f>
        <v>39969.0502595343</v>
      </c>
      <c r="CC182" s="34" t="n">
        <f aca="false">SUMPRODUCT((Per_Clase="Directo")*Sal_V*INDEX(Dot_V,0,MIN(10,CC$147))*((Per_Mon="PYG")*CC$149+(Per_Mon&lt;&gt;"PYG")))*(CC$145+CC$146*V_PreDir)*INDEX(IdxSal_V,1,MIN(10,CC$147))*(1+V_Cargas)+CC$181*V_Alim*CC$149</f>
        <v>39969.0502595343</v>
      </c>
      <c r="CD182" s="34" t="n">
        <f aca="false">SUMPRODUCT((Per_Clase="Directo")*Sal_V*INDEX(Dot_V,0,MIN(10,CD$147))*((Per_Mon="PYG")*CD$149+(Per_Mon&lt;&gt;"PYG")))*(CD$145+CD$146*V_PreDir)*INDEX(IdxSal_V,1,MIN(10,CD$147))*(1+V_Cargas)+CD$181*V_Alim*CD$149</f>
        <v>39969.0502595343</v>
      </c>
      <c r="CE182" s="34" t="n">
        <f aca="false">SUMPRODUCT((Per_Clase="Directo")*Sal_V*INDEX(Dot_V,0,MIN(10,CE$147))*((Per_Mon="PYG")*CE$149+(Per_Mon&lt;&gt;"PYG")))*(CE$145+CE$146*V_PreDir)*INDEX(IdxSal_V,1,MIN(10,CE$147))*(1+V_Cargas)+CE$181*V_Alim*CE$149</f>
        <v>39969.0502595343</v>
      </c>
      <c r="CF182" s="34" t="n">
        <f aca="false">SUMPRODUCT((Per_Clase="Directo")*Sal_V*INDEX(Dot_V,0,MIN(10,CF$147))*((Per_Mon="PYG")*CF$149+(Per_Mon&lt;&gt;"PYG")))*(CF$145+CF$146*V_PreDir)*INDEX(IdxSal_V,1,MIN(10,CF$147))*(1+V_Cargas)+CF$181*V_Alim*CF$149</f>
        <v>39969.0502595343</v>
      </c>
      <c r="CG182" s="34" t="n">
        <f aca="false">SUMPRODUCT((Per_Clase="Directo")*Sal_V*INDEX(Dot_V,0,MIN(10,CG$147))*((Per_Mon="PYG")*CG$149+(Per_Mon&lt;&gt;"PYG")))*(CG$145+CG$146*V_PreDir)*INDEX(IdxSal_V,1,MIN(10,CG$147))*(1+V_Cargas)+CG$181*V_Alim*CG$149</f>
        <v>39969.0502595343</v>
      </c>
      <c r="CH182" s="34" t="n">
        <f aca="false">SUMPRODUCT((Per_Clase="Directo")*Sal_V*INDEX(Dot_V,0,MIN(10,CH$147))*((Per_Mon="PYG")*CH$149+(Per_Mon&lt;&gt;"PYG")))*(CH$145+CH$146*V_PreDir)*INDEX(IdxSal_V,1,MIN(10,CH$147))*(1+V_Cargas)+CH$181*V_Alim*CH$149</f>
        <v>39969.0502595343</v>
      </c>
      <c r="CI182" s="34" t="n">
        <f aca="false">SUMPRODUCT((Per_Clase="Directo")*Sal_V*INDEX(Dot_V,0,MIN(10,CI$147))*((Per_Mon="PYG")*CI$149+(Per_Mon&lt;&gt;"PYG")))*(CI$145+CI$146*V_PreDir)*INDEX(IdxSal_V,1,MIN(10,CI$147))*(1+V_Cargas)+CI$181*V_Alim*CI$149</f>
        <v>39969.0502595343</v>
      </c>
      <c r="CJ182" s="34" t="n">
        <f aca="false">SUMPRODUCT((Per_Clase="Directo")*Sal_V*INDEX(Dot_V,0,MIN(10,CJ$147))*((Per_Mon="PYG")*CJ$149+(Per_Mon&lt;&gt;"PYG")))*(CJ$145+CJ$146*V_PreDir)*INDEX(IdxSal_V,1,MIN(10,CJ$147))*(1+V_Cargas)+CJ$181*V_Alim*CJ$149</f>
        <v>39969.0502595343</v>
      </c>
      <c r="CK182" s="34" t="n">
        <f aca="false">SUMPRODUCT((Per_Clase="Directo")*Sal_V*INDEX(Dot_V,0,MIN(10,CK$147))*((Per_Mon="PYG")*CK$149+(Per_Mon&lt;&gt;"PYG")))*(CK$145+CK$146*V_PreDir)*INDEX(IdxSal_V,1,MIN(10,CK$147))*(1+V_Cargas)+CK$181*V_Alim*CK$149</f>
        <v>39969.0502595343</v>
      </c>
      <c r="CL182" s="34" t="n">
        <f aca="false">SUMPRODUCT((Per_Clase="Directo")*Sal_V*INDEX(Dot_V,0,MIN(10,CL$147))*((Per_Mon="PYG")*CL$149+(Per_Mon&lt;&gt;"PYG")))*(CL$145+CL$146*V_PreDir)*INDEX(IdxSal_V,1,MIN(10,CL$147))*(1+V_Cargas)+CL$181*V_Alim*CL$149</f>
        <v>39969.0502595343</v>
      </c>
      <c r="CM182" s="34" t="n">
        <f aca="false">SUMPRODUCT((Per_Clase="Directo")*Sal_V*INDEX(Dot_V,0,MIN(10,CM$147))*((Per_Mon="PYG")*CM$149+(Per_Mon&lt;&gt;"PYG")))*(CM$145+CM$146*V_PreDir)*INDEX(IdxSal_V,1,MIN(10,CM$147))*(1+V_Cargas)+CM$181*V_Alim*CM$149</f>
        <v>39969.0502595343</v>
      </c>
      <c r="CN182" s="34" t="n">
        <f aca="false">SUMPRODUCT((Per_Clase="Directo")*Sal_V*INDEX(Dot_V,0,MIN(10,CN$147))*((Per_Mon="PYG")*CN$149+(Per_Mon&lt;&gt;"PYG")))*(CN$145+CN$146*V_PreDir)*INDEX(IdxSal_V,1,MIN(10,CN$147))*(1+V_Cargas)+CN$181*V_Alim*CN$149</f>
        <v>39969.0502595343</v>
      </c>
      <c r="CO182" s="34" t="n">
        <f aca="false">SUMPRODUCT((Per_Clase="Directo")*Sal_V*INDEX(Dot_V,0,MIN(10,CO$147))*((Per_Mon="PYG")*CO$149+(Per_Mon&lt;&gt;"PYG")))*(CO$145+CO$146*V_PreDir)*INDEX(IdxSal_V,1,MIN(10,CO$147))*(1+V_Cargas)+CO$181*V_Alim*CO$149</f>
        <v>39969.0502595343</v>
      </c>
      <c r="CP182" s="34" t="n">
        <f aca="false">SUMPRODUCT((Per_Clase="Directo")*Sal_V*INDEX(Dot_V,0,MIN(10,CP$147))*((Per_Mon="PYG")*CP$149+(Per_Mon&lt;&gt;"PYG")))*(CP$145+CP$146*V_PreDir)*INDEX(IdxSal_V,1,MIN(10,CP$147))*(1+V_Cargas)+CP$181*V_Alim*CP$149</f>
        <v>39969.0502595343</v>
      </c>
      <c r="CQ182" s="34" t="n">
        <f aca="false">SUMPRODUCT((Per_Clase="Directo")*Sal_V*INDEX(Dot_V,0,MIN(10,CQ$147))*((Per_Mon="PYG")*CQ$149+(Per_Mon&lt;&gt;"PYG")))*(CQ$145+CQ$146*V_PreDir)*INDEX(IdxSal_V,1,MIN(10,CQ$147))*(1+V_Cargas)+CQ$181*V_Alim*CQ$149</f>
        <v>39969.0502595343</v>
      </c>
      <c r="CR182" s="34" t="n">
        <f aca="false">SUMPRODUCT((Per_Clase="Directo")*Sal_V*INDEX(Dot_V,0,MIN(10,CR$147))*((Per_Mon="PYG")*CR$149+(Per_Mon&lt;&gt;"PYG")))*(CR$145+CR$146*V_PreDir)*INDEX(IdxSal_V,1,MIN(10,CR$147))*(1+V_Cargas)+CR$181*V_Alim*CR$149</f>
        <v>39969.0502595343</v>
      </c>
      <c r="CS182" s="34" t="n">
        <f aca="false">SUMPRODUCT((Per_Clase="Directo")*Sal_V*INDEX(Dot_V,0,MIN(10,CS$147))*((Per_Mon="PYG")*CS$149+(Per_Mon&lt;&gt;"PYG")))*(CS$145+CS$146*V_PreDir)*INDEX(IdxSal_V,1,MIN(10,CS$147))*(1+V_Cargas)+CS$181*V_Alim*CS$149</f>
        <v>39969.0502595343</v>
      </c>
      <c r="CT182" s="34" t="n">
        <f aca="false">SUMPRODUCT((Per_Clase="Directo")*Sal_V*INDEX(Dot_V,0,MIN(10,CT$147))*((Per_Mon="PYG")*CT$149+(Per_Mon&lt;&gt;"PYG")))*(CT$145+CT$146*V_PreDir)*INDEX(IdxSal_V,1,MIN(10,CT$147))*(1+V_Cargas)+CT$181*V_Alim*CT$149</f>
        <v>39969.0502595343</v>
      </c>
      <c r="CU182" s="34" t="n">
        <f aca="false">SUMPRODUCT((Per_Clase="Directo")*Sal_V*INDEX(Dot_V,0,MIN(10,CU$147))*((Per_Mon="PYG")*CU$149+(Per_Mon&lt;&gt;"PYG")))*(CU$145+CU$146*V_PreDir)*INDEX(IdxSal_V,1,MIN(10,CU$147))*(1+V_Cargas)+CU$181*V_Alim*CU$149</f>
        <v>39969.0502595343</v>
      </c>
      <c r="CV182" s="34" t="n">
        <f aca="false">SUMPRODUCT((Per_Clase="Directo")*Sal_V*INDEX(Dot_V,0,MIN(10,CV$147))*((Per_Mon="PYG")*CV$149+(Per_Mon&lt;&gt;"PYG")))*(CV$145+CV$146*V_PreDir)*INDEX(IdxSal_V,1,MIN(10,CV$147))*(1+V_Cargas)+CV$181*V_Alim*CV$149</f>
        <v>39969.0502595343</v>
      </c>
      <c r="CW182" s="34" t="n">
        <f aca="false">SUMPRODUCT((Per_Clase="Directo")*Sal_V*INDEX(Dot_V,0,MIN(10,CW$147))*((Per_Mon="PYG")*CW$149+(Per_Mon&lt;&gt;"PYG")))*(CW$145+CW$146*V_PreDir)*INDEX(IdxSal_V,1,MIN(10,CW$147))*(1+V_Cargas)+CW$181*V_Alim*CW$149</f>
        <v>39969.0502595343</v>
      </c>
      <c r="CX182" s="34" t="n">
        <f aca="false">SUMPRODUCT((Per_Clase="Directo")*Sal_V*INDEX(Dot_V,0,MIN(10,CX$147))*((Per_Mon="PYG")*CX$149+(Per_Mon&lt;&gt;"PYG")))*(CX$145+CX$146*V_PreDir)*INDEX(IdxSal_V,1,MIN(10,CX$147))*(1+V_Cargas)+CX$181*V_Alim*CX$149</f>
        <v>39969.0502595343</v>
      </c>
      <c r="CY182" s="34" t="n">
        <f aca="false">SUMPRODUCT((Per_Clase="Directo")*Sal_V*INDEX(Dot_V,0,MIN(10,CY$147))*((Per_Mon="PYG")*CY$149+(Per_Mon&lt;&gt;"PYG")))*(CY$145+CY$146*V_PreDir)*INDEX(IdxSal_V,1,MIN(10,CY$147))*(1+V_Cargas)+CY$181*V_Alim*CY$149</f>
        <v>39969.0502595343</v>
      </c>
      <c r="CZ182" s="34" t="n">
        <f aca="false">SUMPRODUCT((Per_Clase="Directo")*Sal_V*INDEX(Dot_V,0,MIN(10,CZ$147))*((Per_Mon="PYG")*CZ$149+(Per_Mon&lt;&gt;"PYG")))*(CZ$145+CZ$146*V_PreDir)*INDEX(IdxSal_V,1,MIN(10,CZ$147))*(1+V_Cargas)+CZ$181*V_Alim*CZ$149</f>
        <v>39969.0502595343</v>
      </c>
      <c r="DA182" s="34" t="n">
        <f aca="false">SUMPRODUCT((Per_Clase="Directo")*Sal_V*INDEX(Dot_V,0,MIN(10,DA$147))*((Per_Mon="PYG")*DA$149+(Per_Mon&lt;&gt;"PYG")))*(DA$145+DA$146*V_PreDir)*INDEX(IdxSal_V,1,MIN(10,DA$147))*(1+V_Cargas)+DA$181*V_Alim*DA$149</f>
        <v>39969.0502595343</v>
      </c>
      <c r="DB182" s="34" t="n">
        <f aca="false">SUMPRODUCT((Per_Clase="Directo")*Sal_V*INDEX(Dot_V,0,MIN(10,DB$147))*((Per_Mon="PYG")*DB$149+(Per_Mon&lt;&gt;"PYG")))*(DB$145+DB$146*V_PreDir)*INDEX(IdxSal_V,1,MIN(10,DB$147))*(1+V_Cargas)+DB$181*V_Alim*DB$149</f>
        <v>39969.0502595343</v>
      </c>
      <c r="DC182" s="34" t="n">
        <f aca="false">SUMPRODUCT((Per_Clase="Directo")*Sal_V*INDEX(Dot_V,0,MIN(10,DC$147))*((Per_Mon="PYG")*DC$149+(Per_Mon&lt;&gt;"PYG")))*(DC$145+DC$146*V_PreDir)*INDEX(IdxSal_V,1,MIN(10,DC$147))*(1+V_Cargas)+DC$181*V_Alim*DC$149</f>
        <v>39969.0502595343</v>
      </c>
      <c r="DD182" s="34" t="n">
        <f aca="false">SUMPRODUCT((Per_Clase="Directo")*Sal_V*INDEX(Dot_V,0,MIN(10,DD$147))*((Per_Mon="PYG")*DD$149+(Per_Mon&lt;&gt;"PYG")))*(DD$145+DD$146*V_PreDir)*INDEX(IdxSal_V,1,MIN(10,DD$147))*(1+V_Cargas)+DD$181*V_Alim*DD$149</f>
        <v>39969.0502595343</v>
      </c>
      <c r="DE182" s="34" t="n">
        <f aca="false">SUMPRODUCT((Per_Clase="Directo")*Sal_V*INDEX(Dot_V,0,MIN(10,DE$147))*((Per_Mon="PYG")*DE$149+(Per_Mon&lt;&gt;"PYG")))*(DE$145+DE$146*V_PreDir)*INDEX(IdxSal_V,1,MIN(10,DE$147))*(1+V_Cargas)+DE$181*V_Alim*DE$149</f>
        <v>39969.0502595343</v>
      </c>
      <c r="DF182" s="34" t="n">
        <f aca="false">SUMPRODUCT((Per_Clase="Directo")*Sal_V*INDEX(Dot_V,0,MIN(10,DF$147))*((Per_Mon="PYG")*DF$149+(Per_Mon&lt;&gt;"PYG")))*(DF$145+DF$146*V_PreDir)*INDEX(IdxSal_V,1,MIN(10,DF$147))*(1+V_Cargas)+DF$181*V_Alim*DF$149</f>
        <v>39969.0502595343</v>
      </c>
      <c r="DG182" s="34" t="n">
        <f aca="false">SUMPRODUCT((Per_Clase="Directo")*Sal_V*INDEX(Dot_V,0,MIN(10,DG$147))*((Per_Mon="PYG")*DG$149+(Per_Mon&lt;&gt;"PYG")))*(DG$145+DG$146*V_PreDir)*INDEX(IdxSal_V,1,MIN(10,DG$147))*(1+V_Cargas)+DG$181*V_Alim*DG$149</f>
        <v>39969.0502595343</v>
      </c>
      <c r="DH182" s="34" t="n">
        <f aca="false">SUMPRODUCT((Per_Clase="Directo")*Sal_V*INDEX(Dot_V,0,MIN(10,DH$147))*((Per_Mon="PYG")*DH$149+(Per_Mon&lt;&gt;"PYG")))*(DH$145+DH$146*V_PreDir)*INDEX(IdxSal_V,1,MIN(10,DH$147))*(1+V_Cargas)+DH$181*V_Alim*DH$149</f>
        <v>39969.0502595343</v>
      </c>
      <c r="DI182" s="34" t="n">
        <f aca="false">SUMPRODUCT((Per_Clase="Directo")*Sal_V*INDEX(Dot_V,0,MIN(10,DI$147))*((Per_Mon="PYG")*DI$149+(Per_Mon&lt;&gt;"PYG")))*(DI$145+DI$146*V_PreDir)*INDEX(IdxSal_V,1,MIN(10,DI$147))*(1+V_Cargas)+DI$181*V_Alim*DI$149</f>
        <v>39969.0502595343</v>
      </c>
      <c r="DJ182" s="34" t="n">
        <f aca="false">SUMPRODUCT((Per_Clase="Directo")*Sal_V*INDEX(Dot_V,0,MIN(10,DJ$147))*((Per_Mon="PYG")*DJ$149+(Per_Mon&lt;&gt;"PYG")))*(DJ$145+DJ$146*V_PreDir)*INDEX(IdxSal_V,1,MIN(10,DJ$147))*(1+V_Cargas)+DJ$181*V_Alim*DJ$149</f>
        <v>39969.0502595343</v>
      </c>
      <c r="DK182" s="34" t="n">
        <f aca="false">SUMPRODUCT((Per_Clase="Directo")*Sal_V*INDEX(Dot_V,0,MIN(10,DK$147))*((Per_Mon="PYG")*DK$149+(Per_Mon&lt;&gt;"PYG")))*(DK$145+DK$146*V_PreDir)*INDEX(IdxSal_V,1,MIN(10,DK$147))*(1+V_Cargas)+DK$181*V_Alim*DK$149</f>
        <v>39969.0502595343</v>
      </c>
      <c r="DL182" s="34" t="n">
        <f aca="false">SUMPRODUCT((Per_Clase="Directo")*Sal_V*INDEX(Dot_V,0,MIN(10,DL$147))*((Per_Mon="PYG")*DL$149+(Per_Mon&lt;&gt;"PYG")))*(DL$145+DL$146*V_PreDir)*INDEX(IdxSal_V,1,MIN(10,DL$147))*(1+V_Cargas)+DL$181*V_Alim*DL$149</f>
        <v>39969.0502595343</v>
      </c>
      <c r="DM182" s="34" t="n">
        <f aca="false">SUMPRODUCT((Per_Clase="Directo")*Sal_V*INDEX(Dot_V,0,MIN(10,DM$147))*((Per_Mon="PYG")*DM$149+(Per_Mon&lt;&gt;"PYG")))*(DM$145+DM$146*V_PreDir)*INDEX(IdxSal_V,1,MIN(10,DM$147))*(1+V_Cargas)+DM$181*V_Alim*DM$149</f>
        <v>39969.0502595343</v>
      </c>
      <c r="DN182" s="34" t="n">
        <f aca="false">SUMPRODUCT((Per_Clase="Directo")*Sal_V*INDEX(Dot_V,0,MIN(10,DN$147))*((Per_Mon="PYG")*DN$149+(Per_Mon&lt;&gt;"PYG")))*(DN$145+DN$146*V_PreDir)*INDEX(IdxSal_V,1,MIN(10,DN$147))*(1+V_Cargas)+DN$181*V_Alim*DN$149</f>
        <v>39969.0502595343</v>
      </c>
      <c r="DO182" s="34" t="n">
        <f aca="false">SUMPRODUCT((Per_Clase="Directo")*Sal_V*INDEX(Dot_V,0,MIN(10,DO$147))*((Per_Mon="PYG")*DO$149+(Per_Mon&lt;&gt;"PYG")))*(DO$145+DO$146*V_PreDir)*INDEX(IdxSal_V,1,MIN(10,DO$147))*(1+V_Cargas)+DO$181*V_Alim*DO$149</f>
        <v>39969.0502595343</v>
      </c>
      <c r="DP182" s="34" t="n">
        <f aca="false">SUMPRODUCT((Per_Clase="Directo")*Sal_V*INDEX(Dot_V,0,MIN(10,DP$147))*((Per_Mon="PYG")*DP$149+(Per_Mon&lt;&gt;"PYG")))*(DP$145+DP$146*V_PreDir)*INDEX(IdxSal_V,1,MIN(10,DP$147))*(1+V_Cargas)+DP$181*V_Alim*DP$149</f>
        <v>39969.0502595343</v>
      </c>
      <c r="DQ182" s="34" t="n">
        <f aca="false">SUMPRODUCT((Per_Clase="Directo")*Sal_V*INDEX(Dot_V,0,MIN(10,DQ$147))*((Per_Mon="PYG")*DQ$149+(Per_Mon&lt;&gt;"PYG")))*(DQ$145+DQ$146*V_PreDir)*INDEX(IdxSal_V,1,MIN(10,DQ$147))*(1+V_Cargas)+DQ$181*V_Alim*DQ$149</f>
        <v>39969.0502595343</v>
      </c>
      <c r="DR182" s="34" t="n">
        <f aca="false">SUMPRODUCT((Per_Clase="Directo")*Sal_V*INDEX(Dot_V,0,MIN(10,DR$147))*((Per_Mon="PYG")*DR$149+(Per_Mon&lt;&gt;"PYG")))*(DR$145+DR$146*V_PreDir)*INDEX(IdxSal_V,1,MIN(10,DR$147))*(1+V_Cargas)+DR$181*V_Alim*DR$149</f>
        <v>39969.0502595343</v>
      </c>
      <c r="DS182" s="34" t="n">
        <f aca="false">SUMPRODUCT((Per_Clase="Directo")*Sal_V*INDEX(Dot_V,0,MIN(10,DS$147))*((Per_Mon="PYG")*DS$149+(Per_Mon&lt;&gt;"PYG")))*(DS$145+DS$146*V_PreDir)*INDEX(IdxSal_V,1,MIN(10,DS$147))*(1+V_Cargas)+DS$181*V_Alim*DS$149</f>
        <v>39969.0502595343</v>
      </c>
      <c r="DT182" s="34" t="n">
        <f aca="false">SUMPRODUCT((Per_Clase="Directo")*Sal_V*INDEX(Dot_V,0,MIN(10,DT$147))*((Per_Mon="PYG")*DT$149+(Per_Mon&lt;&gt;"PYG")))*(DT$145+DT$146*V_PreDir)*INDEX(IdxSal_V,1,MIN(10,DT$147))*(1+V_Cargas)+DT$181*V_Alim*DT$149</f>
        <v>39969.0502595343</v>
      </c>
      <c r="DU182" s="34" t="n">
        <f aca="false">SUMPRODUCT((Per_Clase="Directo")*Sal_V*INDEX(Dot_V,0,MIN(10,DU$147))*((Per_Mon="PYG")*DU$149+(Per_Mon&lt;&gt;"PYG")))*(DU$145+DU$146*V_PreDir)*INDEX(IdxSal_V,1,MIN(10,DU$147))*(1+V_Cargas)+DU$181*V_Alim*DU$149</f>
        <v>39969.0502595343</v>
      </c>
      <c r="DV182" s="34" t="n">
        <f aca="false">SUMPRODUCT((Per_Clase="Directo")*Sal_V*INDEX(Dot_V,0,MIN(10,DV$147))*((Per_Mon="PYG")*DV$149+(Per_Mon&lt;&gt;"PYG")))*(DV$145+DV$146*V_PreDir)*INDEX(IdxSal_V,1,MIN(10,DV$147))*(1+V_Cargas)+DV$181*V_Alim*DV$149</f>
        <v>0</v>
      </c>
      <c r="DW182" s="34" t="n">
        <f aca="false">SUMPRODUCT((Per_Clase="Directo")*Sal_V*INDEX(Dot_V,0,MIN(10,DW$147))*((Per_Mon="PYG")*DW$149+(Per_Mon&lt;&gt;"PYG")))*(DW$145+DW$146*V_PreDir)*INDEX(IdxSal_V,1,MIN(10,DW$147))*(1+V_Cargas)+DW$181*V_Alim*DW$149</f>
        <v>0</v>
      </c>
      <c r="DX182" s="34" t="n">
        <f aca="false">SUMPRODUCT((Per_Clase="Directo")*Sal_V*INDEX(Dot_V,0,MIN(10,DX$147))*((Per_Mon="PYG")*DX$149+(Per_Mon&lt;&gt;"PYG")))*(DX$145+DX$146*V_PreDir)*INDEX(IdxSal_V,1,MIN(10,DX$147))*(1+V_Cargas)+DX$181*V_Alim*DX$149</f>
        <v>0</v>
      </c>
      <c r="DY182" s="34" t="n">
        <f aca="false">SUMPRODUCT((Per_Clase="Directo")*Sal_V*INDEX(Dot_V,0,MIN(10,DY$147))*((Per_Mon="PYG")*DY$149+(Per_Mon&lt;&gt;"PYG")))*(DY$145+DY$146*V_PreDir)*INDEX(IdxSal_V,1,MIN(10,DY$147))*(1+V_Cargas)+DY$181*V_Alim*DY$149</f>
        <v>0</v>
      </c>
      <c r="DZ182" s="34" t="n">
        <f aca="false">SUMPRODUCT((Per_Clase="Directo")*Sal_V*INDEX(Dot_V,0,MIN(10,DZ$147))*((Per_Mon="PYG")*DZ$149+(Per_Mon&lt;&gt;"PYG")))*(DZ$145+DZ$146*V_PreDir)*INDEX(IdxSal_V,1,MIN(10,DZ$147))*(1+V_Cargas)+DZ$181*V_Alim*DZ$149</f>
        <v>0</v>
      </c>
      <c r="EA182" s="34" t="n">
        <f aca="false">SUMPRODUCT((Per_Clase="Directo")*Sal_V*INDEX(Dot_V,0,MIN(10,EA$147))*((Per_Mon="PYG")*EA$149+(Per_Mon&lt;&gt;"PYG")))*(EA$145+EA$146*V_PreDir)*INDEX(IdxSal_V,1,MIN(10,EA$147))*(1+V_Cargas)+EA$181*V_Alim*EA$149</f>
        <v>0</v>
      </c>
      <c r="EB182" s="34" t="n">
        <f aca="false">SUMPRODUCT((Per_Clase="Directo")*Sal_V*INDEX(Dot_V,0,MIN(10,EB$147))*((Per_Mon="PYG")*EB$149+(Per_Mon&lt;&gt;"PYG")))*(EB$145+EB$146*V_PreDir)*INDEX(IdxSal_V,1,MIN(10,EB$147))*(1+V_Cargas)+EB$181*V_Alim*EB$149</f>
        <v>0</v>
      </c>
      <c r="EC182" s="34" t="n">
        <f aca="false">SUMPRODUCT((Per_Clase="Directo")*Sal_V*INDEX(Dot_V,0,MIN(10,EC$147))*((Per_Mon="PYG")*EC$149+(Per_Mon&lt;&gt;"PYG")))*(EC$145+EC$146*V_PreDir)*INDEX(IdxSal_V,1,MIN(10,EC$147))*(1+V_Cargas)+EC$181*V_Alim*EC$149</f>
        <v>0</v>
      </c>
      <c r="ED182" s="34" t="n">
        <f aca="false">SUMPRODUCT((Per_Clase="Directo")*Sal_V*INDEX(Dot_V,0,MIN(10,ED$147))*((Per_Mon="PYG")*ED$149+(Per_Mon&lt;&gt;"PYG")))*(ED$145+ED$146*V_PreDir)*INDEX(IdxSal_V,1,MIN(10,ED$147))*(1+V_Cargas)+ED$181*V_Alim*ED$149</f>
        <v>0</v>
      </c>
      <c r="EE182" s="34" t="n">
        <f aca="false">SUMPRODUCT((Per_Clase="Directo")*Sal_V*INDEX(Dot_V,0,MIN(10,EE$147))*((Per_Mon="PYG")*EE$149+(Per_Mon&lt;&gt;"PYG")))*(EE$145+EE$146*V_PreDir)*INDEX(IdxSal_V,1,MIN(10,EE$147))*(1+V_Cargas)+EE$181*V_Alim*EE$149</f>
        <v>0</v>
      </c>
      <c r="EF182" s="34" t="n">
        <f aca="false">SUMPRODUCT((Per_Clase="Directo")*Sal_V*INDEX(Dot_V,0,MIN(10,EF$147))*((Per_Mon="PYG")*EF$149+(Per_Mon&lt;&gt;"PYG")))*(EF$145+EF$146*V_PreDir)*INDEX(IdxSal_V,1,MIN(10,EF$147))*(1+V_Cargas)+EF$181*V_Alim*EF$149</f>
        <v>0</v>
      </c>
      <c r="EG182" s="34" t="n">
        <f aca="false">SUMPRODUCT((Per_Clase="Directo")*Sal_V*INDEX(Dot_V,0,MIN(10,EG$147))*((Per_Mon="PYG")*EG$149+(Per_Mon&lt;&gt;"PYG")))*(EG$145+EG$146*V_PreDir)*INDEX(IdxSal_V,1,MIN(10,EG$147))*(1+V_Cargas)+EG$181*V_Alim*EG$149</f>
        <v>0</v>
      </c>
      <c r="EH182" s="34" t="n">
        <f aca="false">SUMPRODUCT((Per_Clase="Directo")*Sal_V*INDEX(Dot_V,0,MIN(10,EH$147))*((Per_Mon="PYG")*EH$149+(Per_Mon&lt;&gt;"PYG")))*(EH$145+EH$146*V_PreDir)*INDEX(IdxSal_V,1,MIN(10,EH$147))*(1+V_Cargas)+EH$181*V_Alim*EH$149</f>
        <v>0</v>
      </c>
      <c r="EI182" s="34" t="n">
        <f aca="false">SUMPRODUCT((Per_Clase="Directo")*Sal_V*INDEX(Dot_V,0,MIN(10,EI$147))*((Per_Mon="PYG")*EI$149+(Per_Mon&lt;&gt;"PYG")))*(EI$145+EI$146*V_PreDir)*INDEX(IdxSal_V,1,MIN(10,EI$147))*(1+V_Cargas)+EI$181*V_Alim*EI$149</f>
        <v>0</v>
      </c>
      <c r="EJ182" s="34" t="n">
        <f aca="false">SUMPRODUCT((Per_Clase="Directo")*Sal_V*INDEX(Dot_V,0,MIN(10,EJ$147))*((Per_Mon="PYG")*EJ$149+(Per_Mon&lt;&gt;"PYG")))*(EJ$145+EJ$146*V_PreDir)*INDEX(IdxSal_V,1,MIN(10,EJ$147))*(1+V_Cargas)+EJ$181*V_Alim*EJ$149</f>
        <v>0</v>
      </c>
      <c r="EK182" s="34" t="n">
        <f aca="false">SUMPRODUCT((Per_Clase="Directo")*Sal_V*INDEX(Dot_V,0,MIN(10,EK$147))*((Per_Mon="PYG")*EK$149+(Per_Mon&lt;&gt;"PYG")))*(EK$145+EK$146*V_PreDir)*INDEX(IdxSal_V,1,MIN(10,EK$147))*(1+V_Cargas)+EK$181*V_Alim*EK$149</f>
        <v>0</v>
      </c>
      <c r="EL182" s="34" t="n">
        <f aca="false">SUMPRODUCT((Per_Clase="Directo")*Sal_V*INDEX(Dot_V,0,MIN(10,EL$147))*((Per_Mon="PYG")*EL$149+(Per_Mon&lt;&gt;"PYG")))*(EL$145+EL$146*V_PreDir)*INDEX(IdxSal_V,1,MIN(10,EL$147))*(1+V_Cargas)+EL$181*V_Alim*EL$149</f>
        <v>0</v>
      </c>
      <c r="EM182" s="34" t="n">
        <f aca="false">SUMPRODUCT((Per_Clase="Directo")*Sal_V*INDEX(Dot_V,0,MIN(10,EM$147))*((Per_Mon="PYG")*EM$149+(Per_Mon&lt;&gt;"PYG")))*(EM$145+EM$146*V_PreDir)*INDEX(IdxSal_V,1,MIN(10,EM$147))*(1+V_Cargas)+EM$181*V_Alim*EM$149</f>
        <v>0</v>
      </c>
      <c r="EN182" s="34" t="n">
        <f aca="false">SUMPRODUCT((Per_Clase="Directo")*Sal_V*INDEX(Dot_V,0,MIN(10,EN$147))*((Per_Mon="PYG")*EN$149+(Per_Mon&lt;&gt;"PYG")))*(EN$145+EN$146*V_PreDir)*INDEX(IdxSal_V,1,MIN(10,EN$147))*(1+V_Cargas)+EN$181*V_Alim*EN$149</f>
        <v>0</v>
      </c>
      <c r="EO182" s="34" t="n">
        <f aca="false">SUMPRODUCT((Per_Clase="Directo")*Sal_V*INDEX(Dot_V,0,MIN(10,EO$147))*((Per_Mon="PYG")*EO$149+(Per_Mon&lt;&gt;"PYG")))*(EO$145+EO$146*V_PreDir)*INDEX(IdxSal_V,1,MIN(10,EO$147))*(1+V_Cargas)+EO$181*V_Alim*EO$149</f>
        <v>0</v>
      </c>
      <c r="EP182" s="34" t="n">
        <f aca="false">SUMPRODUCT((Per_Clase="Directo")*Sal_V*INDEX(Dot_V,0,MIN(10,EP$147))*((Per_Mon="PYG")*EP$149+(Per_Mon&lt;&gt;"PYG")))*(EP$145+EP$146*V_PreDir)*INDEX(IdxSal_V,1,MIN(10,EP$147))*(1+V_Cargas)+EP$181*V_Alim*EP$149</f>
        <v>0</v>
      </c>
      <c r="EQ182" s="34" t="n">
        <f aca="false">SUMPRODUCT((Per_Clase="Directo")*Sal_V*INDEX(Dot_V,0,MIN(10,EQ$147))*((Per_Mon="PYG")*EQ$149+(Per_Mon&lt;&gt;"PYG")))*(EQ$145+EQ$146*V_PreDir)*INDEX(IdxSal_V,1,MIN(10,EQ$147))*(1+V_Cargas)+EQ$181*V_Alim*EQ$149</f>
        <v>0</v>
      </c>
      <c r="ER182" s="34" t="n">
        <f aca="false">SUMPRODUCT((Per_Clase="Directo")*Sal_V*INDEX(Dot_V,0,MIN(10,ER$147))*((Per_Mon="PYG")*ER$149+(Per_Mon&lt;&gt;"PYG")))*(ER$145+ER$146*V_PreDir)*INDEX(IdxSal_V,1,MIN(10,ER$147))*(1+V_Cargas)+ER$181*V_Alim*ER$149</f>
        <v>0</v>
      </c>
      <c r="ES182" s="34" t="n">
        <f aca="false">SUMPRODUCT((Per_Clase="Directo")*Sal_V*INDEX(Dot_V,0,MIN(10,ES$147))*((Per_Mon="PYG")*ES$149+(Per_Mon&lt;&gt;"PYG")))*(ES$145+ES$146*V_PreDir)*INDEX(IdxSal_V,1,MIN(10,ES$147))*(1+V_Cargas)+ES$181*V_Alim*ES$149</f>
        <v>0</v>
      </c>
    </row>
    <row r="183" customFormat="false" ht="15" hidden="false" customHeight="false" outlineLevel="0" collapsed="false">
      <c r="A183" s="2" t="s">
        <v>798</v>
      </c>
      <c r="B183" s="6" t="s">
        <v>599</v>
      </c>
      <c r="C183" s="6" t="s">
        <v>595</v>
      </c>
      <c r="F183" s="36" t="n">
        <f aca="false">SUMPRODUCT((Per_Clase="Indirecto")*INDEX(Dot_V,0,MIN(10,F$147)))*(F$145+F$146*V_PreInd)</f>
        <v>17</v>
      </c>
      <c r="G183" s="36" t="n">
        <f aca="false">SUMPRODUCT((Per_Clase="Indirecto")*INDEX(Dot_V,0,MIN(10,G$147)))*(G$145+G$146*V_PreInd)</f>
        <v>17</v>
      </c>
      <c r="H183" s="36" t="n">
        <f aca="false">SUMPRODUCT((Per_Clase="Indirecto")*INDEX(Dot_V,0,MIN(10,H$147)))*(H$145+H$146*V_PreInd)</f>
        <v>17</v>
      </c>
      <c r="I183" s="36" t="n">
        <f aca="false">SUMPRODUCT((Per_Clase="Indirecto")*INDEX(Dot_V,0,MIN(10,I$147)))*(I$145+I$146*V_PreInd)</f>
        <v>17</v>
      </c>
      <c r="J183" s="36" t="n">
        <f aca="false">SUMPRODUCT((Per_Clase="Indirecto")*INDEX(Dot_V,0,MIN(10,J$147)))*(J$145+J$146*V_PreInd)</f>
        <v>17</v>
      </c>
      <c r="K183" s="36" t="n">
        <f aca="false">SUMPRODUCT((Per_Clase="Indirecto")*INDEX(Dot_V,0,MIN(10,K$147)))*(K$145+K$146*V_PreInd)</f>
        <v>17</v>
      </c>
      <c r="L183" s="36" t="n">
        <f aca="false">SUMPRODUCT((Per_Clase="Indirecto")*INDEX(Dot_V,0,MIN(10,L$147)))*(L$145+L$146*V_PreInd)</f>
        <v>17</v>
      </c>
      <c r="M183" s="36" t="n">
        <f aca="false">SUMPRODUCT((Per_Clase="Indirecto")*INDEX(Dot_V,0,MIN(10,M$147)))*(M$145+M$146*V_PreInd)</f>
        <v>17</v>
      </c>
      <c r="N183" s="36" t="n">
        <f aca="false">SUMPRODUCT((Per_Clase="Indirecto")*INDEX(Dot_V,0,MIN(10,N$147)))*(N$145+N$146*V_PreInd)</f>
        <v>17</v>
      </c>
      <c r="O183" s="36" t="n">
        <f aca="false">SUMPRODUCT((Per_Clase="Indirecto")*INDEX(Dot_V,0,MIN(10,O$147)))*(O$145+O$146*V_PreInd)</f>
        <v>17</v>
      </c>
      <c r="P183" s="36" t="n">
        <f aca="false">SUMPRODUCT((Per_Clase="Indirecto")*INDEX(Dot_V,0,MIN(10,P$147)))*(P$145+P$146*V_PreInd)</f>
        <v>17</v>
      </c>
      <c r="Q183" s="36" t="n">
        <f aca="false">SUMPRODUCT((Per_Clase="Indirecto")*INDEX(Dot_V,0,MIN(10,Q$147)))*(Q$145+Q$146*V_PreInd)</f>
        <v>17</v>
      </c>
      <c r="R183" s="36" t="n">
        <f aca="false">SUMPRODUCT((Per_Clase="Indirecto")*INDEX(Dot_V,0,MIN(10,R$147)))*(R$145+R$146*V_PreInd)</f>
        <v>17</v>
      </c>
      <c r="S183" s="36" t="n">
        <f aca="false">SUMPRODUCT((Per_Clase="Indirecto")*INDEX(Dot_V,0,MIN(10,S$147)))*(S$145+S$146*V_PreInd)</f>
        <v>17</v>
      </c>
      <c r="T183" s="36" t="n">
        <f aca="false">SUMPRODUCT((Per_Clase="Indirecto")*INDEX(Dot_V,0,MIN(10,T$147)))*(T$145+T$146*V_PreInd)</f>
        <v>17</v>
      </c>
      <c r="U183" s="36" t="n">
        <f aca="false">SUMPRODUCT((Per_Clase="Indirecto")*INDEX(Dot_V,0,MIN(10,U$147)))*(U$145+U$146*V_PreInd)</f>
        <v>17</v>
      </c>
      <c r="V183" s="36" t="n">
        <f aca="false">SUMPRODUCT((Per_Clase="Indirecto")*INDEX(Dot_V,0,MIN(10,V$147)))*(V$145+V$146*V_PreInd)</f>
        <v>17</v>
      </c>
      <c r="W183" s="36" t="n">
        <f aca="false">SUMPRODUCT((Per_Clase="Indirecto")*INDEX(Dot_V,0,MIN(10,W$147)))*(W$145+W$146*V_PreInd)</f>
        <v>17</v>
      </c>
      <c r="X183" s="36" t="n">
        <f aca="false">SUMPRODUCT((Per_Clase="Indirecto")*INDEX(Dot_V,0,MIN(10,X$147)))*(X$145+X$146*V_PreInd)</f>
        <v>17</v>
      </c>
      <c r="Y183" s="36" t="n">
        <f aca="false">SUMPRODUCT((Per_Clase="Indirecto")*INDEX(Dot_V,0,MIN(10,Y$147)))*(Y$145+Y$146*V_PreInd)</f>
        <v>17</v>
      </c>
      <c r="Z183" s="36" t="n">
        <f aca="false">SUMPRODUCT((Per_Clase="Indirecto")*INDEX(Dot_V,0,MIN(10,Z$147)))*(Z$145+Z$146*V_PreInd)</f>
        <v>17</v>
      </c>
      <c r="AA183" s="36" t="n">
        <f aca="false">SUMPRODUCT((Per_Clase="Indirecto")*INDEX(Dot_V,0,MIN(10,AA$147)))*(AA$145+AA$146*V_PreInd)</f>
        <v>17</v>
      </c>
      <c r="AB183" s="36" t="n">
        <f aca="false">SUMPRODUCT((Per_Clase="Indirecto")*INDEX(Dot_V,0,MIN(10,AB$147)))*(AB$145+AB$146*V_PreInd)</f>
        <v>17</v>
      </c>
      <c r="AC183" s="36" t="n">
        <f aca="false">SUMPRODUCT((Per_Clase="Indirecto")*INDEX(Dot_V,0,MIN(10,AC$147)))*(AC$145+AC$146*V_PreInd)</f>
        <v>17</v>
      </c>
      <c r="AD183" s="36" t="n">
        <f aca="false">SUMPRODUCT((Per_Clase="Indirecto")*INDEX(Dot_V,0,MIN(10,AD$147)))*(AD$145+AD$146*V_PreInd)</f>
        <v>17</v>
      </c>
      <c r="AE183" s="36" t="n">
        <f aca="false">SUMPRODUCT((Per_Clase="Indirecto")*INDEX(Dot_V,0,MIN(10,AE$147)))*(AE$145+AE$146*V_PreInd)</f>
        <v>17</v>
      </c>
      <c r="AF183" s="36" t="n">
        <f aca="false">SUMPRODUCT((Per_Clase="Indirecto")*INDEX(Dot_V,0,MIN(10,AF$147)))*(AF$145+AF$146*V_PreInd)</f>
        <v>17</v>
      </c>
      <c r="AG183" s="36" t="n">
        <f aca="false">SUMPRODUCT((Per_Clase="Indirecto")*INDEX(Dot_V,0,MIN(10,AG$147)))*(AG$145+AG$146*V_PreInd)</f>
        <v>17</v>
      </c>
      <c r="AH183" s="36" t="n">
        <f aca="false">SUMPRODUCT((Per_Clase="Indirecto")*INDEX(Dot_V,0,MIN(10,AH$147)))*(AH$145+AH$146*V_PreInd)</f>
        <v>17</v>
      </c>
      <c r="AI183" s="36" t="n">
        <f aca="false">SUMPRODUCT((Per_Clase="Indirecto")*INDEX(Dot_V,0,MIN(10,AI$147)))*(AI$145+AI$146*V_PreInd)</f>
        <v>17</v>
      </c>
      <c r="AJ183" s="36" t="n">
        <f aca="false">SUMPRODUCT((Per_Clase="Indirecto")*INDEX(Dot_V,0,MIN(10,AJ$147)))*(AJ$145+AJ$146*V_PreInd)</f>
        <v>17</v>
      </c>
      <c r="AK183" s="36" t="n">
        <f aca="false">SUMPRODUCT((Per_Clase="Indirecto")*INDEX(Dot_V,0,MIN(10,AK$147)))*(AK$145+AK$146*V_PreInd)</f>
        <v>17</v>
      </c>
      <c r="AL183" s="36" t="n">
        <f aca="false">SUMPRODUCT((Per_Clase="Indirecto")*INDEX(Dot_V,0,MIN(10,AL$147)))*(AL$145+AL$146*V_PreInd)</f>
        <v>17</v>
      </c>
      <c r="AM183" s="36" t="n">
        <f aca="false">SUMPRODUCT((Per_Clase="Indirecto")*INDEX(Dot_V,0,MIN(10,AM$147)))*(AM$145+AM$146*V_PreInd)</f>
        <v>17</v>
      </c>
      <c r="AN183" s="36" t="n">
        <f aca="false">SUMPRODUCT((Per_Clase="Indirecto")*INDEX(Dot_V,0,MIN(10,AN$147)))*(AN$145+AN$146*V_PreInd)</f>
        <v>17</v>
      </c>
      <c r="AO183" s="36" t="n">
        <f aca="false">SUMPRODUCT((Per_Clase="Indirecto")*INDEX(Dot_V,0,MIN(10,AO$147)))*(AO$145+AO$146*V_PreInd)</f>
        <v>17</v>
      </c>
      <c r="AP183" s="36" t="n">
        <f aca="false">SUMPRODUCT((Per_Clase="Indirecto")*INDEX(Dot_V,0,MIN(10,AP$147)))*(AP$145+AP$146*V_PreInd)</f>
        <v>17</v>
      </c>
      <c r="AQ183" s="36" t="n">
        <f aca="false">SUMPRODUCT((Per_Clase="Indirecto")*INDEX(Dot_V,0,MIN(10,AQ$147)))*(AQ$145+AQ$146*V_PreInd)</f>
        <v>17</v>
      </c>
      <c r="AR183" s="36" t="n">
        <f aca="false">SUMPRODUCT((Per_Clase="Indirecto")*INDEX(Dot_V,0,MIN(10,AR$147)))*(AR$145+AR$146*V_PreInd)</f>
        <v>17</v>
      </c>
      <c r="AS183" s="36" t="n">
        <f aca="false">SUMPRODUCT((Per_Clase="Indirecto")*INDEX(Dot_V,0,MIN(10,AS$147)))*(AS$145+AS$146*V_PreInd)</f>
        <v>17</v>
      </c>
      <c r="AT183" s="36" t="n">
        <f aca="false">SUMPRODUCT((Per_Clase="Indirecto")*INDEX(Dot_V,0,MIN(10,AT$147)))*(AT$145+AT$146*V_PreInd)</f>
        <v>17</v>
      </c>
      <c r="AU183" s="36" t="n">
        <f aca="false">SUMPRODUCT((Per_Clase="Indirecto")*INDEX(Dot_V,0,MIN(10,AU$147)))*(AU$145+AU$146*V_PreInd)</f>
        <v>17</v>
      </c>
      <c r="AV183" s="36" t="n">
        <f aca="false">SUMPRODUCT((Per_Clase="Indirecto")*INDEX(Dot_V,0,MIN(10,AV$147)))*(AV$145+AV$146*V_PreInd)</f>
        <v>17</v>
      </c>
      <c r="AW183" s="36" t="n">
        <f aca="false">SUMPRODUCT((Per_Clase="Indirecto")*INDEX(Dot_V,0,MIN(10,AW$147)))*(AW$145+AW$146*V_PreInd)</f>
        <v>17</v>
      </c>
      <c r="AX183" s="36" t="n">
        <f aca="false">SUMPRODUCT((Per_Clase="Indirecto")*INDEX(Dot_V,0,MIN(10,AX$147)))*(AX$145+AX$146*V_PreInd)</f>
        <v>17</v>
      </c>
      <c r="AY183" s="36" t="n">
        <f aca="false">SUMPRODUCT((Per_Clase="Indirecto")*INDEX(Dot_V,0,MIN(10,AY$147)))*(AY$145+AY$146*V_PreInd)</f>
        <v>17</v>
      </c>
      <c r="AZ183" s="36" t="n">
        <f aca="false">SUMPRODUCT((Per_Clase="Indirecto")*INDEX(Dot_V,0,MIN(10,AZ$147)))*(AZ$145+AZ$146*V_PreInd)</f>
        <v>17</v>
      </c>
      <c r="BA183" s="36" t="n">
        <f aca="false">SUMPRODUCT((Per_Clase="Indirecto")*INDEX(Dot_V,0,MIN(10,BA$147)))*(BA$145+BA$146*V_PreInd)</f>
        <v>17</v>
      </c>
      <c r="BB183" s="36" t="n">
        <f aca="false">SUMPRODUCT((Per_Clase="Indirecto")*INDEX(Dot_V,0,MIN(10,BB$147)))*(BB$145+BB$146*V_PreInd)</f>
        <v>17</v>
      </c>
      <c r="BC183" s="36" t="n">
        <f aca="false">SUMPRODUCT((Per_Clase="Indirecto")*INDEX(Dot_V,0,MIN(10,BC$147)))*(BC$145+BC$146*V_PreInd)</f>
        <v>17</v>
      </c>
      <c r="BD183" s="36" t="n">
        <f aca="false">SUMPRODUCT((Per_Clase="Indirecto")*INDEX(Dot_V,0,MIN(10,BD$147)))*(BD$145+BD$146*V_PreInd)</f>
        <v>17</v>
      </c>
      <c r="BE183" s="36" t="n">
        <f aca="false">SUMPRODUCT((Per_Clase="Indirecto")*INDEX(Dot_V,0,MIN(10,BE$147)))*(BE$145+BE$146*V_PreInd)</f>
        <v>17</v>
      </c>
      <c r="BF183" s="36" t="n">
        <f aca="false">SUMPRODUCT((Per_Clase="Indirecto")*INDEX(Dot_V,0,MIN(10,BF$147)))*(BF$145+BF$146*V_PreInd)</f>
        <v>17</v>
      </c>
      <c r="BG183" s="36" t="n">
        <f aca="false">SUMPRODUCT((Per_Clase="Indirecto")*INDEX(Dot_V,0,MIN(10,BG$147)))*(BG$145+BG$146*V_PreInd)</f>
        <v>17</v>
      </c>
      <c r="BH183" s="36" t="n">
        <f aca="false">SUMPRODUCT((Per_Clase="Indirecto")*INDEX(Dot_V,0,MIN(10,BH$147)))*(BH$145+BH$146*V_PreInd)</f>
        <v>17</v>
      </c>
      <c r="BI183" s="36" t="n">
        <f aca="false">SUMPRODUCT((Per_Clase="Indirecto")*INDEX(Dot_V,0,MIN(10,BI$147)))*(BI$145+BI$146*V_PreInd)</f>
        <v>17</v>
      </c>
      <c r="BJ183" s="36" t="n">
        <f aca="false">SUMPRODUCT((Per_Clase="Indirecto")*INDEX(Dot_V,0,MIN(10,BJ$147)))*(BJ$145+BJ$146*V_PreInd)</f>
        <v>17</v>
      </c>
      <c r="BK183" s="36" t="n">
        <f aca="false">SUMPRODUCT((Per_Clase="Indirecto")*INDEX(Dot_V,0,MIN(10,BK$147)))*(BK$145+BK$146*V_PreInd)</f>
        <v>17</v>
      </c>
      <c r="BL183" s="36" t="n">
        <f aca="false">SUMPRODUCT((Per_Clase="Indirecto")*INDEX(Dot_V,0,MIN(10,BL$147)))*(BL$145+BL$146*V_PreInd)</f>
        <v>17</v>
      </c>
      <c r="BM183" s="36" t="n">
        <f aca="false">SUMPRODUCT((Per_Clase="Indirecto")*INDEX(Dot_V,0,MIN(10,BM$147)))*(BM$145+BM$146*V_PreInd)</f>
        <v>17</v>
      </c>
      <c r="BN183" s="36" t="n">
        <f aca="false">SUMPRODUCT((Per_Clase="Indirecto")*INDEX(Dot_V,0,MIN(10,BN$147)))*(BN$145+BN$146*V_PreInd)</f>
        <v>17</v>
      </c>
      <c r="BO183" s="36" t="n">
        <f aca="false">SUMPRODUCT((Per_Clase="Indirecto")*INDEX(Dot_V,0,MIN(10,BO$147)))*(BO$145+BO$146*V_PreInd)</f>
        <v>17</v>
      </c>
      <c r="BP183" s="36" t="n">
        <f aca="false">SUMPRODUCT((Per_Clase="Indirecto")*INDEX(Dot_V,0,MIN(10,BP$147)))*(BP$145+BP$146*V_PreInd)</f>
        <v>17</v>
      </c>
      <c r="BQ183" s="36" t="n">
        <f aca="false">SUMPRODUCT((Per_Clase="Indirecto")*INDEX(Dot_V,0,MIN(10,BQ$147)))*(BQ$145+BQ$146*V_PreInd)</f>
        <v>17</v>
      </c>
      <c r="BR183" s="36" t="n">
        <f aca="false">SUMPRODUCT((Per_Clase="Indirecto")*INDEX(Dot_V,0,MIN(10,BR$147)))*(BR$145+BR$146*V_PreInd)</f>
        <v>17</v>
      </c>
      <c r="BS183" s="36" t="n">
        <f aca="false">SUMPRODUCT((Per_Clase="Indirecto")*INDEX(Dot_V,0,MIN(10,BS$147)))*(BS$145+BS$146*V_PreInd)</f>
        <v>17</v>
      </c>
      <c r="BT183" s="36" t="n">
        <f aca="false">SUMPRODUCT((Per_Clase="Indirecto")*INDEX(Dot_V,0,MIN(10,BT$147)))*(BT$145+BT$146*V_PreInd)</f>
        <v>17</v>
      </c>
      <c r="BU183" s="36" t="n">
        <f aca="false">SUMPRODUCT((Per_Clase="Indirecto")*INDEX(Dot_V,0,MIN(10,BU$147)))*(BU$145+BU$146*V_PreInd)</f>
        <v>17</v>
      </c>
      <c r="BV183" s="36" t="n">
        <f aca="false">SUMPRODUCT((Per_Clase="Indirecto")*INDEX(Dot_V,0,MIN(10,BV$147)))*(BV$145+BV$146*V_PreInd)</f>
        <v>17</v>
      </c>
      <c r="BW183" s="36" t="n">
        <f aca="false">SUMPRODUCT((Per_Clase="Indirecto")*INDEX(Dot_V,0,MIN(10,BW$147)))*(BW$145+BW$146*V_PreInd)</f>
        <v>17</v>
      </c>
      <c r="BX183" s="36" t="n">
        <f aca="false">SUMPRODUCT((Per_Clase="Indirecto")*INDEX(Dot_V,0,MIN(10,BX$147)))*(BX$145+BX$146*V_PreInd)</f>
        <v>17</v>
      </c>
      <c r="BY183" s="36" t="n">
        <f aca="false">SUMPRODUCT((Per_Clase="Indirecto")*INDEX(Dot_V,0,MIN(10,BY$147)))*(BY$145+BY$146*V_PreInd)</f>
        <v>17</v>
      </c>
      <c r="BZ183" s="36" t="n">
        <f aca="false">SUMPRODUCT((Per_Clase="Indirecto")*INDEX(Dot_V,0,MIN(10,BZ$147)))*(BZ$145+BZ$146*V_PreInd)</f>
        <v>17</v>
      </c>
      <c r="CA183" s="36" t="n">
        <f aca="false">SUMPRODUCT((Per_Clase="Indirecto")*INDEX(Dot_V,0,MIN(10,CA$147)))*(CA$145+CA$146*V_PreInd)</f>
        <v>17</v>
      </c>
      <c r="CB183" s="36" t="n">
        <f aca="false">SUMPRODUCT((Per_Clase="Indirecto")*INDEX(Dot_V,0,MIN(10,CB$147)))*(CB$145+CB$146*V_PreInd)</f>
        <v>17</v>
      </c>
      <c r="CC183" s="36" t="n">
        <f aca="false">SUMPRODUCT((Per_Clase="Indirecto")*INDEX(Dot_V,0,MIN(10,CC$147)))*(CC$145+CC$146*V_PreInd)</f>
        <v>17</v>
      </c>
      <c r="CD183" s="36" t="n">
        <f aca="false">SUMPRODUCT((Per_Clase="Indirecto")*INDEX(Dot_V,0,MIN(10,CD$147)))*(CD$145+CD$146*V_PreInd)</f>
        <v>17</v>
      </c>
      <c r="CE183" s="36" t="n">
        <f aca="false">SUMPRODUCT((Per_Clase="Indirecto")*INDEX(Dot_V,0,MIN(10,CE$147)))*(CE$145+CE$146*V_PreInd)</f>
        <v>17</v>
      </c>
      <c r="CF183" s="36" t="n">
        <f aca="false">SUMPRODUCT((Per_Clase="Indirecto")*INDEX(Dot_V,0,MIN(10,CF$147)))*(CF$145+CF$146*V_PreInd)</f>
        <v>17</v>
      </c>
      <c r="CG183" s="36" t="n">
        <f aca="false">SUMPRODUCT((Per_Clase="Indirecto")*INDEX(Dot_V,0,MIN(10,CG$147)))*(CG$145+CG$146*V_PreInd)</f>
        <v>17</v>
      </c>
      <c r="CH183" s="36" t="n">
        <f aca="false">SUMPRODUCT((Per_Clase="Indirecto")*INDEX(Dot_V,0,MIN(10,CH$147)))*(CH$145+CH$146*V_PreInd)</f>
        <v>17</v>
      </c>
      <c r="CI183" s="36" t="n">
        <f aca="false">SUMPRODUCT((Per_Clase="Indirecto")*INDEX(Dot_V,0,MIN(10,CI$147)))*(CI$145+CI$146*V_PreInd)</f>
        <v>17</v>
      </c>
      <c r="CJ183" s="36" t="n">
        <f aca="false">SUMPRODUCT((Per_Clase="Indirecto")*INDEX(Dot_V,0,MIN(10,CJ$147)))*(CJ$145+CJ$146*V_PreInd)</f>
        <v>17</v>
      </c>
      <c r="CK183" s="36" t="n">
        <f aca="false">SUMPRODUCT((Per_Clase="Indirecto")*INDEX(Dot_V,0,MIN(10,CK$147)))*(CK$145+CK$146*V_PreInd)</f>
        <v>17</v>
      </c>
      <c r="CL183" s="36" t="n">
        <f aca="false">SUMPRODUCT((Per_Clase="Indirecto")*INDEX(Dot_V,0,MIN(10,CL$147)))*(CL$145+CL$146*V_PreInd)</f>
        <v>17</v>
      </c>
      <c r="CM183" s="36" t="n">
        <f aca="false">SUMPRODUCT((Per_Clase="Indirecto")*INDEX(Dot_V,0,MIN(10,CM$147)))*(CM$145+CM$146*V_PreInd)</f>
        <v>17</v>
      </c>
      <c r="CN183" s="36" t="n">
        <f aca="false">SUMPRODUCT((Per_Clase="Indirecto")*INDEX(Dot_V,0,MIN(10,CN$147)))*(CN$145+CN$146*V_PreInd)</f>
        <v>17</v>
      </c>
      <c r="CO183" s="36" t="n">
        <f aca="false">SUMPRODUCT((Per_Clase="Indirecto")*INDEX(Dot_V,0,MIN(10,CO$147)))*(CO$145+CO$146*V_PreInd)</f>
        <v>17</v>
      </c>
      <c r="CP183" s="36" t="n">
        <f aca="false">SUMPRODUCT((Per_Clase="Indirecto")*INDEX(Dot_V,0,MIN(10,CP$147)))*(CP$145+CP$146*V_PreInd)</f>
        <v>17</v>
      </c>
      <c r="CQ183" s="36" t="n">
        <f aca="false">SUMPRODUCT((Per_Clase="Indirecto")*INDEX(Dot_V,0,MIN(10,CQ$147)))*(CQ$145+CQ$146*V_PreInd)</f>
        <v>17</v>
      </c>
      <c r="CR183" s="36" t="n">
        <f aca="false">SUMPRODUCT((Per_Clase="Indirecto")*INDEX(Dot_V,0,MIN(10,CR$147)))*(CR$145+CR$146*V_PreInd)</f>
        <v>17</v>
      </c>
      <c r="CS183" s="36" t="n">
        <f aca="false">SUMPRODUCT((Per_Clase="Indirecto")*INDEX(Dot_V,0,MIN(10,CS$147)))*(CS$145+CS$146*V_PreInd)</f>
        <v>17</v>
      </c>
      <c r="CT183" s="36" t="n">
        <f aca="false">SUMPRODUCT((Per_Clase="Indirecto")*INDEX(Dot_V,0,MIN(10,CT$147)))*(CT$145+CT$146*V_PreInd)</f>
        <v>17</v>
      </c>
      <c r="CU183" s="36" t="n">
        <f aca="false">SUMPRODUCT((Per_Clase="Indirecto")*INDEX(Dot_V,0,MIN(10,CU$147)))*(CU$145+CU$146*V_PreInd)</f>
        <v>17</v>
      </c>
      <c r="CV183" s="36" t="n">
        <f aca="false">SUMPRODUCT((Per_Clase="Indirecto")*INDEX(Dot_V,0,MIN(10,CV$147)))*(CV$145+CV$146*V_PreInd)</f>
        <v>17</v>
      </c>
      <c r="CW183" s="36" t="n">
        <f aca="false">SUMPRODUCT((Per_Clase="Indirecto")*INDEX(Dot_V,0,MIN(10,CW$147)))*(CW$145+CW$146*V_PreInd)</f>
        <v>17</v>
      </c>
      <c r="CX183" s="36" t="n">
        <f aca="false">SUMPRODUCT((Per_Clase="Indirecto")*INDEX(Dot_V,0,MIN(10,CX$147)))*(CX$145+CX$146*V_PreInd)</f>
        <v>17</v>
      </c>
      <c r="CY183" s="36" t="n">
        <f aca="false">SUMPRODUCT((Per_Clase="Indirecto")*INDEX(Dot_V,0,MIN(10,CY$147)))*(CY$145+CY$146*V_PreInd)</f>
        <v>17</v>
      </c>
      <c r="CZ183" s="36" t="n">
        <f aca="false">SUMPRODUCT((Per_Clase="Indirecto")*INDEX(Dot_V,0,MIN(10,CZ$147)))*(CZ$145+CZ$146*V_PreInd)</f>
        <v>17</v>
      </c>
      <c r="DA183" s="36" t="n">
        <f aca="false">SUMPRODUCT((Per_Clase="Indirecto")*INDEX(Dot_V,0,MIN(10,DA$147)))*(DA$145+DA$146*V_PreInd)</f>
        <v>17</v>
      </c>
      <c r="DB183" s="36" t="n">
        <f aca="false">SUMPRODUCT((Per_Clase="Indirecto")*INDEX(Dot_V,0,MIN(10,DB$147)))*(DB$145+DB$146*V_PreInd)</f>
        <v>17</v>
      </c>
      <c r="DC183" s="36" t="n">
        <f aca="false">SUMPRODUCT((Per_Clase="Indirecto")*INDEX(Dot_V,0,MIN(10,DC$147)))*(DC$145+DC$146*V_PreInd)</f>
        <v>17</v>
      </c>
      <c r="DD183" s="36" t="n">
        <f aca="false">SUMPRODUCT((Per_Clase="Indirecto")*INDEX(Dot_V,0,MIN(10,DD$147)))*(DD$145+DD$146*V_PreInd)</f>
        <v>17</v>
      </c>
      <c r="DE183" s="36" t="n">
        <f aca="false">SUMPRODUCT((Per_Clase="Indirecto")*INDEX(Dot_V,0,MIN(10,DE$147)))*(DE$145+DE$146*V_PreInd)</f>
        <v>17</v>
      </c>
      <c r="DF183" s="36" t="n">
        <f aca="false">SUMPRODUCT((Per_Clase="Indirecto")*INDEX(Dot_V,0,MIN(10,DF$147)))*(DF$145+DF$146*V_PreInd)</f>
        <v>17</v>
      </c>
      <c r="DG183" s="36" t="n">
        <f aca="false">SUMPRODUCT((Per_Clase="Indirecto")*INDEX(Dot_V,0,MIN(10,DG$147)))*(DG$145+DG$146*V_PreInd)</f>
        <v>17</v>
      </c>
      <c r="DH183" s="36" t="n">
        <f aca="false">SUMPRODUCT((Per_Clase="Indirecto")*INDEX(Dot_V,0,MIN(10,DH$147)))*(DH$145+DH$146*V_PreInd)</f>
        <v>17</v>
      </c>
      <c r="DI183" s="36" t="n">
        <f aca="false">SUMPRODUCT((Per_Clase="Indirecto")*INDEX(Dot_V,0,MIN(10,DI$147)))*(DI$145+DI$146*V_PreInd)</f>
        <v>17</v>
      </c>
      <c r="DJ183" s="36" t="n">
        <f aca="false">SUMPRODUCT((Per_Clase="Indirecto")*INDEX(Dot_V,0,MIN(10,DJ$147)))*(DJ$145+DJ$146*V_PreInd)</f>
        <v>17</v>
      </c>
      <c r="DK183" s="36" t="n">
        <f aca="false">SUMPRODUCT((Per_Clase="Indirecto")*INDEX(Dot_V,0,MIN(10,DK$147)))*(DK$145+DK$146*V_PreInd)</f>
        <v>17</v>
      </c>
      <c r="DL183" s="36" t="n">
        <f aca="false">SUMPRODUCT((Per_Clase="Indirecto")*INDEX(Dot_V,0,MIN(10,DL$147)))*(DL$145+DL$146*V_PreInd)</f>
        <v>17</v>
      </c>
      <c r="DM183" s="36" t="n">
        <f aca="false">SUMPRODUCT((Per_Clase="Indirecto")*INDEX(Dot_V,0,MIN(10,DM$147)))*(DM$145+DM$146*V_PreInd)</f>
        <v>17</v>
      </c>
      <c r="DN183" s="36" t="n">
        <f aca="false">SUMPRODUCT((Per_Clase="Indirecto")*INDEX(Dot_V,0,MIN(10,DN$147)))*(DN$145+DN$146*V_PreInd)</f>
        <v>17</v>
      </c>
      <c r="DO183" s="36" t="n">
        <f aca="false">SUMPRODUCT((Per_Clase="Indirecto")*INDEX(Dot_V,0,MIN(10,DO$147)))*(DO$145+DO$146*V_PreInd)</f>
        <v>17</v>
      </c>
      <c r="DP183" s="36" t="n">
        <f aca="false">SUMPRODUCT((Per_Clase="Indirecto")*INDEX(Dot_V,0,MIN(10,DP$147)))*(DP$145+DP$146*V_PreInd)</f>
        <v>17</v>
      </c>
      <c r="DQ183" s="36" t="n">
        <f aca="false">SUMPRODUCT((Per_Clase="Indirecto")*INDEX(Dot_V,0,MIN(10,DQ$147)))*(DQ$145+DQ$146*V_PreInd)</f>
        <v>17</v>
      </c>
      <c r="DR183" s="36" t="n">
        <f aca="false">SUMPRODUCT((Per_Clase="Indirecto")*INDEX(Dot_V,0,MIN(10,DR$147)))*(DR$145+DR$146*V_PreInd)</f>
        <v>17</v>
      </c>
      <c r="DS183" s="36" t="n">
        <f aca="false">SUMPRODUCT((Per_Clase="Indirecto")*INDEX(Dot_V,0,MIN(10,DS$147)))*(DS$145+DS$146*V_PreInd)</f>
        <v>17</v>
      </c>
      <c r="DT183" s="36" t="n">
        <f aca="false">SUMPRODUCT((Per_Clase="Indirecto")*INDEX(Dot_V,0,MIN(10,DT$147)))*(DT$145+DT$146*V_PreInd)</f>
        <v>17</v>
      </c>
      <c r="DU183" s="36" t="n">
        <f aca="false">SUMPRODUCT((Per_Clase="Indirecto")*INDEX(Dot_V,0,MIN(10,DU$147)))*(DU$145+DU$146*V_PreInd)</f>
        <v>17</v>
      </c>
      <c r="DV183" s="36" t="n">
        <f aca="false">SUMPRODUCT((Per_Clase="Indirecto")*INDEX(Dot_V,0,MIN(10,DV$147)))*(DV$145+DV$146*V_PreInd)</f>
        <v>0</v>
      </c>
      <c r="DW183" s="36" t="n">
        <f aca="false">SUMPRODUCT((Per_Clase="Indirecto")*INDEX(Dot_V,0,MIN(10,DW$147)))*(DW$145+DW$146*V_PreInd)</f>
        <v>0</v>
      </c>
      <c r="DX183" s="36" t="n">
        <f aca="false">SUMPRODUCT((Per_Clase="Indirecto")*INDEX(Dot_V,0,MIN(10,DX$147)))*(DX$145+DX$146*V_PreInd)</f>
        <v>0</v>
      </c>
      <c r="DY183" s="36" t="n">
        <f aca="false">SUMPRODUCT((Per_Clase="Indirecto")*INDEX(Dot_V,0,MIN(10,DY$147)))*(DY$145+DY$146*V_PreInd)</f>
        <v>0</v>
      </c>
      <c r="DZ183" s="36" t="n">
        <f aca="false">SUMPRODUCT((Per_Clase="Indirecto")*INDEX(Dot_V,0,MIN(10,DZ$147)))*(DZ$145+DZ$146*V_PreInd)</f>
        <v>0</v>
      </c>
      <c r="EA183" s="36" t="n">
        <f aca="false">SUMPRODUCT((Per_Clase="Indirecto")*INDEX(Dot_V,0,MIN(10,EA$147)))*(EA$145+EA$146*V_PreInd)</f>
        <v>0</v>
      </c>
      <c r="EB183" s="36" t="n">
        <f aca="false">SUMPRODUCT((Per_Clase="Indirecto")*INDEX(Dot_V,0,MIN(10,EB$147)))*(EB$145+EB$146*V_PreInd)</f>
        <v>0</v>
      </c>
      <c r="EC183" s="36" t="n">
        <f aca="false">SUMPRODUCT((Per_Clase="Indirecto")*INDEX(Dot_V,0,MIN(10,EC$147)))*(EC$145+EC$146*V_PreInd)</f>
        <v>0</v>
      </c>
      <c r="ED183" s="36" t="n">
        <f aca="false">SUMPRODUCT((Per_Clase="Indirecto")*INDEX(Dot_V,0,MIN(10,ED$147)))*(ED$145+ED$146*V_PreInd)</f>
        <v>0</v>
      </c>
      <c r="EE183" s="36" t="n">
        <f aca="false">SUMPRODUCT((Per_Clase="Indirecto")*INDEX(Dot_V,0,MIN(10,EE$147)))*(EE$145+EE$146*V_PreInd)</f>
        <v>0</v>
      </c>
      <c r="EF183" s="36" t="n">
        <f aca="false">SUMPRODUCT((Per_Clase="Indirecto")*INDEX(Dot_V,0,MIN(10,EF$147)))*(EF$145+EF$146*V_PreInd)</f>
        <v>0</v>
      </c>
      <c r="EG183" s="36" t="n">
        <f aca="false">SUMPRODUCT((Per_Clase="Indirecto")*INDEX(Dot_V,0,MIN(10,EG$147)))*(EG$145+EG$146*V_PreInd)</f>
        <v>0</v>
      </c>
      <c r="EH183" s="36" t="n">
        <f aca="false">SUMPRODUCT((Per_Clase="Indirecto")*INDEX(Dot_V,0,MIN(10,EH$147)))*(EH$145+EH$146*V_PreInd)</f>
        <v>0</v>
      </c>
      <c r="EI183" s="36" t="n">
        <f aca="false">SUMPRODUCT((Per_Clase="Indirecto")*INDEX(Dot_V,0,MIN(10,EI$147)))*(EI$145+EI$146*V_PreInd)</f>
        <v>0</v>
      </c>
      <c r="EJ183" s="36" t="n">
        <f aca="false">SUMPRODUCT((Per_Clase="Indirecto")*INDEX(Dot_V,0,MIN(10,EJ$147)))*(EJ$145+EJ$146*V_PreInd)</f>
        <v>0</v>
      </c>
      <c r="EK183" s="36" t="n">
        <f aca="false">SUMPRODUCT((Per_Clase="Indirecto")*INDEX(Dot_V,0,MIN(10,EK$147)))*(EK$145+EK$146*V_PreInd)</f>
        <v>0</v>
      </c>
      <c r="EL183" s="36" t="n">
        <f aca="false">SUMPRODUCT((Per_Clase="Indirecto")*INDEX(Dot_V,0,MIN(10,EL$147)))*(EL$145+EL$146*V_PreInd)</f>
        <v>0</v>
      </c>
      <c r="EM183" s="36" t="n">
        <f aca="false">SUMPRODUCT((Per_Clase="Indirecto")*INDEX(Dot_V,0,MIN(10,EM$147)))*(EM$145+EM$146*V_PreInd)</f>
        <v>0</v>
      </c>
      <c r="EN183" s="36" t="n">
        <f aca="false">SUMPRODUCT((Per_Clase="Indirecto")*INDEX(Dot_V,0,MIN(10,EN$147)))*(EN$145+EN$146*V_PreInd)</f>
        <v>0</v>
      </c>
      <c r="EO183" s="36" t="n">
        <f aca="false">SUMPRODUCT((Per_Clase="Indirecto")*INDEX(Dot_V,0,MIN(10,EO$147)))*(EO$145+EO$146*V_PreInd)</f>
        <v>0</v>
      </c>
      <c r="EP183" s="36" t="n">
        <f aca="false">SUMPRODUCT((Per_Clase="Indirecto")*INDEX(Dot_V,0,MIN(10,EP$147)))*(EP$145+EP$146*V_PreInd)</f>
        <v>0</v>
      </c>
      <c r="EQ183" s="36" t="n">
        <f aca="false">SUMPRODUCT((Per_Clase="Indirecto")*INDEX(Dot_V,0,MIN(10,EQ$147)))*(EQ$145+EQ$146*V_PreInd)</f>
        <v>0</v>
      </c>
      <c r="ER183" s="36" t="n">
        <f aca="false">SUMPRODUCT((Per_Clase="Indirecto")*INDEX(Dot_V,0,MIN(10,ER$147)))*(ER$145+ER$146*V_PreInd)</f>
        <v>0</v>
      </c>
      <c r="ES183" s="36" t="n">
        <f aca="false">SUMPRODUCT((Per_Clase="Indirecto")*INDEX(Dot_V,0,MIN(10,ES$147)))*(ES$145+ES$146*V_PreInd)</f>
        <v>0</v>
      </c>
    </row>
    <row r="184" customFormat="false" ht="15" hidden="false" customHeight="false" outlineLevel="0" collapsed="false">
      <c r="A184" s="2" t="s">
        <v>799</v>
      </c>
      <c r="B184" s="6" t="s">
        <v>601</v>
      </c>
      <c r="C184" s="6" t="s">
        <v>250</v>
      </c>
      <c r="E184" s="40" t="n">
        <f aca="false">SUM(F184:ES184)</f>
        <v>2451899.38788164</v>
      </c>
      <c r="F184" s="34" t="n">
        <f aca="false">SUMPRODUCT((Per_Clase="Indirecto")*Sal_V*INDEX(Dot_V,0,MIN(10,F$147))*((Per_Mon="PYG")*F$149+(Per_Mon&lt;&gt;"PYG")))*(F$145+F$146*V_PreInd)*INDEX(IdxSal_V,1,MIN(10,F$147))*(1+V_Cargas)+F$183*V_Alim*F$149</f>
        <v>20432.4948990137</v>
      </c>
      <c r="G184" s="34" t="n">
        <f aca="false">SUMPRODUCT((Per_Clase="Indirecto")*Sal_V*INDEX(Dot_V,0,MIN(10,G$147))*((Per_Mon="PYG")*G$149+(Per_Mon&lt;&gt;"PYG")))*(G$145+G$146*V_PreInd)*INDEX(IdxSal_V,1,MIN(10,G$147))*(1+V_Cargas)+G$183*V_Alim*G$149</f>
        <v>20432.4948990137</v>
      </c>
      <c r="H184" s="34" t="n">
        <f aca="false">SUMPRODUCT((Per_Clase="Indirecto")*Sal_V*INDEX(Dot_V,0,MIN(10,H$147))*((Per_Mon="PYG")*H$149+(Per_Mon&lt;&gt;"PYG")))*(H$145+H$146*V_PreInd)*INDEX(IdxSal_V,1,MIN(10,H$147))*(1+V_Cargas)+H$183*V_Alim*H$149</f>
        <v>20432.4948990137</v>
      </c>
      <c r="I184" s="34" t="n">
        <f aca="false">SUMPRODUCT((Per_Clase="Indirecto")*Sal_V*INDEX(Dot_V,0,MIN(10,I$147))*((Per_Mon="PYG")*I$149+(Per_Mon&lt;&gt;"PYG")))*(I$145+I$146*V_PreInd)*INDEX(IdxSal_V,1,MIN(10,I$147))*(1+V_Cargas)+I$183*V_Alim*I$149</f>
        <v>20432.4948990137</v>
      </c>
      <c r="J184" s="34" t="n">
        <f aca="false">SUMPRODUCT((Per_Clase="Indirecto")*Sal_V*INDEX(Dot_V,0,MIN(10,J$147))*((Per_Mon="PYG")*J$149+(Per_Mon&lt;&gt;"PYG")))*(J$145+J$146*V_PreInd)*INDEX(IdxSal_V,1,MIN(10,J$147))*(1+V_Cargas)+J$183*V_Alim*J$149</f>
        <v>20432.4948990137</v>
      </c>
      <c r="K184" s="34" t="n">
        <f aca="false">SUMPRODUCT((Per_Clase="Indirecto")*Sal_V*INDEX(Dot_V,0,MIN(10,K$147))*((Per_Mon="PYG")*K$149+(Per_Mon&lt;&gt;"PYG")))*(K$145+K$146*V_PreInd)*INDEX(IdxSal_V,1,MIN(10,K$147))*(1+V_Cargas)+K$183*V_Alim*K$149</f>
        <v>20432.4948990137</v>
      </c>
      <c r="L184" s="34" t="n">
        <f aca="false">SUMPRODUCT((Per_Clase="Indirecto")*Sal_V*INDEX(Dot_V,0,MIN(10,L$147))*((Per_Mon="PYG")*L$149+(Per_Mon&lt;&gt;"PYG")))*(L$145+L$146*V_PreInd)*INDEX(IdxSal_V,1,MIN(10,L$147))*(1+V_Cargas)+L$183*V_Alim*L$149</f>
        <v>20432.4948990137</v>
      </c>
      <c r="M184" s="34" t="n">
        <f aca="false">SUMPRODUCT((Per_Clase="Indirecto")*Sal_V*INDEX(Dot_V,0,MIN(10,M$147))*((Per_Mon="PYG")*M$149+(Per_Mon&lt;&gt;"PYG")))*(M$145+M$146*V_PreInd)*INDEX(IdxSal_V,1,MIN(10,M$147))*(1+V_Cargas)+M$183*V_Alim*M$149</f>
        <v>20432.4948990137</v>
      </c>
      <c r="N184" s="34" t="n">
        <f aca="false">SUMPRODUCT((Per_Clase="Indirecto")*Sal_V*INDEX(Dot_V,0,MIN(10,N$147))*((Per_Mon="PYG")*N$149+(Per_Mon&lt;&gt;"PYG")))*(N$145+N$146*V_PreInd)*INDEX(IdxSal_V,1,MIN(10,N$147))*(1+V_Cargas)+N$183*V_Alim*N$149</f>
        <v>20432.4948990137</v>
      </c>
      <c r="O184" s="34" t="n">
        <f aca="false">SUMPRODUCT((Per_Clase="Indirecto")*Sal_V*INDEX(Dot_V,0,MIN(10,O$147))*((Per_Mon="PYG")*O$149+(Per_Mon&lt;&gt;"PYG")))*(O$145+O$146*V_PreInd)*INDEX(IdxSal_V,1,MIN(10,O$147))*(1+V_Cargas)+O$183*V_Alim*O$149</f>
        <v>20432.4948990137</v>
      </c>
      <c r="P184" s="34" t="n">
        <f aca="false">SUMPRODUCT((Per_Clase="Indirecto")*Sal_V*INDEX(Dot_V,0,MIN(10,P$147))*((Per_Mon="PYG")*P$149+(Per_Mon&lt;&gt;"PYG")))*(P$145+P$146*V_PreInd)*INDEX(IdxSal_V,1,MIN(10,P$147))*(1+V_Cargas)+P$183*V_Alim*P$149</f>
        <v>20432.4948990137</v>
      </c>
      <c r="Q184" s="34" t="n">
        <f aca="false">SUMPRODUCT((Per_Clase="Indirecto")*Sal_V*INDEX(Dot_V,0,MIN(10,Q$147))*((Per_Mon="PYG")*Q$149+(Per_Mon&lt;&gt;"PYG")))*(Q$145+Q$146*V_PreInd)*INDEX(IdxSal_V,1,MIN(10,Q$147))*(1+V_Cargas)+Q$183*V_Alim*Q$149</f>
        <v>20432.4948990137</v>
      </c>
      <c r="R184" s="34" t="n">
        <f aca="false">SUMPRODUCT((Per_Clase="Indirecto")*Sal_V*INDEX(Dot_V,0,MIN(10,R$147))*((Per_Mon="PYG")*R$149+(Per_Mon&lt;&gt;"PYG")))*(R$145+R$146*V_PreInd)*INDEX(IdxSal_V,1,MIN(10,R$147))*(1+V_Cargas)+R$183*V_Alim*R$149</f>
        <v>20432.4948990137</v>
      </c>
      <c r="S184" s="34" t="n">
        <f aca="false">SUMPRODUCT((Per_Clase="Indirecto")*Sal_V*INDEX(Dot_V,0,MIN(10,S$147))*((Per_Mon="PYG")*S$149+(Per_Mon&lt;&gt;"PYG")))*(S$145+S$146*V_PreInd)*INDEX(IdxSal_V,1,MIN(10,S$147))*(1+V_Cargas)+S$183*V_Alim*S$149</f>
        <v>20432.4948990137</v>
      </c>
      <c r="T184" s="34" t="n">
        <f aca="false">SUMPRODUCT((Per_Clase="Indirecto")*Sal_V*INDEX(Dot_V,0,MIN(10,T$147))*((Per_Mon="PYG")*T$149+(Per_Mon&lt;&gt;"PYG")))*(T$145+T$146*V_PreInd)*INDEX(IdxSal_V,1,MIN(10,T$147))*(1+V_Cargas)+T$183*V_Alim*T$149</f>
        <v>20432.4948990137</v>
      </c>
      <c r="U184" s="34" t="n">
        <f aca="false">SUMPRODUCT((Per_Clase="Indirecto")*Sal_V*INDEX(Dot_V,0,MIN(10,U$147))*((Per_Mon="PYG")*U$149+(Per_Mon&lt;&gt;"PYG")))*(U$145+U$146*V_PreInd)*INDEX(IdxSal_V,1,MIN(10,U$147))*(1+V_Cargas)+U$183*V_Alim*U$149</f>
        <v>20432.4948990137</v>
      </c>
      <c r="V184" s="34" t="n">
        <f aca="false">SUMPRODUCT((Per_Clase="Indirecto")*Sal_V*INDEX(Dot_V,0,MIN(10,V$147))*((Per_Mon="PYG")*V$149+(Per_Mon&lt;&gt;"PYG")))*(V$145+V$146*V_PreInd)*INDEX(IdxSal_V,1,MIN(10,V$147))*(1+V_Cargas)+V$183*V_Alim*V$149</f>
        <v>20432.4948990137</v>
      </c>
      <c r="W184" s="34" t="n">
        <f aca="false">SUMPRODUCT((Per_Clase="Indirecto")*Sal_V*INDEX(Dot_V,0,MIN(10,W$147))*((Per_Mon="PYG")*W$149+(Per_Mon&lt;&gt;"PYG")))*(W$145+W$146*V_PreInd)*INDEX(IdxSal_V,1,MIN(10,W$147))*(1+V_Cargas)+W$183*V_Alim*W$149</f>
        <v>20432.4948990137</v>
      </c>
      <c r="X184" s="34" t="n">
        <f aca="false">SUMPRODUCT((Per_Clase="Indirecto")*Sal_V*INDEX(Dot_V,0,MIN(10,X$147))*((Per_Mon="PYG")*X$149+(Per_Mon&lt;&gt;"PYG")))*(X$145+X$146*V_PreInd)*INDEX(IdxSal_V,1,MIN(10,X$147))*(1+V_Cargas)+X$183*V_Alim*X$149</f>
        <v>20432.4948990137</v>
      </c>
      <c r="Y184" s="34" t="n">
        <f aca="false">SUMPRODUCT((Per_Clase="Indirecto")*Sal_V*INDEX(Dot_V,0,MIN(10,Y$147))*((Per_Mon="PYG")*Y$149+(Per_Mon&lt;&gt;"PYG")))*(Y$145+Y$146*V_PreInd)*INDEX(IdxSal_V,1,MIN(10,Y$147))*(1+V_Cargas)+Y$183*V_Alim*Y$149</f>
        <v>20432.4948990137</v>
      </c>
      <c r="Z184" s="34" t="n">
        <f aca="false">SUMPRODUCT((Per_Clase="Indirecto")*Sal_V*INDEX(Dot_V,0,MIN(10,Z$147))*((Per_Mon="PYG")*Z$149+(Per_Mon&lt;&gt;"PYG")))*(Z$145+Z$146*V_PreInd)*INDEX(IdxSal_V,1,MIN(10,Z$147))*(1+V_Cargas)+Z$183*V_Alim*Z$149</f>
        <v>20432.4948990137</v>
      </c>
      <c r="AA184" s="34" t="n">
        <f aca="false">SUMPRODUCT((Per_Clase="Indirecto")*Sal_V*INDEX(Dot_V,0,MIN(10,AA$147))*((Per_Mon="PYG")*AA$149+(Per_Mon&lt;&gt;"PYG")))*(AA$145+AA$146*V_PreInd)*INDEX(IdxSal_V,1,MIN(10,AA$147))*(1+V_Cargas)+AA$183*V_Alim*AA$149</f>
        <v>20432.4948990137</v>
      </c>
      <c r="AB184" s="34" t="n">
        <f aca="false">SUMPRODUCT((Per_Clase="Indirecto")*Sal_V*INDEX(Dot_V,0,MIN(10,AB$147))*((Per_Mon="PYG")*AB$149+(Per_Mon&lt;&gt;"PYG")))*(AB$145+AB$146*V_PreInd)*INDEX(IdxSal_V,1,MIN(10,AB$147))*(1+V_Cargas)+AB$183*V_Alim*AB$149</f>
        <v>20432.4948990137</v>
      </c>
      <c r="AC184" s="34" t="n">
        <f aca="false">SUMPRODUCT((Per_Clase="Indirecto")*Sal_V*INDEX(Dot_V,0,MIN(10,AC$147))*((Per_Mon="PYG")*AC$149+(Per_Mon&lt;&gt;"PYG")))*(AC$145+AC$146*V_PreInd)*INDEX(IdxSal_V,1,MIN(10,AC$147))*(1+V_Cargas)+AC$183*V_Alim*AC$149</f>
        <v>20432.4948990137</v>
      </c>
      <c r="AD184" s="34" t="n">
        <f aca="false">SUMPRODUCT((Per_Clase="Indirecto")*Sal_V*INDEX(Dot_V,0,MIN(10,AD$147))*((Per_Mon="PYG")*AD$149+(Per_Mon&lt;&gt;"PYG")))*(AD$145+AD$146*V_PreInd)*INDEX(IdxSal_V,1,MIN(10,AD$147))*(1+V_Cargas)+AD$183*V_Alim*AD$149</f>
        <v>20432.4948990137</v>
      </c>
      <c r="AE184" s="34" t="n">
        <f aca="false">SUMPRODUCT((Per_Clase="Indirecto")*Sal_V*INDEX(Dot_V,0,MIN(10,AE$147))*((Per_Mon="PYG")*AE$149+(Per_Mon&lt;&gt;"PYG")))*(AE$145+AE$146*V_PreInd)*INDEX(IdxSal_V,1,MIN(10,AE$147))*(1+V_Cargas)+AE$183*V_Alim*AE$149</f>
        <v>20432.4948990137</v>
      </c>
      <c r="AF184" s="34" t="n">
        <f aca="false">SUMPRODUCT((Per_Clase="Indirecto")*Sal_V*INDEX(Dot_V,0,MIN(10,AF$147))*((Per_Mon="PYG")*AF$149+(Per_Mon&lt;&gt;"PYG")))*(AF$145+AF$146*V_PreInd)*INDEX(IdxSal_V,1,MIN(10,AF$147))*(1+V_Cargas)+AF$183*V_Alim*AF$149</f>
        <v>20432.4948990137</v>
      </c>
      <c r="AG184" s="34" t="n">
        <f aca="false">SUMPRODUCT((Per_Clase="Indirecto")*Sal_V*INDEX(Dot_V,0,MIN(10,AG$147))*((Per_Mon="PYG")*AG$149+(Per_Mon&lt;&gt;"PYG")))*(AG$145+AG$146*V_PreInd)*INDEX(IdxSal_V,1,MIN(10,AG$147))*(1+V_Cargas)+AG$183*V_Alim*AG$149</f>
        <v>20432.4948990137</v>
      </c>
      <c r="AH184" s="34" t="n">
        <f aca="false">SUMPRODUCT((Per_Clase="Indirecto")*Sal_V*INDEX(Dot_V,0,MIN(10,AH$147))*((Per_Mon="PYG")*AH$149+(Per_Mon&lt;&gt;"PYG")))*(AH$145+AH$146*V_PreInd)*INDEX(IdxSal_V,1,MIN(10,AH$147))*(1+V_Cargas)+AH$183*V_Alim*AH$149</f>
        <v>20432.4948990137</v>
      </c>
      <c r="AI184" s="34" t="n">
        <f aca="false">SUMPRODUCT((Per_Clase="Indirecto")*Sal_V*INDEX(Dot_V,0,MIN(10,AI$147))*((Per_Mon="PYG")*AI$149+(Per_Mon&lt;&gt;"PYG")))*(AI$145+AI$146*V_PreInd)*INDEX(IdxSal_V,1,MIN(10,AI$147))*(1+V_Cargas)+AI$183*V_Alim*AI$149</f>
        <v>20432.4948990137</v>
      </c>
      <c r="AJ184" s="34" t="n">
        <f aca="false">SUMPRODUCT((Per_Clase="Indirecto")*Sal_V*INDEX(Dot_V,0,MIN(10,AJ$147))*((Per_Mon="PYG")*AJ$149+(Per_Mon&lt;&gt;"PYG")))*(AJ$145+AJ$146*V_PreInd)*INDEX(IdxSal_V,1,MIN(10,AJ$147))*(1+V_Cargas)+AJ$183*V_Alim*AJ$149</f>
        <v>20432.4948990137</v>
      </c>
      <c r="AK184" s="34" t="n">
        <f aca="false">SUMPRODUCT((Per_Clase="Indirecto")*Sal_V*INDEX(Dot_V,0,MIN(10,AK$147))*((Per_Mon="PYG")*AK$149+(Per_Mon&lt;&gt;"PYG")))*(AK$145+AK$146*V_PreInd)*INDEX(IdxSal_V,1,MIN(10,AK$147))*(1+V_Cargas)+AK$183*V_Alim*AK$149</f>
        <v>20432.4948990137</v>
      </c>
      <c r="AL184" s="34" t="n">
        <f aca="false">SUMPRODUCT((Per_Clase="Indirecto")*Sal_V*INDEX(Dot_V,0,MIN(10,AL$147))*((Per_Mon="PYG")*AL$149+(Per_Mon&lt;&gt;"PYG")))*(AL$145+AL$146*V_PreInd)*INDEX(IdxSal_V,1,MIN(10,AL$147))*(1+V_Cargas)+AL$183*V_Alim*AL$149</f>
        <v>20432.4948990137</v>
      </c>
      <c r="AM184" s="34" t="n">
        <f aca="false">SUMPRODUCT((Per_Clase="Indirecto")*Sal_V*INDEX(Dot_V,0,MIN(10,AM$147))*((Per_Mon="PYG")*AM$149+(Per_Mon&lt;&gt;"PYG")))*(AM$145+AM$146*V_PreInd)*INDEX(IdxSal_V,1,MIN(10,AM$147))*(1+V_Cargas)+AM$183*V_Alim*AM$149</f>
        <v>20432.4948990137</v>
      </c>
      <c r="AN184" s="34" t="n">
        <f aca="false">SUMPRODUCT((Per_Clase="Indirecto")*Sal_V*INDEX(Dot_V,0,MIN(10,AN$147))*((Per_Mon="PYG")*AN$149+(Per_Mon&lt;&gt;"PYG")))*(AN$145+AN$146*V_PreInd)*INDEX(IdxSal_V,1,MIN(10,AN$147))*(1+V_Cargas)+AN$183*V_Alim*AN$149</f>
        <v>20432.4948990137</v>
      </c>
      <c r="AO184" s="34" t="n">
        <f aca="false">SUMPRODUCT((Per_Clase="Indirecto")*Sal_V*INDEX(Dot_V,0,MIN(10,AO$147))*((Per_Mon="PYG")*AO$149+(Per_Mon&lt;&gt;"PYG")))*(AO$145+AO$146*V_PreInd)*INDEX(IdxSal_V,1,MIN(10,AO$147))*(1+V_Cargas)+AO$183*V_Alim*AO$149</f>
        <v>20432.4948990137</v>
      </c>
      <c r="AP184" s="34" t="n">
        <f aca="false">SUMPRODUCT((Per_Clase="Indirecto")*Sal_V*INDEX(Dot_V,0,MIN(10,AP$147))*((Per_Mon="PYG")*AP$149+(Per_Mon&lt;&gt;"PYG")))*(AP$145+AP$146*V_PreInd)*INDEX(IdxSal_V,1,MIN(10,AP$147))*(1+V_Cargas)+AP$183*V_Alim*AP$149</f>
        <v>20432.4948990137</v>
      </c>
      <c r="AQ184" s="34" t="n">
        <f aca="false">SUMPRODUCT((Per_Clase="Indirecto")*Sal_V*INDEX(Dot_V,0,MIN(10,AQ$147))*((Per_Mon="PYG")*AQ$149+(Per_Mon&lt;&gt;"PYG")))*(AQ$145+AQ$146*V_PreInd)*INDEX(IdxSal_V,1,MIN(10,AQ$147))*(1+V_Cargas)+AQ$183*V_Alim*AQ$149</f>
        <v>20432.4948990137</v>
      </c>
      <c r="AR184" s="34" t="n">
        <f aca="false">SUMPRODUCT((Per_Clase="Indirecto")*Sal_V*INDEX(Dot_V,0,MIN(10,AR$147))*((Per_Mon="PYG")*AR$149+(Per_Mon&lt;&gt;"PYG")))*(AR$145+AR$146*V_PreInd)*INDEX(IdxSal_V,1,MIN(10,AR$147))*(1+V_Cargas)+AR$183*V_Alim*AR$149</f>
        <v>20432.4948990137</v>
      </c>
      <c r="AS184" s="34" t="n">
        <f aca="false">SUMPRODUCT((Per_Clase="Indirecto")*Sal_V*INDEX(Dot_V,0,MIN(10,AS$147))*((Per_Mon="PYG")*AS$149+(Per_Mon&lt;&gt;"PYG")))*(AS$145+AS$146*V_PreInd)*INDEX(IdxSal_V,1,MIN(10,AS$147))*(1+V_Cargas)+AS$183*V_Alim*AS$149</f>
        <v>20432.4948990137</v>
      </c>
      <c r="AT184" s="34" t="n">
        <f aca="false">SUMPRODUCT((Per_Clase="Indirecto")*Sal_V*INDEX(Dot_V,0,MIN(10,AT$147))*((Per_Mon="PYG")*AT$149+(Per_Mon&lt;&gt;"PYG")))*(AT$145+AT$146*V_PreInd)*INDEX(IdxSal_V,1,MIN(10,AT$147))*(1+V_Cargas)+AT$183*V_Alim*AT$149</f>
        <v>20432.4948990137</v>
      </c>
      <c r="AU184" s="34" t="n">
        <f aca="false">SUMPRODUCT((Per_Clase="Indirecto")*Sal_V*INDEX(Dot_V,0,MIN(10,AU$147))*((Per_Mon="PYG")*AU$149+(Per_Mon&lt;&gt;"PYG")))*(AU$145+AU$146*V_PreInd)*INDEX(IdxSal_V,1,MIN(10,AU$147))*(1+V_Cargas)+AU$183*V_Alim*AU$149</f>
        <v>20432.4948990137</v>
      </c>
      <c r="AV184" s="34" t="n">
        <f aca="false">SUMPRODUCT((Per_Clase="Indirecto")*Sal_V*INDEX(Dot_V,0,MIN(10,AV$147))*((Per_Mon="PYG")*AV$149+(Per_Mon&lt;&gt;"PYG")))*(AV$145+AV$146*V_PreInd)*INDEX(IdxSal_V,1,MIN(10,AV$147))*(1+V_Cargas)+AV$183*V_Alim*AV$149</f>
        <v>20432.4948990137</v>
      </c>
      <c r="AW184" s="34" t="n">
        <f aca="false">SUMPRODUCT((Per_Clase="Indirecto")*Sal_V*INDEX(Dot_V,0,MIN(10,AW$147))*((Per_Mon="PYG")*AW$149+(Per_Mon&lt;&gt;"PYG")))*(AW$145+AW$146*V_PreInd)*INDEX(IdxSal_V,1,MIN(10,AW$147))*(1+V_Cargas)+AW$183*V_Alim*AW$149</f>
        <v>20432.4948990137</v>
      </c>
      <c r="AX184" s="34" t="n">
        <f aca="false">SUMPRODUCT((Per_Clase="Indirecto")*Sal_V*INDEX(Dot_V,0,MIN(10,AX$147))*((Per_Mon="PYG")*AX$149+(Per_Mon&lt;&gt;"PYG")))*(AX$145+AX$146*V_PreInd)*INDEX(IdxSal_V,1,MIN(10,AX$147))*(1+V_Cargas)+AX$183*V_Alim*AX$149</f>
        <v>20432.4948990137</v>
      </c>
      <c r="AY184" s="34" t="n">
        <f aca="false">SUMPRODUCT((Per_Clase="Indirecto")*Sal_V*INDEX(Dot_V,0,MIN(10,AY$147))*((Per_Mon="PYG")*AY$149+(Per_Mon&lt;&gt;"PYG")))*(AY$145+AY$146*V_PreInd)*INDEX(IdxSal_V,1,MIN(10,AY$147))*(1+V_Cargas)+AY$183*V_Alim*AY$149</f>
        <v>20432.4948990137</v>
      </c>
      <c r="AZ184" s="34" t="n">
        <f aca="false">SUMPRODUCT((Per_Clase="Indirecto")*Sal_V*INDEX(Dot_V,0,MIN(10,AZ$147))*((Per_Mon="PYG")*AZ$149+(Per_Mon&lt;&gt;"PYG")))*(AZ$145+AZ$146*V_PreInd)*INDEX(IdxSal_V,1,MIN(10,AZ$147))*(1+V_Cargas)+AZ$183*V_Alim*AZ$149</f>
        <v>20432.4948990137</v>
      </c>
      <c r="BA184" s="34" t="n">
        <f aca="false">SUMPRODUCT((Per_Clase="Indirecto")*Sal_V*INDEX(Dot_V,0,MIN(10,BA$147))*((Per_Mon="PYG")*BA$149+(Per_Mon&lt;&gt;"PYG")))*(BA$145+BA$146*V_PreInd)*INDEX(IdxSal_V,1,MIN(10,BA$147))*(1+V_Cargas)+BA$183*V_Alim*BA$149</f>
        <v>20432.4948990137</v>
      </c>
      <c r="BB184" s="34" t="n">
        <f aca="false">SUMPRODUCT((Per_Clase="Indirecto")*Sal_V*INDEX(Dot_V,0,MIN(10,BB$147))*((Per_Mon="PYG")*BB$149+(Per_Mon&lt;&gt;"PYG")))*(BB$145+BB$146*V_PreInd)*INDEX(IdxSal_V,1,MIN(10,BB$147))*(1+V_Cargas)+BB$183*V_Alim*BB$149</f>
        <v>20432.4948990137</v>
      </c>
      <c r="BC184" s="34" t="n">
        <f aca="false">SUMPRODUCT((Per_Clase="Indirecto")*Sal_V*INDEX(Dot_V,0,MIN(10,BC$147))*((Per_Mon="PYG")*BC$149+(Per_Mon&lt;&gt;"PYG")))*(BC$145+BC$146*V_PreInd)*INDEX(IdxSal_V,1,MIN(10,BC$147))*(1+V_Cargas)+BC$183*V_Alim*BC$149</f>
        <v>20432.4948990137</v>
      </c>
      <c r="BD184" s="34" t="n">
        <f aca="false">SUMPRODUCT((Per_Clase="Indirecto")*Sal_V*INDEX(Dot_V,0,MIN(10,BD$147))*((Per_Mon="PYG")*BD$149+(Per_Mon&lt;&gt;"PYG")))*(BD$145+BD$146*V_PreInd)*INDEX(IdxSal_V,1,MIN(10,BD$147))*(1+V_Cargas)+BD$183*V_Alim*BD$149</f>
        <v>20432.4948990137</v>
      </c>
      <c r="BE184" s="34" t="n">
        <f aca="false">SUMPRODUCT((Per_Clase="Indirecto")*Sal_V*INDEX(Dot_V,0,MIN(10,BE$147))*((Per_Mon="PYG")*BE$149+(Per_Mon&lt;&gt;"PYG")))*(BE$145+BE$146*V_PreInd)*INDEX(IdxSal_V,1,MIN(10,BE$147))*(1+V_Cargas)+BE$183*V_Alim*BE$149</f>
        <v>20432.4948990137</v>
      </c>
      <c r="BF184" s="34" t="n">
        <f aca="false">SUMPRODUCT((Per_Clase="Indirecto")*Sal_V*INDEX(Dot_V,0,MIN(10,BF$147))*((Per_Mon="PYG")*BF$149+(Per_Mon&lt;&gt;"PYG")))*(BF$145+BF$146*V_PreInd)*INDEX(IdxSal_V,1,MIN(10,BF$147))*(1+V_Cargas)+BF$183*V_Alim*BF$149</f>
        <v>20432.4948990137</v>
      </c>
      <c r="BG184" s="34" t="n">
        <f aca="false">SUMPRODUCT((Per_Clase="Indirecto")*Sal_V*INDEX(Dot_V,0,MIN(10,BG$147))*((Per_Mon="PYG")*BG$149+(Per_Mon&lt;&gt;"PYG")))*(BG$145+BG$146*V_PreInd)*INDEX(IdxSal_V,1,MIN(10,BG$147))*(1+V_Cargas)+BG$183*V_Alim*BG$149</f>
        <v>20432.4948990137</v>
      </c>
      <c r="BH184" s="34" t="n">
        <f aca="false">SUMPRODUCT((Per_Clase="Indirecto")*Sal_V*INDEX(Dot_V,0,MIN(10,BH$147))*((Per_Mon="PYG")*BH$149+(Per_Mon&lt;&gt;"PYG")))*(BH$145+BH$146*V_PreInd)*INDEX(IdxSal_V,1,MIN(10,BH$147))*(1+V_Cargas)+BH$183*V_Alim*BH$149</f>
        <v>20432.4948990137</v>
      </c>
      <c r="BI184" s="34" t="n">
        <f aca="false">SUMPRODUCT((Per_Clase="Indirecto")*Sal_V*INDEX(Dot_V,0,MIN(10,BI$147))*((Per_Mon="PYG")*BI$149+(Per_Mon&lt;&gt;"PYG")))*(BI$145+BI$146*V_PreInd)*INDEX(IdxSal_V,1,MIN(10,BI$147))*(1+V_Cargas)+BI$183*V_Alim*BI$149</f>
        <v>20432.4948990137</v>
      </c>
      <c r="BJ184" s="34" t="n">
        <f aca="false">SUMPRODUCT((Per_Clase="Indirecto")*Sal_V*INDEX(Dot_V,0,MIN(10,BJ$147))*((Per_Mon="PYG")*BJ$149+(Per_Mon&lt;&gt;"PYG")))*(BJ$145+BJ$146*V_PreInd)*INDEX(IdxSal_V,1,MIN(10,BJ$147))*(1+V_Cargas)+BJ$183*V_Alim*BJ$149</f>
        <v>20432.4948990137</v>
      </c>
      <c r="BK184" s="34" t="n">
        <f aca="false">SUMPRODUCT((Per_Clase="Indirecto")*Sal_V*INDEX(Dot_V,0,MIN(10,BK$147))*((Per_Mon="PYG")*BK$149+(Per_Mon&lt;&gt;"PYG")))*(BK$145+BK$146*V_PreInd)*INDEX(IdxSal_V,1,MIN(10,BK$147))*(1+V_Cargas)+BK$183*V_Alim*BK$149</f>
        <v>20432.4948990137</v>
      </c>
      <c r="BL184" s="34" t="n">
        <f aca="false">SUMPRODUCT((Per_Clase="Indirecto")*Sal_V*INDEX(Dot_V,0,MIN(10,BL$147))*((Per_Mon="PYG")*BL$149+(Per_Mon&lt;&gt;"PYG")))*(BL$145+BL$146*V_PreInd)*INDEX(IdxSal_V,1,MIN(10,BL$147))*(1+V_Cargas)+BL$183*V_Alim*BL$149</f>
        <v>20432.4948990137</v>
      </c>
      <c r="BM184" s="34" t="n">
        <f aca="false">SUMPRODUCT((Per_Clase="Indirecto")*Sal_V*INDEX(Dot_V,0,MIN(10,BM$147))*((Per_Mon="PYG")*BM$149+(Per_Mon&lt;&gt;"PYG")))*(BM$145+BM$146*V_PreInd)*INDEX(IdxSal_V,1,MIN(10,BM$147))*(1+V_Cargas)+BM$183*V_Alim*BM$149</f>
        <v>20432.4948990137</v>
      </c>
      <c r="BN184" s="34" t="n">
        <f aca="false">SUMPRODUCT((Per_Clase="Indirecto")*Sal_V*INDEX(Dot_V,0,MIN(10,BN$147))*((Per_Mon="PYG")*BN$149+(Per_Mon&lt;&gt;"PYG")))*(BN$145+BN$146*V_PreInd)*INDEX(IdxSal_V,1,MIN(10,BN$147))*(1+V_Cargas)+BN$183*V_Alim*BN$149</f>
        <v>20432.4948990137</v>
      </c>
      <c r="BO184" s="34" t="n">
        <f aca="false">SUMPRODUCT((Per_Clase="Indirecto")*Sal_V*INDEX(Dot_V,0,MIN(10,BO$147))*((Per_Mon="PYG")*BO$149+(Per_Mon&lt;&gt;"PYG")))*(BO$145+BO$146*V_PreInd)*INDEX(IdxSal_V,1,MIN(10,BO$147))*(1+V_Cargas)+BO$183*V_Alim*BO$149</f>
        <v>20432.4948990137</v>
      </c>
      <c r="BP184" s="34" t="n">
        <f aca="false">SUMPRODUCT((Per_Clase="Indirecto")*Sal_V*INDEX(Dot_V,0,MIN(10,BP$147))*((Per_Mon="PYG")*BP$149+(Per_Mon&lt;&gt;"PYG")))*(BP$145+BP$146*V_PreInd)*INDEX(IdxSal_V,1,MIN(10,BP$147))*(1+V_Cargas)+BP$183*V_Alim*BP$149</f>
        <v>20432.4948990137</v>
      </c>
      <c r="BQ184" s="34" t="n">
        <f aca="false">SUMPRODUCT((Per_Clase="Indirecto")*Sal_V*INDEX(Dot_V,0,MIN(10,BQ$147))*((Per_Mon="PYG")*BQ$149+(Per_Mon&lt;&gt;"PYG")))*(BQ$145+BQ$146*V_PreInd)*INDEX(IdxSal_V,1,MIN(10,BQ$147))*(1+V_Cargas)+BQ$183*V_Alim*BQ$149</f>
        <v>20432.4948990137</v>
      </c>
      <c r="BR184" s="34" t="n">
        <f aca="false">SUMPRODUCT((Per_Clase="Indirecto")*Sal_V*INDEX(Dot_V,0,MIN(10,BR$147))*((Per_Mon="PYG")*BR$149+(Per_Mon&lt;&gt;"PYG")))*(BR$145+BR$146*V_PreInd)*INDEX(IdxSal_V,1,MIN(10,BR$147))*(1+V_Cargas)+BR$183*V_Alim*BR$149</f>
        <v>20432.4948990137</v>
      </c>
      <c r="BS184" s="34" t="n">
        <f aca="false">SUMPRODUCT((Per_Clase="Indirecto")*Sal_V*INDEX(Dot_V,0,MIN(10,BS$147))*((Per_Mon="PYG")*BS$149+(Per_Mon&lt;&gt;"PYG")))*(BS$145+BS$146*V_PreInd)*INDEX(IdxSal_V,1,MIN(10,BS$147))*(1+V_Cargas)+BS$183*V_Alim*BS$149</f>
        <v>20432.4948990137</v>
      </c>
      <c r="BT184" s="34" t="n">
        <f aca="false">SUMPRODUCT((Per_Clase="Indirecto")*Sal_V*INDEX(Dot_V,0,MIN(10,BT$147))*((Per_Mon="PYG")*BT$149+(Per_Mon&lt;&gt;"PYG")))*(BT$145+BT$146*V_PreInd)*INDEX(IdxSal_V,1,MIN(10,BT$147))*(1+V_Cargas)+BT$183*V_Alim*BT$149</f>
        <v>20432.4948990137</v>
      </c>
      <c r="BU184" s="34" t="n">
        <f aca="false">SUMPRODUCT((Per_Clase="Indirecto")*Sal_V*INDEX(Dot_V,0,MIN(10,BU$147))*((Per_Mon="PYG")*BU$149+(Per_Mon&lt;&gt;"PYG")))*(BU$145+BU$146*V_PreInd)*INDEX(IdxSal_V,1,MIN(10,BU$147))*(1+V_Cargas)+BU$183*V_Alim*BU$149</f>
        <v>20432.4948990137</v>
      </c>
      <c r="BV184" s="34" t="n">
        <f aca="false">SUMPRODUCT((Per_Clase="Indirecto")*Sal_V*INDEX(Dot_V,0,MIN(10,BV$147))*((Per_Mon="PYG")*BV$149+(Per_Mon&lt;&gt;"PYG")))*(BV$145+BV$146*V_PreInd)*INDEX(IdxSal_V,1,MIN(10,BV$147))*(1+V_Cargas)+BV$183*V_Alim*BV$149</f>
        <v>20432.4948990137</v>
      </c>
      <c r="BW184" s="34" t="n">
        <f aca="false">SUMPRODUCT((Per_Clase="Indirecto")*Sal_V*INDEX(Dot_V,0,MIN(10,BW$147))*((Per_Mon="PYG")*BW$149+(Per_Mon&lt;&gt;"PYG")))*(BW$145+BW$146*V_PreInd)*INDEX(IdxSal_V,1,MIN(10,BW$147))*(1+V_Cargas)+BW$183*V_Alim*BW$149</f>
        <v>20432.4948990137</v>
      </c>
      <c r="BX184" s="34" t="n">
        <f aca="false">SUMPRODUCT((Per_Clase="Indirecto")*Sal_V*INDEX(Dot_V,0,MIN(10,BX$147))*((Per_Mon="PYG")*BX$149+(Per_Mon&lt;&gt;"PYG")))*(BX$145+BX$146*V_PreInd)*INDEX(IdxSal_V,1,MIN(10,BX$147))*(1+V_Cargas)+BX$183*V_Alim*BX$149</f>
        <v>20432.4948990137</v>
      </c>
      <c r="BY184" s="34" t="n">
        <f aca="false">SUMPRODUCT((Per_Clase="Indirecto")*Sal_V*INDEX(Dot_V,0,MIN(10,BY$147))*((Per_Mon="PYG")*BY$149+(Per_Mon&lt;&gt;"PYG")))*(BY$145+BY$146*V_PreInd)*INDEX(IdxSal_V,1,MIN(10,BY$147))*(1+V_Cargas)+BY$183*V_Alim*BY$149</f>
        <v>20432.4948990137</v>
      </c>
      <c r="BZ184" s="34" t="n">
        <f aca="false">SUMPRODUCT((Per_Clase="Indirecto")*Sal_V*INDEX(Dot_V,0,MIN(10,BZ$147))*((Per_Mon="PYG")*BZ$149+(Per_Mon&lt;&gt;"PYG")))*(BZ$145+BZ$146*V_PreInd)*INDEX(IdxSal_V,1,MIN(10,BZ$147))*(1+V_Cargas)+BZ$183*V_Alim*BZ$149</f>
        <v>20432.4948990137</v>
      </c>
      <c r="CA184" s="34" t="n">
        <f aca="false">SUMPRODUCT((Per_Clase="Indirecto")*Sal_V*INDEX(Dot_V,0,MIN(10,CA$147))*((Per_Mon="PYG")*CA$149+(Per_Mon&lt;&gt;"PYG")))*(CA$145+CA$146*V_PreInd)*INDEX(IdxSal_V,1,MIN(10,CA$147))*(1+V_Cargas)+CA$183*V_Alim*CA$149</f>
        <v>20432.4948990137</v>
      </c>
      <c r="CB184" s="34" t="n">
        <f aca="false">SUMPRODUCT((Per_Clase="Indirecto")*Sal_V*INDEX(Dot_V,0,MIN(10,CB$147))*((Per_Mon="PYG")*CB$149+(Per_Mon&lt;&gt;"PYG")))*(CB$145+CB$146*V_PreInd)*INDEX(IdxSal_V,1,MIN(10,CB$147))*(1+V_Cargas)+CB$183*V_Alim*CB$149</f>
        <v>20432.4948990137</v>
      </c>
      <c r="CC184" s="34" t="n">
        <f aca="false">SUMPRODUCT((Per_Clase="Indirecto")*Sal_V*INDEX(Dot_V,0,MIN(10,CC$147))*((Per_Mon="PYG")*CC$149+(Per_Mon&lt;&gt;"PYG")))*(CC$145+CC$146*V_PreInd)*INDEX(IdxSal_V,1,MIN(10,CC$147))*(1+V_Cargas)+CC$183*V_Alim*CC$149</f>
        <v>20432.4948990137</v>
      </c>
      <c r="CD184" s="34" t="n">
        <f aca="false">SUMPRODUCT((Per_Clase="Indirecto")*Sal_V*INDEX(Dot_V,0,MIN(10,CD$147))*((Per_Mon="PYG")*CD$149+(Per_Mon&lt;&gt;"PYG")))*(CD$145+CD$146*V_PreInd)*INDEX(IdxSal_V,1,MIN(10,CD$147))*(1+V_Cargas)+CD$183*V_Alim*CD$149</f>
        <v>20432.4948990137</v>
      </c>
      <c r="CE184" s="34" t="n">
        <f aca="false">SUMPRODUCT((Per_Clase="Indirecto")*Sal_V*INDEX(Dot_V,0,MIN(10,CE$147))*((Per_Mon="PYG")*CE$149+(Per_Mon&lt;&gt;"PYG")))*(CE$145+CE$146*V_PreInd)*INDEX(IdxSal_V,1,MIN(10,CE$147))*(1+V_Cargas)+CE$183*V_Alim*CE$149</f>
        <v>20432.4948990137</v>
      </c>
      <c r="CF184" s="34" t="n">
        <f aca="false">SUMPRODUCT((Per_Clase="Indirecto")*Sal_V*INDEX(Dot_V,0,MIN(10,CF$147))*((Per_Mon="PYG")*CF$149+(Per_Mon&lt;&gt;"PYG")))*(CF$145+CF$146*V_PreInd)*INDEX(IdxSal_V,1,MIN(10,CF$147))*(1+V_Cargas)+CF$183*V_Alim*CF$149</f>
        <v>20432.4948990137</v>
      </c>
      <c r="CG184" s="34" t="n">
        <f aca="false">SUMPRODUCT((Per_Clase="Indirecto")*Sal_V*INDEX(Dot_V,0,MIN(10,CG$147))*((Per_Mon="PYG")*CG$149+(Per_Mon&lt;&gt;"PYG")))*(CG$145+CG$146*V_PreInd)*INDEX(IdxSal_V,1,MIN(10,CG$147))*(1+V_Cargas)+CG$183*V_Alim*CG$149</f>
        <v>20432.4948990137</v>
      </c>
      <c r="CH184" s="34" t="n">
        <f aca="false">SUMPRODUCT((Per_Clase="Indirecto")*Sal_V*INDEX(Dot_V,0,MIN(10,CH$147))*((Per_Mon="PYG")*CH$149+(Per_Mon&lt;&gt;"PYG")))*(CH$145+CH$146*V_PreInd)*INDEX(IdxSal_V,1,MIN(10,CH$147))*(1+V_Cargas)+CH$183*V_Alim*CH$149</f>
        <v>20432.4948990137</v>
      </c>
      <c r="CI184" s="34" t="n">
        <f aca="false">SUMPRODUCT((Per_Clase="Indirecto")*Sal_V*INDEX(Dot_V,0,MIN(10,CI$147))*((Per_Mon="PYG")*CI$149+(Per_Mon&lt;&gt;"PYG")))*(CI$145+CI$146*V_PreInd)*INDEX(IdxSal_V,1,MIN(10,CI$147))*(1+V_Cargas)+CI$183*V_Alim*CI$149</f>
        <v>20432.4948990137</v>
      </c>
      <c r="CJ184" s="34" t="n">
        <f aca="false">SUMPRODUCT((Per_Clase="Indirecto")*Sal_V*INDEX(Dot_V,0,MIN(10,CJ$147))*((Per_Mon="PYG")*CJ$149+(Per_Mon&lt;&gt;"PYG")))*(CJ$145+CJ$146*V_PreInd)*INDEX(IdxSal_V,1,MIN(10,CJ$147))*(1+V_Cargas)+CJ$183*V_Alim*CJ$149</f>
        <v>20432.4948990137</v>
      </c>
      <c r="CK184" s="34" t="n">
        <f aca="false">SUMPRODUCT((Per_Clase="Indirecto")*Sal_V*INDEX(Dot_V,0,MIN(10,CK$147))*((Per_Mon="PYG")*CK$149+(Per_Mon&lt;&gt;"PYG")))*(CK$145+CK$146*V_PreInd)*INDEX(IdxSal_V,1,MIN(10,CK$147))*(1+V_Cargas)+CK$183*V_Alim*CK$149</f>
        <v>20432.4948990137</v>
      </c>
      <c r="CL184" s="34" t="n">
        <f aca="false">SUMPRODUCT((Per_Clase="Indirecto")*Sal_V*INDEX(Dot_V,0,MIN(10,CL$147))*((Per_Mon="PYG")*CL$149+(Per_Mon&lt;&gt;"PYG")))*(CL$145+CL$146*V_PreInd)*INDEX(IdxSal_V,1,MIN(10,CL$147))*(1+V_Cargas)+CL$183*V_Alim*CL$149</f>
        <v>20432.4948990137</v>
      </c>
      <c r="CM184" s="34" t="n">
        <f aca="false">SUMPRODUCT((Per_Clase="Indirecto")*Sal_V*INDEX(Dot_V,0,MIN(10,CM$147))*((Per_Mon="PYG")*CM$149+(Per_Mon&lt;&gt;"PYG")))*(CM$145+CM$146*V_PreInd)*INDEX(IdxSal_V,1,MIN(10,CM$147))*(1+V_Cargas)+CM$183*V_Alim*CM$149</f>
        <v>20432.4948990137</v>
      </c>
      <c r="CN184" s="34" t="n">
        <f aca="false">SUMPRODUCT((Per_Clase="Indirecto")*Sal_V*INDEX(Dot_V,0,MIN(10,CN$147))*((Per_Mon="PYG")*CN$149+(Per_Mon&lt;&gt;"PYG")))*(CN$145+CN$146*V_PreInd)*INDEX(IdxSal_V,1,MIN(10,CN$147))*(1+V_Cargas)+CN$183*V_Alim*CN$149</f>
        <v>20432.4948990137</v>
      </c>
      <c r="CO184" s="34" t="n">
        <f aca="false">SUMPRODUCT((Per_Clase="Indirecto")*Sal_V*INDEX(Dot_V,0,MIN(10,CO$147))*((Per_Mon="PYG")*CO$149+(Per_Mon&lt;&gt;"PYG")))*(CO$145+CO$146*V_PreInd)*INDEX(IdxSal_V,1,MIN(10,CO$147))*(1+V_Cargas)+CO$183*V_Alim*CO$149</f>
        <v>20432.4948990137</v>
      </c>
      <c r="CP184" s="34" t="n">
        <f aca="false">SUMPRODUCT((Per_Clase="Indirecto")*Sal_V*INDEX(Dot_V,0,MIN(10,CP$147))*((Per_Mon="PYG")*CP$149+(Per_Mon&lt;&gt;"PYG")))*(CP$145+CP$146*V_PreInd)*INDEX(IdxSal_V,1,MIN(10,CP$147))*(1+V_Cargas)+CP$183*V_Alim*CP$149</f>
        <v>20432.4948990137</v>
      </c>
      <c r="CQ184" s="34" t="n">
        <f aca="false">SUMPRODUCT((Per_Clase="Indirecto")*Sal_V*INDEX(Dot_V,0,MIN(10,CQ$147))*((Per_Mon="PYG")*CQ$149+(Per_Mon&lt;&gt;"PYG")))*(CQ$145+CQ$146*V_PreInd)*INDEX(IdxSal_V,1,MIN(10,CQ$147))*(1+V_Cargas)+CQ$183*V_Alim*CQ$149</f>
        <v>20432.4948990137</v>
      </c>
      <c r="CR184" s="34" t="n">
        <f aca="false">SUMPRODUCT((Per_Clase="Indirecto")*Sal_V*INDEX(Dot_V,0,MIN(10,CR$147))*((Per_Mon="PYG")*CR$149+(Per_Mon&lt;&gt;"PYG")))*(CR$145+CR$146*V_PreInd)*INDEX(IdxSal_V,1,MIN(10,CR$147))*(1+V_Cargas)+CR$183*V_Alim*CR$149</f>
        <v>20432.4948990137</v>
      </c>
      <c r="CS184" s="34" t="n">
        <f aca="false">SUMPRODUCT((Per_Clase="Indirecto")*Sal_V*INDEX(Dot_V,0,MIN(10,CS$147))*((Per_Mon="PYG")*CS$149+(Per_Mon&lt;&gt;"PYG")))*(CS$145+CS$146*V_PreInd)*INDEX(IdxSal_V,1,MIN(10,CS$147))*(1+V_Cargas)+CS$183*V_Alim*CS$149</f>
        <v>20432.4948990137</v>
      </c>
      <c r="CT184" s="34" t="n">
        <f aca="false">SUMPRODUCT((Per_Clase="Indirecto")*Sal_V*INDEX(Dot_V,0,MIN(10,CT$147))*((Per_Mon="PYG")*CT$149+(Per_Mon&lt;&gt;"PYG")))*(CT$145+CT$146*V_PreInd)*INDEX(IdxSal_V,1,MIN(10,CT$147))*(1+V_Cargas)+CT$183*V_Alim*CT$149</f>
        <v>20432.4948990137</v>
      </c>
      <c r="CU184" s="34" t="n">
        <f aca="false">SUMPRODUCT((Per_Clase="Indirecto")*Sal_V*INDEX(Dot_V,0,MIN(10,CU$147))*((Per_Mon="PYG")*CU$149+(Per_Mon&lt;&gt;"PYG")))*(CU$145+CU$146*V_PreInd)*INDEX(IdxSal_V,1,MIN(10,CU$147))*(1+V_Cargas)+CU$183*V_Alim*CU$149</f>
        <v>20432.4948990137</v>
      </c>
      <c r="CV184" s="34" t="n">
        <f aca="false">SUMPRODUCT((Per_Clase="Indirecto")*Sal_V*INDEX(Dot_V,0,MIN(10,CV$147))*((Per_Mon="PYG")*CV$149+(Per_Mon&lt;&gt;"PYG")))*(CV$145+CV$146*V_PreInd)*INDEX(IdxSal_V,1,MIN(10,CV$147))*(1+V_Cargas)+CV$183*V_Alim*CV$149</f>
        <v>20432.4948990137</v>
      </c>
      <c r="CW184" s="34" t="n">
        <f aca="false">SUMPRODUCT((Per_Clase="Indirecto")*Sal_V*INDEX(Dot_V,0,MIN(10,CW$147))*((Per_Mon="PYG")*CW$149+(Per_Mon&lt;&gt;"PYG")))*(CW$145+CW$146*V_PreInd)*INDEX(IdxSal_V,1,MIN(10,CW$147))*(1+V_Cargas)+CW$183*V_Alim*CW$149</f>
        <v>20432.4948990137</v>
      </c>
      <c r="CX184" s="34" t="n">
        <f aca="false">SUMPRODUCT((Per_Clase="Indirecto")*Sal_V*INDEX(Dot_V,0,MIN(10,CX$147))*((Per_Mon="PYG")*CX$149+(Per_Mon&lt;&gt;"PYG")))*(CX$145+CX$146*V_PreInd)*INDEX(IdxSal_V,1,MIN(10,CX$147))*(1+V_Cargas)+CX$183*V_Alim*CX$149</f>
        <v>20432.4948990137</v>
      </c>
      <c r="CY184" s="34" t="n">
        <f aca="false">SUMPRODUCT((Per_Clase="Indirecto")*Sal_V*INDEX(Dot_V,0,MIN(10,CY$147))*((Per_Mon="PYG")*CY$149+(Per_Mon&lt;&gt;"PYG")))*(CY$145+CY$146*V_PreInd)*INDEX(IdxSal_V,1,MIN(10,CY$147))*(1+V_Cargas)+CY$183*V_Alim*CY$149</f>
        <v>20432.4948990137</v>
      </c>
      <c r="CZ184" s="34" t="n">
        <f aca="false">SUMPRODUCT((Per_Clase="Indirecto")*Sal_V*INDEX(Dot_V,0,MIN(10,CZ$147))*((Per_Mon="PYG")*CZ$149+(Per_Mon&lt;&gt;"PYG")))*(CZ$145+CZ$146*V_PreInd)*INDEX(IdxSal_V,1,MIN(10,CZ$147))*(1+V_Cargas)+CZ$183*V_Alim*CZ$149</f>
        <v>20432.4948990137</v>
      </c>
      <c r="DA184" s="34" t="n">
        <f aca="false">SUMPRODUCT((Per_Clase="Indirecto")*Sal_V*INDEX(Dot_V,0,MIN(10,DA$147))*((Per_Mon="PYG")*DA$149+(Per_Mon&lt;&gt;"PYG")))*(DA$145+DA$146*V_PreInd)*INDEX(IdxSal_V,1,MIN(10,DA$147))*(1+V_Cargas)+DA$183*V_Alim*DA$149</f>
        <v>20432.4948990137</v>
      </c>
      <c r="DB184" s="34" t="n">
        <f aca="false">SUMPRODUCT((Per_Clase="Indirecto")*Sal_V*INDEX(Dot_V,0,MIN(10,DB$147))*((Per_Mon="PYG")*DB$149+(Per_Mon&lt;&gt;"PYG")))*(DB$145+DB$146*V_PreInd)*INDEX(IdxSal_V,1,MIN(10,DB$147))*(1+V_Cargas)+DB$183*V_Alim*DB$149</f>
        <v>20432.4948990137</v>
      </c>
      <c r="DC184" s="34" t="n">
        <f aca="false">SUMPRODUCT((Per_Clase="Indirecto")*Sal_V*INDEX(Dot_V,0,MIN(10,DC$147))*((Per_Mon="PYG")*DC$149+(Per_Mon&lt;&gt;"PYG")))*(DC$145+DC$146*V_PreInd)*INDEX(IdxSal_V,1,MIN(10,DC$147))*(1+V_Cargas)+DC$183*V_Alim*DC$149</f>
        <v>20432.4948990137</v>
      </c>
      <c r="DD184" s="34" t="n">
        <f aca="false">SUMPRODUCT((Per_Clase="Indirecto")*Sal_V*INDEX(Dot_V,0,MIN(10,DD$147))*((Per_Mon="PYG")*DD$149+(Per_Mon&lt;&gt;"PYG")))*(DD$145+DD$146*V_PreInd)*INDEX(IdxSal_V,1,MIN(10,DD$147))*(1+V_Cargas)+DD$183*V_Alim*DD$149</f>
        <v>20432.4948990137</v>
      </c>
      <c r="DE184" s="34" t="n">
        <f aca="false">SUMPRODUCT((Per_Clase="Indirecto")*Sal_V*INDEX(Dot_V,0,MIN(10,DE$147))*((Per_Mon="PYG")*DE$149+(Per_Mon&lt;&gt;"PYG")))*(DE$145+DE$146*V_PreInd)*INDEX(IdxSal_V,1,MIN(10,DE$147))*(1+V_Cargas)+DE$183*V_Alim*DE$149</f>
        <v>20432.4948990137</v>
      </c>
      <c r="DF184" s="34" t="n">
        <f aca="false">SUMPRODUCT((Per_Clase="Indirecto")*Sal_V*INDEX(Dot_V,0,MIN(10,DF$147))*((Per_Mon="PYG")*DF$149+(Per_Mon&lt;&gt;"PYG")))*(DF$145+DF$146*V_PreInd)*INDEX(IdxSal_V,1,MIN(10,DF$147))*(1+V_Cargas)+DF$183*V_Alim*DF$149</f>
        <v>20432.4948990137</v>
      </c>
      <c r="DG184" s="34" t="n">
        <f aca="false">SUMPRODUCT((Per_Clase="Indirecto")*Sal_V*INDEX(Dot_V,0,MIN(10,DG$147))*((Per_Mon="PYG")*DG$149+(Per_Mon&lt;&gt;"PYG")))*(DG$145+DG$146*V_PreInd)*INDEX(IdxSal_V,1,MIN(10,DG$147))*(1+V_Cargas)+DG$183*V_Alim*DG$149</f>
        <v>20432.4948990137</v>
      </c>
      <c r="DH184" s="34" t="n">
        <f aca="false">SUMPRODUCT((Per_Clase="Indirecto")*Sal_V*INDEX(Dot_V,0,MIN(10,DH$147))*((Per_Mon="PYG")*DH$149+(Per_Mon&lt;&gt;"PYG")))*(DH$145+DH$146*V_PreInd)*INDEX(IdxSal_V,1,MIN(10,DH$147))*(1+V_Cargas)+DH$183*V_Alim*DH$149</f>
        <v>20432.4948990137</v>
      </c>
      <c r="DI184" s="34" t="n">
        <f aca="false">SUMPRODUCT((Per_Clase="Indirecto")*Sal_V*INDEX(Dot_V,0,MIN(10,DI$147))*((Per_Mon="PYG")*DI$149+(Per_Mon&lt;&gt;"PYG")))*(DI$145+DI$146*V_PreInd)*INDEX(IdxSal_V,1,MIN(10,DI$147))*(1+V_Cargas)+DI$183*V_Alim*DI$149</f>
        <v>20432.4948990137</v>
      </c>
      <c r="DJ184" s="34" t="n">
        <f aca="false">SUMPRODUCT((Per_Clase="Indirecto")*Sal_V*INDEX(Dot_V,0,MIN(10,DJ$147))*((Per_Mon="PYG")*DJ$149+(Per_Mon&lt;&gt;"PYG")))*(DJ$145+DJ$146*V_PreInd)*INDEX(IdxSal_V,1,MIN(10,DJ$147))*(1+V_Cargas)+DJ$183*V_Alim*DJ$149</f>
        <v>20432.4948990137</v>
      </c>
      <c r="DK184" s="34" t="n">
        <f aca="false">SUMPRODUCT((Per_Clase="Indirecto")*Sal_V*INDEX(Dot_V,0,MIN(10,DK$147))*((Per_Mon="PYG")*DK$149+(Per_Mon&lt;&gt;"PYG")))*(DK$145+DK$146*V_PreInd)*INDEX(IdxSal_V,1,MIN(10,DK$147))*(1+V_Cargas)+DK$183*V_Alim*DK$149</f>
        <v>20432.4948990137</v>
      </c>
      <c r="DL184" s="34" t="n">
        <f aca="false">SUMPRODUCT((Per_Clase="Indirecto")*Sal_V*INDEX(Dot_V,0,MIN(10,DL$147))*((Per_Mon="PYG")*DL$149+(Per_Mon&lt;&gt;"PYG")))*(DL$145+DL$146*V_PreInd)*INDEX(IdxSal_V,1,MIN(10,DL$147))*(1+V_Cargas)+DL$183*V_Alim*DL$149</f>
        <v>20432.4948990137</v>
      </c>
      <c r="DM184" s="34" t="n">
        <f aca="false">SUMPRODUCT((Per_Clase="Indirecto")*Sal_V*INDEX(Dot_V,0,MIN(10,DM$147))*((Per_Mon="PYG")*DM$149+(Per_Mon&lt;&gt;"PYG")))*(DM$145+DM$146*V_PreInd)*INDEX(IdxSal_V,1,MIN(10,DM$147))*(1+V_Cargas)+DM$183*V_Alim*DM$149</f>
        <v>20432.4948990137</v>
      </c>
      <c r="DN184" s="34" t="n">
        <f aca="false">SUMPRODUCT((Per_Clase="Indirecto")*Sal_V*INDEX(Dot_V,0,MIN(10,DN$147))*((Per_Mon="PYG")*DN$149+(Per_Mon&lt;&gt;"PYG")))*(DN$145+DN$146*V_PreInd)*INDEX(IdxSal_V,1,MIN(10,DN$147))*(1+V_Cargas)+DN$183*V_Alim*DN$149</f>
        <v>20432.4948990137</v>
      </c>
      <c r="DO184" s="34" t="n">
        <f aca="false">SUMPRODUCT((Per_Clase="Indirecto")*Sal_V*INDEX(Dot_V,0,MIN(10,DO$147))*((Per_Mon="PYG")*DO$149+(Per_Mon&lt;&gt;"PYG")))*(DO$145+DO$146*V_PreInd)*INDEX(IdxSal_V,1,MIN(10,DO$147))*(1+V_Cargas)+DO$183*V_Alim*DO$149</f>
        <v>20432.4948990137</v>
      </c>
      <c r="DP184" s="34" t="n">
        <f aca="false">SUMPRODUCT((Per_Clase="Indirecto")*Sal_V*INDEX(Dot_V,0,MIN(10,DP$147))*((Per_Mon="PYG")*DP$149+(Per_Mon&lt;&gt;"PYG")))*(DP$145+DP$146*V_PreInd)*INDEX(IdxSal_V,1,MIN(10,DP$147))*(1+V_Cargas)+DP$183*V_Alim*DP$149</f>
        <v>20432.4948990137</v>
      </c>
      <c r="DQ184" s="34" t="n">
        <f aca="false">SUMPRODUCT((Per_Clase="Indirecto")*Sal_V*INDEX(Dot_V,0,MIN(10,DQ$147))*((Per_Mon="PYG")*DQ$149+(Per_Mon&lt;&gt;"PYG")))*(DQ$145+DQ$146*V_PreInd)*INDEX(IdxSal_V,1,MIN(10,DQ$147))*(1+V_Cargas)+DQ$183*V_Alim*DQ$149</f>
        <v>20432.4948990137</v>
      </c>
      <c r="DR184" s="34" t="n">
        <f aca="false">SUMPRODUCT((Per_Clase="Indirecto")*Sal_V*INDEX(Dot_V,0,MIN(10,DR$147))*((Per_Mon="PYG")*DR$149+(Per_Mon&lt;&gt;"PYG")))*(DR$145+DR$146*V_PreInd)*INDEX(IdxSal_V,1,MIN(10,DR$147))*(1+V_Cargas)+DR$183*V_Alim*DR$149</f>
        <v>20432.4948990137</v>
      </c>
      <c r="DS184" s="34" t="n">
        <f aca="false">SUMPRODUCT((Per_Clase="Indirecto")*Sal_V*INDEX(Dot_V,0,MIN(10,DS$147))*((Per_Mon="PYG")*DS$149+(Per_Mon&lt;&gt;"PYG")))*(DS$145+DS$146*V_PreInd)*INDEX(IdxSal_V,1,MIN(10,DS$147))*(1+V_Cargas)+DS$183*V_Alim*DS$149</f>
        <v>20432.4948990137</v>
      </c>
      <c r="DT184" s="34" t="n">
        <f aca="false">SUMPRODUCT((Per_Clase="Indirecto")*Sal_V*INDEX(Dot_V,0,MIN(10,DT$147))*((Per_Mon="PYG")*DT$149+(Per_Mon&lt;&gt;"PYG")))*(DT$145+DT$146*V_PreInd)*INDEX(IdxSal_V,1,MIN(10,DT$147))*(1+V_Cargas)+DT$183*V_Alim*DT$149</f>
        <v>20432.4948990137</v>
      </c>
      <c r="DU184" s="34" t="n">
        <f aca="false">SUMPRODUCT((Per_Clase="Indirecto")*Sal_V*INDEX(Dot_V,0,MIN(10,DU$147))*((Per_Mon="PYG")*DU$149+(Per_Mon&lt;&gt;"PYG")))*(DU$145+DU$146*V_PreInd)*INDEX(IdxSal_V,1,MIN(10,DU$147))*(1+V_Cargas)+DU$183*V_Alim*DU$149</f>
        <v>20432.4948990137</v>
      </c>
      <c r="DV184" s="34" t="n">
        <f aca="false">SUMPRODUCT((Per_Clase="Indirecto")*Sal_V*INDEX(Dot_V,0,MIN(10,DV$147))*((Per_Mon="PYG")*DV$149+(Per_Mon&lt;&gt;"PYG")))*(DV$145+DV$146*V_PreInd)*INDEX(IdxSal_V,1,MIN(10,DV$147))*(1+V_Cargas)+DV$183*V_Alim*DV$149</f>
        <v>0</v>
      </c>
      <c r="DW184" s="34" t="n">
        <f aca="false">SUMPRODUCT((Per_Clase="Indirecto")*Sal_V*INDEX(Dot_V,0,MIN(10,DW$147))*((Per_Mon="PYG")*DW$149+(Per_Mon&lt;&gt;"PYG")))*(DW$145+DW$146*V_PreInd)*INDEX(IdxSal_V,1,MIN(10,DW$147))*(1+V_Cargas)+DW$183*V_Alim*DW$149</f>
        <v>0</v>
      </c>
      <c r="DX184" s="34" t="n">
        <f aca="false">SUMPRODUCT((Per_Clase="Indirecto")*Sal_V*INDEX(Dot_V,0,MIN(10,DX$147))*((Per_Mon="PYG")*DX$149+(Per_Mon&lt;&gt;"PYG")))*(DX$145+DX$146*V_PreInd)*INDEX(IdxSal_V,1,MIN(10,DX$147))*(1+V_Cargas)+DX$183*V_Alim*DX$149</f>
        <v>0</v>
      </c>
      <c r="DY184" s="34" t="n">
        <f aca="false">SUMPRODUCT((Per_Clase="Indirecto")*Sal_V*INDEX(Dot_V,0,MIN(10,DY$147))*((Per_Mon="PYG")*DY$149+(Per_Mon&lt;&gt;"PYG")))*(DY$145+DY$146*V_PreInd)*INDEX(IdxSal_V,1,MIN(10,DY$147))*(1+V_Cargas)+DY$183*V_Alim*DY$149</f>
        <v>0</v>
      </c>
      <c r="DZ184" s="34" t="n">
        <f aca="false">SUMPRODUCT((Per_Clase="Indirecto")*Sal_V*INDEX(Dot_V,0,MIN(10,DZ$147))*((Per_Mon="PYG")*DZ$149+(Per_Mon&lt;&gt;"PYG")))*(DZ$145+DZ$146*V_PreInd)*INDEX(IdxSal_V,1,MIN(10,DZ$147))*(1+V_Cargas)+DZ$183*V_Alim*DZ$149</f>
        <v>0</v>
      </c>
      <c r="EA184" s="34" t="n">
        <f aca="false">SUMPRODUCT((Per_Clase="Indirecto")*Sal_V*INDEX(Dot_V,0,MIN(10,EA$147))*((Per_Mon="PYG")*EA$149+(Per_Mon&lt;&gt;"PYG")))*(EA$145+EA$146*V_PreInd)*INDEX(IdxSal_V,1,MIN(10,EA$147))*(1+V_Cargas)+EA$183*V_Alim*EA$149</f>
        <v>0</v>
      </c>
      <c r="EB184" s="34" t="n">
        <f aca="false">SUMPRODUCT((Per_Clase="Indirecto")*Sal_V*INDEX(Dot_V,0,MIN(10,EB$147))*((Per_Mon="PYG")*EB$149+(Per_Mon&lt;&gt;"PYG")))*(EB$145+EB$146*V_PreInd)*INDEX(IdxSal_V,1,MIN(10,EB$147))*(1+V_Cargas)+EB$183*V_Alim*EB$149</f>
        <v>0</v>
      </c>
      <c r="EC184" s="34" t="n">
        <f aca="false">SUMPRODUCT((Per_Clase="Indirecto")*Sal_V*INDEX(Dot_V,0,MIN(10,EC$147))*((Per_Mon="PYG")*EC$149+(Per_Mon&lt;&gt;"PYG")))*(EC$145+EC$146*V_PreInd)*INDEX(IdxSal_V,1,MIN(10,EC$147))*(1+V_Cargas)+EC$183*V_Alim*EC$149</f>
        <v>0</v>
      </c>
      <c r="ED184" s="34" t="n">
        <f aca="false">SUMPRODUCT((Per_Clase="Indirecto")*Sal_V*INDEX(Dot_V,0,MIN(10,ED$147))*((Per_Mon="PYG")*ED$149+(Per_Mon&lt;&gt;"PYG")))*(ED$145+ED$146*V_PreInd)*INDEX(IdxSal_V,1,MIN(10,ED$147))*(1+V_Cargas)+ED$183*V_Alim*ED$149</f>
        <v>0</v>
      </c>
      <c r="EE184" s="34" t="n">
        <f aca="false">SUMPRODUCT((Per_Clase="Indirecto")*Sal_V*INDEX(Dot_V,0,MIN(10,EE$147))*((Per_Mon="PYG")*EE$149+(Per_Mon&lt;&gt;"PYG")))*(EE$145+EE$146*V_PreInd)*INDEX(IdxSal_V,1,MIN(10,EE$147))*(1+V_Cargas)+EE$183*V_Alim*EE$149</f>
        <v>0</v>
      </c>
      <c r="EF184" s="34" t="n">
        <f aca="false">SUMPRODUCT((Per_Clase="Indirecto")*Sal_V*INDEX(Dot_V,0,MIN(10,EF$147))*((Per_Mon="PYG")*EF$149+(Per_Mon&lt;&gt;"PYG")))*(EF$145+EF$146*V_PreInd)*INDEX(IdxSal_V,1,MIN(10,EF$147))*(1+V_Cargas)+EF$183*V_Alim*EF$149</f>
        <v>0</v>
      </c>
      <c r="EG184" s="34" t="n">
        <f aca="false">SUMPRODUCT((Per_Clase="Indirecto")*Sal_V*INDEX(Dot_V,0,MIN(10,EG$147))*((Per_Mon="PYG")*EG$149+(Per_Mon&lt;&gt;"PYG")))*(EG$145+EG$146*V_PreInd)*INDEX(IdxSal_V,1,MIN(10,EG$147))*(1+V_Cargas)+EG$183*V_Alim*EG$149</f>
        <v>0</v>
      </c>
      <c r="EH184" s="34" t="n">
        <f aca="false">SUMPRODUCT((Per_Clase="Indirecto")*Sal_V*INDEX(Dot_V,0,MIN(10,EH$147))*((Per_Mon="PYG")*EH$149+(Per_Mon&lt;&gt;"PYG")))*(EH$145+EH$146*V_PreInd)*INDEX(IdxSal_V,1,MIN(10,EH$147))*(1+V_Cargas)+EH$183*V_Alim*EH$149</f>
        <v>0</v>
      </c>
      <c r="EI184" s="34" t="n">
        <f aca="false">SUMPRODUCT((Per_Clase="Indirecto")*Sal_V*INDEX(Dot_V,0,MIN(10,EI$147))*((Per_Mon="PYG")*EI$149+(Per_Mon&lt;&gt;"PYG")))*(EI$145+EI$146*V_PreInd)*INDEX(IdxSal_V,1,MIN(10,EI$147))*(1+V_Cargas)+EI$183*V_Alim*EI$149</f>
        <v>0</v>
      </c>
      <c r="EJ184" s="34" t="n">
        <f aca="false">SUMPRODUCT((Per_Clase="Indirecto")*Sal_V*INDEX(Dot_V,0,MIN(10,EJ$147))*((Per_Mon="PYG")*EJ$149+(Per_Mon&lt;&gt;"PYG")))*(EJ$145+EJ$146*V_PreInd)*INDEX(IdxSal_V,1,MIN(10,EJ$147))*(1+V_Cargas)+EJ$183*V_Alim*EJ$149</f>
        <v>0</v>
      </c>
      <c r="EK184" s="34" t="n">
        <f aca="false">SUMPRODUCT((Per_Clase="Indirecto")*Sal_V*INDEX(Dot_V,0,MIN(10,EK$147))*((Per_Mon="PYG")*EK$149+(Per_Mon&lt;&gt;"PYG")))*(EK$145+EK$146*V_PreInd)*INDEX(IdxSal_V,1,MIN(10,EK$147))*(1+V_Cargas)+EK$183*V_Alim*EK$149</f>
        <v>0</v>
      </c>
      <c r="EL184" s="34" t="n">
        <f aca="false">SUMPRODUCT((Per_Clase="Indirecto")*Sal_V*INDEX(Dot_V,0,MIN(10,EL$147))*((Per_Mon="PYG")*EL$149+(Per_Mon&lt;&gt;"PYG")))*(EL$145+EL$146*V_PreInd)*INDEX(IdxSal_V,1,MIN(10,EL$147))*(1+V_Cargas)+EL$183*V_Alim*EL$149</f>
        <v>0</v>
      </c>
      <c r="EM184" s="34" t="n">
        <f aca="false">SUMPRODUCT((Per_Clase="Indirecto")*Sal_V*INDEX(Dot_V,0,MIN(10,EM$147))*((Per_Mon="PYG")*EM$149+(Per_Mon&lt;&gt;"PYG")))*(EM$145+EM$146*V_PreInd)*INDEX(IdxSal_V,1,MIN(10,EM$147))*(1+V_Cargas)+EM$183*V_Alim*EM$149</f>
        <v>0</v>
      </c>
      <c r="EN184" s="34" t="n">
        <f aca="false">SUMPRODUCT((Per_Clase="Indirecto")*Sal_V*INDEX(Dot_V,0,MIN(10,EN$147))*((Per_Mon="PYG")*EN$149+(Per_Mon&lt;&gt;"PYG")))*(EN$145+EN$146*V_PreInd)*INDEX(IdxSal_V,1,MIN(10,EN$147))*(1+V_Cargas)+EN$183*V_Alim*EN$149</f>
        <v>0</v>
      </c>
      <c r="EO184" s="34" t="n">
        <f aca="false">SUMPRODUCT((Per_Clase="Indirecto")*Sal_V*INDEX(Dot_V,0,MIN(10,EO$147))*((Per_Mon="PYG")*EO$149+(Per_Mon&lt;&gt;"PYG")))*(EO$145+EO$146*V_PreInd)*INDEX(IdxSal_V,1,MIN(10,EO$147))*(1+V_Cargas)+EO$183*V_Alim*EO$149</f>
        <v>0</v>
      </c>
      <c r="EP184" s="34" t="n">
        <f aca="false">SUMPRODUCT((Per_Clase="Indirecto")*Sal_V*INDEX(Dot_V,0,MIN(10,EP$147))*((Per_Mon="PYG")*EP$149+(Per_Mon&lt;&gt;"PYG")))*(EP$145+EP$146*V_PreInd)*INDEX(IdxSal_V,1,MIN(10,EP$147))*(1+V_Cargas)+EP$183*V_Alim*EP$149</f>
        <v>0</v>
      </c>
      <c r="EQ184" s="34" t="n">
        <f aca="false">SUMPRODUCT((Per_Clase="Indirecto")*Sal_V*INDEX(Dot_V,0,MIN(10,EQ$147))*((Per_Mon="PYG")*EQ$149+(Per_Mon&lt;&gt;"PYG")))*(EQ$145+EQ$146*V_PreInd)*INDEX(IdxSal_V,1,MIN(10,EQ$147))*(1+V_Cargas)+EQ$183*V_Alim*EQ$149</f>
        <v>0</v>
      </c>
      <c r="ER184" s="34" t="n">
        <f aca="false">SUMPRODUCT((Per_Clase="Indirecto")*Sal_V*INDEX(Dot_V,0,MIN(10,ER$147))*((Per_Mon="PYG")*ER$149+(Per_Mon&lt;&gt;"PYG")))*(ER$145+ER$146*V_PreInd)*INDEX(IdxSal_V,1,MIN(10,ER$147))*(1+V_Cargas)+ER$183*V_Alim*ER$149</f>
        <v>0</v>
      </c>
      <c r="ES184" s="34" t="n">
        <f aca="false">SUMPRODUCT((Per_Clase="Indirecto")*Sal_V*INDEX(Dot_V,0,MIN(10,ES$147))*((Per_Mon="PYG")*ES$149+(Per_Mon&lt;&gt;"PYG")))*(ES$145+ES$146*V_PreInd)*INDEX(IdxSal_V,1,MIN(10,ES$147))*(1+V_Cargas)+ES$183*V_Alim*ES$149</f>
        <v>0</v>
      </c>
    </row>
    <row r="185" customFormat="false" ht="15" hidden="false" customHeight="false" outlineLevel="0" collapsed="false">
      <c r="A185" s="2" t="s">
        <v>800</v>
      </c>
      <c r="B185" s="6" t="s">
        <v>603</v>
      </c>
      <c r="C185" s="6" t="s">
        <v>595</v>
      </c>
      <c r="F185" s="36" t="n">
        <f aca="false">SUMPRODUCT((Per_Clase="Administración")*INDEX(Dot_V,0,MIN(10,F$147)))*(F$145+F$146*V_PreInd)</f>
        <v>5</v>
      </c>
      <c r="G185" s="36" t="n">
        <f aca="false">SUMPRODUCT((Per_Clase="Administración")*INDEX(Dot_V,0,MIN(10,G$147)))*(G$145+G$146*V_PreInd)</f>
        <v>5</v>
      </c>
      <c r="H185" s="36" t="n">
        <f aca="false">SUMPRODUCT((Per_Clase="Administración")*INDEX(Dot_V,0,MIN(10,H$147)))*(H$145+H$146*V_PreInd)</f>
        <v>5</v>
      </c>
      <c r="I185" s="36" t="n">
        <f aca="false">SUMPRODUCT((Per_Clase="Administración")*INDEX(Dot_V,0,MIN(10,I$147)))*(I$145+I$146*V_PreInd)</f>
        <v>5</v>
      </c>
      <c r="J185" s="36" t="n">
        <f aca="false">SUMPRODUCT((Per_Clase="Administración")*INDEX(Dot_V,0,MIN(10,J$147)))*(J$145+J$146*V_PreInd)</f>
        <v>5</v>
      </c>
      <c r="K185" s="36" t="n">
        <f aca="false">SUMPRODUCT((Per_Clase="Administración")*INDEX(Dot_V,0,MIN(10,K$147)))*(K$145+K$146*V_PreInd)</f>
        <v>5</v>
      </c>
      <c r="L185" s="36" t="n">
        <f aca="false">SUMPRODUCT((Per_Clase="Administración")*INDEX(Dot_V,0,MIN(10,L$147)))*(L$145+L$146*V_PreInd)</f>
        <v>5</v>
      </c>
      <c r="M185" s="36" t="n">
        <f aca="false">SUMPRODUCT((Per_Clase="Administración")*INDEX(Dot_V,0,MIN(10,M$147)))*(M$145+M$146*V_PreInd)</f>
        <v>5</v>
      </c>
      <c r="N185" s="36" t="n">
        <f aca="false">SUMPRODUCT((Per_Clase="Administración")*INDEX(Dot_V,0,MIN(10,N$147)))*(N$145+N$146*V_PreInd)</f>
        <v>5</v>
      </c>
      <c r="O185" s="36" t="n">
        <f aca="false">SUMPRODUCT((Per_Clase="Administración")*INDEX(Dot_V,0,MIN(10,O$147)))*(O$145+O$146*V_PreInd)</f>
        <v>5</v>
      </c>
      <c r="P185" s="36" t="n">
        <f aca="false">SUMPRODUCT((Per_Clase="Administración")*INDEX(Dot_V,0,MIN(10,P$147)))*(P$145+P$146*V_PreInd)</f>
        <v>5</v>
      </c>
      <c r="Q185" s="36" t="n">
        <f aca="false">SUMPRODUCT((Per_Clase="Administración")*INDEX(Dot_V,0,MIN(10,Q$147)))*(Q$145+Q$146*V_PreInd)</f>
        <v>5</v>
      </c>
      <c r="R185" s="36" t="n">
        <f aca="false">SUMPRODUCT((Per_Clase="Administración")*INDEX(Dot_V,0,MIN(10,R$147)))*(R$145+R$146*V_PreInd)</f>
        <v>5</v>
      </c>
      <c r="S185" s="36" t="n">
        <f aca="false">SUMPRODUCT((Per_Clase="Administración")*INDEX(Dot_V,0,MIN(10,S$147)))*(S$145+S$146*V_PreInd)</f>
        <v>5</v>
      </c>
      <c r="T185" s="36" t="n">
        <f aca="false">SUMPRODUCT((Per_Clase="Administración")*INDEX(Dot_V,0,MIN(10,T$147)))*(T$145+T$146*V_PreInd)</f>
        <v>5</v>
      </c>
      <c r="U185" s="36" t="n">
        <f aca="false">SUMPRODUCT((Per_Clase="Administración")*INDEX(Dot_V,0,MIN(10,U$147)))*(U$145+U$146*V_PreInd)</f>
        <v>5</v>
      </c>
      <c r="V185" s="36" t="n">
        <f aca="false">SUMPRODUCT((Per_Clase="Administración")*INDEX(Dot_V,0,MIN(10,V$147)))*(V$145+V$146*V_PreInd)</f>
        <v>5</v>
      </c>
      <c r="W185" s="36" t="n">
        <f aca="false">SUMPRODUCT((Per_Clase="Administración")*INDEX(Dot_V,0,MIN(10,W$147)))*(W$145+W$146*V_PreInd)</f>
        <v>5</v>
      </c>
      <c r="X185" s="36" t="n">
        <f aca="false">SUMPRODUCT((Per_Clase="Administración")*INDEX(Dot_V,0,MIN(10,X$147)))*(X$145+X$146*V_PreInd)</f>
        <v>5</v>
      </c>
      <c r="Y185" s="36" t="n">
        <f aca="false">SUMPRODUCT((Per_Clase="Administración")*INDEX(Dot_V,0,MIN(10,Y$147)))*(Y$145+Y$146*V_PreInd)</f>
        <v>5</v>
      </c>
      <c r="Z185" s="36" t="n">
        <f aca="false">SUMPRODUCT((Per_Clase="Administración")*INDEX(Dot_V,0,MIN(10,Z$147)))*(Z$145+Z$146*V_PreInd)</f>
        <v>5</v>
      </c>
      <c r="AA185" s="36" t="n">
        <f aca="false">SUMPRODUCT((Per_Clase="Administración")*INDEX(Dot_V,0,MIN(10,AA$147)))*(AA$145+AA$146*V_PreInd)</f>
        <v>5</v>
      </c>
      <c r="AB185" s="36" t="n">
        <f aca="false">SUMPRODUCT((Per_Clase="Administración")*INDEX(Dot_V,0,MIN(10,AB$147)))*(AB$145+AB$146*V_PreInd)</f>
        <v>5</v>
      </c>
      <c r="AC185" s="36" t="n">
        <f aca="false">SUMPRODUCT((Per_Clase="Administración")*INDEX(Dot_V,0,MIN(10,AC$147)))*(AC$145+AC$146*V_PreInd)</f>
        <v>5</v>
      </c>
      <c r="AD185" s="36" t="n">
        <f aca="false">SUMPRODUCT((Per_Clase="Administración")*INDEX(Dot_V,0,MIN(10,AD$147)))*(AD$145+AD$146*V_PreInd)</f>
        <v>5</v>
      </c>
      <c r="AE185" s="36" t="n">
        <f aca="false">SUMPRODUCT((Per_Clase="Administración")*INDEX(Dot_V,0,MIN(10,AE$147)))*(AE$145+AE$146*V_PreInd)</f>
        <v>5</v>
      </c>
      <c r="AF185" s="36" t="n">
        <f aca="false">SUMPRODUCT((Per_Clase="Administración")*INDEX(Dot_V,0,MIN(10,AF$147)))*(AF$145+AF$146*V_PreInd)</f>
        <v>5</v>
      </c>
      <c r="AG185" s="36" t="n">
        <f aca="false">SUMPRODUCT((Per_Clase="Administración")*INDEX(Dot_V,0,MIN(10,AG$147)))*(AG$145+AG$146*V_PreInd)</f>
        <v>5</v>
      </c>
      <c r="AH185" s="36" t="n">
        <f aca="false">SUMPRODUCT((Per_Clase="Administración")*INDEX(Dot_V,0,MIN(10,AH$147)))*(AH$145+AH$146*V_PreInd)</f>
        <v>5</v>
      </c>
      <c r="AI185" s="36" t="n">
        <f aca="false">SUMPRODUCT((Per_Clase="Administración")*INDEX(Dot_V,0,MIN(10,AI$147)))*(AI$145+AI$146*V_PreInd)</f>
        <v>5</v>
      </c>
      <c r="AJ185" s="36" t="n">
        <f aca="false">SUMPRODUCT((Per_Clase="Administración")*INDEX(Dot_V,0,MIN(10,AJ$147)))*(AJ$145+AJ$146*V_PreInd)</f>
        <v>5</v>
      </c>
      <c r="AK185" s="36" t="n">
        <f aca="false">SUMPRODUCT((Per_Clase="Administración")*INDEX(Dot_V,0,MIN(10,AK$147)))*(AK$145+AK$146*V_PreInd)</f>
        <v>5</v>
      </c>
      <c r="AL185" s="36" t="n">
        <f aca="false">SUMPRODUCT((Per_Clase="Administración")*INDEX(Dot_V,0,MIN(10,AL$147)))*(AL$145+AL$146*V_PreInd)</f>
        <v>5</v>
      </c>
      <c r="AM185" s="36" t="n">
        <f aca="false">SUMPRODUCT((Per_Clase="Administración")*INDEX(Dot_V,0,MIN(10,AM$147)))*(AM$145+AM$146*V_PreInd)</f>
        <v>5</v>
      </c>
      <c r="AN185" s="36" t="n">
        <f aca="false">SUMPRODUCT((Per_Clase="Administración")*INDEX(Dot_V,0,MIN(10,AN$147)))*(AN$145+AN$146*V_PreInd)</f>
        <v>5</v>
      </c>
      <c r="AO185" s="36" t="n">
        <f aca="false">SUMPRODUCT((Per_Clase="Administración")*INDEX(Dot_V,0,MIN(10,AO$147)))*(AO$145+AO$146*V_PreInd)</f>
        <v>5</v>
      </c>
      <c r="AP185" s="36" t="n">
        <f aca="false">SUMPRODUCT((Per_Clase="Administración")*INDEX(Dot_V,0,MIN(10,AP$147)))*(AP$145+AP$146*V_PreInd)</f>
        <v>5</v>
      </c>
      <c r="AQ185" s="36" t="n">
        <f aca="false">SUMPRODUCT((Per_Clase="Administración")*INDEX(Dot_V,0,MIN(10,AQ$147)))*(AQ$145+AQ$146*V_PreInd)</f>
        <v>5</v>
      </c>
      <c r="AR185" s="36" t="n">
        <f aca="false">SUMPRODUCT((Per_Clase="Administración")*INDEX(Dot_V,0,MIN(10,AR$147)))*(AR$145+AR$146*V_PreInd)</f>
        <v>5</v>
      </c>
      <c r="AS185" s="36" t="n">
        <f aca="false">SUMPRODUCT((Per_Clase="Administración")*INDEX(Dot_V,0,MIN(10,AS$147)))*(AS$145+AS$146*V_PreInd)</f>
        <v>5</v>
      </c>
      <c r="AT185" s="36" t="n">
        <f aca="false">SUMPRODUCT((Per_Clase="Administración")*INDEX(Dot_V,0,MIN(10,AT$147)))*(AT$145+AT$146*V_PreInd)</f>
        <v>5</v>
      </c>
      <c r="AU185" s="36" t="n">
        <f aca="false">SUMPRODUCT((Per_Clase="Administración")*INDEX(Dot_V,0,MIN(10,AU$147)))*(AU$145+AU$146*V_PreInd)</f>
        <v>5</v>
      </c>
      <c r="AV185" s="36" t="n">
        <f aca="false">SUMPRODUCT((Per_Clase="Administración")*INDEX(Dot_V,0,MIN(10,AV$147)))*(AV$145+AV$146*V_PreInd)</f>
        <v>5</v>
      </c>
      <c r="AW185" s="36" t="n">
        <f aca="false">SUMPRODUCT((Per_Clase="Administración")*INDEX(Dot_V,0,MIN(10,AW$147)))*(AW$145+AW$146*V_PreInd)</f>
        <v>5</v>
      </c>
      <c r="AX185" s="36" t="n">
        <f aca="false">SUMPRODUCT((Per_Clase="Administración")*INDEX(Dot_V,0,MIN(10,AX$147)))*(AX$145+AX$146*V_PreInd)</f>
        <v>5</v>
      </c>
      <c r="AY185" s="36" t="n">
        <f aca="false">SUMPRODUCT((Per_Clase="Administración")*INDEX(Dot_V,0,MIN(10,AY$147)))*(AY$145+AY$146*V_PreInd)</f>
        <v>5</v>
      </c>
      <c r="AZ185" s="36" t="n">
        <f aca="false">SUMPRODUCT((Per_Clase="Administración")*INDEX(Dot_V,0,MIN(10,AZ$147)))*(AZ$145+AZ$146*V_PreInd)</f>
        <v>5</v>
      </c>
      <c r="BA185" s="36" t="n">
        <f aca="false">SUMPRODUCT((Per_Clase="Administración")*INDEX(Dot_V,0,MIN(10,BA$147)))*(BA$145+BA$146*V_PreInd)</f>
        <v>5</v>
      </c>
      <c r="BB185" s="36" t="n">
        <f aca="false">SUMPRODUCT((Per_Clase="Administración")*INDEX(Dot_V,0,MIN(10,BB$147)))*(BB$145+BB$146*V_PreInd)</f>
        <v>5</v>
      </c>
      <c r="BC185" s="36" t="n">
        <f aca="false">SUMPRODUCT((Per_Clase="Administración")*INDEX(Dot_V,0,MIN(10,BC$147)))*(BC$145+BC$146*V_PreInd)</f>
        <v>5</v>
      </c>
      <c r="BD185" s="36" t="n">
        <f aca="false">SUMPRODUCT((Per_Clase="Administración")*INDEX(Dot_V,0,MIN(10,BD$147)))*(BD$145+BD$146*V_PreInd)</f>
        <v>5</v>
      </c>
      <c r="BE185" s="36" t="n">
        <f aca="false">SUMPRODUCT((Per_Clase="Administración")*INDEX(Dot_V,0,MIN(10,BE$147)))*(BE$145+BE$146*V_PreInd)</f>
        <v>5</v>
      </c>
      <c r="BF185" s="36" t="n">
        <f aca="false">SUMPRODUCT((Per_Clase="Administración")*INDEX(Dot_V,0,MIN(10,BF$147)))*(BF$145+BF$146*V_PreInd)</f>
        <v>5</v>
      </c>
      <c r="BG185" s="36" t="n">
        <f aca="false">SUMPRODUCT((Per_Clase="Administración")*INDEX(Dot_V,0,MIN(10,BG$147)))*(BG$145+BG$146*V_PreInd)</f>
        <v>5</v>
      </c>
      <c r="BH185" s="36" t="n">
        <f aca="false">SUMPRODUCT((Per_Clase="Administración")*INDEX(Dot_V,0,MIN(10,BH$147)))*(BH$145+BH$146*V_PreInd)</f>
        <v>5</v>
      </c>
      <c r="BI185" s="36" t="n">
        <f aca="false">SUMPRODUCT((Per_Clase="Administración")*INDEX(Dot_V,0,MIN(10,BI$147)))*(BI$145+BI$146*V_PreInd)</f>
        <v>5</v>
      </c>
      <c r="BJ185" s="36" t="n">
        <f aca="false">SUMPRODUCT((Per_Clase="Administración")*INDEX(Dot_V,0,MIN(10,BJ$147)))*(BJ$145+BJ$146*V_PreInd)</f>
        <v>5</v>
      </c>
      <c r="BK185" s="36" t="n">
        <f aca="false">SUMPRODUCT((Per_Clase="Administración")*INDEX(Dot_V,0,MIN(10,BK$147)))*(BK$145+BK$146*V_PreInd)</f>
        <v>5</v>
      </c>
      <c r="BL185" s="36" t="n">
        <f aca="false">SUMPRODUCT((Per_Clase="Administración")*INDEX(Dot_V,0,MIN(10,BL$147)))*(BL$145+BL$146*V_PreInd)</f>
        <v>5</v>
      </c>
      <c r="BM185" s="36" t="n">
        <f aca="false">SUMPRODUCT((Per_Clase="Administración")*INDEX(Dot_V,0,MIN(10,BM$147)))*(BM$145+BM$146*V_PreInd)</f>
        <v>5</v>
      </c>
      <c r="BN185" s="36" t="n">
        <f aca="false">SUMPRODUCT((Per_Clase="Administración")*INDEX(Dot_V,0,MIN(10,BN$147)))*(BN$145+BN$146*V_PreInd)</f>
        <v>5</v>
      </c>
      <c r="BO185" s="36" t="n">
        <f aca="false">SUMPRODUCT((Per_Clase="Administración")*INDEX(Dot_V,0,MIN(10,BO$147)))*(BO$145+BO$146*V_PreInd)</f>
        <v>5</v>
      </c>
      <c r="BP185" s="36" t="n">
        <f aca="false">SUMPRODUCT((Per_Clase="Administración")*INDEX(Dot_V,0,MIN(10,BP$147)))*(BP$145+BP$146*V_PreInd)</f>
        <v>5</v>
      </c>
      <c r="BQ185" s="36" t="n">
        <f aca="false">SUMPRODUCT((Per_Clase="Administración")*INDEX(Dot_V,0,MIN(10,BQ$147)))*(BQ$145+BQ$146*V_PreInd)</f>
        <v>5</v>
      </c>
      <c r="BR185" s="36" t="n">
        <f aca="false">SUMPRODUCT((Per_Clase="Administración")*INDEX(Dot_V,0,MIN(10,BR$147)))*(BR$145+BR$146*V_PreInd)</f>
        <v>5</v>
      </c>
      <c r="BS185" s="36" t="n">
        <f aca="false">SUMPRODUCT((Per_Clase="Administración")*INDEX(Dot_V,0,MIN(10,BS$147)))*(BS$145+BS$146*V_PreInd)</f>
        <v>5</v>
      </c>
      <c r="BT185" s="36" t="n">
        <f aca="false">SUMPRODUCT((Per_Clase="Administración")*INDEX(Dot_V,0,MIN(10,BT$147)))*(BT$145+BT$146*V_PreInd)</f>
        <v>5</v>
      </c>
      <c r="BU185" s="36" t="n">
        <f aca="false">SUMPRODUCT((Per_Clase="Administración")*INDEX(Dot_V,0,MIN(10,BU$147)))*(BU$145+BU$146*V_PreInd)</f>
        <v>5</v>
      </c>
      <c r="BV185" s="36" t="n">
        <f aca="false">SUMPRODUCT((Per_Clase="Administración")*INDEX(Dot_V,0,MIN(10,BV$147)))*(BV$145+BV$146*V_PreInd)</f>
        <v>5</v>
      </c>
      <c r="BW185" s="36" t="n">
        <f aca="false">SUMPRODUCT((Per_Clase="Administración")*INDEX(Dot_V,0,MIN(10,BW$147)))*(BW$145+BW$146*V_PreInd)</f>
        <v>5</v>
      </c>
      <c r="BX185" s="36" t="n">
        <f aca="false">SUMPRODUCT((Per_Clase="Administración")*INDEX(Dot_V,0,MIN(10,BX$147)))*(BX$145+BX$146*V_PreInd)</f>
        <v>5</v>
      </c>
      <c r="BY185" s="36" t="n">
        <f aca="false">SUMPRODUCT((Per_Clase="Administración")*INDEX(Dot_V,0,MIN(10,BY$147)))*(BY$145+BY$146*V_PreInd)</f>
        <v>5</v>
      </c>
      <c r="BZ185" s="36" t="n">
        <f aca="false">SUMPRODUCT((Per_Clase="Administración")*INDEX(Dot_V,0,MIN(10,BZ$147)))*(BZ$145+BZ$146*V_PreInd)</f>
        <v>5</v>
      </c>
      <c r="CA185" s="36" t="n">
        <f aca="false">SUMPRODUCT((Per_Clase="Administración")*INDEX(Dot_V,0,MIN(10,CA$147)))*(CA$145+CA$146*V_PreInd)</f>
        <v>5</v>
      </c>
      <c r="CB185" s="36" t="n">
        <f aca="false">SUMPRODUCT((Per_Clase="Administración")*INDEX(Dot_V,0,MIN(10,CB$147)))*(CB$145+CB$146*V_PreInd)</f>
        <v>5</v>
      </c>
      <c r="CC185" s="36" t="n">
        <f aca="false">SUMPRODUCT((Per_Clase="Administración")*INDEX(Dot_V,0,MIN(10,CC$147)))*(CC$145+CC$146*V_PreInd)</f>
        <v>5</v>
      </c>
      <c r="CD185" s="36" t="n">
        <f aca="false">SUMPRODUCT((Per_Clase="Administración")*INDEX(Dot_V,0,MIN(10,CD$147)))*(CD$145+CD$146*V_PreInd)</f>
        <v>5</v>
      </c>
      <c r="CE185" s="36" t="n">
        <f aca="false">SUMPRODUCT((Per_Clase="Administración")*INDEX(Dot_V,0,MIN(10,CE$147)))*(CE$145+CE$146*V_PreInd)</f>
        <v>5</v>
      </c>
      <c r="CF185" s="36" t="n">
        <f aca="false">SUMPRODUCT((Per_Clase="Administración")*INDEX(Dot_V,0,MIN(10,CF$147)))*(CF$145+CF$146*V_PreInd)</f>
        <v>5</v>
      </c>
      <c r="CG185" s="36" t="n">
        <f aca="false">SUMPRODUCT((Per_Clase="Administración")*INDEX(Dot_V,0,MIN(10,CG$147)))*(CG$145+CG$146*V_PreInd)</f>
        <v>5</v>
      </c>
      <c r="CH185" s="36" t="n">
        <f aca="false">SUMPRODUCT((Per_Clase="Administración")*INDEX(Dot_V,0,MIN(10,CH$147)))*(CH$145+CH$146*V_PreInd)</f>
        <v>5</v>
      </c>
      <c r="CI185" s="36" t="n">
        <f aca="false">SUMPRODUCT((Per_Clase="Administración")*INDEX(Dot_V,0,MIN(10,CI$147)))*(CI$145+CI$146*V_PreInd)</f>
        <v>5</v>
      </c>
      <c r="CJ185" s="36" t="n">
        <f aca="false">SUMPRODUCT((Per_Clase="Administración")*INDEX(Dot_V,0,MIN(10,CJ$147)))*(CJ$145+CJ$146*V_PreInd)</f>
        <v>5</v>
      </c>
      <c r="CK185" s="36" t="n">
        <f aca="false">SUMPRODUCT((Per_Clase="Administración")*INDEX(Dot_V,0,MIN(10,CK$147)))*(CK$145+CK$146*V_PreInd)</f>
        <v>5</v>
      </c>
      <c r="CL185" s="36" t="n">
        <f aca="false">SUMPRODUCT((Per_Clase="Administración")*INDEX(Dot_V,0,MIN(10,CL$147)))*(CL$145+CL$146*V_PreInd)</f>
        <v>5</v>
      </c>
      <c r="CM185" s="36" t="n">
        <f aca="false">SUMPRODUCT((Per_Clase="Administración")*INDEX(Dot_V,0,MIN(10,CM$147)))*(CM$145+CM$146*V_PreInd)</f>
        <v>5</v>
      </c>
      <c r="CN185" s="36" t="n">
        <f aca="false">SUMPRODUCT((Per_Clase="Administración")*INDEX(Dot_V,0,MIN(10,CN$147)))*(CN$145+CN$146*V_PreInd)</f>
        <v>5</v>
      </c>
      <c r="CO185" s="36" t="n">
        <f aca="false">SUMPRODUCT((Per_Clase="Administración")*INDEX(Dot_V,0,MIN(10,CO$147)))*(CO$145+CO$146*V_PreInd)</f>
        <v>5</v>
      </c>
      <c r="CP185" s="36" t="n">
        <f aca="false">SUMPRODUCT((Per_Clase="Administración")*INDEX(Dot_V,0,MIN(10,CP$147)))*(CP$145+CP$146*V_PreInd)</f>
        <v>5</v>
      </c>
      <c r="CQ185" s="36" t="n">
        <f aca="false">SUMPRODUCT((Per_Clase="Administración")*INDEX(Dot_V,0,MIN(10,CQ$147)))*(CQ$145+CQ$146*V_PreInd)</f>
        <v>5</v>
      </c>
      <c r="CR185" s="36" t="n">
        <f aca="false">SUMPRODUCT((Per_Clase="Administración")*INDEX(Dot_V,0,MIN(10,CR$147)))*(CR$145+CR$146*V_PreInd)</f>
        <v>5</v>
      </c>
      <c r="CS185" s="36" t="n">
        <f aca="false">SUMPRODUCT((Per_Clase="Administración")*INDEX(Dot_V,0,MIN(10,CS$147)))*(CS$145+CS$146*V_PreInd)</f>
        <v>5</v>
      </c>
      <c r="CT185" s="36" t="n">
        <f aca="false">SUMPRODUCT((Per_Clase="Administración")*INDEX(Dot_V,0,MIN(10,CT$147)))*(CT$145+CT$146*V_PreInd)</f>
        <v>5</v>
      </c>
      <c r="CU185" s="36" t="n">
        <f aca="false">SUMPRODUCT((Per_Clase="Administración")*INDEX(Dot_V,0,MIN(10,CU$147)))*(CU$145+CU$146*V_PreInd)</f>
        <v>5</v>
      </c>
      <c r="CV185" s="36" t="n">
        <f aca="false">SUMPRODUCT((Per_Clase="Administración")*INDEX(Dot_V,0,MIN(10,CV$147)))*(CV$145+CV$146*V_PreInd)</f>
        <v>5</v>
      </c>
      <c r="CW185" s="36" t="n">
        <f aca="false">SUMPRODUCT((Per_Clase="Administración")*INDEX(Dot_V,0,MIN(10,CW$147)))*(CW$145+CW$146*V_PreInd)</f>
        <v>5</v>
      </c>
      <c r="CX185" s="36" t="n">
        <f aca="false">SUMPRODUCT((Per_Clase="Administración")*INDEX(Dot_V,0,MIN(10,CX$147)))*(CX$145+CX$146*V_PreInd)</f>
        <v>5</v>
      </c>
      <c r="CY185" s="36" t="n">
        <f aca="false">SUMPRODUCT((Per_Clase="Administración")*INDEX(Dot_V,0,MIN(10,CY$147)))*(CY$145+CY$146*V_PreInd)</f>
        <v>5</v>
      </c>
      <c r="CZ185" s="36" t="n">
        <f aca="false">SUMPRODUCT((Per_Clase="Administración")*INDEX(Dot_V,0,MIN(10,CZ$147)))*(CZ$145+CZ$146*V_PreInd)</f>
        <v>5</v>
      </c>
      <c r="DA185" s="36" t="n">
        <f aca="false">SUMPRODUCT((Per_Clase="Administración")*INDEX(Dot_V,0,MIN(10,DA$147)))*(DA$145+DA$146*V_PreInd)</f>
        <v>5</v>
      </c>
      <c r="DB185" s="36" t="n">
        <f aca="false">SUMPRODUCT((Per_Clase="Administración")*INDEX(Dot_V,0,MIN(10,DB$147)))*(DB$145+DB$146*V_PreInd)</f>
        <v>5</v>
      </c>
      <c r="DC185" s="36" t="n">
        <f aca="false">SUMPRODUCT((Per_Clase="Administración")*INDEX(Dot_V,0,MIN(10,DC$147)))*(DC$145+DC$146*V_PreInd)</f>
        <v>5</v>
      </c>
      <c r="DD185" s="36" t="n">
        <f aca="false">SUMPRODUCT((Per_Clase="Administración")*INDEX(Dot_V,0,MIN(10,DD$147)))*(DD$145+DD$146*V_PreInd)</f>
        <v>5</v>
      </c>
      <c r="DE185" s="36" t="n">
        <f aca="false">SUMPRODUCT((Per_Clase="Administración")*INDEX(Dot_V,0,MIN(10,DE$147)))*(DE$145+DE$146*V_PreInd)</f>
        <v>5</v>
      </c>
      <c r="DF185" s="36" t="n">
        <f aca="false">SUMPRODUCT((Per_Clase="Administración")*INDEX(Dot_V,0,MIN(10,DF$147)))*(DF$145+DF$146*V_PreInd)</f>
        <v>5</v>
      </c>
      <c r="DG185" s="36" t="n">
        <f aca="false">SUMPRODUCT((Per_Clase="Administración")*INDEX(Dot_V,0,MIN(10,DG$147)))*(DG$145+DG$146*V_PreInd)</f>
        <v>5</v>
      </c>
      <c r="DH185" s="36" t="n">
        <f aca="false">SUMPRODUCT((Per_Clase="Administración")*INDEX(Dot_V,0,MIN(10,DH$147)))*(DH$145+DH$146*V_PreInd)</f>
        <v>5</v>
      </c>
      <c r="DI185" s="36" t="n">
        <f aca="false">SUMPRODUCT((Per_Clase="Administración")*INDEX(Dot_V,0,MIN(10,DI$147)))*(DI$145+DI$146*V_PreInd)</f>
        <v>5</v>
      </c>
      <c r="DJ185" s="36" t="n">
        <f aca="false">SUMPRODUCT((Per_Clase="Administración")*INDEX(Dot_V,0,MIN(10,DJ$147)))*(DJ$145+DJ$146*V_PreInd)</f>
        <v>5</v>
      </c>
      <c r="DK185" s="36" t="n">
        <f aca="false">SUMPRODUCT((Per_Clase="Administración")*INDEX(Dot_V,0,MIN(10,DK$147)))*(DK$145+DK$146*V_PreInd)</f>
        <v>5</v>
      </c>
      <c r="DL185" s="36" t="n">
        <f aca="false">SUMPRODUCT((Per_Clase="Administración")*INDEX(Dot_V,0,MIN(10,DL$147)))*(DL$145+DL$146*V_PreInd)</f>
        <v>5</v>
      </c>
      <c r="DM185" s="36" t="n">
        <f aca="false">SUMPRODUCT((Per_Clase="Administración")*INDEX(Dot_V,0,MIN(10,DM$147)))*(DM$145+DM$146*V_PreInd)</f>
        <v>5</v>
      </c>
      <c r="DN185" s="36" t="n">
        <f aca="false">SUMPRODUCT((Per_Clase="Administración")*INDEX(Dot_V,0,MIN(10,DN$147)))*(DN$145+DN$146*V_PreInd)</f>
        <v>5</v>
      </c>
      <c r="DO185" s="36" t="n">
        <f aca="false">SUMPRODUCT((Per_Clase="Administración")*INDEX(Dot_V,0,MIN(10,DO$147)))*(DO$145+DO$146*V_PreInd)</f>
        <v>5</v>
      </c>
      <c r="DP185" s="36" t="n">
        <f aca="false">SUMPRODUCT((Per_Clase="Administración")*INDEX(Dot_V,0,MIN(10,DP$147)))*(DP$145+DP$146*V_PreInd)</f>
        <v>5</v>
      </c>
      <c r="DQ185" s="36" t="n">
        <f aca="false">SUMPRODUCT((Per_Clase="Administración")*INDEX(Dot_V,0,MIN(10,DQ$147)))*(DQ$145+DQ$146*V_PreInd)</f>
        <v>5</v>
      </c>
      <c r="DR185" s="36" t="n">
        <f aca="false">SUMPRODUCT((Per_Clase="Administración")*INDEX(Dot_V,0,MIN(10,DR$147)))*(DR$145+DR$146*V_PreInd)</f>
        <v>5</v>
      </c>
      <c r="DS185" s="36" t="n">
        <f aca="false">SUMPRODUCT((Per_Clase="Administración")*INDEX(Dot_V,0,MIN(10,DS$147)))*(DS$145+DS$146*V_PreInd)</f>
        <v>5</v>
      </c>
      <c r="DT185" s="36" t="n">
        <f aca="false">SUMPRODUCT((Per_Clase="Administración")*INDEX(Dot_V,0,MIN(10,DT$147)))*(DT$145+DT$146*V_PreInd)</f>
        <v>5</v>
      </c>
      <c r="DU185" s="36" t="n">
        <f aca="false">SUMPRODUCT((Per_Clase="Administración")*INDEX(Dot_V,0,MIN(10,DU$147)))*(DU$145+DU$146*V_PreInd)</f>
        <v>5</v>
      </c>
      <c r="DV185" s="36" t="n">
        <f aca="false">SUMPRODUCT((Per_Clase="Administración")*INDEX(Dot_V,0,MIN(10,DV$147)))*(DV$145+DV$146*V_PreInd)</f>
        <v>0</v>
      </c>
      <c r="DW185" s="36" t="n">
        <f aca="false">SUMPRODUCT((Per_Clase="Administración")*INDEX(Dot_V,0,MIN(10,DW$147)))*(DW$145+DW$146*V_PreInd)</f>
        <v>0</v>
      </c>
      <c r="DX185" s="36" t="n">
        <f aca="false">SUMPRODUCT((Per_Clase="Administración")*INDEX(Dot_V,0,MIN(10,DX$147)))*(DX$145+DX$146*V_PreInd)</f>
        <v>0</v>
      </c>
      <c r="DY185" s="36" t="n">
        <f aca="false">SUMPRODUCT((Per_Clase="Administración")*INDEX(Dot_V,0,MIN(10,DY$147)))*(DY$145+DY$146*V_PreInd)</f>
        <v>0</v>
      </c>
      <c r="DZ185" s="36" t="n">
        <f aca="false">SUMPRODUCT((Per_Clase="Administración")*INDEX(Dot_V,0,MIN(10,DZ$147)))*(DZ$145+DZ$146*V_PreInd)</f>
        <v>0</v>
      </c>
      <c r="EA185" s="36" t="n">
        <f aca="false">SUMPRODUCT((Per_Clase="Administración")*INDEX(Dot_V,0,MIN(10,EA$147)))*(EA$145+EA$146*V_PreInd)</f>
        <v>0</v>
      </c>
      <c r="EB185" s="36" t="n">
        <f aca="false">SUMPRODUCT((Per_Clase="Administración")*INDEX(Dot_V,0,MIN(10,EB$147)))*(EB$145+EB$146*V_PreInd)</f>
        <v>0</v>
      </c>
      <c r="EC185" s="36" t="n">
        <f aca="false">SUMPRODUCT((Per_Clase="Administración")*INDEX(Dot_V,0,MIN(10,EC$147)))*(EC$145+EC$146*V_PreInd)</f>
        <v>0</v>
      </c>
      <c r="ED185" s="36" t="n">
        <f aca="false">SUMPRODUCT((Per_Clase="Administración")*INDEX(Dot_V,0,MIN(10,ED$147)))*(ED$145+ED$146*V_PreInd)</f>
        <v>0</v>
      </c>
      <c r="EE185" s="36" t="n">
        <f aca="false">SUMPRODUCT((Per_Clase="Administración")*INDEX(Dot_V,0,MIN(10,EE$147)))*(EE$145+EE$146*V_PreInd)</f>
        <v>0</v>
      </c>
      <c r="EF185" s="36" t="n">
        <f aca="false">SUMPRODUCT((Per_Clase="Administración")*INDEX(Dot_V,0,MIN(10,EF$147)))*(EF$145+EF$146*V_PreInd)</f>
        <v>0</v>
      </c>
      <c r="EG185" s="36" t="n">
        <f aca="false">SUMPRODUCT((Per_Clase="Administración")*INDEX(Dot_V,0,MIN(10,EG$147)))*(EG$145+EG$146*V_PreInd)</f>
        <v>0</v>
      </c>
      <c r="EH185" s="36" t="n">
        <f aca="false">SUMPRODUCT((Per_Clase="Administración")*INDEX(Dot_V,0,MIN(10,EH$147)))*(EH$145+EH$146*V_PreInd)</f>
        <v>0</v>
      </c>
      <c r="EI185" s="36" t="n">
        <f aca="false">SUMPRODUCT((Per_Clase="Administración")*INDEX(Dot_V,0,MIN(10,EI$147)))*(EI$145+EI$146*V_PreInd)</f>
        <v>0</v>
      </c>
      <c r="EJ185" s="36" t="n">
        <f aca="false">SUMPRODUCT((Per_Clase="Administración")*INDEX(Dot_V,0,MIN(10,EJ$147)))*(EJ$145+EJ$146*V_PreInd)</f>
        <v>0</v>
      </c>
      <c r="EK185" s="36" t="n">
        <f aca="false">SUMPRODUCT((Per_Clase="Administración")*INDEX(Dot_V,0,MIN(10,EK$147)))*(EK$145+EK$146*V_PreInd)</f>
        <v>0</v>
      </c>
      <c r="EL185" s="36" t="n">
        <f aca="false">SUMPRODUCT((Per_Clase="Administración")*INDEX(Dot_V,0,MIN(10,EL$147)))*(EL$145+EL$146*V_PreInd)</f>
        <v>0</v>
      </c>
      <c r="EM185" s="36" t="n">
        <f aca="false">SUMPRODUCT((Per_Clase="Administración")*INDEX(Dot_V,0,MIN(10,EM$147)))*(EM$145+EM$146*V_PreInd)</f>
        <v>0</v>
      </c>
      <c r="EN185" s="36" t="n">
        <f aca="false">SUMPRODUCT((Per_Clase="Administración")*INDEX(Dot_V,0,MIN(10,EN$147)))*(EN$145+EN$146*V_PreInd)</f>
        <v>0</v>
      </c>
      <c r="EO185" s="36" t="n">
        <f aca="false">SUMPRODUCT((Per_Clase="Administración")*INDEX(Dot_V,0,MIN(10,EO$147)))*(EO$145+EO$146*V_PreInd)</f>
        <v>0</v>
      </c>
      <c r="EP185" s="36" t="n">
        <f aca="false">SUMPRODUCT((Per_Clase="Administración")*INDEX(Dot_V,0,MIN(10,EP$147)))*(EP$145+EP$146*V_PreInd)</f>
        <v>0</v>
      </c>
      <c r="EQ185" s="36" t="n">
        <f aca="false">SUMPRODUCT((Per_Clase="Administración")*INDEX(Dot_V,0,MIN(10,EQ$147)))*(EQ$145+EQ$146*V_PreInd)</f>
        <v>0</v>
      </c>
      <c r="ER185" s="36" t="n">
        <f aca="false">SUMPRODUCT((Per_Clase="Administración")*INDEX(Dot_V,0,MIN(10,ER$147)))*(ER$145+ER$146*V_PreInd)</f>
        <v>0</v>
      </c>
      <c r="ES185" s="36" t="n">
        <f aca="false">SUMPRODUCT((Per_Clase="Administración")*INDEX(Dot_V,0,MIN(10,ES$147)))*(ES$145+ES$146*V_PreInd)</f>
        <v>0</v>
      </c>
    </row>
    <row r="186" customFormat="false" ht="15" hidden="false" customHeight="false" outlineLevel="0" collapsed="false">
      <c r="A186" s="2" t="s">
        <v>801</v>
      </c>
      <c r="B186" s="6" t="s">
        <v>605</v>
      </c>
      <c r="C186" s="6" t="s">
        <v>250</v>
      </c>
      <c r="E186" s="40" t="n">
        <f aca="false">SUM(F186:ES186)</f>
        <v>1075198.52627014</v>
      </c>
      <c r="F186" s="34" t="n">
        <f aca="false">SUMPRODUCT((Per_Clase="Administración")*Sal_V*INDEX(Dot_V,0,MIN(10,F$147))*((Per_Mon="PYG")*F$149+(Per_Mon&lt;&gt;"PYG")))*(F$145+F$146*V_PreInd)*INDEX(IdxSal_V,1,MIN(10,F$147))*(1+V_Cargas)+F$185*V_Alim*F$149</f>
        <v>8959.98771891781</v>
      </c>
      <c r="G186" s="34" t="n">
        <f aca="false">SUMPRODUCT((Per_Clase="Administración")*Sal_V*INDEX(Dot_V,0,MIN(10,G$147))*((Per_Mon="PYG")*G$149+(Per_Mon&lt;&gt;"PYG")))*(G$145+G$146*V_PreInd)*INDEX(IdxSal_V,1,MIN(10,G$147))*(1+V_Cargas)+G$185*V_Alim*G$149</f>
        <v>8959.98771891781</v>
      </c>
      <c r="H186" s="34" t="n">
        <f aca="false">SUMPRODUCT((Per_Clase="Administración")*Sal_V*INDEX(Dot_V,0,MIN(10,H$147))*((Per_Mon="PYG")*H$149+(Per_Mon&lt;&gt;"PYG")))*(H$145+H$146*V_PreInd)*INDEX(IdxSal_V,1,MIN(10,H$147))*(1+V_Cargas)+H$185*V_Alim*H$149</f>
        <v>8959.98771891781</v>
      </c>
      <c r="I186" s="34" t="n">
        <f aca="false">SUMPRODUCT((Per_Clase="Administración")*Sal_V*INDEX(Dot_V,0,MIN(10,I$147))*((Per_Mon="PYG")*I$149+(Per_Mon&lt;&gt;"PYG")))*(I$145+I$146*V_PreInd)*INDEX(IdxSal_V,1,MIN(10,I$147))*(1+V_Cargas)+I$185*V_Alim*I$149</f>
        <v>8959.98771891781</v>
      </c>
      <c r="J186" s="34" t="n">
        <f aca="false">SUMPRODUCT((Per_Clase="Administración")*Sal_V*INDEX(Dot_V,0,MIN(10,J$147))*((Per_Mon="PYG")*J$149+(Per_Mon&lt;&gt;"PYG")))*(J$145+J$146*V_PreInd)*INDEX(IdxSal_V,1,MIN(10,J$147))*(1+V_Cargas)+J$185*V_Alim*J$149</f>
        <v>8959.98771891781</v>
      </c>
      <c r="K186" s="34" t="n">
        <f aca="false">SUMPRODUCT((Per_Clase="Administración")*Sal_V*INDEX(Dot_V,0,MIN(10,K$147))*((Per_Mon="PYG")*K$149+(Per_Mon&lt;&gt;"PYG")))*(K$145+K$146*V_PreInd)*INDEX(IdxSal_V,1,MIN(10,K$147))*(1+V_Cargas)+K$185*V_Alim*K$149</f>
        <v>8959.98771891781</v>
      </c>
      <c r="L186" s="34" t="n">
        <f aca="false">SUMPRODUCT((Per_Clase="Administración")*Sal_V*INDEX(Dot_V,0,MIN(10,L$147))*((Per_Mon="PYG")*L$149+(Per_Mon&lt;&gt;"PYG")))*(L$145+L$146*V_PreInd)*INDEX(IdxSal_V,1,MIN(10,L$147))*(1+V_Cargas)+L$185*V_Alim*L$149</f>
        <v>8959.98771891781</v>
      </c>
      <c r="M186" s="34" t="n">
        <f aca="false">SUMPRODUCT((Per_Clase="Administración")*Sal_V*INDEX(Dot_V,0,MIN(10,M$147))*((Per_Mon="PYG")*M$149+(Per_Mon&lt;&gt;"PYG")))*(M$145+M$146*V_PreInd)*INDEX(IdxSal_V,1,MIN(10,M$147))*(1+V_Cargas)+M$185*V_Alim*M$149</f>
        <v>8959.98771891781</v>
      </c>
      <c r="N186" s="34" t="n">
        <f aca="false">SUMPRODUCT((Per_Clase="Administración")*Sal_V*INDEX(Dot_V,0,MIN(10,N$147))*((Per_Mon="PYG")*N$149+(Per_Mon&lt;&gt;"PYG")))*(N$145+N$146*V_PreInd)*INDEX(IdxSal_V,1,MIN(10,N$147))*(1+V_Cargas)+N$185*V_Alim*N$149</f>
        <v>8959.98771891781</v>
      </c>
      <c r="O186" s="34" t="n">
        <f aca="false">SUMPRODUCT((Per_Clase="Administración")*Sal_V*INDEX(Dot_V,0,MIN(10,O$147))*((Per_Mon="PYG")*O$149+(Per_Mon&lt;&gt;"PYG")))*(O$145+O$146*V_PreInd)*INDEX(IdxSal_V,1,MIN(10,O$147))*(1+V_Cargas)+O$185*V_Alim*O$149</f>
        <v>8959.98771891781</v>
      </c>
      <c r="P186" s="34" t="n">
        <f aca="false">SUMPRODUCT((Per_Clase="Administración")*Sal_V*INDEX(Dot_V,0,MIN(10,P$147))*((Per_Mon="PYG")*P$149+(Per_Mon&lt;&gt;"PYG")))*(P$145+P$146*V_PreInd)*INDEX(IdxSal_V,1,MIN(10,P$147))*(1+V_Cargas)+P$185*V_Alim*P$149</f>
        <v>8959.98771891781</v>
      </c>
      <c r="Q186" s="34" t="n">
        <f aca="false">SUMPRODUCT((Per_Clase="Administración")*Sal_V*INDEX(Dot_V,0,MIN(10,Q$147))*((Per_Mon="PYG")*Q$149+(Per_Mon&lt;&gt;"PYG")))*(Q$145+Q$146*V_PreInd)*INDEX(IdxSal_V,1,MIN(10,Q$147))*(1+V_Cargas)+Q$185*V_Alim*Q$149</f>
        <v>8959.98771891781</v>
      </c>
      <c r="R186" s="34" t="n">
        <f aca="false">SUMPRODUCT((Per_Clase="Administración")*Sal_V*INDEX(Dot_V,0,MIN(10,R$147))*((Per_Mon="PYG")*R$149+(Per_Mon&lt;&gt;"PYG")))*(R$145+R$146*V_PreInd)*INDEX(IdxSal_V,1,MIN(10,R$147))*(1+V_Cargas)+R$185*V_Alim*R$149</f>
        <v>8959.98771891781</v>
      </c>
      <c r="S186" s="34" t="n">
        <f aca="false">SUMPRODUCT((Per_Clase="Administración")*Sal_V*INDEX(Dot_V,0,MIN(10,S$147))*((Per_Mon="PYG")*S$149+(Per_Mon&lt;&gt;"PYG")))*(S$145+S$146*V_PreInd)*INDEX(IdxSal_V,1,MIN(10,S$147))*(1+V_Cargas)+S$185*V_Alim*S$149</f>
        <v>8959.98771891781</v>
      </c>
      <c r="T186" s="34" t="n">
        <f aca="false">SUMPRODUCT((Per_Clase="Administración")*Sal_V*INDEX(Dot_V,0,MIN(10,T$147))*((Per_Mon="PYG")*T$149+(Per_Mon&lt;&gt;"PYG")))*(T$145+T$146*V_PreInd)*INDEX(IdxSal_V,1,MIN(10,T$147))*(1+V_Cargas)+T$185*V_Alim*T$149</f>
        <v>8959.98771891781</v>
      </c>
      <c r="U186" s="34" t="n">
        <f aca="false">SUMPRODUCT((Per_Clase="Administración")*Sal_V*INDEX(Dot_V,0,MIN(10,U$147))*((Per_Mon="PYG")*U$149+(Per_Mon&lt;&gt;"PYG")))*(U$145+U$146*V_PreInd)*INDEX(IdxSal_V,1,MIN(10,U$147))*(1+V_Cargas)+U$185*V_Alim*U$149</f>
        <v>8959.98771891781</v>
      </c>
      <c r="V186" s="34" t="n">
        <f aca="false">SUMPRODUCT((Per_Clase="Administración")*Sal_V*INDEX(Dot_V,0,MIN(10,V$147))*((Per_Mon="PYG")*V$149+(Per_Mon&lt;&gt;"PYG")))*(V$145+V$146*V_PreInd)*INDEX(IdxSal_V,1,MIN(10,V$147))*(1+V_Cargas)+V$185*V_Alim*V$149</f>
        <v>8959.98771891781</v>
      </c>
      <c r="W186" s="34" t="n">
        <f aca="false">SUMPRODUCT((Per_Clase="Administración")*Sal_V*INDEX(Dot_V,0,MIN(10,W$147))*((Per_Mon="PYG")*W$149+(Per_Mon&lt;&gt;"PYG")))*(W$145+W$146*V_PreInd)*INDEX(IdxSal_V,1,MIN(10,W$147))*(1+V_Cargas)+W$185*V_Alim*W$149</f>
        <v>8959.98771891781</v>
      </c>
      <c r="X186" s="34" t="n">
        <f aca="false">SUMPRODUCT((Per_Clase="Administración")*Sal_V*INDEX(Dot_V,0,MIN(10,X$147))*((Per_Mon="PYG")*X$149+(Per_Mon&lt;&gt;"PYG")))*(X$145+X$146*V_PreInd)*INDEX(IdxSal_V,1,MIN(10,X$147))*(1+V_Cargas)+X$185*V_Alim*X$149</f>
        <v>8959.98771891781</v>
      </c>
      <c r="Y186" s="34" t="n">
        <f aca="false">SUMPRODUCT((Per_Clase="Administración")*Sal_V*INDEX(Dot_V,0,MIN(10,Y$147))*((Per_Mon="PYG")*Y$149+(Per_Mon&lt;&gt;"PYG")))*(Y$145+Y$146*V_PreInd)*INDEX(IdxSal_V,1,MIN(10,Y$147))*(1+V_Cargas)+Y$185*V_Alim*Y$149</f>
        <v>8959.98771891781</v>
      </c>
      <c r="Z186" s="34" t="n">
        <f aca="false">SUMPRODUCT((Per_Clase="Administración")*Sal_V*INDEX(Dot_V,0,MIN(10,Z$147))*((Per_Mon="PYG")*Z$149+(Per_Mon&lt;&gt;"PYG")))*(Z$145+Z$146*V_PreInd)*INDEX(IdxSal_V,1,MIN(10,Z$147))*(1+V_Cargas)+Z$185*V_Alim*Z$149</f>
        <v>8959.98771891781</v>
      </c>
      <c r="AA186" s="34" t="n">
        <f aca="false">SUMPRODUCT((Per_Clase="Administración")*Sal_V*INDEX(Dot_V,0,MIN(10,AA$147))*((Per_Mon="PYG")*AA$149+(Per_Mon&lt;&gt;"PYG")))*(AA$145+AA$146*V_PreInd)*INDEX(IdxSal_V,1,MIN(10,AA$147))*(1+V_Cargas)+AA$185*V_Alim*AA$149</f>
        <v>8959.98771891781</v>
      </c>
      <c r="AB186" s="34" t="n">
        <f aca="false">SUMPRODUCT((Per_Clase="Administración")*Sal_V*INDEX(Dot_V,0,MIN(10,AB$147))*((Per_Mon="PYG")*AB$149+(Per_Mon&lt;&gt;"PYG")))*(AB$145+AB$146*V_PreInd)*INDEX(IdxSal_V,1,MIN(10,AB$147))*(1+V_Cargas)+AB$185*V_Alim*AB$149</f>
        <v>8959.98771891781</v>
      </c>
      <c r="AC186" s="34" t="n">
        <f aca="false">SUMPRODUCT((Per_Clase="Administración")*Sal_V*INDEX(Dot_V,0,MIN(10,AC$147))*((Per_Mon="PYG")*AC$149+(Per_Mon&lt;&gt;"PYG")))*(AC$145+AC$146*V_PreInd)*INDEX(IdxSal_V,1,MIN(10,AC$147))*(1+V_Cargas)+AC$185*V_Alim*AC$149</f>
        <v>8959.98771891781</v>
      </c>
      <c r="AD186" s="34" t="n">
        <f aca="false">SUMPRODUCT((Per_Clase="Administración")*Sal_V*INDEX(Dot_V,0,MIN(10,AD$147))*((Per_Mon="PYG")*AD$149+(Per_Mon&lt;&gt;"PYG")))*(AD$145+AD$146*V_PreInd)*INDEX(IdxSal_V,1,MIN(10,AD$147))*(1+V_Cargas)+AD$185*V_Alim*AD$149</f>
        <v>8959.98771891781</v>
      </c>
      <c r="AE186" s="34" t="n">
        <f aca="false">SUMPRODUCT((Per_Clase="Administración")*Sal_V*INDEX(Dot_V,0,MIN(10,AE$147))*((Per_Mon="PYG")*AE$149+(Per_Mon&lt;&gt;"PYG")))*(AE$145+AE$146*V_PreInd)*INDEX(IdxSal_V,1,MIN(10,AE$147))*(1+V_Cargas)+AE$185*V_Alim*AE$149</f>
        <v>8959.98771891781</v>
      </c>
      <c r="AF186" s="34" t="n">
        <f aca="false">SUMPRODUCT((Per_Clase="Administración")*Sal_V*INDEX(Dot_V,0,MIN(10,AF$147))*((Per_Mon="PYG")*AF$149+(Per_Mon&lt;&gt;"PYG")))*(AF$145+AF$146*V_PreInd)*INDEX(IdxSal_V,1,MIN(10,AF$147))*(1+V_Cargas)+AF$185*V_Alim*AF$149</f>
        <v>8959.98771891781</v>
      </c>
      <c r="AG186" s="34" t="n">
        <f aca="false">SUMPRODUCT((Per_Clase="Administración")*Sal_V*INDEX(Dot_V,0,MIN(10,AG$147))*((Per_Mon="PYG")*AG$149+(Per_Mon&lt;&gt;"PYG")))*(AG$145+AG$146*V_PreInd)*INDEX(IdxSal_V,1,MIN(10,AG$147))*(1+V_Cargas)+AG$185*V_Alim*AG$149</f>
        <v>8959.98771891781</v>
      </c>
      <c r="AH186" s="34" t="n">
        <f aca="false">SUMPRODUCT((Per_Clase="Administración")*Sal_V*INDEX(Dot_V,0,MIN(10,AH$147))*((Per_Mon="PYG")*AH$149+(Per_Mon&lt;&gt;"PYG")))*(AH$145+AH$146*V_PreInd)*INDEX(IdxSal_V,1,MIN(10,AH$147))*(1+V_Cargas)+AH$185*V_Alim*AH$149</f>
        <v>8959.98771891781</v>
      </c>
      <c r="AI186" s="34" t="n">
        <f aca="false">SUMPRODUCT((Per_Clase="Administración")*Sal_V*INDEX(Dot_V,0,MIN(10,AI$147))*((Per_Mon="PYG")*AI$149+(Per_Mon&lt;&gt;"PYG")))*(AI$145+AI$146*V_PreInd)*INDEX(IdxSal_V,1,MIN(10,AI$147))*(1+V_Cargas)+AI$185*V_Alim*AI$149</f>
        <v>8959.98771891781</v>
      </c>
      <c r="AJ186" s="34" t="n">
        <f aca="false">SUMPRODUCT((Per_Clase="Administración")*Sal_V*INDEX(Dot_V,0,MIN(10,AJ$147))*((Per_Mon="PYG")*AJ$149+(Per_Mon&lt;&gt;"PYG")))*(AJ$145+AJ$146*V_PreInd)*INDEX(IdxSal_V,1,MIN(10,AJ$147))*(1+V_Cargas)+AJ$185*V_Alim*AJ$149</f>
        <v>8959.98771891781</v>
      </c>
      <c r="AK186" s="34" t="n">
        <f aca="false">SUMPRODUCT((Per_Clase="Administración")*Sal_V*INDEX(Dot_V,0,MIN(10,AK$147))*((Per_Mon="PYG")*AK$149+(Per_Mon&lt;&gt;"PYG")))*(AK$145+AK$146*V_PreInd)*INDEX(IdxSal_V,1,MIN(10,AK$147))*(1+V_Cargas)+AK$185*V_Alim*AK$149</f>
        <v>8959.98771891781</v>
      </c>
      <c r="AL186" s="34" t="n">
        <f aca="false">SUMPRODUCT((Per_Clase="Administración")*Sal_V*INDEX(Dot_V,0,MIN(10,AL$147))*((Per_Mon="PYG")*AL$149+(Per_Mon&lt;&gt;"PYG")))*(AL$145+AL$146*V_PreInd)*INDEX(IdxSal_V,1,MIN(10,AL$147))*(1+V_Cargas)+AL$185*V_Alim*AL$149</f>
        <v>8959.98771891781</v>
      </c>
      <c r="AM186" s="34" t="n">
        <f aca="false">SUMPRODUCT((Per_Clase="Administración")*Sal_V*INDEX(Dot_V,0,MIN(10,AM$147))*((Per_Mon="PYG")*AM$149+(Per_Mon&lt;&gt;"PYG")))*(AM$145+AM$146*V_PreInd)*INDEX(IdxSal_V,1,MIN(10,AM$147))*(1+V_Cargas)+AM$185*V_Alim*AM$149</f>
        <v>8959.98771891781</v>
      </c>
      <c r="AN186" s="34" t="n">
        <f aca="false">SUMPRODUCT((Per_Clase="Administración")*Sal_V*INDEX(Dot_V,0,MIN(10,AN$147))*((Per_Mon="PYG")*AN$149+(Per_Mon&lt;&gt;"PYG")))*(AN$145+AN$146*V_PreInd)*INDEX(IdxSal_V,1,MIN(10,AN$147))*(1+V_Cargas)+AN$185*V_Alim*AN$149</f>
        <v>8959.98771891781</v>
      </c>
      <c r="AO186" s="34" t="n">
        <f aca="false">SUMPRODUCT((Per_Clase="Administración")*Sal_V*INDEX(Dot_V,0,MIN(10,AO$147))*((Per_Mon="PYG")*AO$149+(Per_Mon&lt;&gt;"PYG")))*(AO$145+AO$146*V_PreInd)*INDEX(IdxSal_V,1,MIN(10,AO$147))*(1+V_Cargas)+AO$185*V_Alim*AO$149</f>
        <v>8959.98771891781</v>
      </c>
      <c r="AP186" s="34" t="n">
        <f aca="false">SUMPRODUCT((Per_Clase="Administración")*Sal_V*INDEX(Dot_V,0,MIN(10,AP$147))*((Per_Mon="PYG")*AP$149+(Per_Mon&lt;&gt;"PYG")))*(AP$145+AP$146*V_PreInd)*INDEX(IdxSal_V,1,MIN(10,AP$147))*(1+V_Cargas)+AP$185*V_Alim*AP$149</f>
        <v>8959.98771891781</v>
      </c>
      <c r="AQ186" s="34" t="n">
        <f aca="false">SUMPRODUCT((Per_Clase="Administración")*Sal_V*INDEX(Dot_V,0,MIN(10,AQ$147))*((Per_Mon="PYG")*AQ$149+(Per_Mon&lt;&gt;"PYG")))*(AQ$145+AQ$146*V_PreInd)*INDEX(IdxSal_V,1,MIN(10,AQ$147))*(1+V_Cargas)+AQ$185*V_Alim*AQ$149</f>
        <v>8959.98771891781</v>
      </c>
      <c r="AR186" s="34" t="n">
        <f aca="false">SUMPRODUCT((Per_Clase="Administración")*Sal_V*INDEX(Dot_V,0,MIN(10,AR$147))*((Per_Mon="PYG")*AR$149+(Per_Mon&lt;&gt;"PYG")))*(AR$145+AR$146*V_PreInd)*INDEX(IdxSal_V,1,MIN(10,AR$147))*(1+V_Cargas)+AR$185*V_Alim*AR$149</f>
        <v>8959.98771891781</v>
      </c>
      <c r="AS186" s="34" t="n">
        <f aca="false">SUMPRODUCT((Per_Clase="Administración")*Sal_V*INDEX(Dot_V,0,MIN(10,AS$147))*((Per_Mon="PYG")*AS$149+(Per_Mon&lt;&gt;"PYG")))*(AS$145+AS$146*V_PreInd)*INDEX(IdxSal_V,1,MIN(10,AS$147))*(1+V_Cargas)+AS$185*V_Alim*AS$149</f>
        <v>8959.98771891781</v>
      </c>
      <c r="AT186" s="34" t="n">
        <f aca="false">SUMPRODUCT((Per_Clase="Administración")*Sal_V*INDEX(Dot_V,0,MIN(10,AT$147))*((Per_Mon="PYG")*AT$149+(Per_Mon&lt;&gt;"PYG")))*(AT$145+AT$146*V_PreInd)*INDEX(IdxSal_V,1,MIN(10,AT$147))*(1+V_Cargas)+AT$185*V_Alim*AT$149</f>
        <v>8959.98771891781</v>
      </c>
      <c r="AU186" s="34" t="n">
        <f aca="false">SUMPRODUCT((Per_Clase="Administración")*Sal_V*INDEX(Dot_V,0,MIN(10,AU$147))*((Per_Mon="PYG")*AU$149+(Per_Mon&lt;&gt;"PYG")))*(AU$145+AU$146*V_PreInd)*INDEX(IdxSal_V,1,MIN(10,AU$147))*(1+V_Cargas)+AU$185*V_Alim*AU$149</f>
        <v>8959.98771891781</v>
      </c>
      <c r="AV186" s="34" t="n">
        <f aca="false">SUMPRODUCT((Per_Clase="Administración")*Sal_V*INDEX(Dot_V,0,MIN(10,AV$147))*((Per_Mon="PYG")*AV$149+(Per_Mon&lt;&gt;"PYG")))*(AV$145+AV$146*V_PreInd)*INDEX(IdxSal_V,1,MIN(10,AV$147))*(1+V_Cargas)+AV$185*V_Alim*AV$149</f>
        <v>8959.98771891781</v>
      </c>
      <c r="AW186" s="34" t="n">
        <f aca="false">SUMPRODUCT((Per_Clase="Administración")*Sal_V*INDEX(Dot_V,0,MIN(10,AW$147))*((Per_Mon="PYG")*AW$149+(Per_Mon&lt;&gt;"PYG")))*(AW$145+AW$146*V_PreInd)*INDEX(IdxSal_V,1,MIN(10,AW$147))*(1+V_Cargas)+AW$185*V_Alim*AW$149</f>
        <v>8959.98771891781</v>
      </c>
      <c r="AX186" s="34" t="n">
        <f aca="false">SUMPRODUCT((Per_Clase="Administración")*Sal_V*INDEX(Dot_V,0,MIN(10,AX$147))*((Per_Mon="PYG")*AX$149+(Per_Mon&lt;&gt;"PYG")))*(AX$145+AX$146*V_PreInd)*INDEX(IdxSal_V,1,MIN(10,AX$147))*(1+V_Cargas)+AX$185*V_Alim*AX$149</f>
        <v>8959.98771891781</v>
      </c>
      <c r="AY186" s="34" t="n">
        <f aca="false">SUMPRODUCT((Per_Clase="Administración")*Sal_V*INDEX(Dot_V,0,MIN(10,AY$147))*((Per_Mon="PYG")*AY$149+(Per_Mon&lt;&gt;"PYG")))*(AY$145+AY$146*V_PreInd)*INDEX(IdxSal_V,1,MIN(10,AY$147))*(1+V_Cargas)+AY$185*V_Alim*AY$149</f>
        <v>8959.98771891781</v>
      </c>
      <c r="AZ186" s="34" t="n">
        <f aca="false">SUMPRODUCT((Per_Clase="Administración")*Sal_V*INDEX(Dot_V,0,MIN(10,AZ$147))*((Per_Mon="PYG")*AZ$149+(Per_Mon&lt;&gt;"PYG")))*(AZ$145+AZ$146*V_PreInd)*INDEX(IdxSal_V,1,MIN(10,AZ$147))*(1+V_Cargas)+AZ$185*V_Alim*AZ$149</f>
        <v>8959.98771891781</v>
      </c>
      <c r="BA186" s="34" t="n">
        <f aca="false">SUMPRODUCT((Per_Clase="Administración")*Sal_V*INDEX(Dot_V,0,MIN(10,BA$147))*((Per_Mon="PYG")*BA$149+(Per_Mon&lt;&gt;"PYG")))*(BA$145+BA$146*V_PreInd)*INDEX(IdxSal_V,1,MIN(10,BA$147))*(1+V_Cargas)+BA$185*V_Alim*BA$149</f>
        <v>8959.98771891781</v>
      </c>
      <c r="BB186" s="34" t="n">
        <f aca="false">SUMPRODUCT((Per_Clase="Administración")*Sal_V*INDEX(Dot_V,0,MIN(10,BB$147))*((Per_Mon="PYG")*BB$149+(Per_Mon&lt;&gt;"PYG")))*(BB$145+BB$146*V_PreInd)*INDEX(IdxSal_V,1,MIN(10,BB$147))*(1+V_Cargas)+BB$185*V_Alim*BB$149</f>
        <v>8959.98771891781</v>
      </c>
      <c r="BC186" s="34" t="n">
        <f aca="false">SUMPRODUCT((Per_Clase="Administración")*Sal_V*INDEX(Dot_V,0,MIN(10,BC$147))*((Per_Mon="PYG")*BC$149+(Per_Mon&lt;&gt;"PYG")))*(BC$145+BC$146*V_PreInd)*INDEX(IdxSal_V,1,MIN(10,BC$147))*(1+V_Cargas)+BC$185*V_Alim*BC$149</f>
        <v>8959.98771891781</v>
      </c>
      <c r="BD186" s="34" t="n">
        <f aca="false">SUMPRODUCT((Per_Clase="Administración")*Sal_V*INDEX(Dot_V,0,MIN(10,BD$147))*((Per_Mon="PYG")*BD$149+(Per_Mon&lt;&gt;"PYG")))*(BD$145+BD$146*V_PreInd)*INDEX(IdxSal_V,1,MIN(10,BD$147))*(1+V_Cargas)+BD$185*V_Alim*BD$149</f>
        <v>8959.98771891781</v>
      </c>
      <c r="BE186" s="34" t="n">
        <f aca="false">SUMPRODUCT((Per_Clase="Administración")*Sal_V*INDEX(Dot_V,0,MIN(10,BE$147))*((Per_Mon="PYG")*BE$149+(Per_Mon&lt;&gt;"PYG")))*(BE$145+BE$146*V_PreInd)*INDEX(IdxSal_V,1,MIN(10,BE$147))*(1+V_Cargas)+BE$185*V_Alim*BE$149</f>
        <v>8959.98771891781</v>
      </c>
      <c r="BF186" s="34" t="n">
        <f aca="false">SUMPRODUCT((Per_Clase="Administración")*Sal_V*INDEX(Dot_V,0,MIN(10,BF$147))*((Per_Mon="PYG")*BF$149+(Per_Mon&lt;&gt;"PYG")))*(BF$145+BF$146*V_PreInd)*INDEX(IdxSal_V,1,MIN(10,BF$147))*(1+V_Cargas)+BF$185*V_Alim*BF$149</f>
        <v>8959.98771891781</v>
      </c>
      <c r="BG186" s="34" t="n">
        <f aca="false">SUMPRODUCT((Per_Clase="Administración")*Sal_V*INDEX(Dot_V,0,MIN(10,BG$147))*((Per_Mon="PYG")*BG$149+(Per_Mon&lt;&gt;"PYG")))*(BG$145+BG$146*V_PreInd)*INDEX(IdxSal_V,1,MIN(10,BG$147))*(1+V_Cargas)+BG$185*V_Alim*BG$149</f>
        <v>8959.98771891781</v>
      </c>
      <c r="BH186" s="34" t="n">
        <f aca="false">SUMPRODUCT((Per_Clase="Administración")*Sal_V*INDEX(Dot_V,0,MIN(10,BH$147))*((Per_Mon="PYG")*BH$149+(Per_Mon&lt;&gt;"PYG")))*(BH$145+BH$146*V_PreInd)*INDEX(IdxSal_V,1,MIN(10,BH$147))*(1+V_Cargas)+BH$185*V_Alim*BH$149</f>
        <v>8959.98771891781</v>
      </c>
      <c r="BI186" s="34" t="n">
        <f aca="false">SUMPRODUCT((Per_Clase="Administración")*Sal_V*INDEX(Dot_V,0,MIN(10,BI$147))*((Per_Mon="PYG")*BI$149+(Per_Mon&lt;&gt;"PYG")))*(BI$145+BI$146*V_PreInd)*INDEX(IdxSal_V,1,MIN(10,BI$147))*(1+V_Cargas)+BI$185*V_Alim*BI$149</f>
        <v>8959.98771891781</v>
      </c>
      <c r="BJ186" s="34" t="n">
        <f aca="false">SUMPRODUCT((Per_Clase="Administración")*Sal_V*INDEX(Dot_V,0,MIN(10,BJ$147))*((Per_Mon="PYG")*BJ$149+(Per_Mon&lt;&gt;"PYG")))*(BJ$145+BJ$146*V_PreInd)*INDEX(IdxSal_V,1,MIN(10,BJ$147))*(1+V_Cargas)+BJ$185*V_Alim*BJ$149</f>
        <v>8959.98771891781</v>
      </c>
      <c r="BK186" s="34" t="n">
        <f aca="false">SUMPRODUCT((Per_Clase="Administración")*Sal_V*INDEX(Dot_V,0,MIN(10,BK$147))*((Per_Mon="PYG")*BK$149+(Per_Mon&lt;&gt;"PYG")))*(BK$145+BK$146*V_PreInd)*INDEX(IdxSal_V,1,MIN(10,BK$147))*(1+V_Cargas)+BK$185*V_Alim*BK$149</f>
        <v>8959.98771891781</v>
      </c>
      <c r="BL186" s="34" t="n">
        <f aca="false">SUMPRODUCT((Per_Clase="Administración")*Sal_V*INDEX(Dot_V,0,MIN(10,BL$147))*((Per_Mon="PYG")*BL$149+(Per_Mon&lt;&gt;"PYG")))*(BL$145+BL$146*V_PreInd)*INDEX(IdxSal_V,1,MIN(10,BL$147))*(1+V_Cargas)+BL$185*V_Alim*BL$149</f>
        <v>8959.98771891781</v>
      </c>
      <c r="BM186" s="34" t="n">
        <f aca="false">SUMPRODUCT((Per_Clase="Administración")*Sal_V*INDEX(Dot_V,0,MIN(10,BM$147))*((Per_Mon="PYG")*BM$149+(Per_Mon&lt;&gt;"PYG")))*(BM$145+BM$146*V_PreInd)*INDEX(IdxSal_V,1,MIN(10,BM$147))*(1+V_Cargas)+BM$185*V_Alim*BM$149</f>
        <v>8959.98771891781</v>
      </c>
      <c r="BN186" s="34" t="n">
        <f aca="false">SUMPRODUCT((Per_Clase="Administración")*Sal_V*INDEX(Dot_V,0,MIN(10,BN$147))*((Per_Mon="PYG")*BN$149+(Per_Mon&lt;&gt;"PYG")))*(BN$145+BN$146*V_PreInd)*INDEX(IdxSal_V,1,MIN(10,BN$147))*(1+V_Cargas)+BN$185*V_Alim*BN$149</f>
        <v>8959.98771891781</v>
      </c>
      <c r="BO186" s="34" t="n">
        <f aca="false">SUMPRODUCT((Per_Clase="Administración")*Sal_V*INDEX(Dot_V,0,MIN(10,BO$147))*((Per_Mon="PYG")*BO$149+(Per_Mon&lt;&gt;"PYG")))*(BO$145+BO$146*V_PreInd)*INDEX(IdxSal_V,1,MIN(10,BO$147))*(1+V_Cargas)+BO$185*V_Alim*BO$149</f>
        <v>8959.98771891781</v>
      </c>
      <c r="BP186" s="34" t="n">
        <f aca="false">SUMPRODUCT((Per_Clase="Administración")*Sal_V*INDEX(Dot_V,0,MIN(10,BP$147))*((Per_Mon="PYG")*BP$149+(Per_Mon&lt;&gt;"PYG")))*(BP$145+BP$146*V_PreInd)*INDEX(IdxSal_V,1,MIN(10,BP$147))*(1+V_Cargas)+BP$185*V_Alim*BP$149</f>
        <v>8959.98771891781</v>
      </c>
      <c r="BQ186" s="34" t="n">
        <f aca="false">SUMPRODUCT((Per_Clase="Administración")*Sal_V*INDEX(Dot_V,0,MIN(10,BQ$147))*((Per_Mon="PYG")*BQ$149+(Per_Mon&lt;&gt;"PYG")))*(BQ$145+BQ$146*V_PreInd)*INDEX(IdxSal_V,1,MIN(10,BQ$147))*(1+V_Cargas)+BQ$185*V_Alim*BQ$149</f>
        <v>8959.98771891781</v>
      </c>
      <c r="BR186" s="34" t="n">
        <f aca="false">SUMPRODUCT((Per_Clase="Administración")*Sal_V*INDEX(Dot_V,0,MIN(10,BR$147))*((Per_Mon="PYG")*BR$149+(Per_Mon&lt;&gt;"PYG")))*(BR$145+BR$146*V_PreInd)*INDEX(IdxSal_V,1,MIN(10,BR$147))*(1+V_Cargas)+BR$185*V_Alim*BR$149</f>
        <v>8959.98771891781</v>
      </c>
      <c r="BS186" s="34" t="n">
        <f aca="false">SUMPRODUCT((Per_Clase="Administración")*Sal_V*INDEX(Dot_V,0,MIN(10,BS$147))*((Per_Mon="PYG")*BS$149+(Per_Mon&lt;&gt;"PYG")))*(BS$145+BS$146*V_PreInd)*INDEX(IdxSal_V,1,MIN(10,BS$147))*(1+V_Cargas)+BS$185*V_Alim*BS$149</f>
        <v>8959.98771891781</v>
      </c>
      <c r="BT186" s="34" t="n">
        <f aca="false">SUMPRODUCT((Per_Clase="Administración")*Sal_V*INDEX(Dot_V,0,MIN(10,BT$147))*((Per_Mon="PYG")*BT$149+(Per_Mon&lt;&gt;"PYG")))*(BT$145+BT$146*V_PreInd)*INDEX(IdxSal_V,1,MIN(10,BT$147))*(1+V_Cargas)+BT$185*V_Alim*BT$149</f>
        <v>8959.98771891781</v>
      </c>
      <c r="BU186" s="34" t="n">
        <f aca="false">SUMPRODUCT((Per_Clase="Administración")*Sal_V*INDEX(Dot_V,0,MIN(10,BU$147))*((Per_Mon="PYG")*BU$149+(Per_Mon&lt;&gt;"PYG")))*(BU$145+BU$146*V_PreInd)*INDEX(IdxSal_V,1,MIN(10,BU$147))*(1+V_Cargas)+BU$185*V_Alim*BU$149</f>
        <v>8959.98771891781</v>
      </c>
      <c r="BV186" s="34" t="n">
        <f aca="false">SUMPRODUCT((Per_Clase="Administración")*Sal_V*INDEX(Dot_V,0,MIN(10,BV$147))*((Per_Mon="PYG")*BV$149+(Per_Mon&lt;&gt;"PYG")))*(BV$145+BV$146*V_PreInd)*INDEX(IdxSal_V,1,MIN(10,BV$147))*(1+V_Cargas)+BV$185*V_Alim*BV$149</f>
        <v>8959.98771891781</v>
      </c>
      <c r="BW186" s="34" t="n">
        <f aca="false">SUMPRODUCT((Per_Clase="Administración")*Sal_V*INDEX(Dot_V,0,MIN(10,BW$147))*((Per_Mon="PYG")*BW$149+(Per_Mon&lt;&gt;"PYG")))*(BW$145+BW$146*V_PreInd)*INDEX(IdxSal_V,1,MIN(10,BW$147))*(1+V_Cargas)+BW$185*V_Alim*BW$149</f>
        <v>8959.98771891781</v>
      </c>
      <c r="BX186" s="34" t="n">
        <f aca="false">SUMPRODUCT((Per_Clase="Administración")*Sal_V*INDEX(Dot_V,0,MIN(10,BX$147))*((Per_Mon="PYG")*BX$149+(Per_Mon&lt;&gt;"PYG")))*(BX$145+BX$146*V_PreInd)*INDEX(IdxSal_V,1,MIN(10,BX$147))*(1+V_Cargas)+BX$185*V_Alim*BX$149</f>
        <v>8959.98771891781</v>
      </c>
      <c r="BY186" s="34" t="n">
        <f aca="false">SUMPRODUCT((Per_Clase="Administración")*Sal_V*INDEX(Dot_V,0,MIN(10,BY$147))*((Per_Mon="PYG")*BY$149+(Per_Mon&lt;&gt;"PYG")))*(BY$145+BY$146*V_PreInd)*INDEX(IdxSal_V,1,MIN(10,BY$147))*(1+V_Cargas)+BY$185*V_Alim*BY$149</f>
        <v>8959.98771891781</v>
      </c>
      <c r="BZ186" s="34" t="n">
        <f aca="false">SUMPRODUCT((Per_Clase="Administración")*Sal_V*INDEX(Dot_V,0,MIN(10,BZ$147))*((Per_Mon="PYG")*BZ$149+(Per_Mon&lt;&gt;"PYG")))*(BZ$145+BZ$146*V_PreInd)*INDEX(IdxSal_V,1,MIN(10,BZ$147))*(1+V_Cargas)+BZ$185*V_Alim*BZ$149</f>
        <v>8959.98771891781</v>
      </c>
      <c r="CA186" s="34" t="n">
        <f aca="false">SUMPRODUCT((Per_Clase="Administración")*Sal_V*INDEX(Dot_V,0,MIN(10,CA$147))*((Per_Mon="PYG")*CA$149+(Per_Mon&lt;&gt;"PYG")))*(CA$145+CA$146*V_PreInd)*INDEX(IdxSal_V,1,MIN(10,CA$147))*(1+V_Cargas)+CA$185*V_Alim*CA$149</f>
        <v>8959.98771891781</v>
      </c>
      <c r="CB186" s="34" t="n">
        <f aca="false">SUMPRODUCT((Per_Clase="Administración")*Sal_V*INDEX(Dot_V,0,MIN(10,CB$147))*((Per_Mon="PYG")*CB$149+(Per_Mon&lt;&gt;"PYG")))*(CB$145+CB$146*V_PreInd)*INDEX(IdxSal_V,1,MIN(10,CB$147))*(1+V_Cargas)+CB$185*V_Alim*CB$149</f>
        <v>8959.98771891781</v>
      </c>
      <c r="CC186" s="34" t="n">
        <f aca="false">SUMPRODUCT((Per_Clase="Administración")*Sal_V*INDEX(Dot_V,0,MIN(10,CC$147))*((Per_Mon="PYG")*CC$149+(Per_Mon&lt;&gt;"PYG")))*(CC$145+CC$146*V_PreInd)*INDEX(IdxSal_V,1,MIN(10,CC$147))*(1+V_Cargas)+CC$185*V_Alim*CC$149</f>
        <v>8959.98771891781</v>
      </c>
      <c r="CD186" s="34" t="n">
        <f aca="false">SUMPRODUCT((Per_Clase="Administración")*Sal_V*INDEX(Dot_V,0,MIN(10,CD$147))*((Per_Mon="PYG")*CD$149+(Per_Mon&lt;&gt;"PYG")))*(CD$145+CD$146*V_PreInd)*INDEX(IdxSal_V,1,MIN(10,CD$147))*(1+V_Cargas)+CD$185*V_Alim*CD$149</f>
        <v>8959.98771891781</v>
      </c>
      <c r="CE186" s="34" t="n">
        <f aca="false">SUMPRODUCT((Per_Clase="Administración")*Sal_V*INDEX(Dot_V,0,MIN(10,CE$147))*((Per_Mon="PYG")*CE$149+(Per_Mon&lt;&gt;"PYG")))*(CE$145+CE$146*V_PreInd)*INDEX(IdxSal_V,1,MIN(10,CE$147))*(1+V_Cargas)+CE$185*V_Alim*CE$149</f>
        <v>8959.98771891781</v>
      </c>
      <c r="CF186" s="34" t="n">
        <f aca="false">SUMPRODUCT((Per_Clase="Administración")*Sal_V*INDEX(Dot_V,0,MIN(10,CF$147))*((Per_Mon="PYG")*CF$149+(Per_Mon&lt;&gt;"PYG")))*(CF$145+CF$146*V_PreInd)*INDEX(IdxSal_V,1,MIN(10,CF$147))*(1+V_Cargas)+CF$185*V_Alim*CF$149</f>
        <v>8959.98771891781</v>
      </c>
      <c r="CG186" s="34" t="n">
        <f aca="false">SUMPRODUCT((Per_Clase="Administración")*Sal_V*INDEX(Dot_V,0,MIN(10,CG$147))*((Per_Mon="PYG")*CG$149+(Per_Mon&lt;&gt;"PYG")))*(CG$145+CG$146*V_PreInd)*INDEX(IdxSal_V,1,MIN(10,CG$147))*(1+V_Cargas)+CG$185*V_Alim*CG$149</f>
        <v>8959.98771891781</v>
      </c>
      <c r="CH186" s="34" t="n">
        <f aca="false">SUMPRODUCT((Per_Clase="Administración")*Sal_V*INDEX(Dot_V,0,MIN(10,CH$147))*((Per_Mon="PYG")*CH$149+(Per_Mon&lt;&gt;"PYG")))*(CH$145+CH$146*V_PreInd)*INDEX(IdxSal_V,1,MIN(10,CH$147))*(1+V_Cargas)+CH$185*V_Alim*CH$149</f>
        <v>8959.98771891781</v>
      </c>
      <c r="CI186" s="34" t="n">
        <f aca="false">SUMPRODUCT((Per_Clase="Administración")*Sal_V*INDEX(Dot_V,0,MIN(10,CI$147))*((Per_Mon="PYG")*CI$149+(Per_Mon&lt;&gt;"PYG")))*(CI$145+CI$146*V_PreInd)*INDEX(IdxSal_V,1,MIN(10,CI$147))*(1+V_Cargas)+CI$185*V_Alim*CI$149</f>
        <v>8959.98771891781</v>
      </c>
      <c r="CJ186" s="34" t="n">
        <f aca="false">SUMPRODUCT((Per_Clase="Administración")*Sal_V*INDEX(Dot_V,0,MIN(10,CJ$147))*((Per_Mon="PYG")*CJ$149+(Per_Mon&lt;&gt;"PYG")))*(CJ$145+CJ$146*V_PreInd)*INDEX(IdxSal_V,1,MIN(10,CJ$147))*(1+V_Cargas)+CJ$185*V_Alim*CJ$149</f>
        <v>8959.98771891781</v>
      </c>
      <c r="CK186" s="34" t="n">
        <f aca="false">SUMPRODUCT((Per_Clase="Administración")*Sal_V*INDEX(Dot_V,0,MIN(10,CK$147))*((Per_Mon="PYG")*CK$149+(Per_Mon&lt;&gt;"PYG")))*(CK$145+CK$146*V_PreInd)*INDEX(IdxSal_V,1,MIN(10,CK$147))*(1+V_Cargas)+CK$185*V_Alim*CK$149</f>
        <v>8959.98771891781</v>
      </c>
      <c r="CL186" s="34" t="n">
        <f aca="false">SUMPRODUCT((Per_Clase="Administración")*Sal_V*INDEX(Dot_V,0,MIN(10,CL$147))*((Per_Mon="PYG")*CL$149+(Per_Mon&lt;&gt;"PYG")))*(CL$145+CL$146*V_PreInd)*INDEX(IdxSal_V,1,MIN(10,CL$147))*(1+V_Cargas)+CL$185*V_Alim*CL$149</f>
        <v>8959.98771891781</v>
      </c>
      <c r="CM186" s="34" t="n">
        <f aca="false">SUMPRODUCT((Per_Clase="Administración")*Sal_V*INDEX(Dot_V,0,MIN(10,CM$147))*((Per_Mon="PYG")*CM$149+(Per_Mon&lt;&gt;"PYG")))*(CM$145+CM$146*V_PreInd)*INDEX(IdxSal_V,1,MIN(10,CM$147))*(1+V_Cargas)+CM$185*V_Alim*CM$149</f>
        <v>8959.98771891781</v>
      </c>
      <c r="CN186" s="34" t="n">
        <f aca="false">SUMPRODUCT((Per_Clase="Administración")*Sal_V*INDEX(Dot_V,0,MIN(10,CN$147))*((Per_Mon="PYG")*CN$149+(Per_Mon&lt;&gt;"PYG")))*(CN$145+CN$146*V_PreInd)*INDEX(IdxSal_V,1,MIN(10,CN$147))*(1+V_Cargas)+CN$185*V_Alim*CN$149</f>
        <v>8959.98771891781</v>
      </c>
      <c r="CO186" s="34" t="n">
        <f aca="false">SUMPRODUCT((Per_Clase="Administración")*Sal_V*INDEX(Dot_V,0,MIN(10,CO$147))*((Per_Mon="PYG")*CO$149+(Per_Mon&lt;&gt;"PYG")))*(CO$145+CO$146*V_PreInd)*INDEX(IdxSal_V,1,MIN(10,CO$147))*(1+V_Cargas)+CO$185*V_Alim*CO$149</f>
        <v>8959.98771891781</v>
      </c>
      <c r="CP186" s="34" t="n">
        <f aca="false">SUMPRODUCT((Per_Clase="Administración")*Sal_V*INDEX(Dot_V,0,MIN(10,CP$147))*((Per_Mon="PYG")*CP$149+(Per_Mon&lt;&gt;"PYG")))*(CP$145+CP$146*V_PreInd)*INDEX(IdxSal_V,1,MIN(10,CP$147))*(1+V_Cargas)+CP$185*V_Alim*CP$149</f>
        <v>8959.98771891781</v>
      </c>
      <c r="CQ186" s="34" t="n">
        <f aca="false">SUMPRODUCT((Per_Clase="Administración")*Sal_V*INDEX(Dot_V,0,MIN(10,CQ$147))*((Per_Mon="PYG")*CQ$149+(Per_Mon&lt;&gt;"PYG")))*(CQ$145+CQ$146*V_PreInd)*INDEX(IdxSal_V,1,MIN(10,CQ$147))*(1+V_Cargas)+CQ$185*V_Alim*CQ$149</f>
        <v>8959.98771891781</v>
      </c>
      <c r="CR186" s="34" t="n">
        <f aca="false">SUMPRODUCT((Per_Clase="Administración")*Sal_V*INDEX(Dot_V,0,MIN(10,CR$147))*((Per_Mon="PYG")*CR$149+(Per_Mon&lt;&gt;"PYG")))*(CR$145+CR$146*V_PreInd)*INDEX(IdxSal_V,1,MIN(10,CR$147))*(1+V_Cargas)+CR$185*V_Alim*CR$149</f>
        <v>8959.98771891781</v>
      </c>
      <c r="CS186" s="34" t="n">
        <f aca="false">SUMPRODUCT((Per_Clase="Administración")*Sal_V*INDEX(Dot_V,0,MIN(10,CS$147))*((Per_Mon="PYG")*CS$149+(Per_Mon&lt;&gt;"PYG")))*(CS$145+CS$146*V_PreInd)*INDEX(IdxSal_V,1,MIN(10,CS$147))*(1+V_Cargas)+CS$185*V_Alim*CS$149</f>
        <v>8959.98771891781</v>
      </c>
      <c r="CT186" s="34" t="n">
        <f aca="false">SUMPRODUCT((Per_Clase="Administración")*Sal_V*INDEX(Dot_V,0,MIN(10,CT$147))*((Per_Mon="PYG")*CT$149+(Per_Mon&lt;&gt;"PYG")))*(CT$145+CT$146*V_PreInd)*INDEX(IdxSal_V,1,MIN(10,CT$147))*(1+V_Cargas)+CT$185*V_Alim*CT$149</f>
        <v>8959.98771891781</v>
      </c>
      <c r="CU186" s="34" t="n">
        <f aca="false">SUMPRODUCT((Per_Clase="Administración")*Sal_V*INDEX(Dot_V,0,MIN(10,CU$147))*((Per_Mon="PYG")*CU$149+(Per_Mon&lt;&gt;"PYG")))*(CU$145+CU$146*V_PreInd)*INDEX(IdxSal_V,1,MIN(10,CU$147))*(1+V_Cargas)+CU$185*V_Alim*CU$149</f>
        <v>8959.98771891781</v>
      </c>
      <c r="CV186" s="34" t="n">
        <f aca="false">SUMPRODUCT((Per_Clase="Administración")*Sal_V*INDEX(Dot_V,0,MIN(10,CV$147))*((Per_Mon="PYG")*CV$149+(Per_Mon&lt;&gt;"PYG")))*(CV$145+CV$146*V_PreInd)*INDEX(IdxSal_V,1,MIN(10,CV$147))*(1+V_Cargas)+CV$185*V_Alim*CV$149</f>
        <v>8959.98771891781</v>
      </c>
      <c r="CW186" s="34" t="n">
        <f aca="false">SUMPRODUCT((Per_Clase="Administración")*Sal_V*INDEX(Dot_V,0,MIN(10,CW$147))*((Per_Mon="PYG")*CW$149+(Per_Mon&lt;&gt;"PYG")))*(CW$145+CW$146*V_PreInd)*INDEX(IdxSal_V,1,MIN(10,CW$147))*(1+V_Cargas)+CW$185*V_Alim*CW$149</f>
        <v>8959.98771891781</v>
      </c>
      <c r="CX186" s="34" t="n">
        <f aca="false">SUMPRODUCT((Per_Clase="Administración")*Sal_V*INDEX(Dot_V,0,MIN(10,CX$147))*((Per_Mon="PYG")*CX$149+(Per_Mon&lt;&gt;"PYG")))*(CX$145+CX$146*V_PreInd)*INDEX(IdxSal_V,1,MIN(10,CX$147))*(1+V_Cargas)+CX$185*V_Alim*CX$149</f>
        <v>8959.98771891781</v>
      </c>
      <c r="CY186" s="34" t="n">
        <f aca="false">SUMPRODUCT((Per_Clase="Administración")*Sal_V*INDEX(Dot_V,0,MIN(10,CY$147))*((Per_Mon="PYG")*CY$149+(Per_Mon&lt;&gt;"PYG")))*(CY$145+CY$146*V_PreInd)*INDEX(IdxSal_V,1,MIN(10,CY$147))*(1+V_Cargas)+CY$185*V_Alim*CY$149</f>
        <v>8959.98771891781</v>
      </c>
      <c r="CZ186" s="34" t="n">
        <f aca="false">SUMPRODUCT((Per_Clase="Administración")*Sal_V*INDEX(Dot_V,0,MIN(10,CZ$147))*((Per_Mon="PYG")*CZ$149+(Per_Mon&lt;&gt;"PYG")))*(CZ$145+CZ$146*V_PreInd)*INDEX(IdxSal_V,1,MIN(10,CZ$147))*(1+V_Cargas)+CZ$185*V_Alim*CZ$149</f>
        <v>8959.98771891781</v>
      </c>
      <c r="DA186" s="34" t="n">
        <f aca="false">SUMPRODUCT((Per_Clase="Administración")*Sal_V*INDEX(Dot_V,0,MIN(10,DA$147))*((Per_Mon="PYG")*DA$149+(Per_Mon&lt;&gt;"PYG")))*(DA$145+DA$146*V_PreInd)*INDEX(IdxSal_V,1,MIN(10,DA$147))*(1+V_Cargas)+DA$185*V_Alim*DA$149</f>
        <v>8959.98771891781</v>
      </c>
      <c r="DB186" s="34" t="n">
        <f aca="false">SUMPRODUCT((Per_Clase="Administración")*Sal_V*INDEX(Dot_V,0,MIN(10,DB$147))*((Per_Mon="PYG")*DB$149+(Per_Mon&lt;&gt;"PYG")))*(DB$145+DB$146*V_PreInd)*INDEX(IdxSal_V,1,MIN(10,DB$147))*(1+V_Cargas)+DB$185*V_Alim*DB$149</f>
        <v>8959.98771891781</v>
      </c>
      <c r="DC186" s="34" t="n">
        <f aca="false">SUMPRODUCT((Per_Clase="Administración")*Sal_V*INDEX(Dot_V,0,MIN(10,DC$147))*((Per_Mon="PYG")*DC$149+(Per_Mon&lt;&gt;"PYG")))*(DC$145+DC$146*V_PreInd)*INDEX(IdxSal_V,1,MIN(10,DC$147))*(1+V_Cargas)+DC$185*V_Alim*DC$149</f>
        <v>8959.98771891781</v>
      </c>
      <c r="DD186" s="34" t="n">
        <f aca="false">SUMPRODUCT((Per_Clase="Administración")*Sal_V*INDEX(Dot_V,0,MIN(10,DD$147))*((Per_Mon="PYG")*DD$149+(Per_Mon&lt;&gt;"PYG")))*(DD$145+DD$146*V_PreInd)*INDEX(IdxSal_V,1,MIN(10,DD$147))*(1+V_Cargas)+DD$185*V_Alim*DD$149</f>
        <v>8959.98771891781</v>
      </c>
      <c r="DE186" s="34" t="n">
        <f aca="false">SUMPRODUCT((Per_Clase="Administración")*Sal_V*INDEX(Dot_V,0,MIN(10,DE$147))*((Per_Mon="PYG")*DE$149+(Per_Mon&lt;&gt;"PYG")))*(DE$145+DE$146*V_PreInd)*INDEX(IdxSal_V,1,MIN(10,DE$147))*(1+V_Cargas)+DE$185*V_Alim*DE$149</f>
        <v>8959.98771891781</v>
      </c>
      <c r="DF186" s="34" t="n">
        <f aca="false">SUMPRODUCT((Per_Clase="Administración")*Sal_V*INDEX(Dot_V,0,MIN(10,DF$147))*((Per_Mon="PYG")*DF$149+(Per_Mon&lt;&gt;"PYG")))*(DF$145+DF$146*V_PreInd)*INDEX(IdxSal_V,1,MIN(10,DF$147))*(1+V_Cargas)+DF$185*V_Alim*DF$149</f>
        <v>8959.98771891781</v>
      </c>
      <c r="DG186" s="34" t="n">
        <f aca="false">SUMPRODUCT((Per_Clase="Administración")*Sal_V*INDEX(Dot_V,0,MIN(10,DG$147))*((Per_Mon="PYG")*DG$149+(Per_Mon&lt;&gt;"PYG")))*(DG$145+DG$146*V_PreInd)*INDEX(IdxSal_V,1,MIN(10,DG$147))*(1+V_Cargas)+DG$185*V_Alim*DG$149</f>
        <v>8959.98771891781</v>
      </c>
      <c r="DH186" s="34" t="n">
        <f aca="false">SUMPRODUCT((Per_Clase="Administración")*Sal_V*INDEX(Dot_V,0,MIN(10,DH$147))*((Per_Mon="PYG")*DH$149+(Per_Mon&lt;&gt;"PYG")))*(DH$145+DH$146*V_PreInd)*INDEX(IdxSal_V,1,MIN(10,DH$147))*(1+V_Cargas)+DH$185*V_Alim*DH$149</f>
        <v>8959.98771891781</v>
      </c>
      <c r="DI186" s="34" t="n">
        <f aca="false">SUMPRODUCT((Per_Clase="Administración")*Sal_V*INDEX(Dot_V,0,MIN(10,DI$147))*((Per_Mon="PYG")*DI$149+(Per_Mon&lt;&gt;"PYG")))*(DI$145+DI$146*V_PreInd)*INDEX(IdxSal_V,1,MIN(10,DI$147))*(1+V_Cargas)+DI$185*V_Alim*DI$149</f>
        <v>8959.98771891781</v>
      </c>
      <c r="DJ186" s="34" t="n">
        <f aca="false">SUMPRODUCT((Per_Clase="Administración")*Sal_V*INDEX(Dot_V,0,MIN(10,DJ$147))*((Per_Mon="PYG")*DJ$149+(Per_Mon&lt;&gt;"PYG")))*(DJ$145+DJ$146*V_PreInd)*INDEX(IdxSal_V,1,MIN(10,DJ$147))*(1+V_Cargas)+DJ$185*V_Alim*DJ$149</f>
        <v>8959.98771891781</v>
      </c>
      <c r="DK186" s="34" t="n">
        <f aca="false">SUMPRODUCT((Per_Clase="Administración")*Sal_V*INDEX(Dot_V,0,MIN(10,DK$147))*((Per_Mon="PYG")*DK$149+(Per_Mon&lt;&gt;"PYG")))*(DK$145+DK$146*V_PreInd)*INDEX(IdxSal_V,1,MIN(10,DK$147))*(1+V_Cargas)+DK$185*V_Alim*DK$149</f>
        <v>8959.98771891781</v>
      </c>
      <c r="DL186" s="34" t="n">
        <f aca="false">SUMPRODUCT((Per_Clase="Administración")*Sal_V*INDEX(Dot_V,0,MIN(10,DL$147))*((Per_Mon="PYG")*DL$149+(Per_Mon&lt;&gt;"PYG")))*(DL$145+DL$146*V_PreInd)*INDEX(IdxSal_V,1,MIN(10,DL$147))*(1+V_Cargas)+DL$185*V_Alim*DL$149</f>
        <v>8959.98771891781</v>
      </c>
      <c r="DM186" s="34" t="n">
        <f aca="false">SUMPRODUCT((Per_Clase="Administración")*Sal_V*INDEX(Dot_V,0,MIN(10,DM$147))*((Per_Mon="PYG")*DM$149+(Per_Mon&lt;&gt;"PYG")))*(DM$145+DM$146*V_PreInd)*INDEX(IdxSal_V,1,MIN(10,DM$147))*(1+V_Cargas)+DM$185*V_Alim*DM$149</f>
        <v>8959.98771891781</v>
      </c>
      <c r="DN186" s="34" t="n">
        <f aca="false">SUMPRODUCT((Per_Clase="Administración")*Sal_V*INDEX(Dot_V,0,MIN(10,DN$147))*((Per_Mon="PYG")*DN$149+(Per_Mon&lt;&gt;"PYG")))*(DN$145+DN$146*V_PreInd)*INDEX(IdxSal_V,1,MIN(10,DN$147))*(1+V_Cargas)+DN$185*V_Alim*DN$149</f>
        <v>8959.98771891781</v>
      </c>
      <c r="DO186" s="34" t="n">
        <f aca="false">SUMPRODUCT((Per_Clase="Administración")*Sal_V*INDEX(Dot_V,0,MIN(10,DO$147))*((Per_Mon="PYG")*DO$149+(Per_Mon&lt;&gt;"PYG")))*(DO$145+DO$146*V_PreInd)*INDEX(IdxSal_V,1,MIN(10,DO$147))*(1+V_Cargas)+DO$185*V_Alim*DO$149</f>
        <v>8959.98771891781</v>
      </c>
      <c r="DP186" s="34" t="n">
        <f aca="false">SUMPRODUCT((Per_Clase="Administración")*Sal_V*INDEX(Dot_V,0,MIN(10,DP$147))*((Per_Mon="PYG")*DP$149+(Per_Mon&lt;&gt;"PYG")))*(DP$145+DP$146*V_PreInd)*INDEX(IdxSal_V,1,MIN(10,DP$147))*(1+V_Cargas)+DP$185*V_Alim*DP$149</f>
        <v>8959.98771891781</v>
      </c>
      <c r="DQ186" s="34" t="n">
        <f aca="false">SUMPRODUCT((Per_Clase="Administración")*Sal_V*INDEX(Dot_V,0,MIN(10,DQ$147))*((Per_Mon="PYG")*DQ$149+(Per_Mon&lt;&gt;"PYG")))*(DQ$145+DQ$146*V_PreInd)*INDEX(IdxSal_V,1,MIN(10,DQ$147))*(1+V_Cargas)+DQ$185*V_Alim*DQ$149</f>
        <v>8959.98771891781</v>
      </c>
      <c r="DR186" s="34" t="n">
        <f aca="false">SUMPRODUCT((Per_Clase="Administración")*Sal_V*INDEX(Dot_V,0,MIN(10,DR$147))*((Per_Mon="PYG")*DR$149+(Per_Mon&lt;&gt;"PYG")))*(DR$145+DR$146*V_PreInd)*INDEX(IdxSal_V,1,MIN(10,DR$147))*(1+V_Cargas)+DR$185*V_Alim*DR$149</f>
        <v>8959.98771891781</v>
      </c>
      <c r="DS186" s="34" t="n">
        <f aca="false">SUMPRODUCT((Per_Clase="Administración")*Sal_V*INDEX(Dot_V,0,MIN(10,DS$147))*((Per_Mon="PYG")*DS$149+(Per_Mon&lt;&gt;"PYG")))*(DS$145+DS$146*V_PreInd)*INDEX(IdxSal_V,1,MIN(10,DS$147))*(1+V_Cargas)+DS$185*V_Alim*DS$149</f>
        <v>8959.98771891781</v>
      </c>
      <c r="DT186" s="34" t="n">
        <f aca="false">SUMPRODUCT((Per_Clase="Administración")*Sal_V*INDEX(Dot_V,0,MIN(10,DT$147))*((Per_Mon="PYG")*DT$149+(Per_Mon&lt;&gt;"PYG")))*(DT$145+DT$146*V_PreInd)*INDEX(IdxSal_V,1,MIN(10,DT$147))*(1+V_Cargas)+DT$185*V_Alim*DT$149</f>
        <v>8959.98771891781</v>
      </c>
      <c r="DU186" s="34" t="n">
        <f aca="false">SUMPRODUCT((Per_Clase="Administración")*Sal_V*INDEX(Dot_V,0,MIN(10,DU$147))*((Per_Mon="PYG")*DU$149+(Per_Mon&lt;&gt;"PYG")))*(DU$145+DU$146*V_PreInd)*INDEX(IdxSal_V,1,MIN(10,DU$147))*(1+V_Cargas)+DU$185*V_Alim*DU$149</f>
        <v>8959.98771891781</v>
      </c>
      <c r="DV186" s="34" t="n">
        <f aca="false">SUMPRODUCT((Per_Clase="Administración")*Sal_V*INDEX(Dot_V,0,MIN(10,DV$147))*((Per_Mon="PYG")*DV$149+(Per_Mon&lt;&gt;"PYG")))*(DV$145+DV$146*V_PreInd)*INDEX(IdxSal_V,1,MIN(10,DV$147))*(1+V_Cargas)+DV$185*V_Alim*DV$149</f>
        <v>0</v>
      </c>
      <c r="DW186" s="34" t="n">
        <f aca="false">SUMPRODUCT((Per_Clase="Administración")*Sal_V*INDEX(Dot_V,0,MIN(10,DW$147))*((Per_Mon="PYG")*DW$149+(Per_Mon&lt;&gt;"PYG")))*(DW$145+DW$146*V_PreInd)*INDEX(IdxSal_V,1,MIN(10,DW$147))*(1+V_Cargas)+DW$185*V_Alim*DW$149</f>
        <v>0</v>
      </c>
      <c r="DX186" s="34" t="n">
        <f aca="false">SUMPRODUCT((Per_Clase="Administración")*Sal_V*INDEX(Dot_V,0,MIN(10,DX$147))*((Per_Mon="PYG")*DX$149+(Per_Mon&lt;&gt;"PYG")))*(DX$145+DX$146*V_PreInd)*INDEX(IdxSal_V,1,MIN(10,DX$147))*(1+V_Cargas)+DX$185*V_Alim*DX$149</f>
        <v>0</v>
      </c>
      <c r="DY186" s="34" t="n">
        <f aca="false">SUMPRODUCT((Per_Clase="Administración")*Sal_V*INDEX(Dot_V,0,MIN(10,DY$147))*((Per_Mon="PYG")*DY$149+(Per_Mon&lt;&gt;"PYG")))*(DY$145+DY$146*V_PreInd)*INDEX(IdxSal_V,1,MIN(10,DY$147))*(1+V_Cargas)+DY$185*V_Alim*DY$149</f>
        <v>0</v>
      </c>
      <c r="DZ186" s="34" t="n">
        <f aca="false">SUMPRODUCT((Per_Clase="Administración")*Sal_V*INDEX(Dot_V,0,MIN(10,DZ$147))*((Per_Mon="PYG")*DZ$149+(Per_Mon&lt;&gt;"PYG")))*(DZ$145+DZ$146*V_PreInd)*INDEX(IdxSal_V,1,MIN(10,DZ$147))*(1+V_Cargas)+DZ$185*V_Alim*DZ$149</f>
        <v>0</v>
      </c>
      <c r="EA186" s="34" t="n">
        <f aca="false">SUMPRODUCT((Per_Clase="Administración")*Sal_V*INDEX(Dot_V,0,MIN(10,EA$147))*((Per_Mon="PYG")*EA$149+(Per_Mon&lt;&gt;"PYG")))*(EA$145+EA$146*V_PreInd)*INDEX(IdxSal_V,1,MIN(10,EA$147))*(1+V_Cargas)+EA$185*V_Alim*EA$149</f>
        <v>0</v>
      </c>
      <c r="EB186" s="34" t="n">
        <f aca="false">SUMPRODUCT((Per_Clase="Administración")*Sal_V*INDEX(Dot_V,0,MIN(10,EB$147))*((Per_Mon="PYG")*EB$149+(Per_Mon&lt;&gt;"PYG")))*(EB$145+EB$146*V_PreInd)*INDEX(IdxSal_V,1,MIN(10,EB$147))*(1+V_Cargas)+EB$185*V_Alim*EB$149</f>
        <v>0</v>
      </c>
      <c r="EC186" s="34" t="n">
        <f aca="false">SUMPRODUCT((Per_Clase="Administración")*Sal_V*INDEX(Dot_V,0,MIN(10,EC$147))*((Per_Mon="PYG")*EC$149+(Per_Mon&lt;&gt;"PYG")))*(EC$145+EC$146*V_PreInd)*INDEX(IdxSal_V,1,MIN(10,EC$147))*(1+V_Cargas)+EC$185*V_Alim*EC$149</f>
        <v>0</v>
      </c>
      <c r="ED186" s="34" t="n">
        <f aca="false">SUMPRODUCT((Per_Clase="Administración")*Sal_V*INDEX(Dot_V,0,MIN(10,ED$147))*((Per_Mon="PYG")*ED$149+(Per_Mon&lt;&gt;"PYG")))*(ED$145+ED$146*V_PreInd)*INDEX(IdxSal_V,1,MIN(10,ED$147))*(1+V_Cargas)+ED$185*V_Alim*ED$149</f>
        <v>0</v>
      </c>
      <c r="EE186" s="34" t="n">
        <f aca="false">SUMPRODUCT((Per_Clase="Administración")*Sal_V*INDEX(Dot_V,0,MIN(10,EE$147))*((Per_Mon="PYG")*EE$149+(Per_Mon&lt;&gt;"PYG")))*(EE$145+EE$146*V_PreInd)*INDEX(IdxSal_V,1,MIN(10,EE$147))*(1+V_Cargas)+EE$185*V_Alim*EE$149</f>
        <v>0</v>
      </c>
      <c r="EF186" s="34" t="n">
        <f aca="false">SUMPRODUCT((Per_Clase="Administración")*Sal_V*INDEX(Dot_V,0,MIN(10,EF$147))*((Per_Mon="PYG")*EF$149+(Per_Mon&lt;&gt;"PYG")))*(EF$145+EF$146*V_PreInd)*INDEX(IdxSal_V,1,MIN(10,EF$147))*(1+V_Cargas)+EF$185*V_Alim*EF$149</f>
        <v>0</v>
      </c>
      <c r="EG186" s="34" t="n">
        <f aca="false">SUMPRODUCT((Per_Clase="Administración")*Sal_V*INDEX(Dot_V,0,MIN(10,EG$147))*((Per_Mon="PYG")*EG$149+(Per_Mon&lt;&gt;"PYG")))*(EG$145+EG$146*V_PreInd)*INDEX(IdxSal_V,1,MIN(10,EG$147))*(1+V_Cargas)+EG$185*V_Alim*EG$149</f>
        <v>0</v>
      </c>
      <c r="EH186" s="34" t="n">
        <f aca="false">SUMPRODUCT((Per_Clase="Administración")*Sal_V*INDEX(Dot_V,0,MIN(10,EH$147))*((Per_Mon="PYG")*EH$149+(Per_Mon&lt;&gt;"PYG")))*(EH$145+EH$146*V_PreInd)*INDEX(IdxSal_V,1,MIN(10,EH$147))*(1+V_Cargas)+EH$185*V_Alim*EH$149</f>
        <v>0</v>
      </c>
      <c r="EI186" s="34" t="n">
        <f aca="false">SUMPRODUCT((Per_Clase="Administración")*Sal_V*INDEX(Dot_V,0,MIN(10,EI$147))*((Per_Mon="PYG")*EI$149+(Per_Mon&lt;&gt;"PYG")))*(EI$145+EI$146*V_PreInd)*INDEX(IdxSal_V,1,MIN(10,EI$147))*(1+V_Cargas)+EI$185*V_Alim*EI$149</f>
        <v>0</v>
      </c>
      <c r="EJ186" s="34" t="n">
        <f aca="false">SUMPRODUCT((Per_Clase="Administración")*Sal_V*INDEX(Dot_V,0,MIN(10,EJ$147))*((Per_Mon="PYG")*EJ$149+(Per_Mon&lt;&gt;"PYG")))*(EJ$145+EJ$146*V_PreInd)*INDEX(IdxSal_V,1,MIN(10,EJ$147))*(1+V_Cargas)+EJ$185*V_Alim*EJ$149</f>
        <v>0</v>
      </c>
      <c r="EK186" s="34" t="n">
        <f aca="false">SUMPRODUCT((Per_Clase="Administración")*Sal_V*INDEX(Dot_V,0,MIN(10,EK$147))*((Per_Mon="PYG")*EK$149+(Per_Mon&lt;&gt;"PYG")))*(EK$145+EK$146*V_PreInd)*INDEX(IdxSal_V,1,MIN(10,EK$147))*(1+V_Cargas)+EK$185*V_Alim*EK$149</f>
        <v>0</v>
      </c>
      <c r="EL186" s="34" t="n">
        <f aca="false">SUMPRODUCT((Per_Clase="Administración")*Sal_V*INDEX(Dot_V,0,MIN(10,EL$147))*((Per_Mon="PYG")*EL$149+(Per_Mon&lt;&gt;"PYG")))*(EL$145+EL$146*V_PreInd)*INDEX(IdxSal_V,1,MIN(10,EL$147))*(1+V_Cargas)+EL$185*V_Alim*EL$149</f>
        <v>0</v>
      </c>
      <c r="EM186" s="34" t="n">
        <f aca="false">SUMPRODUCT((Per_Clase="Administración")*Sal_V*INDEX(Dot_V,0,MIN(10,EM$147))*((Per_Mon="PYG")*EM$149+(Per_Mon&lt;&gt;"PYG")))*(EM$145+EM$146*V_PreInd)*INDEX(IdxSal_V,1,MIN(10,EM$147))*(1+V_Cargas)+EM$185*V_Alim*EM$149</f>
        <v>0</v>
      </c>
      <c r="EN186" s="34" t="n">
        <f aca="false">SUMPRODUCT((Per_Clase="Administración")*Sal_V*INDEX(Dot_V,0,MIN(10,EN$147))*((Per_Mon="PYG")*EN$149+(Per_Mon&lt;&gt;"PYG")))*(EN$145+EN$146*V_PreInd)*INDEX(IdxSal_V,1,MIN(10,EN$147))*(1+V_Cargas)+EN$185*V_Alim*EN$149</f>
        <v>0</v>
      </c>
      <c r="EO186" s="34" t="n">
        <f aca="false">SUMPRODUCT((Per_Clase="Administración")*Sal_V*INDEX(Dot_V,0,MIN(10,EO$147))*((Per_Mon="PYG")*EO$149+(Per_Mon&lt;&gt;"PYG")))*(EO$145+EO$146*V_PreInd)*INDEX(IdxSal_V,1,MIN(10,EO$147))*(1+V_Cargas)+EO$185*V_Alim*EO$149</f>
        <v>0</v>
      </c>
      <c r="EP186" s="34" t="n">
        <f aca="false">SUMPRODUCT((Per_Clase="Administración")*Sal_V*INDEX(Dot_V,0,MIN(10,EP$147))*((Per_Mon="PYG")*EP$149+(Per_Mon&lt;&gt;"PYG")))*(EP$145+EP$146*V_PreInd)*INDEX(IdxSal_V,1,MIN(10,EP$147))*(1+V_Cargas)+EP$185*V_Alim*EP$149</f>
        <v>0</v>
      </c>
      <c r="EQ186" s="34" t="n">
        <f aca="false">SUMPRODUCT((Per_Clase="Administración")*Sal_V*INDEX(Dot_V,0,MIN(10,EQ$147))*((Per_Mon="PYG")*EQ$149+(Per_Mon&lt;&gt;"PYG")))*(EQ$145+EQ$146*V_PreInd)*INDEX(IdxSal_V,1,MIN(10,EQ$147))*(1+V_Cargas)+EQ$185*V_Alim*EQ$149</f>
        <v>0</v>
      </c>
      <c r="ER186" s="34" t="n">
        <f aca="false">SUMPRODUCT((Per_Clase="Administración")*Sal_V*INDEX(Dot_V,0,MIN(10,ER$147))*((Per_Mon="PYG")*ER$149+(Per_Mon&lt;&gt;"PYG")))*(ER$145+ER$146*V_PreInd)*INDEX(IdxSal_V,1,MIN(10,ER$147))*(1+V_Cargas)+ER$185*V_Alim*ER$149</f>
        <v>0</v>
      </c>
      <c r="ES186" s="34" t="n">
        <f aca="false">SUMPRODUCT((Per_Clase="Administración")*Sal_V*INDEX(Dot_V,0,MIN(10,ES$147))*((Per_Mon="PYG")*ES$149+(Per_Mon&lt;&gt;"PYG")))*(ES$145+ES$146*V_PreInd)*INDEX(IdxSal_V,1,MIN(10,ES$147))*(1+V_Cargas)+ES$185*V_Alim*ES$149</f>
        <v>0</v>
      </c>
    </row>
    <row r="187" customFormat="false" ht="15" hidden="false" customHeight="false" outlineLevel="0" collapsed="false">
      <c r="A187" s="2" t="s">
        <v>802</v>
      </c>
      <c r="B187" s="6" t="s">
        <v>607</v>
      </c>
      <c r="C187" s="6" t="s">
        <v>250</v>
      </c>
      <c r="E187" s="40" t="n">
        <f aca="false">SUM(F187:ES187)</f>
        <v>522395.342346116</v>
      </c>
      <c r="F187" s="34" t="n">
        <f aca="false">V_Pkg*(F$177+F$178+F$179+F$182)</f>
        <v>2756.29058797123</v>
      </c>
      <c r="G187" s="34" t="n">
        <f aca="false">V_Pkg*(G$177+G$178+G$179+G$182)</f>
        <v>2756.29058797123</v>
      </c>
      <c r="H187" s="34" t="n">
        <f aca="false">V_Pkg*(H$177+H$178+H$179+H$182)</f>
        <v>2756.29058797123</v>
      </c>
      <c r="I187" s="34" t="n">
        <f aca="false">V_Pkg*(I$177+I$178+I$179+I$182)</f>
        <v>2756.29058797123</v>
      </c>
      <c r="J187" s="34" t="n">
        <f aca="false">V_Pkg*(J$177+J$178+J$179+J$182)</f>
        <v>2756.29058797123</v>
      </c>
      <c r="K187" s="34" t="n">
        <f aca="false">V_Pkg*(K$177+K$178+K$179+K$182)</f>
        <v>2756.29058797123</v>
      </c>
      <c r="L187" s="34" t="n">
        <f aca="false">V_Pkg*(L$177+L$178+L$179+L$182)</f>
        <v>2756.29058797123</v>
      </c>
      <c r="M187" s="34" t="n">
        <f aca="false">V_Pkg*(M$177+M$178+M$179+M$182)</f>
        <v>2756.29058797123</v>
      </c>
      <c r="N187" s="34" t="n">
        <f aca="false">V_Pkg*(N$177+N$178+N$179+N$182)</f>
        <v>2756.29058797123</v>
      </c>
      <c r="O187" s="34" t="n">
        <f aca="false">V_Pkg*(O$177+O$178+O$179+O$182)</f>
        <v>2756.29058797123</v>
      </c>
      <c r="P187" s="34" t="n">
        <f aca="false">V_Pkg*(P$177+P$178+P$179+P$182)</f>
        <v>2756.29058797123</v>
      </c>
      <c r="Q187" s="34" t="n">
        <f aca="false">V_Pkg*(Q$177+Q$178+Q$179+Q$182)</f>
        <v>2756.29058797123</v>
      </c>
      <c r="R187" s="34" t="n">
        <f aca="false">V_Pkg*(R$177+R$178+R$179+R$182)</f>
        <v>3410.92767047123</v>
      </c>
      <c r="S187" s="34" t="n">
        <f aca="false">V_Pkg*(S$177+S$178+S$179+S$182)</f>
        <v>3410.92767047123</v>
      </c>
      <c r="T187" s="34" t="n">
        <f aca="false">V_Pkg*(T$177+T$178+T$179+T$182)</f>
        <v>3410.92767047123</v>
      </c>
      <c r="U187" s="34" t="n">
        <f aca="false">V_Pkg*(U$177+U$178+U$179+U$182)</f>
        <v>3410.92767047123</v>
      </c>
      <c r="V187" s="34" t="n">
        <f aca="false">V_Pkg*(V$177+V$178+V$179+V$182)</f>
        <v>3410.92767047123</v>
      </c>
      <c r="W187" s="34" t="n">
        <f aca="false">V_Pkg*(W$177+W$178+W$179+W$182)</f>
        <v>3410.92767047123</v>
      </c>
      <c r="X187" s="34" t="n">
        <f aca="false">V_Pkg*(X$177+X$178+X$179+X$182)</f>
        <v>3410.92767047123</v>
      </c>
      <c r="Y187" s="34" t="n">
        <f aca="false">V_Pkg*(Y$177+Y$178+Y$179+Y$182)</f>
        <v>3410.92767047123</v>
      </c>
      <c r="Z187" s="34" t="n">
        <f aca="false">V_Pkg*(Z$177+Z$178+Z$179+Z$182)</f>
        <v>3410.92767047123</v>
      </c>
      <c r="AA187" s="34" t="n">
        <f aca="false">V_Pkg*(AA$177+AA$178+AA$179+AA$182)</f>
        <v>3410.92767047123</v>
      </c>
      <c r="AB187" s="34" t="n">
        <f aca="false">V_Pkg*(AB$177+AB$178+AB$179+AB$182)</f>
        <v>3410.92767047123</v>
      </c>
      <c r="AC187" s="34" t="n">
        <f aca="false">V_Pkg*(AC$177+AC$178+AC$179+AC$182)</f>
        <v>3410.92767047123</v>
      </c>
      <c r="AD187" s="34" t="n">
        <f aca="false">V_Pkg*(AD$177+AD$178+AD$179+AD$182)</f>
        <v>4098.81333140891</v>
      </c>
      <c r="AE187" s="34" t="n">
        <f aca="false">V_Pkg*(AE$177+AE$178+AE$179+AE$182)</f>
        <v>4098.81333140891</v>
      </c>
      <c r="AF187" s="34" t="n">
        <f aca="false">V_Pkg*(AF$177+AF$178+AF$179+AF$182)</f>
        <v>4098.81333140891</v>
      </c>
      <c r="AG187" s="34" t="n">
        <f aca="false">V_Pkg*(AG$177+AG$178+AG$179+AG$182)</f>
        <v>4098.81333140891</v>
      </c>
      <c r="AH187" s="34" t="n">
        <f aca="false">V_Pkg*(AH$177+AH$178+AH$179+AH$182)</f>
        <v>4098.81333140891</v>
      </c>
      <c r="AI187" s="34" t="n">
        <f aca="false">V_Pkg*(AI$177+AI$178+AI$179+AI$182)</f>
        <v>4098.81333140891</v>
      </c>
      <c r="AJ187" s="34" t="n">
        <f aca="false">V_Pkg*(AJ$177+AJ$178+AJ$179+AJ$182)</f>
        <v>4098.81333140891</v>
      </c>
      <c r="AK187" s="34" t="n">
        <f aca="false">V_Pkg*(AK$177+AK$178+AK$179+AK$182)</f>
        <v>4098.81333140891</v>
      </c>
      <c r="AL187" s="34" t="n">
        <f aca="false">V_Pkg*(AL$177+AL$178+AL$179+AL$182)</f>
        <v>4098.81333140891</v>
      </c>
      <c r="AM187" s="34" t="n">
        <f aca="false">V_Pkg*(AM$177+AM$178+AM$179+AM$182)</f>
        <v>4098.81333140891</v>
      </c>
      <c r="AN187" s="34" t="n">
        <f aca="false">V_Pkg*(AN$177+AN$178+AN$179+AN$182)</f>
        <v>4098.81333140891</v>
      </c>
      <c r="AO187" s="34" t="n">
        <f aca="false">V_Pkg*(AO$177+AO$178+AO$179+AO$182)</f>
        <v>4098.81333140891</v>
      </c>
      <c r="AP187" s="34" t="n">
        <f aca="false">V_Pkg*(AP$177+AP$178+AP$179+AP$182)</f>
        <v>4661.52810532788</v>
      </c>
      <c r="AQ187" s="34" t="n">
        <f aca="false">V_Pkg*(AQ$177+AQ$178+AQ$179+AQ$182)</f>
        <v>4661.52810532788</v>
      </c>
      <c r="AR187" s="34" t="n">
        <f aca="false">V_Pkg*(AR$177+AR$178+AR$179+AR$182)</f>
        <v>4661.52810532788</v>
      </c>
      <c r="AS187" s="34" t="n">
        <f aca="false">V_Pkg*(AS$177+AS$178+AS$179+AS$182)</f>
        <v>4661.52810532788</v>
      </c>
      <c r="AT187" s="34" t="n">
        <f aca="false">V_Pkg*(AT$177+AT$178+AT$179+AT$182)</f>
        <v>4661.52810532788</v>
      </c>
      <c r="AU187" s="34" t="n">
        <f aca="false">V_Pkg*(AU$177+AU$178+AU$179+AU$182)</f>
        <v>4661.52810532788</v>
      </c>
      <c r="AV187" s="34" t="n">
        <f aca="false">V_Pkg*(AV$177+AV$178+AV$179+AV$182)</f>
        <v>4661.52810532788</v>
      </c>
      <c r="AW187" s="34" t="n">
        <f aca="false">V_Pkg*(AW$177+AW$178+AW$179+AW$182)</f>
        <v>4661.52810532788</v>
      </c>
      <c r="AX187" s="34" t="n">
        <f aca="false">V_Pkg*(AX$177+AX$178+AX$179+AX$182)</f>
        <v>4661.52810532788</v>
      </c>
      <c r="AY187" s="34" t="n">
        <f aca="false">V_Pkg*(AY$177+AY$178+AY$179+AY$182)</f>
        <v>4661.52810532788</v>
      </c>
      <c r="AZ187" s="34" t="n">
        <f aca="false">V_Pkg*(AZ$177+AZ$178+AZ$179+AZ$182)</f>
        <v>4661.52810532788</v>
      </c>
      <c r="BA187" s="34" t="n">
        <f aca="false">V_Pkg*(BA$177+BA$178+BA$179+BA$182)</f>
        <v>4661.52810532788</v>
      </c>
      <c r="BB187" s="34" t="n">
        <f aca="false">V_Pkg*(BB$177+BB$178+BB$179+BB$182)</f>
        <v>4709.89502646909</v>
      </c>
      <c r="BC187" s="34" t="n">
        <f aca="false">V_Pkg*(BC$177+BC$178+BC$179+BC$182)</f>
        <v>4709.89502646909</v>
      </c>
      <c r="BD187" s="34" t="n">
        <f aca="false">V_Pkg*(BD$177+BD$178+BD$179+BD$182)</f>
        <v>4709.89502646909</v>
      </c>
      <c r="BE187" s="34" t="n">
        <f aca="false">V_Pkg*(BE$177+BE$178+BE$179+BE$182)</f>
        <v>4709.89502646909</v>
      </c>
      <c r="BF187" s="34" t="n">
        <f aca="false">V_Pkg*(BF$177+BF$178+BF$179+BF$182)</f>
        <v>4709.89502646909</v>
      </c>
      <c r="BG187" s="34" t="n">
        <f aca="false">V_Pkg*(BG$177+BG$178+BG$179+BG$182)</f>
        <v>4709.89502646909</v>
      </c>
      <c r="BH187" s="34" t="n">
        <f aca="false">V_Pkg*(BH$177+BH$178+BH$179+BH$182)</f>
        <v>4709.89502646909</v>
      </c>
      <c r="BI187" s="34" t="n">
        <f aca="false">V_Pkg*(BI$177+BI$178+BI$179+BI$182)</f>
        <v>4709.89502646909</v>
      </c>
      <c r="BJ187" s="34" t="n">
        <f aca="false">V_Pkg*(BJ$177+BJ$178+BJ$179+BJ$182)</f>
        <v>4709.89502646909</v>
      </c>
      <c r="BK187" s="34" t="n">
        <f aca="false">V_Pkg*(BK$177+BK$178+BK$179+BK$182)</f>
        <v>4709.89502646909</v>
      </c>
      <c r="BL187" s="34" t="n">
        <f aca="false">V_Pkg*(BL$177+BL$178+BL$179+BL$182)</f>
        <v>4709.89502646909</v>
      </c>
      <c r="BM187" s="34" t="n">
        <f aca="false">V_Pkg*(BM$177+BM$178+BM$179+BM$182)</f>
        <v>4709.89502646909</v>
      </c>
      <c r="BN187" s="34" t="n">
        <f aca="false">V_Pkg*(BN$177+BN$178+BN$179+BN$182)</f>
        <v>4732.65693843283</v>
      </c>
      <c r="BO187" s="34" t="n">
        <f aca="false">V_Pkg*(BO$177+BO$178+BO$179+BO$182)</f>
        <v>4732.65693843283</v>
      </c>
      <c r="BP187" s="34" t="n">
        <f aca="false">V_Pkg*(BP$177+BP$178+BP$179+BP$182)</f>
        <v>4732.65693843283</v>
      </c>
      <c r="BQ187" s="34" t="n">
        <f aca="false">V_Pkg*(BQ$177+BQ$178+BQ$179+BQ$182)</f>
        <v>4732.65693843283</v>
      </c>
      <c r="BR187" s="34" t="n">
        <f aca="false">V_Pkg*(BR$177+BR$178+BR$179+BR$182)</f>
        <v>4732.65693843283</v>
      </c>
      <c r="BS187" s="34" t="n">
        <f aca="false">V_Pkg*(BS$177+BS$178+BS$179+BS$182)</f>
        <v>4732.65693843283</v>
      </c>
      <c r="BT187" s="34" t="n">
        <f aca="false">V_Pkg*(BT$177+BT$178+BT$179+BT$182)</f>
        <v>4732.65693843283</v>
      </c>
      <c r="BU187" s="34" t="n">
        <f aca="false">V_Pkg*(BU$177+BU$178+BU$179+BU$182)</f>
        <v>4732.65693843283</v>
      </c>
      <c r="BV187" s="34" t="n">
        <f aca="false">V_Pkg*(BV$177+BV$178+BV$179+BV$182)</f>
        <v>4732.65693843283</v>
      </c>
      <c r="BW187" s="34" t="n">
        <f aca="false">V_Pkg*(BW$177+BW$178+BW$179+BW$182)</f>
        <v>4732.65693843283</v>
      </c>
      <c r="BX187" s="34" t="n">
        <f aca="false">V_Pkg*(BX$177+BX$178+BX$179+BX$182)</f>
        <v>4732.65693843283</v>
      </c>
      <c r="BY187" s="34" t="n">
        <f aca="false">V_Pkg*(BY$177+BY$178+BY$179+BY$182)</f>
        <v>4732.65693843283</v>
      </c>
      <c r="BZ187" s="34" t="n">
        <f aca="false">V_Pkg*(BZ$177+BZ$178+BZ$179+BZ$182)</f>
        <v>4755.64646951621</v>
      </c>
      <c r="CA187" s="34" t="n">
        <f aca="false">V_Pkg*(CA$177+CA$178+CA$179+CA$182)</f>
        <v>4755.64646951621</v>
      </c>
      <c r="CB187" s="34" t="n">
        <f aca="false">V_Pkg*(CB$177+CB$178+CB$179+CB$182)</f>
        <v>4755.64646951621</v>
      </c>
      <c r="CC187" s="34" t="n">
        <f aca="false">V_Pkg*(CC$177+CC$178+CC$179+CC$182)</f>
        <v>4755.64646951621</v>
      </c>
      <c r="CD187" s="34" t="n">
        <f aca="false">V_Pkg*(CD$177+CD$178+CD$179+CD$182)</f>
        <v>4755.64646951621</v>
      </c>
      <c r="CE187" s="34" t="n">
        <f aca="false">V_Pkg*(CE$177+CE$178+CE$179+CE$182)</f>
        <v>4755.64646951621</v>
      </c>
      <c r="CF187" s="34" t="n">
        <f aca="false">V_Pkg*(CF$177+CF$178+CF$179+CF$182)</f>
        <v>4755.64646951621</v>
      </c>
      <c r="CG187" s="34" t="n">
        <f aca="false">V_Pkg*(CG$177+CG$178+CG$179+CG$182)</f>
        <v>4755.64646951621</v>
      </c>
      <c r="CH187" s="34" t="n">
        <f aca="false">V_Pkg*(CH$177+CH$178+CH$179+CH$182)</f>
        <v>4755.64646951621</v>
      </c>
      <c r="CI187" s="34" t="n">
        <f aca="false">V_Pkg*(CI$177+CI$178+CI$179+CI$182)</f>
        <v>4755.64646951621</v>
      </c>
      <c r="CJ187" s="34" t="n">
        <f aca="false">V_Pkg*(CJ$177+CJ$178+CJ$179+CJ$182)</f>
        <v>4755.64646951621</v>
      </c>
      <c r="CK187" s="34" t="n">
        <f aca="false">V_Pkg*(CK$177+CK$178+CK$179+CK$182)</f>
        <v>4755.64646951621</v>
      </c>
      <c r="CL187" s="34" t="n">
        <f aca="false">V_Pkg*(CL$177+CL$178+CL$179+CL$182)</f>
        <v>4778.86589591041</v>
      </c>
      <c r="CM187" s="34" t="n">
        <f aca="false">V_Pkg*(CM$177+CM$178+CM$179+CM$182)</f>
        <v>4778.86589591041</v>
      </c>
      <c r="CN187" s="34" t="n">
        <f aca="false">V_Pkg*(CN$177+CN$178+CN$179+CN$182)</f>
        <v>4778.86589591041</v>
      </c>
      <c r="CO187" s="34" t="n">
        <f aca="false">V_Pkg*(CO$177+CO$178+CO$179+CO$182)</f>
        <v>4778.86589591041</v>
      </c>
      <c r="CP187" s="34" t="n">
        <f aca="false">V_Pkg*(CP$177+CP$178+CP$179+CP$182)</f>
        <v>4778.86589591041</v>
      </c>
      <c r="CQ187" s="34" t="n">
        <f aca="false">V_Pkg*(CQ$177+CQ$178+CQ$179+CQ$182)</f>
        <v>4778.86589591041</v>
      </c>
      <c r="CR187" s="34" t="n">
        <f aca="false">V_Pkg*(CR$177+CR$178+CR$179+CR$182)</f>
        <v>4778.86589591041</v>
      </c>
      <c r="CS187" s="34" t="n">
        <f aca="false">V_Pkg*(CS$177+CS$178+CS$179+CS$182)</f>
        <v>4778.86589591041</v>
      </c>
      <c r="CT187" s="34" t="n">
        <f aca="false">V_Pkg*(CT$177+CT$178+CT$179+CT$182)</f>
        <v>4778.86589591041</v>
      </c>
      <c r="CU187" s="34" t="n">
        <f aca="false">V_Pkg*(CU$177+CU$178+CU$179+CU$182)</f>
        <v>4778.86589591041</v>
      </c>
      <c r="CV187" s="34" t="n">
        <f aca="false">V_Pkg*(CV$177+CV$178+CV$179+CV$182)</f>
        <v>4778.86589591041</v>
      </c>
      <c r="CW187" s="34" t="n">
        <f aca="false">V_Pkg*(CW$177+CW$178+CW$179+CW$182)</f>
        <v>4778.86589591041</v>
      </c>
      <c r="CX187" s="34" t="n">
        <f aca="false">V_Pkg*(CX$177+CX$178+CX$179+CX$182)</f>
        <v>4802.31751656856</v>
      </c>
      <c r="CY187" s="34" t="n">
        <f aca="false">V_Pkg*(CY$177+CY$178+CY$179+CY$182)</f>
        <v>4802.31751656856</v>
      </c>
      <c r="CZ187" s="34" t="n">
        <f aca="false">V_Pkg*(CZ$177+CZ$178+CZ$179+CZ$182)</f>
        <v>4802.31751656856</v>
      </c>
      <c r="DA187" s="34" t="n">
        <f aca="false">V_Pkg*(DA$177+DA$178+DA$179+DA$182)</f>
        <v>4802.31751656856</v>
      </c>
      <c r="DB187" s="34" t="n">
        <f aca="false">V_Pkg*(DB$177+DB$178+DB$179+DB$182)</f>
        <v>4802.31751656856</v>
      </c>
      <c r="DC187" s="34" t="n">
        <f aca="false">V_Pkg*(DC$177+DC$178+DC$179+DC$182)</f>
        <v>4802.31751656856</v>
      </c>
      <c r="DD187" s="34" t="n">
        <f aca="false">V_Pkg*(DD$177+DD$178+DD$179+DD$182)</f>
        <v>4802.31751656856</v>
      </c>
      <c r="DE187" s="34" t="n">
        <f aca="false">V_Pkg*(DE$177+DE$178+DE$179+DE$182)</f>
        <v>4802.31751656856</v>
      </c>
      <c r="DF187" s="34" t="n">
        <f aca="false">V_Pkg*(DF$177+DF$178+DF$179+DF$182)</f>
        <v>4802.31751656856</v>
      </c>
      <c r="DG187" s="34" t="n">
        <f aca="false">V_Pkg*(DG$177+DG$178+DG$179+DG$182)</f>
        <v>4802.31751656856</v>
      </c>
      <c r="DH187" s="34" t="n">
        <f aca="false">V_Pkg*(DH$177+DH$178+DH$179+DH$182)</f>
        <v>4802.31751656856</v>
      </c>
      <c r="DI187" s="34" t="n">
        <f aca="false">V_Pkg*(DI$177+DI$178+DI$179+DI$182)</f>
        <v>4802.31751656856</v>
      </c>
      <c r="DJ187" s="34" t="n">
        <f aca="false">V_Pkg*(DJ$177+DJ$178+DJ$179+DJ$182)</f>
        <v>4826.0036534333</v>
      </c>
      <c r="DK187" s="34" t="n">
        <f aca="false">V_Pkg*(DK$177+DK$178+DK$179+DK$182)</f>
        <v>4826.0036534333</v>
      </c>
      <c r="DL187" s="34" t="n">
        <f aca="false">V_Pkg*(DL$177+DL$178+DL$179+DL$182)</f>
        <v>4826.0036534333</v>
      </c>
      <c r="DM187" s="34" t="n">
        <f aca="false">V_Pkg*(DM$177+DM$178+DM$179+DM$182)</f>
        <v>4826.0036534333</v>
      </c>
      <c r="DN187" s="34" t="n">
        <f aca="false">V_Pkg*(DN$177+DN$178+DN$179+DN$182)</f>
        <v>4826.0036534333</v>
      </c>
      <c r="DO187" s="34" t="n">
        <f aca="false">V_Pkg*(DO$177+DO$178+DO$179+DO$182)</f>
        <v>4826.0036534333</v>
      </c>
      <c r="DP187" s="34" t="n">
        <f aca="false">V_Pkg*(DP$177+DP$178+DP$179+DP$182)</f>
        <v>4826.0036534333</v>
      </c>
      <c r="DQ187" s="34" t="n">
        <f aca="false">V_Pkg*(DQ$177+DQ$178+DQ$179+DQ$182)</f>
        <v>4826.0036534333</v>
      </c>
      <c r="DR187" s="34" t="n">
        <f aca="false">V_Pkg*(DR$177+DR$178+DR$179+DR$182)</f>
        <v>4826.0036534333</v>
      </c>
      <c r="DS187" s="34" t="n">
        <f aca="false">V_Pkg*(DS$177+DS$178+DS$179+DS$182)</f>
        <v>4826.0036534333</v>
      </c>
      <c r="DT187" s="34" t="n">
        <f aca="false">V_Pkg*(DT$177+DT$178+DT$179+DT$182)</f>
        <v>4826.0036534333</v>
      </c>
      <c r="DU187" s="34" t="n">
        <f aca="false">V_Pkg*(DU$177+DU$178+DU$179+DU$182)</f>
        <v>4826.0036534333</v>
      </c>
      <c r="DV187" s="34" t="n">
        <f aca="false">V_Pkg*(DV$177+DV$178+DV$179+DV$182)</f>
        <v>0</v>
      </c>
      <c r="DW187" s="34" t="n">
        <f aca="false">V_Pkg*(DW$177+DW$178+DW$179+DW$182)</f>
        <v>0</v>
      </c>
      <c r="DX187" s="34" t="n">
        <f aca="false">V_Pkg*(DX$177+DX$178+DX$179+DX$182)</f>
        <v>0</v>
      </c>
      <c r="DY187" s="34" t="n">
        <f aca="false">V_Pkg*(DY$177+DY$178+DY$179+DY$182)</f>
        <v>0</v>
      </c>
      <c r="DZ187" s="34" t="n">
        <f aca="false">V_Pkg*(DZ$177+DZ$178+DZ$179+DZ$182)</f>
        <v>0</v>
      </c>
      <c r="EA187" s="34" t="n">
        <f aca="false">V_Pkg*(EA$177+EA$178+EA$179+EA$182)</f>
        <v>0</v>
      </c>
      <c r="EB187" s="34" t="n">
        <f aca="false">V_Pkg*(EB$177+EB$178+EB$179+EB$182)</f>
        <v>0</v>
      </c>
      <c r="EC187" s="34" t="n">
        <f aca="false">V_Pkg*(EC$177+EC$178+EC$179+EC$182)</f>
        <v>0</v>
      </c>
      <c r="ED187" s="34" t="n">
        <f aca="false">V_Pkg*(ED$177+ED$178+ED$179+ED$182)</f>
        <v>0</v>
      </c>
      <c r="EE187" s="34" t="n">
        <f aca="false">V_Pkg*(EE$177+EE$178+EE$179+EE$182)</f>
        <v>0</v>
      </c>
      <c r="EF187" s="34" t="n">
        <f aca="false">V_Pkg*(EF$177+EF$178+EF$179+EF$182)</f>
        <v>0</v>
      </c>
      <c r="EG187" s="34" t="n">
        <f aca="false">V_Pkg*(EG$177+EG$178+EG$179+EG$182)</f>
        <v>0</v>
      </c>
      <c r="EH187" s="34" t="n">
        <f aca="false">V_Pkg*(EH$177+EH$178+EH$179+EH$182)</f>
        <v>0</v>
      </c>
      <c r="EI187" s="34" t="n">
        <f aca="false">V_Pkg*(EI$177+EI$178+EI$179+EI$182)</f>
        <v>0</v>
      </c>
      <c r="EJ187" s="34" t="n">
        <f aca="false">V_Pkg*(EJ$177+EJ$178+EJ$179+EJ$182)</f>
        <v>0</v>
      </c>
      <c r="EK187" s="34" t="n">
        <f aca="false">V_Pkg*(EK$177+EK$178+EK$179+EK$182)</f>
        <v>0</v>
      </c>
      <c r="EL187" s="34" t="n">
        <f aca="false">V_Pkg*(EL$177+EL$178+EL$179+EL$182)</f>
        <v>0</v>
      </c>
      <c r="EM187" s="34" t="n">
        <f aca="false">V_Pkg*(EM$177+EM$178+EM$179+EM$182)</f>
        <v>0</v>
      </c>
      <c r="EN187" s="34" t="n">
        <f aca="false">V_Pkg*(EN$177+EN$178+EN$179+EN$182)</f>
        <v>0</v>
      </c>
      <c r="EO187" s="34" t="n">
        <f aca="false">V_Pkg*(EO$177+EO$178+EO$179+EO$182)</f>
        <v>0</v>
      </c>
      <c r="EP187" s="34" t="n">
        <f aca="false">V_Pkg*(EP$177+EP$178+EP$179+EP$182)</f>
        <v>0</v>
      </c>
      <c r="EQ187" s="34" t="n">
        <f aca="false">V_Pkg*(EQ$177+EQ$178+EQ$179+EQ$182)</f>
        <v>0</v>
      </c>
      <c r="ER187" s="34" t="n">
        <f aca="false">V_Pkg*(ER$177+ER$178+ER$179+ER$182)</f>
        <v>0</v>
      </c>
      <c r="ES187" s="34" t="n">
        <f aca="false">V_Pkg*(ES$177+ES$178+ES$179+ES$182)</f>
        <v>0</v>
      </c>
    </row>
    <row r="188" customFormat="false" ht="15" hidden="false" customHeight="false" outlineLevel="0" collapsed="false">
      <c r="A188" s="2" t="s">
        <v>803</v>
      </c>
      <c r="B188" s="6" t="s">
        <v>609</v>
      </c>
      <c r="C188" s="6" t="s">
        <v>250</v>
      </c>
      <c r="E188" s="40" t="n">
        <f aca="false">SUM(F188:ES188)</f>
        <v>81222.4477216454</v>
      </c>
      <c r="F188" s="34" t="n">
        <f aca="false">(V_SegV+V_ComV)*F$175</f>
        <v>404.166666666667</v>
      </c>
      <c r="G188" s="34" t="n">
        <f aca="false">(V_SegV+V_ComV)*G$175</f>
        <v>404.166666666667</v>
      </c>
      <c r="H188" s="34" t="n">
        <f aca="false">(V_SegV+V_ComV)*H$175</f>
        <v>404.166666666667</v>
      </c>
      <c r="I188" s="34" t="n">
        <f aca="false">(V_SegV+V_ComV)*I$175</f>
        <v>404.166666666667</v>
      </c>
      <c r="J188" s="34" t="n">
        <f aca="false">(V_SegV+V_ComV)*J$175</f>
        <v>404.166666666667</v>
      </c>
      <c r="K188" s="34" t="n">
        <f aca="false">(V_SegV+V_ComV)*K$175</f>
        <v>404.166666666667</v>
      </c>
      <c r="L188" s="34" t="n">
        <f aca="false">(V_SegV+V_ComV)*L$175</f>
        <v>404.166666666667</v>
      </c>
      <c r="M188" s="34" t="n">
        <f aca="false">(V_SegV+V_ComV)*M$175</f>
        <v>404.166666666667</v>
      </c>
      <c r="N188" s="34" t="n">
        <f aca="false">(V_SegV+V_ComV)*N$175</f>
        <v>404.166666666667</v>
      </c>
      <c r="O188" s="34" t="n">
        <f aca="false">(V_SegV+V_ComV)*O$175</f>
        <v>404.166666666667</v>
      </c>
      <c r="P188" s="34" t="n">
        <f aca="false">(V_SegV+V_ComV)*P$175</f>
        <v>404.166666666667</v>
      </c>
      <c r="Q188" s="34" t="n">
        <f aca="false">(V_SegV+V_ComV)*Q$175</f>
        <v>404.166666666667</v>
      </c>
      <c r="R188" s="34" t="n">
        <f aca="false">(V_SegV+V_ComV)*R$175</f>
        <v>515.1</v>
      </c>
      <c r="S188" s="34" t="n">
        <f aca="false">(V_SegV+V_ComV)*S$175</f>
        <v>515.1</v>
      </c>
      <c r="T188" s="34" t="n">
        <f aca="false">(V_SegV+V_ComV)*T$175</f>
        <v>515.1</v>
      </c>
      <c r="U188" s="34" t="n">
        <f aca="false">(V_SegV+V_ComV)*U$175</f>
        <v>515.1</v>
      </c>
      <c r="V188" s="34" t="n">
        <f aca="false">(V_SegV+V_ComV)*V$175</f>
        <v>515.1</v>
      </c>
      <c r="W188" s="34" t="n">
        <f aca="false">(V_SegV+V_ComV)*W$175</f>
        <v>515.1</v>
      </c>
      <c r="X188" s="34" t="n">
        <f aca="false">(V_SegV+V_ComV)*X$175</f>
        <v>515.1</v>
      </c>
      <c r="Y188" s="34" t="n">
        <f aca="false">(V_SegV+V_ComV)*Y$175</f>
        <v>515.1</v>
      </c>
      <c r="Z188" s="34" t="n">
        <f aca="false">(V_SegV+V_ComV)*Z$175</f>
        <v>515.1</v>
      </c>
      <c r="AA188" s="34" t="n">
        <f aca="false">(V_SegV+V_ComV)*AA$175</f>
        <v>515.1</v>
      </c>
      <c r="AB188" s="34" t="n">
        <f aca="false">(V_SegV+V_ComV)*AB$175</f>
        <v>515.1</v>
      </c>
      <c r="AC188" s="34" t="n">
        <f aca="false">(V_SegV+V_ComV)*AC$175</f>
        <v>515.1</v>
      </c>
      <c r="AD188" s="34" t="n">
        <f aca="false">(V_SegV+V_ComV)*AD$175</f>
        <v>628.211583333333</v>
      </c>
      <c r="AE188" s="34" t="n">
        <f aca="false">(V_SegV+V_ComV)*AE$175</f>
        <v>628.211583333333</v>
      </c>
      <c r="AF188" s="34" t="n">
        <f aca="false">(V_SegV+V_ComV)*AF$175</f>
        <v>628.211583333333</v>
      </c>
      <c r="AG188" s="34" t="n">
        <f aca="false">(V_SegV+V_ComV)*AG$175</f>
        <v>628.211583333333</v>
      </c>
      <c r="AH188" s="34" t="n">
        <f aca="false">(V_SegV+V_ComV)*AH$175</f>
        <v>628.211583333333</v>
      </c>
      <c r="AI188" s="34" t="n">
        <f aca="false">(V_SegV+V_ComV)*AI$175</f>
        <v>628.211583333333</v>
      </c>
      <c r="AJ188" s="34" t="n">
        <f aca="false">(V_SegV+V_ComV)*AJ$175</f>
        <v>628.211583333333</v>
      </c>
      <c r="AK188" s="34" t="n">
        <f aca="false">(V_SegV+V_ComV)*AK$175</f>
        <v>628.211583333333</v>
      </c>
      <c r="AL188" s="34" t="n">
        <f aca="false">(V_SegV+V_ComV)*AL$175</f>
        <v>628.211583333333</v>
      </c>
      <c r="AM188" s="34" t="n">
        <f aca="false">(V_SegV+V_ComV)*AM$175</f>
        <v>628.211583333333</v>
      </c>
      <c r="AN188" s="34" t="n">
        <f aca="false">(V_SegV+V_ComV)*AN$175</f>
        <v>628.211583333333</v>
      </c>
      <c r="AO188" s="34" t="n">
        <f aca="false">(V_SegV+V_ComV)*AO$175</f>
        <v>628.211583333333</v>
      </c>
      <c r="AP188" s="34" t="n">
        <f aca="false">(V_SegV+V_ComV)*AP$175</f>
        <v>723.7864525</v>
      </c>
      <c r="AQ188" s="34" t="n">
        <f aca="false">(V_SegV+V_ComV)*AQ$175</f>
        <v>723.7864525</v>
      </c>
      <c r="AR188" s="34" t="n">
        <f aca="false">(V_SegV+V_ComV)*AR$175</f>
        <v>723.7864525</v>
      </c>
      <c r="AS188" s="34" t="n">
        <f aca="false">(V_SegV+V_ComV)*AS$175</f>
        <v>723.7864525</v>
      </c>
      <c r="AT188" s="34" t="n">
        <f aca="false">(V_SegV+V_ComV)*AT$175</f>
        <v>723.7864525</v>
      </c>
      <c r="AU188" s="34" t="n">
        <f aca="false">(V_SegV+V_ComV)*AU$175</f>
        <v>723.7864525</v>
      </c>
      <c r="AV188" s="34" t="n">
        <f aca="false">(V_SegV+V_ComV)*AV$175</f>
        <v>723.7864525</v>
      </c>
      <c r="AW188" s="34" t="n">
        <f aca="false">(V_SegV+V_ComV)*AW$175</f>
        <v>723.7864525</v>
      </c>
      <c r="AX188" s="34" t="n">
        <f aca="false">(V_SegV+V_ComV)*AX$175</f>
        <v>723.7864525</v>
      </c>
      <c r="AY188" s="34" t="n">
        <f aca="false">(V_SegV+V_ComV)*AY$175</f>
        <v>723.7864525</v>
      </c>
      <c r="AZ188" s="34" t="n">
        <f aca="false">(V_SegV+V_ComV)*AZ$175</f>
        <v>723.7864525</v>
      </c>
      <c r="BA188" s="34" t="n">
        <f aca="false">(V_SegV+V_ComV)*BA$175</f>
        <v>723.7864525</v>
      </c>
      <c r="BB188" s="34" t="n">
        <f aca="false">(V_SegV+V_ComV)*BB$175</f>
        <v>731.024317025</v>
      </c>
      <c r="BC188" s="34" t="n">
        <f aca="false">(V_SegV+V_ComV)*BC$175</f>
        <v>731.024317025</v>
      </c>
      <c r="BD188" s="34" t="n">
        <f aca="false">(V_SegV+V_ComV)*BD$175</f>
        <v>731.024317025</v>
      </c>
      <c r="BE188" s="34" t="n">
        <f aca="false">(V_SegV+V_ComV)*BE$175</f>
        <v>731.024317025</v>
      </c>
      <c r="BF188" s="34" t="n">
        <f aca="false">(V_SegV+V_ComV)*BF$175</f>
        <v>731.024317025</v>
      </c>
      <c r="BG188" s="34" t="n">
        <f aca="false">(V_SegV+V_ComV)*BG$175</f>
        <v>731.024317025</v>
      </c>
      <c r="BH188" s="34" t="n">
        <f aca="false">(V_SegV+V_ComV)*BH$175</f>
        <v>731.024317025</v>
      </c>
      <c r="BI188" s="34" t="n">
        <f aca="false">(V_SegV+V_ComV)*BI$175</f>
        <v>731.024317025</v>
      </c>
      <c r="BJ188" s="34" t="n">
        <f aca="false">(V_SegV+V_ComV)*BJ$175</f>
        <v>731.024317025</v>
      </c>
      <c r="BK188" s="34" t="n">
        <f aca="false">(V_SegV+V_ComV)*BK$175</f>
        <v>731.024317025</v>
      </c>
      <c r="BL188" s="34" t="n">
        <f aca="false">(V_SegV+V_ComV)*BL$175</f>
        <v>731.024317025</v>
      </c>
      <c r="BM188" s="34" t="n">
        <f aca="false">(V_SegV+V_ComV)*BM$175</f>
        <v>731.024317025</v>
      </c>
      <c r="BN188" s="34" t="n">
        <f aca="false">(V_SegV+V_ComV)*BN$175</f>
        <v>738.33456019525</v>
      </c>
      <c r="BO188" s="34" t="n">
        <f aca="false">(V_SegV+V_ComV)*BO$175</f>
        <v>738.33456019525</v>
      </c>
      <c r="BP188" s="34" t="n">
        <f aca="false">(V_SegV+V_ComV)*BP$175</f>
        <v>738.33456019525</v>
      </c>
      <c r="BQ188" s="34" t="n">
        <f aca="false">(V_SegV+V_ComV)*BQ$175</f>
        <v>738.33456019525</v>
      </c>
      <c r="BR188" s="34" t="n">
        <f aca="false">(V_SegV+V_ComV)*BR$175</f>
        <v>738.33456019525</v>
      </c>
      <c r="BS188" s="34" t="n">
        <f aca="false">(V_SegV+V_ComV)*BS$175</f>
        <v>738.33456019525</v>
      </c>
      <c r="BT188" s="34" t="n">
        <f aca="false">(V_SegV+V_ComV)*BT$175</f>
        <v>738.33456019525</v>
      </c>
      <c r="BU188" s="34" t="n">
        <f aca="false">(V_SegV+V_ComV)*BU$175</f>
        <v>738.33456019525</v>
      </c>
      <c r="BV188" s="34" t="n">
        <f aca="false">(V_SegV+V_ComV)*BV$175</f>
        <v>738.33456019525</v>
      </c>
      <c r="BW188" s="34" t="n">
        <f aca="false">(V_SegV+V_ComV)*BW$175</f>
        <v>738.33456019525</v>
      </c>
      <c r="BX188" s="34" t="n">
        <f aca="false">(V_SegV+V_ComV)*BX$175</f>
        <v>738.33456019525</v>
      </c>
      <c r="BY188" s="34" t="n">
        <f aca="false">(V_SegV+V_ComV)*BY$175</f>
        <v>738.33456019525</v>
      </c>
      <c r="BZ188" s="34" t="n">
        <f aca="false">(V_SegV+V_ComV)*BZ$175</f>
        <v>745.717905797202</v>
      </c>
      <c r="CA188" s="34" t="n">
        <f aca="false">(V_SegV+V_ComV)*CA$175</f>
        <v>745.717905797202</v>
      </c>
      <c r="CB188" s="34" t="n">
        <f aca="false">(V_SegV+V_ComV)*CB$175</f>
        <v>745.717905797202</v>
      </c>
      <c r="CC188" s="34" t="n">
        <f aca="false">(V_SegV+V_ComV)*CC$175</f>
        <v>745.717905797202</v>
      </c>
      <c r="CD188" s="34" t="n">
        <f aca="false">(V_SegV+V_ComV)*CD$175</f>
        <v>745.717905797202</v>
      </c>
      <c r="CE188" s="34" t="n">
        <f aca="false">(V_SegV+V_ComV)*CE$175</f>
        <v>745.717905797202</v>
      </c>
      <c r="CF188" s="34" t="n">
        <f aca="false">(V_SegV+V_ComV)*CF$175</f>
        <v>745.717905797202</v>
      </c>
      <c r="CG188" s="34" t="n">
        <f aca="false">(V_SegV+V_ComV)*CG$175</f>
        <v>745.717905797202</v>
      </c>
      <c r="CH188" s="34" t="n">
        <f aca="false">(V_SegV+V_ComV)*CH$175</f>
        <v>745.717905797202</v>
      </c>
      <c r="CI188" s="34" t="n">
        <f aca="false">(V_SegV+V_ComV)*CI$175</f>
        <v>745.717905797202</v>
      </c>
      <c r="CJ188" s="34" t="n">
        <f aca="false">(V_SegV+V_ComV)*CJ$175</f>
        <v>745.717905797202</v>
      </c>
      <c r="CK188" s="34" t="n">
        <f aca="false">(V_SegV+V_ComV)*CK$175</f>
        <v>745.717905797202</v>
      </c>
      <c r="CL188" s="34" t="n">
        <f aca="false">(V_SegV+V_ComV)*CL$175</f>
        <v>753.175084855174</v>
      </c>
      <c r="CM188" s="34" t="n">
        <f aca="false">(V_SegV+V_ComV)*CM$175</f>
        <v>753.175084855174</v>
      </c>
      <c r="CN188" s="34" t="n">
        <f aca="false">(V_SegV+V_ComV)*CN$175</f>
        <v>753.175084855174</v>
      </c>
      <c r="CO188" s="34" t="n">
        <f aca="false">(V_SegV+V_ComV)*CO$175</f>
        <v>753.175084855174</v>
      </c>
      <c r="CP188" s="34" t="n">
        <f aca="false">(V_SegV+V_ComV)*CP$175</f>
        <v>753.175084855174</v>
      </c>
      <c r="CQ188" s="34" t="n">
        <f aca="false">(V_SegV+V_ComV)*CQ$175</f>
        <v>753.175084855174</v>
      </c>
      <c r="CR188" s="34" t="n">
        <f aca="false">(V_SegV+V_ComV)*CR$175</f>
        <v>753.175084855174</v>
      </c>
      <c r="CS188" s="34" t="n">
        <f aca="false">(V_SegV+V_ComV)*CS$175</f>
        <v>753.175084855174</v>
      </c>
      <c r="CT188" s="34" t="n">
        <f aca="false">(V_SegV+V_ComV)*CT$175</f>
        <v>753.175084855174</v>
      </c>
      <c r="CU188" s="34" t="n">
        <f aca="false">(V_SegV+V_ComV)*CU$175</f>
        <v>753.175084855174</v>
      </c>
      <c r="CV188" s="34" t="n">
        <f aca="false">(V_SegV+V_ComV)*CV$175</f>
        <v>753.175084855174</v>
      </c>
      <c r="CW188" s="34" t="n">
        <f aca="false">(V_SegV+V_ComV)*CW$175</f>
        <v>753.175084855174</v>
      </c>
      <c r="CX188" s="34" t="n">
        <f aca="false">(V_SegV+V_ComV)*CX$175</f>
        <v>760.706835703726</v>
      </c>
      <c r="CY188" s="34" t="n">
        <f aca="false">(V_SegV+V_ComV)*CY$175</f>
        <v>760.706835703726</v>
      </c>
      <c r="CZ188" s="34" t="n">
        <f aca="false">(V_SegV+V_ComV)*CZ$175</f>
        <v>760.706835703726</v>
      </c>
      <c r="DA188" s="34" t="n">
        <f aca="false">(V_SegV+V_ComV)*DA$175</f>
        <v>760.706835703726</v>
      </c>
      <c r="DB188" s="34" t="n">
        <f aca="false">(V_SegV+V_ComV)*DB$175</f>
        <v>760.706835703726</v>
      </c>
      <c r="DC188" s="34" t="n">
        <f aca="false">(V_SegV+V_ComV)*DC$175</f>
        <v>760.706835703726</v>
      </c>
      <c r="DD188" s="34" t="n">
        <f aca="false">(V_SegV+V_ComV)*DD$175</f>
        <v>760.706835703726</v>
      </c>
      <c r="DE188" s="34" t="n">
        <f aca="false">(V_SegV+V_ComV)*DE$175</f>
        <v>760.706835703726</v>
      </c>
      <c r="DF188" s="34" t="n">
        <f aca="false">(V_SegV+V_ComV)*DF$175</f>
        <v>760.706835703726</v>
      </c>
      <c r="DG188" s="34" t="n">
        <f aca="false">(V_SegV+V_ComV)*DG$175</f>
        <v>760.706835703726</v>
      </c>
      <c r="DH188" s="34" t="n">
        <f aca="false">(V_SegV+V_ComV)*DH$175</f>
        <v>760.706835703726</v>
      </c>
      <c r="DI188" s="34" t="n">
        <f aca="false">(V_SegV+V_ComV)*DI$175</f>
        <v>760.706835703726</v>
      </c>
      <c r="DJ188" s="34" t="n">
        <f aca="false">(V_SegV+V_ComV)*DJ$175</f>
        <v>768.313904060764</v>
      </c>
      <c r="DK188" s="34" t="n">
        <f aca="false">(V_SegV+V_ComV)*DK$175</f>
        <v>768.313904060764</v>
      </c>
      <c r="DL188" s="34" t="n">
        <f aca="false">(V_SegV+V_ComV)*DL$175</f>
        <v>768.313904060764</v>
      </c>
      <c r="DM188" s="34" t="n">
        <f aca="false">(V_SegV+V_ComV)*DM$175</f>
        <v>768.313904060764</v>
      </c>
      <c r="DN188" s="34" t="n">
        <f aca="false">(V_SegV+V_ComV)*DN$175</f>
        <v>768.313904060764</v>
      </c>
      <c r="DO188" s="34" t="n">
        <f aca="false">(V_SegV+V_ComV)*DO$175</f>
        <v>768.313904060764</v>
      </c>
      <c r="DP188" s="34" t="n">
        <f aca="false">(V_SegV+V_ComV)*DP$175</f>
        <v>768.313904060764</v>
      </c>
      <c r="DQ188" s="34" t="n">
        <f aca="false">(V_SegV+V_ComV)*DQ$175</f>
        <v>768.313904060764</v>
      </c>
      <c r="DR188" s="34" t="n">
        <f aca="false">(V_SegV+V_ComV)*DR$175</f>
        <v>768.313904060764</v>
      </c>
      <c r="DS188" s="34" t="n">
        <f aca="false">(V_SegV+V_ComV)*DS$175</f>
        <v>768.313904060764</v>
      </c>
      <c r="DT188" s="34" t="n">
        <f aca="false">(V_SegV+V_ComV)*DT$175</f>
        <v>768.313904060764</v>
      </c>
      <c r="DU188" s="34" t="n">
        <f aca="false">(V_SegV+V_ComV)*DU$175</f>
        <v>768.313904060764</v>
      </c>
      <c r="DV188" s="34" t="n">
        <f aca="false">(V_SegV+V_ComV)*DV$175</f>
        <v>0</v>
      </c>
      <c r="DW188" s="34" t="n">
        <f aca="false">(V_SegV+V_ComV)*DW$175</f>
        <v>0</v>
      </c>
      <c r="DX188" s="34" t="n">
        <f aca="false">(V_SegV+V_ComV)*DX$175</f>
        <v>0</v>
      </c>
      <c r="DY188" s="34" t="n">
        <f aca="false">(V_SegV+V_ComV)*DY$175</f>
        <v>0</v>
      </c>
      <c r="DZ188" s="34" t="n">
        <f aca="false">(V_SegV+V_ComV)*DZ$175</f>
        <v>0</v>
      </c>
      <c r="EA188" s="34" t="n">
        <f aca="false">(V_SegV+V_ComV)*EA$175</f>
        <v>0</v>
      </c>
      <c r="EB188" s="34" t="n">
        <f aca="false">(V_SegV+V_ComV)*EB$175</f>
        <v>0</v>
      </c>
      <c r="EC188" s="34" t="n">
        <f aca="false">(V_SegV+V_ComV)*EC$175</f>
        <v>0</v>
      </c>
      <c r="ED188" s="34" t="n">
        <f aca="false">(V_SegV+V_ComV)*ED$175</f>
        <v>0</v>
      </c>
      <c r="EE188" s="34" t="n">
        <f aca="false">(V_SegV+V_ComV)*EE$175</f>
        <v>0</v>
      </c>
      <c r="EF188" s="34" t="n">
        <f aca="false">(V_SegV+V_ComV)*EF$175</f>
        <v>0</v>
      </c>
      <c r="EG188" s="34" t="n">
        <f aca="false">(V_SegV+V_ComV)*EG$175</f>
        <v>0</v>
      </c>
      <c r="EH188" s="34" t="n">
        <f aca="false">(V_SegV+V_ComV)*EH$175</f>
        <v>0</v>
      </c>
      <c r="EI188" s="34" t="n">
        <f aca="false">(V_SegV+V_ComV)*EI$175</f>
        <v>0</v>
      </c>
      <c r="EJ188" s="34" t="n">
        <f aca="false">(V_SegV+V_ComV)*EJ$175</f>
        <v>0</v>
      </c>
      <c r="EK188" s="34" t="n">
        <f aca="false">(V_SegV+V_ComV)*EK$175</f>
        <v>0</v>
      </c>
      <c r="EL188" s="34" t="n">
        <f aca="false">(V_SegV+V_ComV)*EL$175</f>
        <v>0</v>
      </c>
      <c r="EM188" s="34" t="n">
        <f aca="false">(V_SegV+V_ComV)*EM$175</f>
        <v>0</v>
      </c>
      <c r="EN188" s="34" t="n">
        <f aca="false">(V_SegV+V_ComV)*EN$175</f>
        <v>0</v>
      </c>
      <c r="EO188" s="34" t="n">
        <f aca="false">(V_SegV+V_ComV)*EO$175</f>
        <v>0</v>
      </c>
      <c r="EP188" s="34" t="n">
        <f aca="false">(V_SegV+V_ComV)*EP$175</f>
        <v>0</v>
      </c>
      <c r="EQ188" s="34" t="n">
        <f aca="false">(V_SegV+V_ComV)*EQ$175</f>
        <v>0</v>
      </c>
      <c r="ER188" s="34" t="n">
        <f aca="false">(V_SegV+V_ComV)*ER$175</f>
        <v>0</v>
      </c>
      <c r="ES188" s="34" t="n">
        <f aca="false">(V_SegV+V_ComV)*ES$175</f>
        <v>0</v>
      </c>
    </row>
    <row r="189" customFormat="false" ht="15" hidden="false" customHeight="false" outlineLevel="0" collapsed="false">
      <c r="A189" s="2" t="s">
        <v>804</v>
      </c>
      <c r="B189" s="6" t="s">
        <v>503</v>
      </c>
      <c r="C189" s="6" t="s">
        <v>250</v>
      </c>
      <c r="E189" s="40" t="n">
        <f aca="false">SUM(F189:ES189)</f>
        <v>812224.477216454</v>
      </c>
      <c r="F189" s="34" t="n">
        <f aca="false">V_Trib*F$175</f>
        <v>4041.66666666667</v>
      </c>
      <c r="G189" s="34" t="n">
        <f aca="false">V_Trib*G$175</f>
        <v>4041.66666666667</v>
      </c>
      <c r="H189" s="34" t="n">
        <f aca="false">V_Trib*H$175</f>
        <v>4041.66666666667</v>
      </c>
      <c r="I189" s="34" t="n">
        <f aca="false">V_Trib*I$175</f>
        <v>4041.66666666667</v>
      </c>
      <c r="J189" s="34" t="n">
        <f aca="false">V_Trib*J$175</f>
        <v>4041.66666666667</v>
      </c>
      <c r="K189" s="34" t="n">
        <f aca="false">V_Trib*K$175</f>
        <v>4041.66666666667</v>
      </c>
      <c r="L189" s="34" t="n">
        <f aca="false">V_Trib*L$175</f>
        <v>4041.66666666667</v>
      </c>
      <c r="M189" s="34" t="n">
        <f aca="false">V_Trib*M$175</f>
        <v>4041.66666666667</v>
      </c>
      <c r="N189" s="34" t="n">
        <f aca="false">V_Trib*N$175</f>
        <v>4041.66666666667</v>
      </c>
      <c r="O189" s="34" t="n">
        <f aca="false">V_Trib*O$175</f>
        <v>4041.66666666667</v>
      </c>
      <c r="P189" s="34" t="n">
        <f aca="false">V_Trib*P$175</f>
        <v>4041.66666666667</v>
      </c>
      <c r="Q189" s="34" t="n">
        <f aca="false">V_Trib*Q$175</f>
        <v>4041.66666666667</v>
      </c>
      <c r="R189" s="34" t="n">
        <f aca="false">V_Trib*R$175</f>
        <v>5151</v>
      </c>
      <c r="S189" s="34" t="n">
        <f aca="false">V_Trib*S$175</f>
        <v>5151</v>
      </c>
      <c r="T189" s="34" t="n">
        <f aca="false">V_Trib*T$175</f>
        <v>5151</v>
      </c>
      <c r="U189" s="34" t="n">
        <f aca="false">V_Trib*U$175</f>
        <v>5151</v>
      </c>
      <c r="V189" s="34" t="n">
        <f aca="false">V_Trib*V$175</f>
        <v>5151</v>
      </c>
      <c r="W189" s="34" t="n">
        <f aca="false">V_Trib*W$175</f>
        <v>5151</v>
      </c>
      <c r="X189" s="34" t="n">
        <f aca="false">V_Trib*X$175</f>
        <v>5151</v>
      </c>
      <c r="Y189" s="34" t="n">
        <f aca="false">V_Trib*Y$175</f>
        <v>5151</v>
      </c>
      <c r="Z189" s="34" t="n">
        <f aca="false">V_Trib*Z$175</f>
        <v>5151</v>
      </c>
      <c r="AA189" s="34" t="n">
        <f aca="false">V_Trib*AA$175</f>
        <v>5151</v>
      </c>
      <c r="AB189" s="34" t="n">
        <f aca="false">V_Trib*AB$175</f>
        <v>5151</v>
      </c>
      <c r="AC189" s="34" t="n">
        <f aca="false">V_Trib*AC$175</f>
        <v>5151</v>
      </c>
      <c r="AD189" s="34" t="n">
        <f aca="false">V_Trib*AD$175</f>
        <v>6282.11583333333</v>
      </c>
      <c r="AE189" s="34" t="n">
        <f aca="false">V_Trib*AE$175</f>
        <v>6282.11583333333</v>
      </c>
      <c r="AF189" s="34" t="n">
        <f aca="false">V_Trib*AF$175</f>
        <v>6282.11583333333</v>
      </c>
      <c r="AG189" s="34" t="n">
        <f aca="false">V_Trib*AG$175</f>
        <v>6282.11583333333</v>
      </c>
      <c r="AH189" s="34" t="n">
        <f aca="false">V_Trib*AH$175</f>
        <v>6282.11583333333</v>
      </c>
      <c r="AI189" s="34" t="n">
        <f aca="false">V_Trib*AI$175</f>
        <v>6282.11583333333</v>
      </c>
      <c r="AJ189" s="34" t="n">
        <f aca="false">V_Trib*AJ$175</f>
        <v>6282.11583333333</v>
      </c>
      <c r="AK189" s="34" t="n">
        <f aca="false">V_Trib*AK$175</f>
        <v>6282.11583333333</v>
      </c>
      <c r="AL189" s="34" t="n">
        <f aca="false">V_Trib*AL$175</f>
        <v>6282.11583333333</v>
      </c>
      <c r="AM189" s="34" t="n">
        <f aca="false">V_Trib*AM$175</f>
        <v>6282.11583333333</v>
      </c>
      <c r="AN189" s="34" t="n">
        <f aca="false">V_Trib*AN$175</f>
        <v>6282.11583333333</v>
      </c>
      <c r="AO189" s="34" t="n">
        <f aca="false">V_Trib*AO$175</f>
        <v>6282.11583333333</v>
      </c>
      <c r="AP189" s="34" t="n">
        <f aca="false">V_Trib*AP$175</f>
        <v>7237.864525</v>
      </c>
      <c r="AQ189" s="34" t="n">
        <f aca="false">V_Trib*AQ$175</f>
        <v>7237.864525</v>
      </c>
      <c r="AR189" s="34" t="n">
        <f aca="false">V_Trib*AR$175</f>
        <v>7237.864525</v>
      </c>
      <c r="AS189" s="34" t="n">
        <f aca="false">V_Trib*AS$175</f>
        <v>7237.864525</v>
      </c>
      <c r="AT189" s="34" t="n">
        <f aca="false">V_Trib*AT$175</f>
        <v>7237.864525</v>
      </c>
      <c r="AU189" s="34" t="n">
        <f aca="false">V_Trib*AU$175</f>
        <v>7237.864525</v>
      </c>
      <c r="AV189" s="34" t="n">
        <f aca="false">V_Trib*AV$175</f>
        <v>7237.864525</v>
      </c>
      <c r="AW189" s="34" t="n">
        <f aca="false">V_Trib*AW$175</f>
        <v>7237.864525</v>
      </c>
      <c r="AX189" s="34" t="n">
        <f aca="false">V_Trib*AX$175</f>
        <v>7237.864525</v>
      </c>
      <c r="AY189" s="34" t="n">
        <f aca="false">V_Trib*AY$175</f>
        <v>7237.864525</v>
      </c>
      <c r="AZ189" s="34" t="n">
        <f aca="false">V_Trib*AZ$175</f>
        <v>7237.864525</v>
      </c>
      <c r="BA189" s="34" t="n">
        <f aca="false">V_Trib*BA$175</f>
        <v>7237.864525</v>
      </c>
      <c r="BB189" s="34" t="n">
        <f aca="false">V_Trib*BB$175</f>
        <v>7310.24317025</v>
      </c>
      <c r="BC189" s="34" t="n">
        <f aca="false">V_Trib*BC$175</f>
        <v>7310.24317025</v>
      </c>
      <c r="BD189" s="34" t="n">
        <f aca="false">V_Trib*BD$175</f>
        <v>7310.24317025</v>
      </c>
      <c r="BE189" s="34" t="n">
        <f aca="false">V_Trib*BE$175</f>
        <v>7310.24317025</v>
      </c>
      <c r="BF189" s="34" t="n">
        <f aca="false">V_Trib*BF$175</f>
        <v>7310.24317025</v>
      </c>
      <c r="BG189" s="34" t="n">
        <f aca="false">V_Trib*BG$175</f>
        <v>7310.24317025</v>
      </c>
      <c r="BH189" s="34" t="n">
        <f aca="false">V_Trib*BH$175</f>
        <v>7310.24317025</v>
      </c>
      <c r="BI189" s="34" t="n">
        <f aca="false">V_Trib*BI$175</f>
        <v>7310.24317025</v>
      </c>
      <c r="BJ189" s="34" t="n">
        <f aca="false">V_Trib*BJ$175</f>
        <v>7310.24317025</v>
      </c>
      <c r="BK189" s="34" t="n">
        <f aca="false">V_Trib*BK$175</f>
        <v>7310.24317025</v>
      </c>
      <c r="BL189" s="34" t="n">
        <f aca="false">V_Trib*BL$175</f>
        <v>7310.24317025</v>
      </c>
      <c r="BM189" s="34" t="n">
        <f aca="false">V_Trib*BM$175</f>
        <v>7310.24317025</v>
      </c>
      <c r="BN189" s="34" t="n">
        <f aca="false">V_Trib*BN$175</f>
        <v>7383.3456019525</v>
      </c>
      <c r="BO189" s="34" t="n">
        <f aca="false">V_Trib*BO$175</f>
        <v>7383.3456019525</v>
      </c>
      <c r="BP189" s="34" t="n">
        <f aca="false">V_Trib*BP$175</f>
        <v>7383.3456019525</v>
      </c>
      <c r="BQ189" s="34" t="n">
        <f aca="false">V_Trib*BQ$175</f>
        <v>7383.3456019525</v>
      </c>
      <c r="BR189" s="34" t="n">
        <f aca="false">V_Trib*BR$175</f>
        <v>7383.3456019525</v>
      </c>
      <c r="BS189" s="34" t="n">
        <f aca="false">V_Trib*BS$175</f>
        <v>7383.3456019525</v>
      </c>
      <c r="BT189" s="34" t="n">
        <f aca="false">V_Trib*BT$175</f>
        <v>7383.3456019525</v>
      </c>
      <c r="BU189" s="34" t="n">
        <f aca="false">V_Trib*BU$175</f>
        <v>7383.3456019525</v>
      </c>
      <c r="BV189" s="34" t="n">
        <f aca="false">V_Trib*BV$175</f>
        <v>7383.3456019525</v>
      </c>
      <c r="BW189" s="34" t="n">
        <f aca="false">V_Trib*BW$175</f>
        <v>7383.3456019525</v>
      </c>
      <c r="BX189" s="34" t="n">
        <f aca="false">V_Trib*BX$175</f>
        <v>7383.3456019525</v>
      </c>
      <c r="BY189" s="34" t="n">
        <f aca="false">V_Trib*BY$175</f>
        <v>7383.3456019525</v>
      </c>
      <c r="BZ189" s="34" t="n">
        <f aca="false">V_Trib*BZ$175</f>
        <v>7457.17905797202</v>
      </c>
      <c r="CA189" s="34" t="n">
        <f aca="false">V_Trib*CA$175</f>
        <v>7457.17905797202</v>
      </c>
      <c r="CB189" s="34" t="n">
        <f aca="false">V_Trib*CB$175</f>
        <v>7457.17905797202</v>
      </c>
      <c r="CC189" s="34" t="n">
        <f aca="false">V_Trib*CC$175</f>
        <v>7457.17905797202</v>
      </c>
      <c r="CD189" s="34" t="n">
        <f aca="false">V_Trib*CD$175</f>
        <v>7457.17905797202</v>
      </c>
      <c r="CE189" s="34" t="n">
        <f aca="false">V_Trib*CE$175</f>
        <v>7457.17905797202</v>
      </c>
      <c r="CF189" s="34" t="n">
        <f aca="false">V_Trib*CF$175</f>
        <v>7457.17905797202</v>
      </c>
      <c r="CG189" s="34" t="n">
        <f aca="false">V_Trib*CG$175</f>
        <v>7457.17905797202</v>
      </c>
      <c r="CH189" s="34" t="n">
        <f aca="false">V_Trib*CH$175</f>
        <v>7457.17905797202</v>
      </c>
      <c r="CI189" s="34" t="n">
        <f aca="false">V_Trib*CI$175</f>
        <v>7457.17905797202</v>
      </c>
      <c r="CJ189" s="34" t="n">
        <f aca="false">V_Trib*CJ$175</f>
        <v>7457.17905797202</v>
      </c>
      <c r="CK189" s="34" t="n">
        <f aca="false">V_Trib*CK$175</f>
        <v>7457.17905797202</v>
      </c>
      <c r="CL189" s="34" t="n">
        <f aca="false">V_Trib*CL$175</f>
        <v>7531.75084855175</v>
      </c>
      <c r="CM189" s="34" t="n">
        <f aca="false">V_Trib*CM$175</f>
        <v>7531.75084855175</v>
      </c>
      <c r="CN189" s="34" t="n">
        <f aca="false">V_Trib*CN$175</f>
        <v>7531.75084855175</v>
      </c>
      <c r="CO189" s="34" t="n">
        <f aca="false">V_Trib*CO$175</f>
        <v>7531.75084855175</v>
      </c>
      <c r="CP189" s="34" t="n">
        <f aca="false">V_Trib*CP$175</f>
        <v>7531.75084855175</v>
      </c>
      <c r="CQ189" s="34" t="n">
        <f aca="false">V_Trib*CQ$175</f>
        <v>7531.75084855175</v>
      </c>
      <c r="CR189" s="34" t="n">
        <f aca="false">V_Trib*CR$175</f>
        <v>7531.75084855175</v>
      </c>
      <c r="CS189" s="34" t="n">
        <f aca="false">V_Trib*CS$175</f>
        <v>7531.75084855175</v>
      </c>
      <c r="CT189" s="34" t="n">
        <f aca="false">V_Trib*CT$175</f>
        <v>7531.75084855175</v>
      </c>
      <c r="CU189" s="34" t="n">
        <f aca="false">V_Trib*CU$175</f>
        <v>7531.75084855175</v>
      </c>
      <c r="CV189" s="34" t="n">
        <f aca="false">V_Trib*CV$175</f>
        <v>7531.75084855175</v>
      </c>
      <c r="CW189" s="34" t="n">
        <f aca="false">V_Trib*CW$175</f>
        <v>7531.75084855175</v>
      </c>
      <c r="CX189" s="34" t="n">
        <f aca="false">V_Trib*CX$175</f>
        <v>7607.06835703726</v>
      </c>
      <c r="CY189" s="34" t="n">
        <f aca="false">V_Trib*CY$175</f>
        <v>7607.06835703726</v>
      </c>
      <c r="CZ189" s="34" t="n">
        <f aca="false">V_Trib*CZ$175</f>
        <v>7607.06835703726</v>
      </c>
      <c r="DA189" s="34" t="n">
        <f aca="false">V_Trib*DA$175</f>
        <v>7607.06835703726</v>
      </c>
      <c r="DB189" s="34" t="n">
        <f aca="false">V_Trib*DB$175</f>
        <v>7607.06835703726</v>
      </c>
      <c r="DC189" s="34" t="n">
        <f aca="false">V_Trib*DC$175</f>
        <v>7607.06835703726</v>
      </c>
      <c r="DD189" s="34" t="n">
        <f aca="false">V_Trib*DD$175</f>
        <v>7607.06835703726</v>
      </c>
      <c r="DE189" s="34" t="n">
        <f aca="false">V_Trib*DE$175</f>
        <v>7607.06835703726</v>
      </c>
      <c r="DF189" s="34" t="n">
        <f aca="false">V_Trib*DF$175</f>
        <v>7607.06835703726</v>
      </c>
      <c r="DG189" s="34" t="n">
        <f aca="false">V_Trib*DG$175</f>
        <v>7607.06835703726</v>
      </c>
      <c r="DH189" s="34" t="n">
        <f aca="false">V_Trib*DH$175</f>
        <v>7607.06835703726</v>
      </c>
      <c r="DI189" s="34" t="n">
        <f aca="false">V_Trib*DI$175</f>
        <v>7607.06835703726</v>
      </c>
      <c r="DJ189" s="34" t="n">
        <f aca="false">V_Trib*DJ$175</f>
        <v>7683.13904060764</v>
      </c>
      <c r="DK189" s="34" t="n">
        <f aca="false">V_Trib*DK$175</f>
        <v>7683.13904060764</v>
      </c>
      <c r="DL189" s="34" t="n">
        <f aca="false">V_Trib*DL$175</f>
        <v>7683.13904060764</v>
      </c>
      <c r="DM189" s="34" t="n">
        <f aca="false">V_Trib*DM$175</f>
        <v>7683.13904060764</v>
      </c>
      <c r="DN189" s="34" t="n">
        <f aca="false">V_Trib*DN$175</f>
        <v>7683.13904060764</v>
      </c>
      <c r="DO189" s="34" t="n">
        <f aca="false">V_Trib*DO$175</f>
        <v>7683.13904060764</v>
      </c>
      <c r="DP189" s="34" t="n">
        <f aca="false">V_Trib*DP$175</f>
        <v>7683.13904060764</v>
      </c>
      <c r="DQ189" s="34" t="n">
        <f aca="false">V_Trib*DQ$175</f>
        <v>7683.13904060764</v>
      </c>
      <c r="DR189" s="34" t="n">
        <f aca="false">V_Trib*DR$175</f>
        <v>7683.13904060764</v>
      </c>
      <c r="DS189" s="34" t="n">
        <f aca="false">V_Trib*DS$175</f>
        <v>7683.13904060764</v>
      </c>
      <c r="DT189" s="34" t="n">
        <f aca="false">V_Trib*DT$175</f>
        <v>7683.13904060764</v>
      </c>
      <c r="DU189" s="34" t="n">
        <f aca="false">V_Trib*DU$175</f>
        <v>7683.13904060764</v>
      </c>
      <c r="DV189" s="34" t="n">
        <f aca="false">V_Trib*DV$175</f>
        <v>0</v>
      </c>
      <c r="DW189" s="34" t="n">
        <f aca="false">V_Trib*DW$175</f>
        <v>0</v>
      </c>
      <c r="DX189" s="34" t="n">
        <f aca="false">V_Trib*DX$175</f>
        <v>0</v>
      </c>
      <c r="DY189" s="34" t="n">
        <f aca="false">V_Trib*DY$175</f>
        <v>0</v>
      </c>
      <c r="DZ189" s="34" t="n">
        <f aca="false">V_Trib*DZ$175</f>
        <v>0</v>
      </c>
      <c r="EA189" s="34" t="n">
        <f aca="false">V_Trib*EA$175</f>
        <v>0</v>
      </c>
      <c r="EB189" s="34" t="n">
        <f aca="false">V_Trib*EB$175</f>
        <v>0</v>
      </c>
      <c r="EC189" s="34" t="n">
        <f aca="false">V_Trib*EC$175</f>
        <v>0</v>
      </c>
      <c r="ED189" s="34" t="n">
        <f aca="false">V_Trib*ED$175</f>
        <v>0</v>
      </c>
      <c r="EE189" s="34" t="n">
        <f aca="false">V_Trib*EE$175</f>
        <v>0</v>
      </c>
      <c r="EF189" s="34" t="n">
        <f aca="false">V_Trib*EF$175</f>
        <v>0</v>
      </c>
      <c r="EG189" s="34" t="n">
        <f aca="false">V_Trib*EG$175</f>
        <v>0</v>
      </c>
      <c r="EH189" s="34" t="n">
        <f aca="false">V_Trib*EH$175</f>
        <v>0</v>
      </c>
      <c r="EI189" s="34" t="n">
        <f aca="false">V_Trib*EI$175</f>
        <v>0</v>
      </c>
      <c r="EJ189" s="34" t="n">
        <f aca="false">V_Trib*EJ$175</f>
        <v>0</v>
      </c>
      <c r="EK189" s="34" t="n">
        <f aca="false">V_Trib*EK$175</f>
        <v>0</v>
      </c>
      <c r="EL189" s="34" t="n">
        <f aca="false">V_Trib*EL$175</f>
        <v>0</v>
      </c>
      <c r="EM189" s="34" t="n">
        <f aca="false">V_Trib*EM$175</f>
        <v>0</v>
      </c>
      <c r="EN189" s="34" t="n">
        <f aca="false">V_Trib*EN$175</f>
        <v>0</v>
      </c>
      <c r="EO189" s="34" t="n">
        <f aca="false">V_Trib*EO$175</f>
        <v>0</v>
      </c>
      <c r="EP189" s="34" t="n">
        <f aca="false">V_Trib*EP$175</f>
        <v>0</v>
      </c>
      <c r="EQ189" s="34" t="n">
        <f aca="false">V_Trib*EQ$175</f>
        <v>0</v>
      </c>
      <c r="ER189" s="34" t="n">
        <f aca="false">V_Trib*ER$175</f>
        <v>0</v>
      </c>
      <c r="ES189" s="34" t="n">
        <f aca="false">V_Trib*ES$175</f>
        <v>0</v>
      </c>
    </row>
    <row r="190" customFormat="false" ht="15" hidden="false" customHeight="false" outlineLevel="0" collapsed="false">
      <c r="A190" s="2" t="s">
        <v>805</v>
      </c>
      <c r="B190" s="6" t="s">
        <v>612</v>
      </c>
      <c r="C190" s="6" t="s">
        <v>250</v>
      </c>
      <c r="E190" s="40" t="n">
        <f aca="false">SUM(F190:ES190)</f>
        <v>555431.735750422</v>
      </c>
      <c r="F190" s="34" t="n">
        <f aca="false">SUMPRODUCT((FC_Clase="Producción")*FC_V*((FC_Mon="PYG")*F$149+(FC_Mon&lt;&gt;"PYG"))*(1+FC_g)^(F$147-1)*((FC_Desde=0)*(F$146+F$145)+(FC_Desde&gt;=1)*(F$144&gt;=FC_Desde)*F$145))</f>
        <v>4393.47821917808</v>
      </c>
      <c r="G190" s="34" t="n">
        <f aca="false">SUMPRODUCT((FC_Clase="Producción")*FC_V*((FC_Mon="PYG")*G$149+(FC_Mon&lt;&gt;"PYG"))*(1+FC_g)^(G$147-1)*((FC_Desde=0)*(G$146+G$145)+(FC_Desde&gt;=1)*(G$144&gt;=FC_Desde)*G$145))</f>
        <v>4393.47821917808</v>
      </c>
      <c r="H190" s="34" t="n">
        <f aca="false">SUMPRODUCT((FC_Clase="Producción")*FC_V*((FC_Mon="PYG")*H$149+(FC_Mon&lt;&gt;"PYG"))*(1+FC_g)^(H$147-1)*((FC_Desde=0)*(H$146+H$145)+(FC_Desde&gt;=1)*(H$144&gt;=FC_Desde)*H$145))</f>
        <v>4393.47821917808</v>
      </c>
      <c r="I190" s="34" t="n">
        <f aca="false">SUMPRODUCT((FC_Clase="Producción")*FC_V*((FC_Mon="PYG")*I$149+(FC_Mon&lt;&gt;"PYG"))*(1+FC_g)^(I$147-1)*((FC_Desde=0)*(I$146+I$145)+(FC_Desde&gt;=1)*(I$144&gt;=FC_Desde)*I$145))</f>
        <v>4393.47821917808</v>
      </c>
      <c r="J190" s="34" t="n">
        <f aca="false">SUMPRODUCT((FC_Clase="Producción")*FC_V*((FC_Mon="PYG")*J$149+(FC_Mon&lt;&gt;"PYG"))*(1+FC_g)^(J$147-1)*((FC_Desde=0)*(J$146+J$145)+(FC_Desde&gt;=1)*(J$144&gt;=FC_Desde)*J$145))</f>
        <v>4393.47821917808</v>
      </c>
      <c r="K190" s="34" t="n">
        <f aca="false">SUMPRODUCT((FC_Clase="Producción")*FC_V*((FC_Mon="PYG")*K$149+(FC_Mon&lt;&gt;"PYG"))*(1+FC_g)^(K$147-1)*((FC_Desde=0)*(K$146+K$145)+(FC_Desde&gt;=1)*(K$144&gt;=FC_Desde)*K$145))</f>
        <v>4393.47821917808</v>
      </c>
      <c r="L190" s="34" t="n">
        <f aca="false">SUMPRODUCT((FC_Clase="Producción")*FC_V*((FC_Mon="PYG")*L$149+(FC_Mon&lt;&gt;"PYG"))*(1+FC_g)^(L$147-1)*((FC_Desde=0)*(L$146+L$145)+(FC_Desde&gt;=1)*(L$144&gt;=FC_Desde)*L$145))</f>
        <v>4393.47821917808</v>
      </c>
      <c r="M190" s="34" t="n">
        <f aca="false">SUMPRODUCT((FC_Clase="Producción")*FC_V*((FC_Mon="PYG")*M$149+(FC_Mon&lt;&gt;"PYG"))*(1+FC_g)^(M$147-1)*((FC_Desde=0)*(M$146+M$145)+(FC_Desde&gt;=1)*(M$144&gt;=FC_Desde)*M$145))</f>
        <v>4393.47821917808</v>
      </c>
      <c r="N190" s="34" t="n">
        <f aca="false">SUMPRODUCT((FC_Clase="Producción")*FC_V*((FC_Mon="PYG")*N$149+(FC_Mon&lt;&gt;"PYG"))*(1+FC_g)^(N$147-1)*((FC_Desde=0)*(N$146+N$145)+(FC_Desde&gt;=1)*(N$144&gt;=FC_Desde)*N$145))</f>
        <v>4393.47821917808</v>
      </c>
      <c r="O190" s="34" t="n">
        <f aca="false">SUMPRODUCT((FC_Clase="Producción")*FC_V*((FC_Mon="PYG")*O$149+(FC_Mon&lt;&gt;"PYG"))*(1+FC_g)^(O$147-1)*((FC_Desde=0)*(O$146+O$145)+(FC_Desde&gt;=1)*(O$144&gt;=FC_Desde)*O$145))</f>
        <v>4393.47821917808</v>
      </c>
      <c r="P190" s="34" t="n">
        <f aca="false">SUMPRODUCT((FC_Clase="Producción")*FC_V*((FC_Mon="PYG")*P$149+(FC_Mon&lt;&gt;"PYG"))*(1+FC_g)^(P$147-1)*((FC_Desde=0)*(P$146+P$145)+(FC_Desde&gt;=1)*(P$144&gt;=FC_Desde)*P$145))</f>
        <v>4393.47821917808</v>
      </c>
      <c r="Q190" s="34" t="n">
        <f aca="false">SUMPRODUCT((FC_Clase="Producción")*FC_V*((FC_Mon="PYG")*Q$149+(FC_Mon&lt;&gt;"PYG"))*(1+FC_g)^(Q$147-1)*((FC_Desde=0)*(Q$146+Q$145)+(FC_Desde&gt;=1)*(Q$144&gt;=FC_Desde)*Q$145))</f>
        <v>4393.47821917808</v>
      </c>
      <c r="R190" s="34" t="n">
        <f aca="false">SUMPRODUCT((FC_Clase="Producción")*FC_V*((FC_Mon="PYG")*R$149+(FC_Mon&lt;&gt;"PYG"))*(1+FC_g)^(R$147-1)*((FC_Desde=0)*(R$146+R$145)+(FC_Desde&gt;=1)*(R$144&gt;=FC_Desde)*R$145))</f>
        <v>4442.99161917808</v>
      </c>
      <c r="S190" s="34" t="n">
        <f aca="false">SUMPRODUCT((FC_Clase="Producción")*FC_V*((FC_Mon="PYG")*S$149+(FC_Mon&lt;&gt;"PYG"))*(1+FC_g)^(S$147-1)*((FC_Desde=0)*(S$146+S$145)+(FC_Desde&gt;=1)*(S$144&gt;=FC_Desde)*S$145))</f>
        <v>4442.99161917808</v>
      </c>
      <c r="T190" s="34" t="n">
        <f aca="false">SUMPRODUCT((FC_Clase="Producción")*FC_V*((FC_Mon="PYG")*T$149+(FC_Mon&lt;&gt;"PYG"))*(1+FC_g)^(T$147-1)*((FC_Desde=0)*(T$146+T$145)+(FC_Desde&gt;=1)*(T$144&gt;=FC_Desde)*T$145))</f>
        <v>4442.99161917808</v>
      </c>
      <c r="U190" s="34" t="n">
        <f aca="false">SUMPRODUCT((FC_Clase="Producción")*FC_V*((FC_Mon="PYG")*U$149+(FC_Mon&lt;&gt;"PYG"))*(1+FC_g)^(U$147-1)*((FC_Desde=0)*(U$146+U$145)+(FC_Desde&gt;=1)*(U$144&gt;=FC_Desde)*U$145))</f>
        <v>4442.99161917808</v>
      </c>
      <c r="V190" s="34" t="n">
        <f aca="false">SUMPRODUCT((FC_Clase="Producción")*FC_V*((FC_Mon="PYG")*V$149+(FC_Mon&lt;&gt;"PYG"))*(1+FC_g)^(V$147-1)*((FC_Desde=0)*(V$146+V$145)+(FC_Desde&gt;=1)*(V$144&gt;=FC_Desde)*V$145))</f>
        <v>4442.99161917808</v>
      </c>
      <c r="W190" s="34" t="n">
        <f aca="false">SUMPRODUCT((FC_Clase="Producción")*FC_V*((FC_Mon="PYG")*W$149+(FC_Mon&lt;&gt;"PYG"))*(1+FC_g)^(W$147-1)*((FC_Desde=0)*(W$146+W$145)+(FC_Desde&gt;=1)*(W$144&gt;=FC_Desde)*W$145))</f>
        <v>4442.99161917808</v>
      </c>
      <c r="X190" s="34" t="n">
        <f aca="false">SUMPRODUCT((FC_Clase="Producción")*FC_V*((FC_Mon="PYG")*X$149+(FC_Mon&lt;&gt;"PYG"))*(1+FC_g)^(X$147-1)*((FC_Desde=0)*(X$146+X$145)+(FC_Desde&gt;=1)*(X$144&gt;=FC_Desde)*X$145))</f>
        <v>4442.99161917808</v>
      </c>
      <c r="Y190" s="34" t="n">
        <f aca="false">SUMPRODUCT((FC_Clase="Producción")*FC_V*((FC_Mon="PYG")*Y$149+(FC_Mon&lt;&gt;"PYG"))*(1+FC_g)^(Y$147-1)*((FC_Desde=0)*(Y$146+Y$145)+(FC_Desde&gt;=1)*(Y$144&gt;=FC_Desde)*Y$145))</f>
        <v>4442.99161917808</v>
      </c>
      <c r="Z190" s="34" t="n">
        <f aca="false">SUMPRODUCT((FC_Clase="Producción")*FC_V*((FC_Mon="PYG")*Z$149+(FC_Mon&lt;&gt;"PYG"))*(1+FC_g)^(Z$147-1)*((FC_Desde=0)*(Z$146+Z$145)+(FC_Desde&gt;=1)*(Z$144&gt;=FC_Desde)*Z$145))</f>
        <v>4442.99161917808</v>
      </c>
      <c r="AA190" s="34" t="n">
        <f aca="false">SUMPRODUCT((FC_Clase="Producción")*FC_V*((FC_Mon="PYG")*AA$149+(FC_Mon&lt;&gt;"PYG"))*(1+FC_g)^(AA$147-1)*((FC_Desde=0)*(AA$146+AA$145)+(FC_Desde&gt;=1)*(AA$144&gt;=FC_Desde)*AA$145))</f>
        <v>4442.99161917808</v>
      </c>
      <c r="AB190" s="34" t="n">
        <f aca="false">SUMPRODUCT((FC_Clase="Producción")*FC_V*((FC_Mon="PYG")*AB$149+(FC_Mon&lt;&gt;"PYG"))*(1+FC_g)^(AB$147-1)*((FC_Desde=0)*(AB$146+AB$145)+(FC_Desde&gt;=1)*(AB$144&gt;=FC_Desde)*AB$145))</f>
        <v>4442.99161917808</v>
      </c>
      <c r="AC190" s="34" t="n">
        <f aca="false">SUMPRODUCT((FC_Clase="Producción")*FC_V*((FC_Mon="PYG")*AC$149+(FC_Mon&lt;&gt;"PYG"))*(1+FC_g)^(AC$147-1)*((FC_Desde=0)*(AC$146+AC$145)+(FC_Desde&gt;=1)*(AC$144&gt;=FC_Desde)*AC$145))</f>
        <v>4442.99161917808</v>
      </c>
      <c r="AD190" s="34" t="n">
        <f aca="false">SUMPRODUCT((FC_Clase="Producción")*FC_V*((FC_Mon="PYG")*AD$149+(FC_Mon&lt;&gt;"PYG"))*(1+FC_g)^(AD$147-1)*((FC_Desde=0)*(AD$146+AD$145)+(FC_Desde&gt;=1)*(AD$144&gt;=FC_Desde)*AD$145))</f>
        <v>4493.49528717808</v>
      </c>
      <c r="AE190" s="34" t="n">
        <f aca="false">SUMPRODUCT((FC_Clase="Producción")*FC_V*((FC_Mon="PYG")*AE$149+(FC_Mon&lt;&gt;"PYG"))*(1+FC_g)^(AE$147-1)*((FC_Desde=0)*(AE$146+AE$145)+(FC_Desde&gt;=1)*(AE$144&gt;=FC_Desde)*AE$145))</f>
        <v>4493.49528717808</v>
      </c>
      <c r="AF190" s="34" t="n">
        <f aca="false">SUMPRODUCT((FC_Clase="Producción")*FC_V*((FC_Mon="PYG")*AF$149+(FC_Mon&lt;&gt;"PYG"))*(1+FC_g)^(AF$147-1)*((FC_Desde=0)*(AF$146+AF$145)+(FC_Desde&gt;=1)*(AF$144&gt;=FC_Desde)*AF$145))</f>
        <v>4493.49528717808</v>
      </c>
      <c r="AG190" s="34" t="n">
        <f aca="false">SUMPRODUCT((FC_Clase="Producción")*FC_V*((FC_Mon="PYG")*AG$149+(FC_Mon&lt;&gt;"PYG"))*(1+FC_g)^(AG$147-1)*((FC_Desde=0)*(AG$146+AG$145)+(FC_Desde&gt;=1)*(AG$144&gt;=FC_Desde)*AG$145))</f>
        <v>4493.49528717808</v>
      </c>
      <c r="AH190" s="34" t="n">
        <f aca="false">SUMPRODUCT((FC_Clase="Producción")*FC_V*((FC_Mon="PYG")*AH$149+(FC_Mon&lt;&gt;"PYG"))*(1+FC_g)^(AH$147-1)*((FC_Desde=0)*(AH$146+AH$145)+(FC_Desde&gt;=1)*(AH$144&gt;=FC_Desde)*AH$145))</f>
        <v>4493.49528717808</v>
      </c>
      <c r="AI190" s="34" t="n">
        <f aca="false">SUMPRODUCT((FC_Clase="Producción")*FC_V*((FC_Mon="PYG")*AI$149+(FC_Mon&lt;&gt;"PYG"))*(1+FC_g)^(AI$147-1)*((FC_Desde=0)*(AI$146+AI$145)+(FC_Desde&gt;=1)*(AI$144&gt;=FC_Desde)*AI$145))</f>
        <v>4493.49528717808</v>
      </c>
      <c r="AJ190" s="34" t="n">
        <f aca="false">SUMPRODUCT((FC_Clase="Producción")*FC_V*((FC_Mon="PYG")*AJ$149+(FC_Mon&lt;&gt;"PYG"))*(1+FC_g)^(AJ$147-1)*((FC_Desde=0)*(AJ$146+AJ$145)+(FC_Desde&gt;=1)*(AJ$144&gt;=FC_Desde)*AJ$145))</f>
        <v>4493.49528717808</v>
      </c>
      <c r="AK190" s="34" t="n">
        <f aca="false">SUMPRODUCT((FC_Clase="Producción")*FC_V*((FC_Mon="PYG")*AK$149+(FC_Mon&lt;&gt;"PYG"))*(1+FC_g)^(AK$147-1)*((FC_Desde=0)*(AK$146+AK$145)+(FC_Desde&gt;=1)*(AK$144&gt;=FC_Desde)*AK$145))</f>
        <v>4493.49528717808</v>
      </c>
      <c r="AL190" s="34" t="n">
        <f aca="false">SUMPRODUCT((FC_Clase="Producción")*FC_V*((FC_Mon="PYG")*AL$149+(FC_Mon&lt;&gt;"PYG"))*(1+FC_g)^(AL$147-1)*((FC_Desde=0)*(AL$146+AL$145)+(FC_Desde&gt;=1)*(AL$144&gt;=FC_Desde)*AL$145))</f>
        <v>4493.49528717808</v>
      </c>
      <c r="AM190" s="34" t="n">
        <f aca="false">SUMPRODUCT((FC_Clase="Producción")*FC_V*((FC_Mon="PYG")*AM$149+(FC_Mon&lt;&gt;"PYG"))*(1+FC_g)^(AM$147-1)*((FC_Desde=0)*(AM$146+AM$145)+(FC_Desde&gt;=1)*(AM$144&gt;=FC_Desde)*AM$145))</f>
        <v>4493.49528717808</v>
      </c>
      <c r="AN190" s="34" t="n">
        <f aca="false">SUMPRODUCT((FC_Clase="Producción")*FC_V*((FC_Mon="PYG")*AN$149+(FC_Mon&lt;&gt;"PYG"))*(1+FC_g)^(AN$147-1)*((FC_Desde=0)*(AN$146+AN$145)+(FC_Desde&gt;=1)*(AN$144&gt;=FC_Desde)*AN$145))</f>
        <v>4493.49528717808</v>
      </c>
      <c r="AO190" s="34" t="n">
        <f aca="false">SUMPRODUCT((FC_Clase="Producción")*FC_V*((FC_Mon="PYG")*AO$149+(FC_Mon&lt;&gt;"PYG"))*(1+FC_g)^(AO$147-1)*((FC_Desde=0)*(AO$146+AO$145)+(FC_Desde&gt;=1)*(AO$144&gt;=FC_Desde)*AO$145))</f>
        <v>4493.49528717808</v>
      </c>
      <c r="AP190" s="34" t="n">
        <f aca="false">SUMPRODUCT((FC_Clase="Producción")*FC_V*((FC_Mon="PYG")*AP$149+(FC_Mon&lt;&gt;"PYG"))*(1+FC_g)^(AP$147-1)*((FC_Desde=0)*(AP$146+AP$145)+(FC_Desde&gt;=1)*(AP$144&gt;=FC_Desde)*AP$145))</f>
        <v>4545.00902853808</v>
      </c>
      <c r="AQ190" s="34" t="n">
        <f aca="false">SUMPRODUCT((FC_Clase="Producción")*FC_V*((FC_Mon="PYG")*AQ$149+(FC_Mon&lt;&gt;"PYG"))*(1+FC_g)^(AQ$147-1)*((FC_Desde=0)*(AQ$146+AQ$145)+(FC_Desde&gt;=1)*(AQ$144&gt;=FC_Desde)*AQ$145))</f>
        <v>4545.00902853808</v>
      </c>
      <c r="AR190" s="34" t="n">
        <f aca="false">SUMPRODUCT((FC_Clase="Producción")*FC_V*((FC_Mon="PYG")*AR$149+(FC_Mon&lt;&gt;"PYG"))*(1+FC_g)^(AR$147-1)*((FC_Desde=0)*(AR$146+AR$145)+(FC_Desde&gt;=1)*(AR$144&gt;=FC_Desde)*AR$145))</f>
        <v>4545.00902853808</v>
      </c>
      <c r="AS190" s="34" t="n">
        <f aca="false">SUMPRODUCT((FC_Clase="Producción")*FC_V*((FC_Mon="PYG")*AS$149+(FC_Mon&lt;&gt;"PYG"))*(1+FC_g)^(AS$147-1)*((FC_Desde=0)*(AS$146+AS$145)+(FC_Desde&gt;=1)*(AS$144&gt;=FC_Desde)*AS$145))</f>
        <v>4545.00902853808</v>
      </c>
      <c r="AT190" s="34" t="n">
        <f aca="false">SUMPRODUCT((FC_Clase="Producción")*FC_V*((FC_Mon="PYG")*AT$149+(FC_Mon&lt;&gt;"PYG"))*(1+FC_g)^(AT$147-1)*((FC_Desde=0)*(AT$146+AT$145)+(FC_Desde&gt;=1)*(AT$144&gt;=FC_Desde)*AT$145))</f>
        <v>4545.00902853808</v>
      </c>
      <c r="AU190" s="34" t="n">
        <f aca="false">SUMPRODUCT((FC_Clase="Producción")*FC_V*((FC_Mon="PYG")*AU$149+(FC_Mon&lt;&gt;"PYG"))*(1+FC_g)^(AU$147-1)*((FC_Desde=0)*(AU$146+AU$145)+(FC_Desde&gt;=1)*(AU$144&gt;=FC_Desde)*AU$145))</f>
        <v>4545.00902853808</v>
      </c>
      <c r="AV190" s="34" t="n">
        <f aca="false">SUMPRODUCT((FC_Clase="Producción")*FC_V*((FC_Mon="PYG")*AV$149+(FC_Mon&lt;&gt;"PYG"))*(1+FC_g)^(AV$147-1)*((FC_Desde=0)*(AV$146+AV$145)+(FC_Desde&gt;=1)*(AV$144&gt;=FC_Desde)*AV$145))</f>
        <v>4545.00902853808</v>
      </c>
      <c r="AW190" s="34" t="n">
        <f aca="false">SUMPRODUCT((FC_Clase="Producción")*FC_V*((FC_Mon="PYG")*AW$149+(FC_Mon&lt;&gt;"PYG"))*(1+FC_g)^(AW$147-1)*((FC_Desde=0)*(AW$146+AW$145)+(FC_Desde&gt;=1)*(AW$144&gt;=FC_Desde)*AW$145))</f>
        <v>4545.00902853808</v>
      </c>
      <c r="AX190" s="34" t="n">
        <f aca="false">SUMPRODUCT((FC_Clase="Producción")*FC_V*((FC_Mon="PYG")*AX$149+(FC_Mon&lt;&gt;"PYG"))*(1+FC_g)^(AX$147-1)*((FC_Desde=0)*(AX$146+AX$145)+(FC_Desde&gt;=1)*(AX$144&gt;=FC_Desde)*AX$145))</f>
        <v>4545.00902853808</v>
      </c>
      <c r="AY190" s="34" t="n">
        <f aca="false">SUMPRODUCT((FC_Clase="Producción")*FC_V*((FC_Mon="PYG")*AY$149+(FC_Mon&lt;&gt;"PYG"))*(1+FC_g)^(AY$147-1)*((FC_Desde=0)*(AY$146+AY$145)+(FC_Desde&gt;=1)*(AY$144&gt;=FC_Desde)*AY$145))</f>
        <v>4545.00902853808</v>
      </c>
      <c r="AZ190" s="34" t="n">
        <f aca="false">SUMPRODUCT((FC_Clase="Producción")*FC_V*((FC_Mon="PYG")*AZ$149+(FC_Mon&lt;&gt;"PYG"))*(1+FC_g)^(AZ$147-1)*((FC_Desde=0)*(AZ$146+AZ$145)+(FC_Desde&gt;=1)*(AZ$144&gt;=FC_Desde)*AZ$145))</f>
        <v>4545.00902853808</v>
      </c>
      <c r="BA190" s="34" t="n">
        <f aca="false">SUMPRODUCT((FC_Clase="Producción")*FC_V*((FC_Mon="PYG")*BA$149+(FC_Mon&lt;&gt;"PYG"))*(1+FC_g)^(BA$147-1)*((FC_Desde=0)*(BA$146+BA$145)+(FC_Desde&gt;=1)*(BA$144&gt;=FC_Desde)*BA$145))</f>
        <v>4545.00902853808</v>
      </c>
      <c r="BB190" s="34" t="n">
        <f aca="false">SUMPRODUCT((FC_Clase="Producción")*FC_V*((FC_Mon="PYG")*BB$149+(FC_Mon&lt;&gt;"PYG"))*(1+FC_g)^(BB$147-1)*((FC_Desde=0)*(BB$146+BB$145)+(FC_Desde&gt;=1)*(BB$144&gt;=FC_Desde)*BB$145))</f>
        <v>4597.55304472528</v>
      </c>
      <c r="BC190" s="34" t="n">
        <f aca="false">SUMPRODUCT((FC_Clase="Producción")*FC_V*((FC_Mon="PYG")*BC$149+(FC_Mon&lt;&gt;"PYG"))*(1+FC_g)^(BC$147-1)*((FC_Desde=0)*(BC$146+BC$145)+(FC_Desde&gt;=1)*(BC$144&gt;=FC_Desde)*BC$145))</f>
        <v>4597.55304472528</v>
      </c>
      <c r="BD190" s="34" t="n">
        <f aca="false">SUMPRODUCT((FC_Clase="Producción")*FC_V*((FC_Mon="PYG")*BD$149+(FC_Mon&lt;&gt;"PYG"))*(1+FC_g)^(BD$147-1)*((FC_Desde=0)*(BD$146+BD$145)+(FC_Desde&gt;=1)*(BD$144&gt;=FC_Desde)*BD$145))</f>
        <v>4597.55304472528</v>
      </c>
      <c r="BE190" s="34" t="n">
        <f aca="false">SUMPRODUCT((FC_Clase="Producción")*FC_V*((FC_Mon="PYG")*BE$149+(FC_Mon&lt;&gt;"PYG"))*(1+FC_g)^(BE$147-1)*((FC_Desde=0)*(BE$146+BE$145)+(FC_Desde&gt;=1)*(BE$144&gt;=FC_Desde)*BE$145))</f>
        <v>4597.55304472528</v>
      </c>
      <c r="BF190" s="34" t="n">
        <f aca="false">SUMPRODUCT((FC_Clase="Producción")*FC_V*((FC_Mon="PYG")*BF$149+(FC_Mon&lt;&gt;"PYG"))*(1+FC_g)^(BF$147-1)*((FC_Desde=0)*(BF$146+BF$145)+(FC_Desde&gt;=1)*(BF$144&gt;=FC_Desde)*BF$145))</f>
        <v>4597.55304472528</v>
      </c>
      <c r="BG190" s="34" t="n">
        <f aca="false">SUMPRODUCT((FC_Clase="Producción")*FC_V*((FC_Mon="PYG")*BG$149+(FC_Mon&lt;&gt;"PYG"))*(1+FC_g)^(BG$147-1)*((FC_Desde=0)*(BG$146+BG$145)+(FC_Desde&gt;=1)*(BG$144&gt;=FC_Desde)*BG$145))</f>
        <v>4597.55304472528</v>
      </c>
      <c r="BH190" s="34" t="n">
        <f aca="false">SUMPRODUCT((FC_Clase="Producción")*FC_V*((FC_Mon="PYG")*BH$149+(FC_Mon&lt;&gt;"PYG"))*(1+FC_g)^(BH$147-1)*((FC_Desde=0)*(BH$146+BH$145)+(FC_Desde&gt;=1)*(BH$144&gt;=FC_Desde)*BH$145))</f>
        <v>4597.55304472528</v>
      </c>
      <c r="BI190" s="34" t="n">
        <f aca="false">SUMPRODUCT((FC_Clase="Producción")*FC_V*((FC_Mon="PYG")*BI$149+(FC_Mon&lt;&gt;"PYG"))*(1+FC_g)^(BI$147-1)*((FC_Desde=0)*(BI$146+BI$145)+(FC_Desde&gt;=1)*(BI$144&gt;=FC_Desde)*BI$145))</f>
        <v>4597.55304472528</v>
      </c>
      <c r="BJ190" s="34" t="n">
        <f aca="false">SUMPRODUCT((FC_Clase="Producción")*FC_V*((FC_Mon="PYG")*BJ$149+(FC_Mon&lt;&gt;"PYG"))*(1+FC_g)^(BJ$147-1)*((FC_Desde=0)*(BJ$146+BJ$145)+(FC_Desde&gt;=1)*(BJ$144&gt;=FC_Desde)*BJ$145))</f>
        <v>4597.55304472528</v>
      </c>
      <c r="BK190" s="34" t="n">
        <f aca="false">SUMPRODUCT((FC_Clase="Producción")*FC_V*((FC_Mon="PYG")*BK$149+(FC_Mon&lt;&gt;"PYG"))*(1+FC_g)^(BK$147-1)*((FC_Desde=0)*(BK$146+BK$145)+(FC_Desde&gt;=1)*(BK$144&gt;=FC_Desde)*BK$145))</f>
        <v>4597.55304472528</v>
      </c>
      <c r="BL190" s="34" t="n">
        <f aca="false">SUMPRODUCT((FC_Clase="Producción")*FC_V*((FC_Mon="PYG")*BL$149+(FC_Mon&lt;&gt;"PYG"))*(1+FC_g)^(BL$147-1)*((FC_Desde=0)*(BL$146+BL$145)+(FC_Desde&gt;=1)*(BL$144&gt;=FC_Desde)*BL$145))</f>
        <v>4597.55304472528</v>
      </c>
      <c r="BM190" s="34" t="n">
        <f aca="false">SUMPRODUCT((FC_Clase="Producción")*FC_V*((FC_Mon="PYG")*BM$149+(FC_Mon&lt;&gt;"PYG"))*(1+FC_g)^(BM$147-1)*((FC_Desde=0)*(BM$146+BM$145)+(FC_Desde&gt;=1)*(BM$144&gt;=FC_Desde)*BM$145))</f>
        <v>4597.55304472528</v>
      </c>
      <c r="BN190" s="34" t="n">
        <f aca="false">SUMPRODUCT((FC_Clase="Producción")*FC_V*((FC_Mon="PYG")*BN$149+(FC_Mon&lt;&gt;"PYG"))*(1+FC_g)^(BN$147-1)*((FC_Desde=0)*(BN$146+BN$145)+(FC_Desde&gt;=1)*(BN$144&gt;=FC_Desde)*BN$145))</f>
        <v>4651.14794123623</v>
      </c>
      <c r="BO190" s="34" t="n">
        <f aca="false">SUMPRODUCT((FC_Clase="Producción")*FC_V*((FC_Mon="PYG")*BO$149+(FC_Mon&lt;&gt;"PYG"))*(1+FC_g)^(BO$147-1)*((FC_Desde=0)*(BO$146+BO$145)+(FC_Desde&gt;=1)*(BO$144&gt;=FC_Desde)*BO$145))</f>
        <v>4651.14794123623</v>
      </c>
      <c r="BP190" s="34" t="n">
        <f aca="false">SUMPRODUCT((FC_Clase="Producción")*FC_V*((FC_Mon="PYG")*BP$149+(FC_Mon&lt;&gt;"PYG"))*(1+FC_g)^(BP$147-1)*((FC_Desde=0)*(BP$146+BP$145)+(FC_Desde&gt;=1)*(BP$144&gt;=FC_Desde)*BP$145))</f>
        <v>4651.14794123623</v>
      </c>
      <c r="BQ190" s="34" t="n">
        <f aca="false">SUMPRODUCT((FC_Clase="Producción")*FC_V*((FC_Mon="PYG")*BQ$149+(FC_Mon&lt;&gt;"PYG"))*(1+FC_g)^(BQ$147-1)*((FC_Desde=0)*(BQ$146+BQ$145)+(FC_Desde&gt;=1)*(BQ$144&gt;=FC_Desde)*BQ$145))</f>
        <v>4651.14794123623</v>
      </c>
      <c r="BR190" s="34" t="n">
        <f aca="false">SUMPRODUCT((FC_Clase="Producción")*FC_V*((FC_Mon="PYG")*BR$149+(FC_Mon&lt;&gt;"PYG"))*(1+FC_g)^(BR$147-1)*((FC_Desde=0)*(BR$146+BR$145)+(FC_Desde&gt;=1)*(BR$144&gt;=FC_Desde)*BR$145))</f>
        <v>4651.14794123623</v>
      </c>
      <c r="BS190" s="34" t="n">
        <f aca="false">SUMPRODUCT((FC_Clase="Producción")*FC_V*((FC_Mon="PYG")*BS$149+(FC_Mon&lt;&gt;"PYG"))*(1+FC_g)^(BS$147-1)*((FC_Desde=0)*(BS$146+BS$145)+(FC_Desde&gt;=1)*(BS$144&gt;=FC_Desde)*BS$145))</f>
        <v>4651.14794123623</v>
      </c>
      <c r="BT190" s="34" t="n">
        <f aca="false">SUMPRODUCT((FC_Clase="Producción")*FC_V*((FC_Mon="PYG")*BT$149+(FC_Mon&lt;&gt;"PYG"))*(1+FC_g)^(BT$147-1)*((FC_Desde=0)*(BT$146+BT$145)+(FC_Desde&gt;=1)*(BT$144&gt;=FC_Desde)*BT$145))</f>
        <v>4651.14794123623</v>
      </c>
      <c r="BU190" s="34" t="n">
        <f aca="false">SUMPRODUCT((FC_Clase="Producción")*FC_V*((FC_Mon="PYG")*BU$149+(FC_Mon&lt;&gt;"PYG"))*(1+FC_g)^(BU$147-1)*((FC_Desde=0)*(BU$146+BU$145)+(FC_Desde&gt;=1)*(BU$144&gt;=FC_Desde)*BU$145))</f>
        <v>4651.14794123623</v>
      </c>
      <c r="BV190" s="34" t="n">
        <f aca="false">SUMPRODUCT((FC_Clase="Producción")*FC_V*((FC_Mon="PYG")*BV$149+(FC_Mon&lt;&gt;"PYG"))*(1+FC_g)^(BV$147-1)*((FC_Desde=0)*(BV$146+BV$145)+(FC_Desde&gt;=1)*(BV$144&gt;=FC_Desde)*BV$145))</f>
        <v>4651.14794123623</v>
      </c>
      <c r="BW190" s="34" t="n">
        <f aca="false">SUMPRODUCT((FC_Clase="Producción")*FC_V*((FC_Mon="PYG")*BW$149+(FC_Mon&lt;&gt;"PYG"))*(1+FC_g)^(BW$147-1)*((FC_Desde=0)*(BW$146+BW$145)+(FC_Desde&gt;=1)*(BW$144&gt;=FC_Desde)*BW$145))</f>
        <v>4651.14794123623</v>
      </c>
      <c r="BX190" s="34" t="n">
        <f aca="false">SUMPRODUCT((FC_Clase="Producción")*FC_V*((FC_Mon="PYG")*BX$149+(FC_Mon&lt;&gt;"PYG"))*(1+FC_g)^(BX$147-1)*((FC_Desde=0)*(BX$146+BX$145)+(FC_Desde&gt;=1)*(BX$144&gt;=FC_Desde)*BX$145))</f>
        <v>4651.14794123623</v>
      </c>
      <c r="BY190" s="34" t="n">
        <f aca="false">SUMPRODUCT((FC_Clase="Producción")*FC_V*((FC_Mon="PYG")*BY$149+(FC_Mon&lt;&gt;"PYG"))*(1+FC_g)^(BY$147-1)*((FC_Desde=0)*(BY$146+BY$145)+(FC_Desde&gt;=1)*(BY$144&gt;=FC_Desde)*BY$145))</f>
        <v>4651.14794123623</v>
      </c>
      <c r="BZ190" s="34" t="n">
        <f aca="false">SUMPRODUCT((FC_Clase="Producción")*FC_V*((FC_Mon="PYG")*BZ$149+(FC_Mon&lt;&gt;"PYG"))*(1+FC_g)^(BZ$147-1)*((FC_Desde=0)*(BZ$146+BZ$145)+(FC_Desde&gt;=1)*(BZ$144&gt;=FC_Desde)*BZ$145))</f>
        <v>4705.81473567739</v>
      </c>
      <c r="CA190" s="34" t="n">
        <f aca="false">SUMPRODUCT((FC_Clase="Producción")*FC_V*((FC_Mon="PYG")*CA$149+(FC_Mon&lt;&gt;"PYG"))*(1+FC_g)^(CA$147-1)*((FC_Desde=0)*(CA$146+CA$145)+(FC_Desde&gt;=1)*(CA$144&gt;=FC_Desde)*CA$145))</f>
        <v>4705.81473567739</v>
      </c>
      <c r="CB190" s="34" t="n">
        <f aca="false">SUMPRODUCT((FC_Clase="Producción")*FC_V*((FC_Mon="PYG")*CB$149+(FC_Mon&lt;&gt;"PYG"))*(1+FC_g)^(CB$147-1)*((FC_Desde=0)*(CB$146+CB$145)+(FC_Desde&gt;=1)*(CB$144&gt;=FC_Desde)*CB$145))</f>
        <v>4705.81473567739</v>
      </c>
      <c r="CC190" s="34" t="n">
        <f aca="false">SUMPRODUCT((FC_Clase="Producción")*FC_V*((FC_Mon="PYG")*CC$149+(FC_Mon&lt;&gt;"PYG"))*(1+FC_g)^(CC$147-1)*((FC_Desde=0)*(CC$146+CC$145)+(FC_Desde&gt;=1)*(CC$144&gt;=FC_Desde)*CC$145))</f>
        <v>4705.81473567739</v>
      </c>
      <c r="CD190" s="34" t="n">
        <f aca="false">SUMPRODUCT((FC_Clase="Producción")*FC_V*((FC_Mon="PYG")*CD$149+(FC_Mon&lt;&gt;"PYG"))*(1+FC_g)^(CD$147-1)*((FC_Desde=0)*(CD$146+CD$145)+(FC_Desde&gt;=1)*(CD$144&gt;=FC_Desde)*CD$145))</f>
        <v>4705.81473567739</v>
      </c>
      <c r="CE190" s="34" t="n">
        <f aca="false">SUMPRODUCT((FC_Clase="Producción")*FC_V*((FC_Mon="PYG")*CE$149+(FC_Mon&lt;&gt;"PYG"))*(1+FC_g)^(CE$147-1)*((FC_Desde=0)*(CE$146+CE$145)+(FC_Desde&gt;=1)*(CE$144&gt;=FC_Desde)*CE$145))</f>
        <v>4705.81473567739</v>
      </c>
      <c r="CF190" s="34" t="n">
        <f aca="false">SUMPRODUCT((FC_Clase="Producción")*FC_V*((FC_Mon="PYG")*CF$149+(FC_Mon&lt;&gt;"PYG"))*(1+FC_g)^(CF$147-1)*((FC_Desde=0)*(CF$146+CF$145)+(FC_Desde&gt;=1)*(CF$144&gt;=FC_Desde)*CF$145))</f>
        <v>4705.81473567739</v>
      </c>
      <c r="CG190" s="34" t="n">
        <f aca="false">SUMPRODUCT((FC_Clase="Producción")*FC_V*((FC_Mon="PYG")*CG$149+(FC_Mon&lt;&gt;"PYG"))*(1+FC_g)^(CG$147-1)*((FC_Desde=0)*(CG$146+CG$145)+(FC_Desde&gt;=1)*(CG$144&gt;=FC_Desde)*CG$145))</f>
        <v>4705.81473567739</v>
      </c>
      <c r="CH190" s="34" t="n">
        <f aca="false">SUMPRODUCT((FC_Clase="Producción")*FC_V*((FC_Mon="PYG")*CH$149+(FC_Mon&lt;&gt;"PYG"))*(1+FC_g)^(CH$147-1)*((FC_Desde=0)*(CH$146+CH$145)+(FC_Desde&gt;=1)*(CH$144&gt;=FC_Desde)*CH$145))</f>
        <v>4705.81473567739</v>
      </c>
      <c r="CI190" s="34" t="n">
        <f aca="false">SUMPRODUCT((FC_Clase="Producción")*FC_V*((FC_Mon="PYG")*CI$149+(FC_Mon&lt;&gt;"PYG"))*(1+FC_g)^(CI$147-1)*((FC_Desde=0)*(CI$146+CI$145)+(FC_Desde&gt;=1)*(CI$144&gt;=FC_Desde)*CI$145))</f>
        <v>4705.81473567739</v>
      </c>
      <c r="CJ190" s="34" t="n">
        <f aca="false">SUMPRODUCT((FC_Clase="Producción")*FC_V*((FC_Mon="PYG")*CJ$149+(FC_Mon&lt;&gt;"PYG"))*(1+FC_g)^(CJ$147-1)*((FC_Desde=0)*(CJ$146+CJ$145)+(FC_Desde&gt;=1)*(CJ$144&gt;=FC_Desde)*CJ$145))</f>
        <v>4705.81473567739</v>
      </c>
      <c r="CK190" s="34" t="n">
        <f aca="false">SUMPRODUCT((FC_Clase="Producción")*FC_V*((FC_Mon="PYG")*CK$149+(FC_Mon&lt;&gt;"PYG"))*(1+FC_g)^(CK$147-1)*((FC_Desde=0)*(CK$146+CK$145)+(FC_Desde&gt;=1)*(CK$144&gt;=FC_Desde)*CK$145))</f>
        <v>4705.81473567739</v>
      </c>
      <c r="CL190" s="34" t="n">
        <f aca="false">SUMPRODUCT((FC_Clase="Producción")*FC_V*((FC_Mon="PYG")*CL$149+(FC_Mon&lt;&gt;"PYG"))*(1+FC_g)^(CL$147-1)*((FC_Desde=0)*(CL$146+CL$145)+(FC_Desde&gt;=1)*(CL$144&gt;=FC_Desde)*CL$145))</f>
        <v>4761.57486600738</v>
      </c>
      <c r="CM190" s="34" t="n">
        <f aca="false">SUMPRODUCT((FC_Clase="Producción")*FC_V*((FC_Mon="PYG")*CM$149+(FC_Mon&lt;&gt;"PYG"))*(1+FC_g)^(CM$147-1)*((FC_Desde=0)*(CM$146+CM$145)+(FC_Desde&gt;=1)*(CM$144&gt;=FC_Desde)*CM$145))</f>
        <v>4761.57486600738</v>
      </c>
      <c r="CN190" s="34" t="n">
        <f aca="false">SUMPRODUCT((FC_Clase="Producción")*FC_V*((FC_Mon="PYG")*CN$149+(FC_Mon&lt;&gt;"PYG"))*(1+FC_g)^(CN$147-1)*((FC_Desde=0)*(CN$146+CN$145)+(FC_Desde&gt;=1)*(CN$144&gt;=FC_Desde)*CN$145))</f>
        <v>4761.57486600738</v>
      </c>
      <c r="CO190" s="34" t="n">
        <f aca="false">SUMPRODUCT((FC_Clase="Producción")*FC_V*((FC_Mon="PYG")*CO$149+(FC_Mon&lt;&gt;"PYG"))*(1+FC_g)^(CO$147-1)*((FC_Desde=0)*(CO$146+CO$145)+(FC_Desde&gt;=1)*(CO$144&gt;=FC_Desde)*CO$145))</f>
        <v>4761.57486600738</v>
      </c>
      <c r="CP190" s="34" t="n">
        <f aca="false">SUMPRODUCT((FC_Clase="Producción")*FC_V*((FC_Mon="PYG")*CP$149+(FC_Mon&lt;&gt;"PYG"))*(1+FC_g)^(CP$147-1)*((FC_Desde=0)*(CP$146+CP$145)+(FC_Desde&gt;=1)*(CP$144&gt;=FC_Desde)*CP$145))</f>
        <v>4761.57486600738</v>
      </c>
      <c r="CQ190" s="34" t="n">
        <f aca="false">SUMPRODUCT((FC_Clase="Producción")*FC_V*((FC_Mon="PYG")*CQ$149+(FC_Mon&lt;&gt;"PYG"))*(1+FC_g)^(CQ$147-1)*((FC_Desde=0)*(CQ$146+CQ$145)+(FC_Desde&gt;=1)*(CQ$144&gt;=FC_Desde)*CQ$145))</f>
        <v>4761.57486600738</v>
      </c>
      <c r="CR190" s="34" t="n">
        <f aca="false">SUMPRODUCT((FC_Clase="Producción")*FC_V*((FC_Mon="PYG")*CR$149+(FC_Mon&lt;&gt;"PYG"))*(1+FC_g)^(CR$147-1)*((FC_Desde=0)*(CR$146+CR$145)+(FC_Desde&gt;=1)*(CR$144&gt;=FC_Desde)*CR$145))</f>
        <v>4761.57486600738</v>
      </c>
      <c r="CS190" s="34" t="n">
        <f aca="false">SUMPRODUCT((FC_Clase="Producción")*FC_V*((FC_Mon="PYG")*CS$149+(FC_Mon&lt;&gt;"PYG"))*(1+FC_g)^(CS$147-1)*((FC_Desde=0)*(CS$146+CS$145)+(FC_Desde&gt;=1)*(CS$144&gt;=FC_Desde)*CS$145))</f>
        <v>4761.57486600738</v>
      </c>
      <c r="CT190" s="34" t="n">
        <f aca="false">SUMPRODUCT((FC_Clase="Producción")*FC_V*((FC_Mon="PYG")*CT$149+(FC_Mon&lt;&gt;"PYG"))*(1+FC_g)^(CT$147-1)*((FC_Desde=0)*(CT$146+CT$145)+(FC_Desde&gt;=1)*(CT$144&gt;=FC_Desde)*CT$145))</f>
        <v>4761.57486600738</v>
      </c>
      <c r="CU190" s="34" t="n">
        <f aca="false">SUMPRODUCT((FC_Clase="Producción")*FC_V*((FC_Mon="PYG")*CU$149+(FC_Mon&lt;&gt;"PYG"))*(1+FC_g)^(CU$147-1)*((FC_Desde=0)*(CU$146+CU$145)+(FC_Desde&gt;=1)*(CU$144&gt;=FC_Desde)*CU$145))</f>
        <v>4761.57486600738</v>
      </c>
      <c r="CV190" s="34" t="n">
        <f aca="false">SUMPRODUCT((FC_Clase="Producción")*FC_V*((FC_Mon="PYG")*CV$149+(FC_Mon&lt;&gt;"PYG"))*(1+FC_g)^(CV$147-1)*((FC_Desde=0)*(CV$146+CV$145)+(FC_Desde&gt;=1)*(CV$144&gt;=FC_Desde)*CV$145))</f>
        <v>4761.57486600738</v>
      </c>
      <c r="CW190" s="34" t="n">
        <f aca="false">SUMPRODUCT((FC_Clase="Producción")*FC_V*((FC_Mon="PYG")*CW$149+(FC_Mon&lt;&gt;"PYG"))*(1+FC_g)^(CW$147-1)*((FC_Desde=0)*(CW$146+CW$145)+(FC_Desde&gt;=1)*(CW$144&gt;=FC_Desde)*CW$145))</f>
        <v>4761.57486600738</v>
      </c>
      <c r="CX190" s="34" t="n">
        <f aca="false">SUMPRODUCT((FC_Clase="Producción")*FC_V*((FC_Mon="PYG")*CX$149+(FC_Mon&lt;&gt;"PYG"))*(1+FC_g)^(CX$147-1)*((FC_Desde=0)*(CX$146+CX$145)+(FC_Desde&gt;=1)*(CX$144&gt;=FC_Desde)*CX$145))</f>
        <v>4818.45019894396</v>
      </c>
      <c r="CY190" s="34" t="n">
        <f aca="false">SUMPRODUCT((FC_Clase="Producción")*FC_V*((FC_Mon="PYG")*CY$149+(FC_Mon&lt;&gt;"PYG"))*(1+FC_g)^(CY$147-1)*((FC_Desde=0)*(CY$146+CY$145)+(FC_Desde&gt;=1)*(CY$144&gt;=FC_Desde)*CY$145))</f>
        <v>4818.45019894396</v>
      </c>
      <c r="CZ190" s="34" t="n">
        <f aca="false">SUMPRODUCT((FC_Clase="Producción")*FC_V*((FC_Mon="PYG")*CZ$149+(FC_Mon&lt;&gt;"PYG"))*(1+FC_g)^(CZ$147-1)*((FC_Desde=0)*(CZ$146+CZ$145)+(FC_Desde&gt;=1)*(CZ$144&gt;=FC_Desde)*CZ$145))</f>
        <v>4818.45019894396</v>
      </c>
      <c r="DA190" s="34" t="n">
        <f aca="false">SUMPRODUCT((FC_Clase="Producción")*FC_V*((FC_Mon="PYG")*DA$149+(FC_Mon&lt;&gt;"PYG"))*(1+FC_g)^(DA$147-1)*((FC_Desde=0)*(DA$146+DA$145)+(FC_Desde&gt;=1)*(DA$144&gt;=FC_Desde)*DA$145))</f>
        <v>4818.45019894396</v>
      </c>
      <c r="DB190" s="34" t="n">
        <f aca="false">SUMPRODUCT((FC_Clase="Producción")*FC_V*((FC_Mon="PYG")*DB$149+(FC_Mon&lt;&gt;"PYG"))*(1+FC_g)^(DB$147-1)*((FC_Desde=0)*(DB$146+DB$145)+(FC_Desde&gt;=1)*(DB$144&gt;=FC_Desde)*DB$145))</f>
        <v>4818.45019894396</v>
      </c>
      <c r="DC190" s="34" t="n">
        <f aca="false">SUMPRODUCT((FC_Clase="Producción")*FC_V*((FC_Mon="PYG")*DC$149+(FC_Mon&lt;&gt;"PYG"))*(1+FC_g)^(DC$147-1)*((FC_Desde=0)*(DC$146+DC$145)+(FC_Desde&gt;=1)*(DC$144&gt;=FC_Desde)*DC$145))</f>
        <v>4818.45019894396</v>
      </c>
      <c r="DD190" s="34" t="n">
        <f aca="false">SUMPRODUCT((FC_Clase="Producción")*FC_V*((FC_Mon="PYG")*DD$149+(FC_Mon&lt;&gt;"PYG"))*(1+FC_g)^(DD$147-1)*((FC_Desde=0)*(DD$146+DD$145)+(FC_Desde&gt;=1)*(DD$144&gt;=FC_Desde)*DD$145))</f>
        <v>4818.45019894396</v>
      </c>
      <c r="DE190" s="34" t="n">
        <f aca="false">SUMPRODUCT((FC_Clase="Producción")*FC_V*((FC_Mon="PYG")*DE$149+(FC_Mon&lt;&gt;"PYG"))*(1+FC_g)^(DE$147-1)*((FC_Desde=0)*(DE$146+DE$145)+(FC_Desde&gt;=1)*(DE$144&gt;=FC_Desde)*DE$145))</f>
        <v>4818.45019894396</v>
      </c>
      <c r="DF190" s="34" t="n">
        <f aca="false">SUMPRODUCT((FC_Clase="Producción")*FC_V*((FC_Mon="PYG")*DF$149+(FC_Mon&lt;&gt;"PYG"))*(1+FC_g)^(DF$147-1)*((FC_Desde=0)*(DF$146+DF$145)+(FC_Desde&gt;=1)*(DF$144&gt;=FC_Desde)*DF$145))</f>
        <v>4818.45019894396</v>
      </c>
      <c r="DG190" s="34" t="n">
        <f aca="false">SUMPRODUCT((FC_Clase="Producción")*FC_V*((FC_Mon="PYG")*DG$149+(FC_Mon&lt;&gt;"PYG"))*(1+FC_g)^(DG$147-1)*((FC_Desde=0)*(DG$146+DG$145)+(FC_Desde&gt;=1)*(DG$144&gt;=FC_Desde)*DG$145))</f>
        <v>4818.45019894396</v>
      </c>
      <c r="DH190" s="34" t="n">
        <f aca="false">SUMPRODUCT((FC_Clase="Producción")*FC_V*((FC_Mon="PYG")*DH$149+(FC_Mon&lt;&gt;"PYG"))*(1+FC_g)^(DH$147-1)*((FC_Desde=0)*(DH$146+DH$145)+(FC_Desde&gt;=1)*(DH$144&gt;=FC_Desde)*DH$145))</f>
        <v>4818.45019894396</v>
      </c>
      <c r="DI190" s="34" t="n">
        <f aca="false">SUMPRODUCT((FC_Clase="Producción")*FC_V*((FC_Mon="PYG")*DI$149+(FC_Mon&lt;&gt;"PYG"))*(1+FC_g)^(DI$147-1)*((FC_Desde=0)*(DI$146+DI$145)+(FC_Desde&gt;=1)*(DI$144&gt;=FC_Desde)*DI$145))</f>
        <v>4818.45019894396</v>
      </c>
      <c r="DJ190" s="34" t="n">
        <f aca="false">SUMPRODUCT((FC_Clase="Producción")*FC_V*((FC_Mon="PYG")*DJ$149+(FC_Mon&lt;&gt;"PYG"))*(1+FC_g)^(DJ$147-1)*((FC_Desde=0)*(DJ$146+DJ$145)+(FC_Desde&gt;=1)*(DJ$144&gt;=FC_Desde)*DJ$145))</f>
        <v>4876.46303853928</v>
      </c>
      <c r="DK190" s="34" t="n">
        <f aca="false">SUMPRODUCT((FC_Clase="Producción")*FC_V*((FC_Mon="PYG")*DK$149+(FC_Mon&lt;&gt;"PYG"))*(1+FC_g)^(DK$147-1)*((FC_Desde=0)*(DK$146+DK$145)+(FC_Desde&gt;=1)*(DK$144&gt;=FC_Desde)*DK$145))</f>
        <v>4876.46303853928</v>
      </c>
      <c r="DL190" s="34" t="n">
        <f aca="false">SUMPRODUCT((FC_Clase="Producción")*FC_V*((FC_Mon="PYG")*DL$149+(FC_Mon&lt;&gt;"PYG"))*(1+FC_g)^(DL$147-1)*((FC_Desde=0)*(DL$146+DL$145)+(FC_Desde&gt;=1)*(DL$144&gt;=FC_Desde)*DL$145))</f>
        <v>4876.46303853928</v>
      </c>
      <c r="DM190" s="34" t="n">
        <f aca="false">SUMPRODUCT((FC_Clase="Producción")*FC_V*((FC_Mon="PYG")*DM$149+(FC_Mon&lt;&gt;"PYG"))*(1+FC_g)^(DM$147-1)*((FC_Desde=0)*(DM$146+DM$145)+(FC_Desde&gt;=1)*(DM$144&gt;=FC_Desde)*DM$145))</f>
        <v>4876.46303853928</v>
      </c>
      <c r="DN190" s="34" t="n">
        <f aca="false">SUMPRODUCT((FC_Clase="Producción")*FC_V*((FC_Mon="PYG")*DN$149+(FC_Mon&lt;&gt;"PYG"))*(1+FC_g)^(DN$147-1)*((FC_Desde=0)*(DN$146+DN$145)+(FC_Desde&gt;=1)*(DN$144&gt;=FC_Desde)*DN$145))</f>
        <v>4876.46303853928</v>
      </c>
      <c r="DO190" s="34" t="n">
        <f aca="false">SUMPRODUCT((FC_Clase="Producción")*FC_V*((FC_Mon="PYG")*DO$149+(FC_Mon&lt;&gt;"PYG"))*(1+FC_g)^(DO$147-1)*((FC_Desde=0)*(DO$146+DO$145)+(FC_Desde&gt;=1)*(DO$144&gt;=FC_Desde)*DO$145))</f>
        <v>4876.46303853928</v>
      </c>
      <c r="DP190" s="34" t="n">
        <f aca="false">SUMPRODUCT((FC_Clase="Producción")*FC_V*((FC_Mon="PYG")*DP$149+(FC_Mon&lt;&gt;"PYG"))*(1+FC_g)^(DP$147-1)*((FC_Desde=0)*(DP$146+DP$145)+(FC_Desde&gt;=1)*(DP$144&gt;=FC_Desde)*DP$145))</f>
        <v>4876.46303853928</v>
      </c>
      <c r="DQ190" s="34" t="n">
        <f aca="false">SUMPRODUCT((FC_Clase="Producción")*FC_V*((FC_Mon="PYG")*DQ$149+(FC_Mon&lt;&gt;"PYG"))*(1+FC_g)^(DQ$147-1)*((FC_Desde=0)*(DQ$146+DQ$145)+(FC_Desde&gt;=1)*(DQ$144&gt;=FC_Desde)*DQ$145))</f>
        <v>4876.46303853928</v>
      </c>
      <c r="DR190" s="34" t="n">
        <f aca="false">SUMPRODUCT((FC_Clase="Producción")*FC_V*((FC_Mon="PYG")*DR$149+(FC_Mon&lt;&gt;"PYG"))*(1+FC_g)^(DR$147-1)*((FC_Desde=0)*(DR$146+DR$145)+(FC_Desde&gt;=1)*(DR$144&gt;=FC_Desde)*DR$145))</f>
        <v>4876.46303853928</v>
      </c>
      <c r="DS190" s="34" t="n">
        <f aca="false">SUMPRODUCT((FC_Clase="Producción")*FC_V*((FC_Mon="PYG")*DS$149+(FC_Mon&lt;&gt;"PYG"))*(1+FC_g)^(DS$147-1)*((FC_Desde=0)*(DS$146+DS$145)+(FC_Desde&gt;=1)*(DS$144&gt;=FC_Desde)*DS$145))</f>
        <v>4876.46303853928</v>
      </c>
      <c r="DT190" s="34" t="n">
        <f aca="false">SUMPRODUCT((FC_Clase="Producción")*FC_V*((FC_Mon="PYG")*DT$149+(FC_Mon&lt;&gt;"PYG"))*(1+FC_g)^(DT$147-1)*((FC_Desde=0)*(DT$146+DT$145)+(FC_Desde&gt;=1)*(DT$144&gt;=FC_Desde)*DT$145))</f>
        <v>4876.46303853928</v>
      </c>
      <c r="DU190" s="34" t="n">
        <f aca="false">SUMPRODUCT((FC_Clase="Producción")*FC_V*((FC_Mon="PYG")*DU$149+(FC_Mon&lt;&gt;"PYG"))*(1+FC_g)^(DU$147-1)*((FC_Desde=0)*(DU$146+DU$145)+(FC_Desde&gt;=1)*(DU$144&gt;=FC_Desde)*DU$145))</f>
        <v>4876.46303853928</v>
      </c>
      <c r="DV190" s="34" t="n">
        <f aca="false">SUMPRODUCT((FC_Clase="Producción")*FC_V*((FC_Mon="PYG")*DV$149+(FC_Mon&lt;&gt;"PYG"))*(1+FC_g)^(DV$147-1)*((FC_Desde=0)*(DV$146+DV$145)+(FC_Desde&gt;=1)*(DV$144&gt;=FC_Desde)*DV$145))</f>
        <v>0</v>
      </c>
      <c r="DW190" s="34" t="n">
        <f aca="false">SUMPRODUCT((FC_Clase="Producción")*FC_V*((FC_Mon="PYG")*DW$149+(FC_Mon&lt;&gt;"PYG"))*(1+FC_g)^(DW$147-1)*((FC_Desde=0)*(DW$146+DW$145)+(FC_Desde&gt;=1)*(DW$144&gt;=FC_Desde)*DW$145))</f>
        <v>0</v>
      </c>
      <c r="DX190" s="34" t="n">
        <f aca="false">SUMPRODUCT((FC_Clase="Producción")*FC_V*((FC_Mon="PYG")*DX$149+(FC_Mon&lt;&gt;"PYG"))*(1+FC_g)^(DX$147-1)*((FC_Desde=0)*(DX$146+DX$145)+(FC_Desde&gt;=1)*(DX$144&gt;=FC_Desde)*DX$145))</f>
        <v>0</v>
      </c>
      <c r="DY190" s="34" t="n">
        <f aca="false">SUMPRODUCT((FC_Clase="Producción")*FC_V*((FC_Mon="PYG")*DY$149+(FC_Mon&lt;&gt;"PYG"))*(1+FC_g)^(DY$147-1)*((FC_Desde=0)*(DY$146+DY$145)+(FC_Desde&gt;=1)*(DY$144&gt;=FC_Desde)*DY$145))</f>
        <v>0</v>
      </c>
      <c r="DZ190" s="34" t="n">
        <f aca="false">SUMPRODUCT((FC_Clase="Producción")*FC_V*((FC_Mon="PYG")*DZ$149+(FC_Mon&lt;&gt;"PYG"))*(1+FC_g)^(DZ$147-1)*((FC_Desde=0)*(DZ$146+DZ$145)+(FC_Desde&gt;=1)*(DZ$144&gt;=FC_Desde)*DZ$145))</f>
        <v>0</v>
      </c>
      <c r="EA190" s="34" t="n">
        <f aca="false">SUMPRODUCT((FC_Clase="Producción")*FC_V*((FC_Mon="PYG")*EA$149+(FC_Mon&lt;&gt;"PYG"))*(1+FC_g)^(EA$147-1)*((FC_Desde=0)*(EA$146+EA$145)+(FC_Desde&gt;=1)*(EA$144&gt;=FC_Desde)*EA$145))</f>
        <v>0</v>
      </c>
      <c r="EB190" s="34" t="n">
        <f aca="false">SUMPRODUCT((FC_Clase="Producción")*FC_V*((FC_Mon="PYG")*EB$149+(FC_Mon&lt;&gt;"PYG"))*(1+FC_g)^(EB$147-1)*((FC_Desde=0)*(EB$146+EB$145)+(FC_Desde&gt;=1)*(EB$144&gt;=FC_Desde)*EB$145))</f>
        <v>0</v>
      </c>
      <c r="EC190" s="34" t="n">
        <f aca="false">SUMPRODUCT((FC_Clase="Producción")*FC_V*((FC_Mon="PYG")*EC$149+(FC_Mon&lt;&gt;"PYG"))*(1+FC_g)^(EC$147-1)*((FC_Desde=0)*(EC$146+EC$145)+(FC_Desde&gt;=1)*(EC$144&gt;=FC_Desde)*EC$145))</f>
        <v>0</v>
      </c>
      <c r="ED190" s="34" t="n">
        <f aca="false">SUMPRODUCT((FC_Clase="Producción")*FC_V*((FC_Mon="PYG")*ED$149+(FC_Mon&lt;&gt;"PYG"))*(1+FC_g)^(ED$147-1)*((FC_Desde=0)*(ED$146+ED$145)+(FC_Desde&gt;=1)*(ED$144&gt;=FC_Desde)*ED$145))</f>
        <v>0</v>
      </c>
      <c r="EE190" s="34" t="n">
        <f aca="false">SUMPRODUCT((FC_Clase="Producción")*FC_V*((FC_Mon="PYG")*EE$149+(FC_Mon&lt;&gt;"PYG"))*(1+FC_g)^(EE$147-1)*((FC_Desde=0)*(EE$146+EE$145)+(FC_Desde&gt;=1)*(EE$144&gt;=FC_Desde)*EE$145))</f>
        <v>0</v>
      </c>
      <c r="EF190" s="34" t="n">
        <f aca="false">SUMPRODUCT((FC_Clase="Producción")*FC_V*((FC_Mon="PYG")*EF$149+(FC_Mon&lt;&gt;"PYG"))*(1+FC_g)^(EF$147-1)*((FC_Desde=0)*(EF$146+EF$145)+(FC_Desde&gt;=1)*(EF$144&gt;=FC_Desde)*EF$145))</f>
        <v>0</v>
      </c>
      <c r="EG190" s="34" t="n">
        <f aca="false">SUMPRODUCT((FC_Clase="Producción")*FC_V*((FC_Mon="PYG")*EG$149+(FC_Mon&lt;&gt;"PYG"))*(1+FC_g)^(EG$147-1)*((FC_Desde=0)*(EG$146+EG$145)+(FC_Desde&gt;=1)*(EG$144&gt;=FC_Desde)*EG$145))</f>
        <v>0</v>
      </c>
      <c r="EH190" s="34" t="n">
        <f aca="false">SUMPRODUCT((FC_Clase="Producción")*FC_V*((FC_Mon="PYG")*EH$149+(FC_Mon&lt;&gt;"PYG"))*(1+FC_g)^(EH$147-1)*((FC_Desde=0)*(EH$146+EH$145)+(FC_Desde&gt;=1)*(EH$144&gt;=FC_Desde)*EH$145))</f>
        <v>0</v>
      </c>
      <c r="EI190" s="34" t="n">
        <f aca="false">SUMPRODUCT((FC_Clase="Producción")*FC_V*((FC_Mon="PYG")*EI$149+(FC_Mon&lt;&gt;"PYG"))*(1+FC_g)^(EI$147-1)*((FC_Desde=0)*(EI$146+EI$145)+(FC_Desde&gt;=1)*(EI$144&gt;=FC_Desde)*EI$145))</f>
        <v>0</v>
      </c>
      <c r="EJ190" s="34" t="n">
        <f aca="false">SUMPRODUCT((FC_Clase="Producción")*FC_V*((FC_Mon="PYG")*EJ$149+(FC_Mon&lt;&gt;"PYG"))*(1+FC_g)^(EJ$147-1)*((FC_Desde=0)*(EJ$146+EJ$145)+(FC_Desde&gt;=1)*(EJ$144&gt;=FC_Desde)*EJ$145))</f>
        <v>0</v>
      </c>
      <c r="EK190" s="34" t="n">
        <f aca="false">SUMPRODUCT((FC_Clase="Producción")*FC_V*((FC_Mon="PYG")*EK$149+(FC_Mon&lt;&gt;"PYG"))*(1+FC_g)^(EK$147-1)*((FC_Desde=0)*(EK$146+EK$145)+(FC_Desde&gt;=1)*(EK$144&gt;=FC_Desde)*EK$145))</f>
        <v>0</v>
      </c>
      <c r="EL190" s="34" t="n">
        <f aca="false">SUMPRODUCT((FC_Clase="Producción")*FC_V*((FC_Mon="PYG")*EL$149+(FC_Mon&lt;&gt;"PYG"))*(1+FC_g)^(EL$147-1)*((FC_Desde=0)*(EL$146+EL$145)+(FC_Desde&gt;=1)*(EL$144&gt;=FC_Desde)*EL$145))</f>
        <v>0</v>
      </c>
      <c r="EM190" s="34" t="n">
        <f aca="false">SUMPRODUCT((FC_Clase="Producción")*FC_V*((FC_Mon="PYG")*EM$149+(FC_Mon&lt;&gt;"PYG"))*(1+FC_g)^(EM$147-1)*((FC_Desde=0)*(EM$146+EM$145)+(FC_Desde&gt;=1)*(EM$144&gt;=FC_Desde)*EM$145))</f>
        <v>0</v>
      </c>
      <c r="EN190" s="34" t="n">
        <f aca="false">SUMPRODUCT((FC_Clase="Producción")*FC_V*((FC_Mon="PYG")*EN$149+(FC_Mon&lt;&gt;"PYG"))*(1+FC_g)^(EN$147-1)*((FC_Desde=0)*(EN$146+EN$145)+(FC_Desde&gt;=1)*(EN$144&gt;=FC_Desde)*EN$145))</f>
        <v>0</v>
      </c>
      <c r="EO190" s="34" t="n">
        <f aca="false">SUMPRODUCT((FC_Clase="Producción")*FC_V*((FC_Mon="PYG")*EO$149+(FC_Mon&lt;&gt;"PYG"))*(1+FC_g)^(EO$147-1)*((FC_Desde=0)*(EO$146+EO$145)+(FC_Desde&gt;=1)*(EO$144&gt;=FC_Desde)*EO$145))</f>
        <v>0</v>
      </c>
      <c r="EP190" s="34" t="n">
        <f aca="false">SUMPRODUCT((FC_Clase="Producción")*FC_V*((FC_Mon="PYG")*EP$149+(FC_Mon&lt;&gt;"PYG"))*(1+FC_g)^(EP$147-1)*((FC_Desde=0)*(EP$146+EP$145)+(FC_Desde&gt;=1)*(EP$144&gt;=FC_Desde)*EP$145))</f>
        <v>0</v>
      </c>
      <c r="EQ190" s="34" t="n">
        <f aca="false">SUMPRODUCT((FC_Clase="Producción")*FC_V*((FC_Mon="PYG")*EQ$149+(FC_Mon&lt;&gt;"PYG"))*(1+FC_g)^(EQ$147-1)*((FC_Desde=0)*(EQ$146+EQ$145)+(FC_Desde&gt;=1)*(EQ$144&gt;=FC_Desde)*EQ$145))</f>
        <v>0</v>
      </c>
      <c r="ER190" s="34" t="n">
        <f aca="false">SUMPRODUCT((FC_Clase="Producción")*FC_V*((FC_Mon="PYG")*ER$149+(FC_Mon&lt;&gt;"PYG"))*(1+FC_g)^(ER$147-1)*((FC_Desde=0)*(ER$146+ER$145)+(FC_Desde&gt;=1)*(ER$144&gt;=FC_Desde)*ER$145))</f>
        <v>0</v>
      </c>
      <c r="ES190" s="34" t="n">
        <f aca="false">SUMPRODUCT((FC_Clase="Producción")*FC_V*((FC_Mon="PYG")*ES$149+(FC_Mon&lt;&gt;"PYG"))*(1+FC_g)^(ES$147-1)*((FC_Desde=0)*(ES$146+ES$145)+(FC_Desde&gt;=1)*(ES$144&gt;=FC_Desde)*ES$145))</f>
        <v>0</v>
      </c>
    </row>
    <row r="191" customFormat="false" ht="15" hidden="false" customHeight="false" outlineLevel="0" collapsed="false">
      <c r="A191" s="2" t="s">
        <v>806</v>
      </c>
      <c r="B191" s="6" t="s">
        <v>614</v>
      </c>
      <c r="C191" s="6" t="s">
        <v>250</v>
      </c>
      <c r="E191" s="40" t="n">
        <f aca="false">SUM(F191:ES191)</f>
        <v>3059546.01375462</v>
      </c>
      <c r="F191" s="34" t="n">
        <f aca="false">SUMPRODUCT((FC_Clase="Administración")*FC_V*((FC_Mon="PYG")*F$149+(FC_Mon&lt;&gt;"PYG"))*(1+FC_g)^(F$147-1)*((FC_Desde=0)*(F$146+F$145)+(FC_Desde&gt;=1)*(F$144&gt;=FC_Desde)*F$145))</f>
        <v>22893.5857534247</v>
      </c>
      <c r="G191" s="34" t="n">
        <f aca="false">SUMPRODUCT((FC_Clase="Administración")*FC_V*((FC_Mon="PYG")*G$149+(FC_Mon&lt;&gt;"PYG"))*(1+FC_g)^(G$147-1)*((FC_Desde=0)*(G$146+G$145)+(FC_Desde&gt;=1)*(G$144&gt;=FC_Desde)*G$145))</f>
        <v>22893.5857534247</v>
      </c>
      <c r="H191" s="34" t="n">
        <f aca="false">SUMPRODUCT((FC_Clase="Administración")*FC_V*((FC_Mon="PYG")*H$149+(FC_Mon&lt;&gt;"PYG"))*(1+FC_g)^(H$147-1)*((FC_Desde=0)*(H$146+H$145)+(FC_Desde&gt;=1)*(H$144&gt;=FC_Desde)*H$145))</f>
        <v>22893.5857534247</v>
      </c>
      <c r="I191" s="34" t="n">
        <f aca="false">SUMPRODUCT((FC_Clase="Administración")*FC_V*((FC_Mon="PYG")*I$149+(FC_Mon&lt;&gt;"PYG"))*(1+FC_g)^(I$147-1)*((FC_Desde=0)*(I$146+I$145)+(FC_Desde&gt;=1)*(I$144&gt;=FC_Desde)*I$145))</f>
        <v>22893.5857534247</v>
      </c>
      <c r="J191" s="34" t="n">
        <f aca="false">SUMPRODUCT((FC_Clase="Administración")*FC_V*((FC_Mon="PYG")*J$149+(FC_Mon&lt;&gt;"PYG"))*(1+FC_g)^(J$147-1)*((FC_Desde=0)*(J$146+J$145)+(FC_Desde&gt;=1)*(J$144&gt;=FC_Desde)*J$145))</f>
        <v>22893.5857534247</v>
      </c>
      <c r="K191" s="34" t="n">
        <f aca="false">SUMPRODUCT((FC_Clase="Administración")*FC_V*((FC_Mon="PYG")*K$149+(FC_Mon&lt;&gt;"PYG"))*(1+FC_g)^(K$147-1)*((FC_Desde=0)*(K$146+K$145)+(FC_Desde&gt;=1)*(K$144&gt;=FC_Desde)*K$145))</f>
        <v>22893.5857534247</v>
      </c>
      <c r="L191" s="34" t="n">
        <f aca="false">SUMPRODUCT((FC_Clase="Administración")*FC_V*((FC_Mon="PYG")*L$149+(FC_Mon&lt;&gt;"PYG"))*(1+FC_g)^(L$147-1)*((FC_Desde=0)*(L$146+L$145)+(FC_Desde&gt;=1)*(L$144&gt;=FC_Desde)*L$145))</f>
        <v>22893.5857534247</v>
      </c>
      <c r="M191" s="34" t="n">
        <f aca="false">SUMPRODUCT((FC_Clase="Administración")*FC_V*((FC_Mon="PYG")*M$149+(FC_Mon&lt;&gt;"PYG"))*(1+FC_g)^(M$147-1)*((FC_Desde=0)*(M$146+M$145)+(FC_Desde&gt;=1)*(M$144&gt;=FC_Desde)*M$145))</f>
        <v>22893.5857534247</v>
      </c>
      <c r="N191" s="34" t="n">
        <f aca="false">SUMPRODUCT((FC_Clase="Administración")*FC_V*((FC_Mon="PYG")*N$149+(FC_Mon&lt;&gt;"PYG"))*(1+FC_g)^(N$147-1)*((FC_Desde=0)*(N$146+N$145)+(FC_Desde&gt;=1)*(N$144&gt;=FC_Desde)*N$145))</f>
        <v>22893.5857534247</v>
      </c>
      <c r="O191" s="34" t="n">
        <f aca="false">SUMPRODUCT((FC_Clase="Administración")*FC_V*((FC_Mon="PYG")*O$149+(FC_Mon&lt;&gt;"PYG"))*(1+FC_g)^(O$147-1)*((FC_Desde=0)*(O$146+O$145)+(FC_Desde&gt;=1)*(O$144&gt;=FC_Desde)*O$145))</f>
        <v>22893.5857534247</v>
      </c>
      <c r="P191" s="34" t="n">
        <f aca="false">SUMPRODUCT((FC_Clase="Administración")*FC_V*((FC_Mon="PYG")*P$149+(FC_Mon&lt;&gt;"PYG"))*(1+FC_g)^(P$147-1)*((FC_Desde=0)*(P$146+P$145)+(FC_Desde&gt;=1)*(P$144&gt;=FC_Desde)*P$145))</f>
        <v>22893.5857534247</v>
      </c>
      <c r="Q191" s="34" t="n">
        <f aca="false">SUMPRODUCT((FC_Clase="Administración")*FC_V*((FC_Mon="PYG")*Q$149+(FC_Mon&lt;&gt;"PYG"))*(1+FC_g)^(Q$147-1)*((FC_Desde=0)*(Q$146+Q$145)+(FC_Desde&gt;=1)*(Q$144&gt;=FC_Desde)*Q$145))</f>
        <v>22893.5857534247</v>
      </c>
      <c r="R191" s="34" t="n">
        <f aca="false">SUMPRODUCT((FC_Clase="Administración")*FC_V*((FC_Mon="PYG")*R$149+(FC_Mon&lt;&gt;"PYG"))*(1+FC_g)^(R$147-1)*((FC_Desde=0)*(R$146+R$145)+(FC_Desde&gt;=1)*(R$144&gt;=FC_Desde)*R$145))</f>
        <v>23426.9557534247</v>
      </c>
      <c r="S191" s="34" t="n">
        <f aca="false">SUMPRODUCT((FC_Clase="Administración")*FC_V*((FC_Mon="PYG")*S$149+(FC_Mon&lt;&gt;"PYG"))*(1+FC_g)^(S$147-1)*((FC_Desde=0)*(S$146+S$145)+(FC_Desde&gt;=1)*(S$144&gt;=FC_Desde)*S$145))</f>
        <v>23426.9557534247</v>
      </c>
      <c r="T191" s="34" t="n">
        <f aca="false">SUMPRODUCT((FC_Clase="Administración")*FC_V*((FC_Mon="PYG")*T$149+(FC_Mon&lt;&gt;"PYG"))*(1+FC_g)^(T$147-1)*((FC_Desde=0)*(T$146+T$145)+(FC_Desde&gt;=1)*(T$144&gt;=FC_Desde)*T$145))</f>
        <v>23426.9557534247</v>
      </c>
      <c r="U191" s="34" t="n">
        <f aca="false">SUMPRODUCT((FC_Clase="Administración")*FC_V*((FC_Mon="PYG")*U$149+(FC_Mon&lt;&gt;"PYG"))*(1+FC_g)^(U$147-1)*((FC_Desde=0)*(U$146+U$145)+(FC_Desde&gt;=1)*(U$144&gt;=FC_Desde)*U$145))</f>
        <v>23426.9557534247</v>
      </c>
      <c r="V191" s="34" t="n">
        <f aca="false">SUMPRODUCT((FC_Clase="Administración")*FC_V*((FC_Mon="PYG")*V$149+(FC_Mon&lt;&gt;"PYG"))*(1+FC_g)^(V$147-1)*((FC_Desde=0)*(V$146+V$145)+(FC_Desde&gt;=1)*(V$144&gt;=FC_Desde)*V$145))</f>
        <v>23426.9557534247</v>
      </c>
      <c r="W191" s="34" t="n">
        <f aca="false">SUMPRODUCT((FC_Clase="Administración")*FC_V*((FC_Mon="PYG")*W$149+(FC_Mon&lt;&gt;"PYG"))*(1+FC_g)^(W$147-1)*((FC_Desde=0)*(W$146+W$145)+(FC_Desde&gt;=1)*(W$144&gt;=FC_Desde)*W$145))</f>
        <v>23426.9557534247</v>
      </c>
      <c r="X191" s="34" t="n">
        <f aca="false">SUMPRODUCT((FC_Clase="Administración")*FC_V*((FC_Mon="PYG")*X$149+(FC_Mon&lt;&gt;"PYG"))*(1+FC_g)^(X$147-1)*((FC_Desde=0)*(X$146+X$145)+(FC_Desde&gt;=1)*(X$144&gt;=FC_Desde)*X$145))</f>
        <v>23426.9557534247</v>
      </c>
      <c r="Y191" s="34" t="n">
        <f aca="false">SUMPRODUCT((FC_Clase="Administración")*FC_V*((FC_Mon="PYG")*Y$149+(FC_Mon&lt;&gt;"PYG"))*(1+FC_g)^(Y$147-1)*((FC_Desde=0)*(Y$146+Y$145)+(FC_Desde&gt;=1)*(Y$144&gt;=FC_Desde)*Y$145))</f>
        <v>23426.9557534247</v>
      </c>
      <c r="Z191" s="34" t="n">
        <f aca="false">SUMPRODUCT((FC_Clase="Administración")*FC_V*((FC_Mon="PYG")*Z$149+(FC_Mon&lt;&gt;"PYG"))*(1+FC_g)^(Z$147-1)*((FC_Desde=0)*(Z$146+Z$145)+(FC_Desde&gt;=1)*(Z$144&gt;=FC_Desde)*Z$145))</f>
        <v>23426.9557534247</v>
      </c>
      <c r="AA191" s="34" t="n">
        <f aca="false">SUMPRODUCT((FC_Clase="Administración")*FC_V*((FC_Mon="PYG")*AA$149+(FC_Mon&lt;&gt;"PYG"))*(1+FC_g)^(AA$147-1)*((FC_Desde=0)*(AA$146+AA$145)+(FC_Desde&gt;=1)*(AA$144&gt;=FC_Desde)*AA$145))</f>
        <v>23426.9557534247</v>
      </c>
      <c r="AB191" s="34" t="n">
        <f aca="false">SUMPRODUCT((FC_Clase="Administración")*FC_V*((FC_Mon="PYG")*AB$149+(FC_Mon&lt;&gt;"PYG"))*(1+FC_g)^(AB$147-1)*((FC_Desde=0)*(AB$146+AB$145)+(FC_Desde&gt;=1)*(AB$144&gt;=FC_Desde)*AB$145))</f>
        <v>23426.9557534247</v>
      </c>
      <c r="AC191" s="34" t="n">
        <f aca="false">SUMPRODUCT((FC_Clase="Administración")*FC_V*((FC_Mon="PYG")*AC$149+(FC_Mon&lt;&gt;"PYG"))*(1+FC_g)^(AC$147-1)*((FC_Desde=0)*(AC$146+AC$145)+(FC_Desde&gt;=1)*(AC$144&gt;=FC_Desde)*AC$145))</f>
        <v>23426.9557534247</v>
      </c>
      <c r="AD191" s="34" t="n">
        <f aca="false">SUMPRODUCT((FC_Clase="Administración")*FC_V*((FC_Mon="PYG")*AD$149+(FC_Mon&lt;&gt;"PYG"))*(1+FC_g)^(AD$147-1)*((FC_Desde=0)*(AD$146+AD$145)+(FC_Desde&gt;=1)*(AD$144&gt;=FC_Desde)*AD$145))</f>
        <v>23976.3268534247</v>
      </c>
      <c r="AE191" s="34" t="n">
        <f aca="false">SUMPRODUCT((FC_Clase="Administración")*FC_V*((FC_Mon="PYG")*AE$149+(FC_Mon&lt;&gt;"PYG"))*(1+FC_g)^(AE$147-1)*((FC_Desde=0)*(AE$146+AE$145)+(FC_Desde&gt;=1)*(AE$144&gt;=FC_Desde)*AE$145))</f>
        <v>23976.3268534247</v>
      </c>
      <c r="AF191" s="34" t="n">
        <f aca="false">SUMPRODUCT((FC_Clase="Administración")*FC_V*((FC_Mon="PYG")*AF$149+(FC_Mon&lt;&gt;"PYG"))*(1+FC_g)^(AF$147-1)*((FC_Desde=0)*(AF$146+AF$145)+(FC_Desde&gt;=1)*(AF$144&gt;=FC_Desde)*AF$145))</f>
        <v>23976.3268534247</v>
      </c>
      <c r="AG191" s="34" t="n">
        <f aca="false">SUMPRODUCT((FC_Clase="Administración")*FC_V*((FC_Mon="PYG")*AG$149+(FC_Mon&lt;&gt;"PYG"))*(1+FC_g)^(AG$147-1)*((FC_Desde=0)*(AG$146+AG$145)+(FC_Desde&gt;=1)*(AG$144&gt;=FC_Desde)*AG$145))</f>
        <v>23976.3268534247</v>
      </c>
      <c r="AH191" s="34" t="n">
        <f aca="false">SUMPRODUCT((FC_Clase="Administración")*FC_V*((FC_Mon="PYG")*AH$149+(FC_Mon&lt;&gt;"PYG"))*(1+FC_g)^(AH$147-1)*((FC_Desde=0)*(AH$146+AH$145)+(FC_Desde&gt;=1)*(AH$144&gt;=FC_Desde)*AH$145))</f>
        <v>23976.3268534247</v>
      </c>
      <c r="AI191" s="34" t="n">
        <f aca="false">SUMPRODUCT((FC_Clase="Administración")*FC_V*((FC_Mon="PYG")*AI$149+(FC_Mon&lt;&gt;"PYG"))*(1+FC_g)^(AI$147-1)*((FC_Desde=0)*(AI$146+AI$145)+(FC_Desde&gt;=1)*(AI$144&gt;=FC_Desde)*AI$145))</f>
        <v>23976.3268534247</v>
      </c>
      <c r="AJ191" s="34" t="n">
        <f aca="false">SUMPRODUCT((FC_Clase="Administración")*FC_V*((FC_Mon="PYG")*AJ$149+(FC_Mon&lt;&gt;"PYG"))*(1+FC_g)^(AJ$147-1)*((FC_Desde=0)*(AJ$146+AJ$145)+(FC_Desde&gt;=1)*(AJ$144&gt;=FC_Desde)*AJ$145))</f>
        <v>23976.3268534247</v>
      </c>
      <c r="AK191" s="34" t="n">
        <f aca="false">SUMPRODUCT((FC_Clase="Administración")*FC_V*((FC_Mon="PYG")*AK$149+(FC_Mon&lt;&gt;"PYG"))*(1+FC_g)^(AK$147-1)*((FC_Desde=0)*(AK$146+AK$145)+(FC_Desde&gt;=1)*(AK$144&gt;=FC_Desde)*AK$145))</f>
        <v>23976.3268534247</v>
      </c>
      <c r="AL191" s="34" t="n">
        <f aca="false">SUMPRODUCT((FC_Clase="Administración")*FC_V*((FC_Mon="PYG")*AL$149+(FC_Mon&lt;&gt;"PYG"))*(1+FC_g)^(AL$147-1)*((FC_Desde=0)*(AL$146+AL$145)+(FC_Desde&gt;=1)*(AL$144&gt;=FC_Desde)*AL$145))</f>
        <v>23976.3268534247</v>
      </c>
      <c r="AM191" s="34" t="n">
        <f aca="false">SUMPRODUCT((FC_Clase="Administración")*FC_V*((FC_Mon="PYG")*AM$149+(FC_Mon&lt;&gt;"PYG"))*(1+FC_g)^(AM$147-1)*((FC_Desde=0)*(AM$146+AM$145)+(FC_Desde&gt;=1)*(AM$144&gt;=FC_Desde)*AM$145))</f>
        <v>23976.3268534247</v>
      </c>
      <c r="AN191" s="34" t="n">
        <f aca="false">SUMPRODUCT((FC_Clase="Administración")*FC_V*((FC_Mon="PYG")*AN$149+(FC_Mon&lt;&gt;"PYG"))*(1+FC_g)^(AN$147-1)*((FC_Desde=0)*(AN$146+AN$145)+(FC_Desde&gt;=1)*(AN$144&gt;=FC_Desde)*AN$145))</f>
        <v>23976.3268534247</v>
      </c>
      <c r="AO191" s="34" t="n">
        <f aca="false">SUMPRODUCT((FC_Clase="Administración")*FC_V*((FC_Mon="PYG")*AO$149+(FC_Mon&lt;&gt;"PYG"))*(1+FC_g)^(AO$147-1)*((FC_Desde=0)*(AO$146+AO$145)+(FC_Desde&gt;=1)*(AO$144&gt;=FC_Desde)*AO$145))</f>
        <v>23976.3268534247</v>
      </c>
      <c r="AP191" s="34" t="n">
        <f aca="false">SUMPRODUCT((FC_Clase="Administración")*FC_V*((FC_Mon="PYG")*AP$149+(FC_Mon&lt;&gt;"PYG"))*(1+FC_g)^(AP$147-1)*((FC_Desde=0)*(AP$146+AP$145)+(FC_Desde&gt;=1)*(AP$144&gt;=FC_Desde)*AP$145))</f>
        <v>24542.1790864247</v>
      </c>
      <c r="AQ191" s="34" t="n">
        <f aca="false">SUMPRODUCT((FC_Clase="Administración")*FC_V*((FC_Mon="PYG")*AQ$149+(FC_Mon&lt;&gt;"PYG"))*(1+FC_g)^(AQ$147-1)*((FC_Desde=0)*(AQ$146+AQ$145)+(FC_Desde&gt;=1)*(AQ$144&gt;=FC_Desde)*AQ$145))</f>
        <v>24542.1790864247</v>
      </c>
      <c r="AR191" s="34" t="n">
        <f aca="false">SUMPRODUCT((FC_Clase="Administración")*FC_V*((FC_Mon="PYG")*AR$149+(FC_Mon&lt;&gt;"PYG"))*(1+FC_g)^(AR$147-1)*((FC_Desde=0)*(AR$146+AR$145)+(FC_Desde&gt;=1)*(AR$144&gt;=FC_Desde)*AR$145))</f>
        <v>24542.1790864247</v>
      </c>
      <c r="AS191" s="34" t="n">
        <f aca="false">SUMPRODUCT((FC_Clase="Administración")*FC_V*((FC_Mon="PYG")*AS$149+(FC_Mon&lt;&gt;"PYG"))*(1+FC_g)^(AS$147-1)*((FC_Desde=0)*(AS$146+AS$145)+(FC_Desde&gt;=1)*(AS$144&gt;=FC_Desde)*AS$145))</f>
        <v>24542.1790864247</v>
      </c>
      <c r="AT191" s="34" t="n">
        <f aca="false">SUMPRODUCT((FC_Clase="Administración")*FC_V*((FC_Mon="PYG")*AT$149+(FC_Mon&lt;&gt;"PYG"))*(1+FC_g)^(AT$147-1)*((FC_Desde=0)*(AT$146+AT$145)+(FC_Desde&gt;=1)*(AT$144&gt;=FC_Desde)*AT$145))</f>
        <v>24542.1790864247</v>
      </c>
      <c r="AU191" s="34" t="n">
        <f aca="false">SUMPRODUCT((FC_Clase="Administración")*FC_V*((FC_Mon="PYG")*AU$149+(FC_Mon&lt;&gt;"PYG"))*(1+FC_g)^(AU$147-1)*((FC_Desde=0)*(AU$146+AU$145)+(FC_Desde&gt;=1)*(AU$144&gt;=FC_Desde)*AU$145))</f>
        <v>24542.1790864247</v>
      </c>
      <c r="AV191" s="34" t="n">
        <f aca="false">SUMPRODUCT((FC_Clase="Administración")*FC_V*((FC_Mon="PYG")*AV$149+(FC_Mon&lt;&gt;"PYG"))*(1+FC_g)^(AV$147-1)*((FC_Desde=0)*(AV$146+AV$145)+(FC_Desde&gt;=1)*(AV$144&gt;=FC_Desde)*AV$145))</f>
        <v>24542.1790864247</v>
      </c>
      <c r="AW191" s="34" t="n">
        <f aca="false">SUMPRODUCT((FC_Clase="Administración")*FC_V*((FC_Mon="PYG")*AW$149+(FC_Mon&lt;&gt;"PYG"))*(1+FC_g)^(AW$147-1)*((FC_Desde=0)*(AW$146+AW$145)+(FC_Desde&gt;=1)*(AW$144&gt;=FC_Desde)*AW$145))</f>
        <v>24542.1790864247</v>
      </c>
      <c r="AX191" s="34" t="n">
        <f aca="false">SUMPRODUCT((FC_Clase="Administración")*FC_V*((FC_Mon="PYG")*AX$149+(FC_Mon&lt;&gt;"PYG"))*(1+FC_g)^(AX$147-1)*((FC_Desde=0)*(AX$146+AX$145)+(FC_Desde&gt;=1)*(AX$144&gt;=FC_Desde)*AX$145))</f>
        <v>24542.1790864247</v>
      </c>
      <c r="AY191" s="34" t="n">
        <f aca="false">SUMPRODUCT((FC_Clase="Administración")*FC_V*((FC_Mon="PYG")*AY$149+(FC_Mon&lt;&gt;"PYG"))*(1+FC_g)^(AY$147-1)*((FC_Desde=0)*(AY$146+AY$145)+(FC_Desde&gt;=1)*(AY$144&gt;=FC_Desde)*AY$145))</f>
        <v>24542.1790864247</v>
      </c>
      <c r="AZ191" s="34" t="n">
        <f aca="false">SUMPRODUCT((FC_Clase="Administración")*FC_V*((FC_Mon="PYG")*AZ$149+(FC_Mon&lt;&gt;"PYG"))*(1+FC_g)^(AZ$147-1)*((FC_Desde=0)*(AZ$146+AZ$145)+(FC_Desde&gt;=1)*(AZ$144&gt;=FC_Desde)*AZ$145))</f>
        <v>24542.1790864247</v>
      </c>
      <c r="BA191" s="34" t="n">
        <f aca="false">SUMPRODUCT((FC_Clase="Administración")*FC_V*((FC_Mon="PYG")*BA$149+(FC_Mon&lt;&gt;"PYG"))*(1+FC_g)^(BA$147-1)*((FC_Desde=0)*(BA$146+BA$145)+(FC_Desde&gt;=1)*(BA$144&gt;=FC_Desde)*BA$145))</f>
        <v>24542.1790864247</v>
      </c>
      <c r="BB191" s="34" t="n">
        <f aca="false">SUMPRODUCT((FC_Clase="Administración")*FC_V*((FC_Mon="PYG")*BB$149+(FC_Mon&lt;&gt;"PYG"))*(1+FC_g)^(BB$147-1)*((FC_Desde=0)*(BB$146+BB$145)+(FC_Desde&gt;=1)*(BB$144&gt;=FC_Desde)*BB$145))</f>
        <v>25125.0068864147</v>
      </c>
      <c r="BC191" s="34" t="n">
        <f aca="false">SUMPRODUCT((FC_Clase="Administración")*FC_V*((FC_Mon="PYG")*BC$149+(FC_Mon&lt;&gt;"PYG"))*(1+FC_g)^(BC$147-1)*((FC_Desde=0)*(BC$146+BC$145)+(FC_Desde&gt;=1)*(BC$144&gt;=FC_Desde)*BC$145))</f>
        <v>25125.0068864147</v>
      </c>
      <c r="BD191" s="34" t="n">
        <f aca="false">SUMPRODUCT((FC_Clase="Administración")*FC_V*((FC_Mon="PYG")*BD$149+(FC_Mon&lt;&gt;"PYG"))*(1+FC_g)^(BD$147-1)*((FC_Desde=0)*(BD$146+BD$145)+(FC_Desde&gt;=1)*(BD$144&gt;=FC_Desde)*BD$145))</f>
        <v>25125.0068864147</v>
      </c>
      <c r="BE191" s="34" t="n">
        <f aca="false">SUMPRODUCT((FC_Clase="Administración")*FC_V*((FC_Mon="PYG")*BE$149+(FC_Mon&lt;&gt;"PYG"))*(1+FC_g)^(BE$147-1)*((FC_Desde=0)*(BE$146+BE$145)+(FC_Desde&gt;=1)*(BE$144&gt;=FC_Desde)*BE$145))</f>
        <v>25125.0068864147</v>
      </c>
      <c r="BF191" s="34" t="n">
        <f aca="false">SUMPRODUCT((FC_Clase="Administración")*FC_V*((FC_Mon="PYG")*BF$149+(FC_Mon&lt;&gt;"PYG"))*(1+FC_g)^(BF$147-1)*((FC_Desde=0)*(BF$146+BF$145)+(FC_Desde&gt;=1)*(BF$144&gt;=FC_Desde)*BF$145))</f>
        <v>25125.0068864147</v>
      </c>
      <c r="BG191" s="34" t="n">
        <f aca="false">SUMPRODUCT((FC_Clase="Administración")*FC_V*((FC_Mon="PYG")*BG$149+(FC_Mon&lt;&gt;"PYG"))*(1+FC_g)^(BG$147-1)*((FC_Desde=0)*(BG$146+BG$145)+(FC_Desde&gt;=1)*(BG$144&gt;=FC_Desde)*BG$145))</f>
        <v>25125.0068864147</v>
      </c>
      <c r="BH191" s="34" t="n">
        <f aca="false">SUMPRODUCT((FC_Clase="Administración")*FC_V*((FC_Mon="PYG")*BH$149+(FC_Mon&lt;&gt;"PYG"))*(1+FC_g)^(BH$147-1)*((FC_Desde=0)*(BH$146+BH$145)+(FC_Desde&gt;=1)*(BH$144&gt;=FC_Desde)*BH$145))</f>
        <v>25125.0068864147</v>
      </c>
      <c r="BI191" s="34" t="n">
        <f aca="false">SUMPRODUCT((FC_Clase="Administración")*FC_V*((FC_Mon="PYG")*BI$149+(FC_Mon&lt;&gt;"PYG"))*(1+FC_g)^(BI$147-1)*((FC_Desde=0)*(BI$146+BI$145)+(FC_Desde&gt;=1)*(BI$144&gt;=FC_Desde)*BI$145))</f>
        <v>25125.0068864147</v>
      </c>
      <c r="BJ191" s="34" t="n">
        <f aca="false">SUMPRODUCT((FC_Clase="Administración")*FC_V*((FC_Mon="PYG")*BJ$149+(FC_Mon&lt;&gt;"PYG"))*(1+FC_g)^(BJ$147-1)*((FC_Desde=0)*(BJ$146+BJ$145)+(FC_Desde&gt;=1)*(BJ$144&gt;=FC_Desde)*BJ$145))</f>
        <v>25125.0068864147</v>
      </c>
      <c r="BK191" s="34" t="n">
        <f aca="false">SUMPRODUCT((FC_Clase="Administración")*FC_V*((FC_Mon="PYG")*BK$149+(FC_Mon&lt;&gt;"PYG"))*(1+FC_g)^(BK$147-1)*((FC_Desde=0)*(BK$146+BK$145)+(FC_Desde&gt;=1)*(BK$144&gt;=FC_Desde)*BK$145))</f>
        <v>25125.0068864147</v>
      </c>
      <c r="BL191" s="34" t="n">
        <f aca="false">SUMPRODUCT((FC_Clase="Administración")*FC_V*((FC_Mon="PYG")*BL$149+(FC_Mon&lt;&gt;"PYG"))*(1+FC_g)^(BL$147-1)*((FC_Desde=0)*(BL$146+BL$145)+(FC_Desde&gt;=1)*(BL$144&gt;=FC_Desde)*BL$145))</f>
        <v>25125.0068864147</v>
      </c>
      <c r="BM191" s="34" t="n">
        <f aca="false">SUMPRODUCT((FC_Clase="Administración")*FC_V*((FC_Mon="PYG")*BM$149+(FC_Mon&lt;&gt;"PYG"))*(1+FC_g)^(BM$147-1)*((FC_Desde=0)*(BM$146+BM$145)+(FC_Desde&gt;=1)*(BM$144&gt;=FC_Desde)*BM$145))</f>
        <v>25125.0068864147</v>
      </c>
      <c r="BN191" s="34" t="n">
        <f aca="false">SUMPRODUCT((FC_Clase="Administración")*FC_V*((FC_Mon="PYG")*BN$149+(FC_Mon&lt;&gt;"PYG"))*(1+FC_g)^(BN$147-1)*((FC_Desde=0)*(BN$146+BN$145)+(FC_Desde&gt;=1)*(BN$144&gt;=FC_Desde)*BN$145))</f>
        <v>25725.3195204044</v>
      </c>
      <c r="BO191" s="34" t="n">
        <f aca="false">SUMPRODUCT((FC_Clase="Administración")*FC_V*((FC_Mon="PYG")*BO$149+(FC_Mon&lt;&gt;"PYG"))*(1+FC_g)^(BO$147-1)*((FC_Desde=0)*(BO$146+BO$145)+(FC_Desde&gt;=1)*(BO$144&gt;=FC_Desde)*BO$145))</f>
        <v>25725.3195204044</v>
      </c>
      <c r="BP191" s="34" t="n">
        <f aca="false">SUMPRODUCT((FC_Clase="Administración")*FC_V*((FC_Mon="PYG")*BP$149+(FC_Mon&lt;&gt;"PYG"))*(1+FC_g)^(BP$147-1)*((FC_Desde=0)*(BP$146+BP$145)+(FC_Desde&gt;=1)*(BP$144&gt;=FC_Desde)*BP$145))</f>
        <v>25725.3195204044</v>
      </c>
      <c r="BQ191" s="34" t="n">
        <f aca="false">SUMPRODUCT((FC_Clase="Administración")*FC_V*((FC_Mon="PYG")*BQ$149+(FC_Mon&lt;&gt;"PYG"))*(1+FC_g)^(BQ$147-1)*((FC_Desde=0)*(BQ$146+BQ$145)+(FC_Desde&gt;=1)*(BQ$144&gt;=FC_Desde)*BQ$145))</f>
        <v>25725.3195204044</v>
      </c>
      <c r="BR191" s="34" t="n">
        <f aca="false">SUMPRODUCT((FC_Clase="Administración")*FC_V*((FC_Mon="PYG")*BR$149+(FC_Mon&lt;&gt;"PYG"))*(1+FC_g)^(BR$147-1)*((FC_Desde=0)*(BR$146+BR$145)+(FC_Desde&gt;=1)*(BR$144&gt;=FC_Desde)*BR$145))</f>
        <v>25725.3195204044</v>
      </c>
      <c r="BS191" s="34" t="n">
        <f aca="false">SUMPRODUCT((FC_Clase="Administración")*FC_V*((FC_Mon="PYG")*BS$149+(FC_Mon&lt;&gt;"PYG"))*(1+FC_g)^(BS$147-1)*((FC_Desde=0)*(BS$146+BS$145)+(FC_Desde&gt;=1)*(BS$144&gt;=FC_Desde)*BS$145))</f>
        <v>25725.3195204044</v>
      </c>
      <c r="BT191" s="34" t="n">
        <f aca="false">SUMPRODUCT((FC_Clase="Administración")*FC_V*((FC_Mon="PYG")*BT$149+(FC_Mon&lt;&gt;"PYG"))*(1+FC_g)^(BT$147-1)*((FC_Desde=0)*(BT$146+BT$145)+(FC_Desde&gt;=1)*(BT$144&gt;=FC_Desde)*BT$145))</f>
        <v>25725.3195204044</v>
      </c>
      <c r="BU191" s="34" t="n">
        <f aca="false">SUMPRODUCT((FC_Clase="Administración")*FC_V*((FC_Mon="PYG")*BU$149+(FC_Mon&lt;&gt;"PYG"))*(1+FC_g)^(BU$147-1)*((FC_Desde=0)*(BU$146+BU$145)+(FC_Desde&gt;=1)*(BU$144&gt;=FC_Desde)*BU$145))</f>
        <v>25725.3195204044</v>
      </c>
      <c r="BV191" s="34" t="n">
        <f aca="false">SUMPRODUCT((FC_Clase="Administración")*FC_V*((FC_Mon="PYG")*BV$149+(FC_Mon&lt;&gt;"PYG"))*(1+FC_g)^(BV$147-1)*((FC_Desde=0)*(BV$146+BV$145)+(FC_Desde&gt;=1)*(BV$144&gt;=FC_Desde)*BV$145))</f>
        <v>25725.3195204044</v>
      </c>
      <c r="BW191" s="34" t="n">
        <f aca="false">SUMPRODUCT((FC_Clase="Administración")*FC_V*((FC_Mon="PYG")*BW$149+(FC_Mon&lt;&gt;"PYG"))*(1+FC_g)^(BW$147-1)*((FC_Desde=0)*(BW$146+BW$145)+(FC_Desde&gt;=1)*(BW$144&gt;=FC_Desde)*BW$145))</f>
        <v>25725.3195204044</v>
      </c>
      <c r="BX191" s="34" t="n">
        <f aca="false">SUMPRODUCT((FC_Clase="Administración")*FC_V*((FC_Mon="PYG")*BX$149+(FC_Mon&lt;&gt;"PYG"))*(1+FC_g)^(BX$147-1)*((FC_Desde=0)*(BX$146+BX$145)+(FC_Desde&gt;=1)*(BX$144&gt;=FC_Desde)*BX$145))</f>
        <v>25725.3195204044</v>
      </c>
      <c r="BY191" s="34" t="n">
        <f aca="false">SUMPRODUCT((FC_Clase="Administración")*FC_V*((FC_Mon="PYG")*BY$149+(FC_Mon&lt;&gt;"PYG"))*(1+FC_g)^(BY$147-1)*((FC_Desde=0)*(BY$146+BY$145)+(FC_Desde&gt;=1)*(BY$144&gt;=FC_Desde)*BY$145))</f>
        <v>25725.3195204044</v>
      </c>
      <c r="BZ191" s="34" t="n">
        <f aca="false">SUMPRODUCT((FC_Clase="Administración")*FC_V*((FC_Mon="PYG")*BZ$149+(FC_Mon&lt;&gt;"PYG"))*(1+FC_g)^(BZ$147-1)*((FC_Desde=0)*(BZ$146+BZ$145)+(FC_Desde&gt;=1)*(BZ$144&gt;=FC_Desde)*BZ$145))</f>
        <v>26343.6415334138</v>
      </c>
      <c r="CA191" s="34" t="n">
        <f aca="false">SUMPRODUCT((FC_Clase="Administración")*FC_V*((FC_Mon="PYG")*CA$149+(FC_Mon&lt;&gt;"PYG"))*(1+FC_g)^(CA$147-1)*((FC_Desde=0)*(CA$146+CA$145)+(FC_Desde&gt;=1)*(CA$144&gt;=FC_Desde)*CA$145))</f>
        <v>26343.6415334138</v>
      </c>
      <c r="CB191" s="34" t="n">
        <f aca="false">SUMPRODUCT((FC_Clase="Administración")*FC_V*((FC_Mon="PYG")*CB$149+(FC_Mon&lt;&gt;"PYG"))*(1+FC_g)^(CB$147-1)*((FC_Desde=0)*(CB$146+CB$145)+(FC_Desde&gt;=1)*(CB$144&gt;=FC_Desde)*CB$145))</f>
        <v>26343.6415334138</v>
      </c>
      <c r="CC191" s="34" t="n">
        <f aca="false">SUMPRODUCT((FC_Clase="Administración")*FC_V*((FC_Mon="PYG")*CC$149+(FC_Mon&lt;&gt;"PYG"))*(1+FC_g)^(CC$147-1)*((FC_Desde=0)*(CC$146+CC$145)+(FC_Desde&gt;=1)*(CC$144&gt;=FC_Desde)*CC$145))</f>
        <v>26343.6415334138</v>
      </c>
      <c r="CD191" s="34" t="n">
        <f aca="false">SUMPRODUCT((FC_Clase="Administración")*FC_V*((FC_Mon="PYG")*CD$149+(FC_Mon&lt;&gt;"PYG"))*(1+FC_g)^(CD$147-1)*((FC_Desde=0)*(CD$146+CD$145)+(FC_Desde&gt;=1)*(CD$144&gt;=FC_Desde)*CD$145))</f>
        <v>26343.6415334138</v>
      </c>
      <c r="CE191" s="34" t="n">
        <f aca="false">SUMPRODUCT((FC_Clase="Administración")*FC_V*((FC_Mon="PYG")*CE$149+(FC_Mon&lt;&gt;"PYG"))*(1+FC_g)^(CE$147-1)*((FC_Desde=0)*(CE$146+CE$145)+(FC_Desde&gt;=1)*(CE$144&gt;=FC_Desde)*CE$145))</f>
        <v>26343.6415334138</v>
      </c>
      <c r="CF191" s="34" t="n">
        <f aca="false">SUMPRODUCT((FC_Clase="Administración")*FC_V*((FC_Mon="PYG")*CF$149+(FC_Mon&lt;&gt;"PYG"))*(1+FC_g)^(CF$147-1)*((FC_Desde=0)*(CF$146+CF$145)+(FC_Desde&gt;=1)*(CF$144&gt;=FC_Desde)*CF$145))</f>
        <v>26343.6415334138</v>
      </c>
      <c r="CG191" s="34" t="n">
        <f aca="false">SUMPRODUCT((FC_Clase="Administración")*FC_V*((FC_Mon="PYG")*CG$149+(FC_Mon&lt;&gt;"PYG"))*(1+FC_g)^(CG$147-1)*((FC_Desde=0)*(CG$146+CG$145)+(FC_Desde&gt;=1)*(CG$144&gt;=FC_Desde)*CG$145))</f>
        <v>26343.6415334138</v>
      </c>
      <c r="CH191" s="34" t="n">
        <f aca="false">SUMPRODUCT((FC_Clase="Administración")*FC_V*((FC_Mon="PYG")*CH$149+(FC_Mon&lt;&gt;"PYG"))*(1+FC_g)^(CH$147-1)*((FC_Desde=0)*(CH$146+CH$145)+(FC_Desde&gt;=1)*(CH$144&gt;=FC_Desde)*CH$145))</f>
        <v>26343.6415334138</v>
      </c>
      <c r="CI191" s="34" t="n">
        <f aca="false">SUMPRODUCT((FC_Clase="Administración")*FC_V*((FC_Mon="PYG")*CI$149+(FC_Mon&lt;&gt;"PYG"))*(1+FC_g)^(CI$147-1)*((FC_Desde=0)*(CI$146+CI$145)+(FC_Desde&gt;=1)*(CI$144&gt;=FC_Desde)*CI$145))</f>
        <v>26343.6415334138</v>
      </c>
      <c r="CJ191" s="34" t="n">
        <f aca="false">SUMPRODUCT((FC_Clase="Administración")*FC_V*((FC_Mon="PYG")*CJ$149+(FC_Mon&lt;&gt;"PYG"))*(1+FC_g)^(CJ$147-1)*((FC_Desde=0)*(CJ$146+CJ$145)+(FC_Desde&gt;=1)*(CJ$144&gt;=FC_Desde)*CJ$145))</f>
        <v>26343.6415334138</v>
      </c>
      <c r="CK191" s="34" t="n">
        <f aca="false">SUMPRODUCT((FC_Clase="Administración")*FC_V*((FC_Mon="PYG")*CK$149+(FC_Mon&lt;&gt;"PYG"))*(1+FC_g)^(CK$147-1)*((FC_Desde=0)*(CK$146+CK$145)+(FC_Desde&gt;=1)*(CK$144&gt;=FC_Desde)*CK$145))</f>
        <v>26343.6415334138</v>
      </c>
      <c r="CL191" s="34" t="n">
        <f aca="false">SUMPRODUCT((FC_Clase="Administración")*FC_V*((FC_Mon="PYG")*CL$149+(FC_Mon&lt;&gt;"PYG"))*(1+FC_g)^(CL$147-1)*((FC_Desde=0)*(CL$146+CL$145)+(FC_Desde&gt;=1)*(CL$144&gt;=FC_Desde)*CL$145))</f>
        <v>26980.5132068134</v>
      </c>
      <c r="CM191" s="34" t="n">
        <f aca="false">SUMPRODUCT((FC_Clase="Administración")*FC_V*((FC_Mon="PYG")*CM$149+(FC_Mon&lt;&gt;"PYG"))*(1+FC_g)^(CM$147-1)*((FC_Desde=0)*(CM$146+CM$145)+(FC_Desde&gt;=1)*(CM$144&gt;=FC_Desde)*CM$145))</f>
        <v>26980.5132068134</v>
      </c>
      <c r="CN191" s="34" t="n">
        <f aca="false">SUMPRODUCT((FC_Clase="Administración")*FC_V*((FC_Mon="PYG")*CN$149+(FC_Mon&lt;&gt;"PYG"))*(1+FC_g)^(CN$147-1)*((FC_Desde=0)*(CN$146+CN$145)+(FC_Desde&gt;=1)*(CN$144&gt;=FC_Desde)*CN$145))</f>
        <v>26980.5132068134</v>
      </c>
      <c r="CO191" s="34" t="n">
        <f aca="false">SUMPRODUCT((FC_Clase="Administración")*FC_V*((FC_Mon="PYG")*CO$149+(FC_Mon&lt;&gt;"PYG"))*(1+FC_g)^(CO$147-1)*((FC_Desde=0)*(CO$146+CO$145)+(FC_Desde&gt;=1)*(CO$144&gt;=FC_Desde)*CO$145))</f>
        <v>26980.5132068134</v>
      </c>
      <c r="CP191" s="34" t="n">
        <f aca="false">SUMPRODUCT((FC_Clase="Administración")*FC_V*((FC_Mon="PYG")*CP$149+(FC_Mon&lt;&gt;"PYG"))*(1+FC_g)^(CP$147-1)*((FC_Desde=0)*(CP$146+CP$145)+(FC_Desde&gt;=1)*(CP$144&gt;=FC_Desde)*CP$145))</f>
        <v>26980.5132068134</v>
      </c>
      <c r="CQ191" s="34" t="n">
        <f aca="false">SUMPRODUCT((FC_Clase="Administración")*FC_V*((FC_Mon="PYG")*CQ$149+(FC_Mon&lt;&gt;"PYG"))*(1+FC_g)^(CQ$147-1)*((FC_Desde=0)*(CQ$146+CQ$145)+(FC_Desde&gt;=1)*(CQ$144&gt;=FC_Desde)*CQ$145))</f>
        <v>26980.5132068134</v>
      </c>
      <c r="CR191" s="34" t="n">
        <f aca="false">SUMPRODUCT((FC_Clase="Administración")*FC_V*((FC_Mon="PYG")*CR$149+(FC_Mon&lt;&gt;"PYG"))*(1+FC_g)^(CR$147-1)*((FC_Desde=0)*(CR$146+CR$145)+(FC_Desde&gt;=1)*(CR$144&gt;=FC_Desde)*CR$145))</f>
        <v>26980.5132068134</v>
      </c>
      <c r="CS191" s="34" t="n">
        <f aca="false">SUMPRODUCT((FC_Clase="Administración")*FC_V*((FC_Mon="PYG")*CS$149+(FC_Mon&lt;&gt;"PYG"))*(1+FC_g)^(CS$147-1)*((FC_Desde=0)*(CS$146+CS$145)+(FC_Desde&gt;=1)*(CS$144&gt;=FC_Desde)*CS$145))</f>
        <v>26980.5132068134</v>
      </c>
      <c r="CT191" s="34" t="n">
        <f aca="false">SUMPRODUCT((FC_Clase="Administración")*FC_V*((FC_Mon="PYG")*CT$149+(FC_Mon&lt;&gt;"PYG"))*(1+FC_g)^(CT$147-1)*((FC_Desde=0)*(CT$146+CT$145)+(FC_Desde&gt;=1)*(CT$144&gt;=FC_Desde)*CT$145))</f>
        <v>26980.5132068134</v>
      </c>
      <c r="CU191" s="34" t="n">
        <f aca="false">SUMPRODUCT((FC_Clase="Administración")*FC_V*((FC_Mon="PYG")*CU$149+(FC_Mon&lt;&gt;"PYG"))*(1+FC_g)^(CU$147-1)*((FC_Desde=0)*(CU$146+CU$145)+(FC_Desde&gt;=1)*(CU$144&gt;=FC_Desde)*CU$145))</f>
        <v>26980.5132068134</v>
      </c>
      <c r="CV191" s="34" t="n">
        <f aca="false">SUMPRODUCT((FC_Clase="Administración")*FC_V*((FC_Mon="PYG")*CV$149+(FC_Mon&lt;&gt;"PYG"))*(1+FC_g)^(CV$147-1)*((FC_Desde=0)*(CV$146+CV$145)+(FC_Desde&gt;=1)*(CV$144&gt;=FC_Desde)*CV$145))</f>
        <v>26980.5132068134</v>
      </c>
      <c r="CW191" s="34" t="n">
        <f aca="false">SUMPRODUCT((FC_Clase="Administración")*FC_V*((FC_Mon="PYG")*CW$149+(FC_Mon&lt;&gt;"PYG"))*(1+FC_g)^(CW$147-1)*((FC_Desde=0)*(CW$146+CW$145)+(FC_Desde&gt;=1)*(CW$144&gt;=FC_Desde)*CW$145))</f>
        <v>26980.5132068134</v>
      </c>
      <c r="CX191" s="34" t="n">
        <f aca="false">SUMPRODUCT((FC_Clase="Administración")*FC_V*((FC_Mon="PYG")*CX$149+(FC_Mon&lt;&gt;"PYG"))*(1+FC_g)^(CX$147-1)*((FC_Desde=0)*(CX$146+CX$145)+(FC_Desde&gt;=1)*(CX$144&gt;=FC_Desde)*CX$145))</f>
        <v>27636.4910304151</v>
      </c>
      <c r="CY191" s="34" t="n">
        <f aca="false">SUMPRODUCT((FC_Clase="Administración")*FC_V*((FC_Mon="PYG")*CY$149+(FC_Mon&lt;&gt;"PYG"))*(1+FC_g)^(CY$147-1)*((FC_Desde=0)*(CY$146+CY$145)+(FC_Desde&gt;=1)*(CY$144&gt;=FC_Desde)*CY$145))</f>
        <v>27636.4910304151</v>
      </c>
      <c r="CZ191" s="34" t="n">
        <f aca="false">SUMPRODUCT((FC_Clase="Administración")*FC_V*((FC_Mon="PYG")*CZ$149+(FC_Mon&lt;&gt;"PYG"))*(1+FC_g)^(CZ$147-1)*((FC_Desde=0)*(CZ$146+CZ$145)+(FC_Desde&gt;=1)*(CZ$144&gt;=FC_Desde)*CZ$145))</f>
        <v>27636.4910304151</v>
      </c>
      <c r="DA191" s="34" t="n">
        <f aca="false">SUMPRODUCT((FC_Clase="Administración")*FC_V*((FC_Mon="PYG")*DA$149+(FC_Mon&lt;&gt;"PYG"))*(1+FC_g)^(DA$147-1)*((FC_Desde=0)*(DA$146+DA$145)+(FC_Desde&gt;=1)*(DA$144&gt;=FC_Desde)*DA$145))</f>
        <v>27636.4910304151</v>
      </c>
      <c r="DB191" s="34" t="n">
        <f aca="false">SUMPRODUCT((FC_Clase="Administración")*FC_V*((FC_Mon="PYG")*DB$149+(FC_Mon&lt;&gt;"PYG"))*(1+FC_g)^(DB$147-1)*((FC_Desde=0)*(DB$146+DB$145)+(FC_Desde&gt;=1)*(DB$144&gt;=FC_Desde)*DB$145))</f>
        <v>27636.4910304151</v>
      </c>
      <c r="DC191" s="34" t="n">
        <f aca="false">SUMPRODUCT((FC_Clase="Administración")*FC_V*((FC_Mon="PYG")*DC$149+(FC_Mon&lt;&gt;"PYG"))*(1+FC_g)^(DC$147-1)*((FC_Desde=0)*(DC$146+DC$145)+(FC_Desde&gt;=1)*(DC$144&gt;=FC_Desde)*DC$145))</f>
        <v>27636.4910304151</v>
      </c>
      <c r="DD191" s="34" t="n">
        <f aca="false">SUMPRODUCT((FC_Clase="Administración")*FC_V*((FC_Mon="PYG")*DD$149+(FC_Mon&lt;&gt;"PYG"))*(1+FC_g)^(DD$147-1)*((FC_Desde=0)*(DD$146+DD$145)+(FC_Desde&gt;=1)*(DD$144&gt;=FC_Desde)*DD$145))</f>
        <v>27636.4910304151</v>
      </c>
      <c r="DE191" s="34" t="n">
        <f aca="false">SUMPRODUCT((FC_Clase="Administración")*FC_V*((FC_Mon="PYG")*DE$149+(FC_Mon&lt;&gt;"PYG"))*(1+FC_g)^(DE$147-1)*((FC_Desde=0)*(DE$146+DE$145)+(FC_Desde&gt;=1)*(DE$144&gt;=FC_Desde)*DE$145))</f>
        <v>27636.4910304151</v>
      </c>
      <c r="DF191" s="34" t="n">
        <f aca="false">SUMPRODUCT((FC_Clase="Administración")*FC_V*((FC_Mon="PYG")*DF$149+(FC_Mon&lt;&gt;"PYG"))*(1+FC_g)^(DF$147-1)*((FC_Desde=0)*(DF$146+DF$145)+(FC_Desde&gt;=1)*(DF$144&gt;=FC_Desde)*DF$145))</f>
        <v>27636.4910304151</v>
      </c>
      <c r="DG191" s="34" t="n">
        <f aca="false">SUMPRODUCT((FC_Clase="Administración")*FC_V*((FC_Mon="PYG")*DG$149+(FC_Mon&lt;&gt;"PYG"))*(1+FC_g)^(DG$147-1)*((FC_Desde=0)*(DG$146+DG$145)+(FC_Desde&gt;=1)*(DG$144&gt;=FC_Desde)*DG$145))</f>
        <v>27636.4910304151</v>
      </c>
      <c r="DH191" s="34" t="n">
        <f aca="false">SUMPRODUCT((FC_Clase="Administración")*FC_V*((FC_Mon="PYG")*DH$149+(FC_Mon&lt;&gt;"PYG"))*(1+FC_g)^(DH$147-1)*((FC_Desde=0)*(DH$146+DH$145)+(FC_Desde&gt;=1)*(DH$144&gt;=FC_Desde)*DH$145))</f>
        <v>27636.4910304151</v>
      </c>
      <c r="DI191" s="34" t="n">
        <f aca="false">SUMPRODUCT((FC_Clase="Administración")*FC_V*((FC_Mon="PYG")*DI$149+(FC_Mon&lt;&gt;"PYG"))*(1+FC_g)^(DI$147-1)*((FC_Desde=0)*(DI$146+DI$145)+(FC_Desde&gt;=1)*(DI$144&gt;=FC_Desde)*DI$145))</f>
        <v>27636.4910304151</v>
      </c>
      <c r="DJ191" s="34" t="n">
        <f aca="false">SUMPRODUCT((FC_Clase="Administración")*FC_V*((FC_Mon="PYG")*DJ$149+(FC_Mon&lt;&gt;"PYG"))*(1+FC_g)^(DJ$147-1)*((FC_Desde=0)*(DJ$146+DJ$145)+(FC_Desde&gt;=1)*(DJ$144&gt;=FC_Desde)*DJ$145))</f>
        <v>28312.1481887248</v>
      </c>
      <c r="DK191" s="34" t="n">
        <f aca="false">SUMPRODUCT((FC_Clase="Administración")*FC_V*((FC_Mon="PYG")*DK$149+(FC_Mon&lt;&gt;"PYG"))*(1+FC_g)^(DK$147-1)*((FC_Desde=0)*(DK$146+DK$145)+(FC_Desde&gt;=1)*(DK$144&gt;=FC_Desde)*DK$145))</f>
        <v>28312.1481887248</v>
      </c>
      <c r="DL191" s="34" t="n">
        <f aca="false">SUMPRODUCT((FC_Clase="Administración")*FC_V*((FC_Mon="PYG")*DL$149+(FC_Mon&lt;&gt;"PYG"))*(1+FC_g)^(DL$147-1)*((FC_Desde=0)*(DL$146+DL$145)+(FC_Desde&gt;=1)*(DL$144&gt;=FC_Desde)*DL$145))</f>
        <v>28312.1481887248</v>
      </c>
      <c r="DM191" s="34" t="n">
        <f aca="false">SUMPRODUCT((FC_Clase="Administración")*FC_V*((FC_Mon="PYG")*DM$149+(FC_Mon&lt;&gt;"PYG"))*(1+FC_g)^(DM$147-1)*((FC_Desde=0)*(DM$146+DM$145)+(FC_Desde&gt;=1)*(DM$144&gt;=FC_Desde)*DM$145))</f>
        <v>28312.1481887248</v>
      </c>
      <c r="DN191" s="34" t="n">
        <f aca="false">SUMPRODUCT((FC_Clase="Administración")*FC_V*((FC_Mon="PYG")*DN$149+(FC_Mon&lt;&gt;"PYG"))*(1+FC_g)^(DN$147-1)*((FC_Desde=0)*(DN$146+DN$145)+(FC_Desde&gt;=1)*(DN$144&gt;=FC_Desde)*DN$145))</f>
        <v>28312.1481887248</v>
      </c>
      <c r="DO191" s="34" t="n">
        <f aca="false">SUMPRODUCT((FC_Clase="Administración")*FC_V*((FC_Mon="PYG")*DO$149+(FC_Mon&lt;&gt;"PYG"))*(1+FC_g)^(DO$147-1)*((FC_Desde=0)*(DO$146+DO$145)+(FC_Desde&gt;=1)*(DO$144&gt;=FC_Desde)*DO$145))</f>
        <v>28312.1481887248</v>
      </c>
      <c r="DP191" s="34" t="n">
        <f aca="false">SUMPRODUCT((FC_Clase="Administración")*FC_V*((FC_Mon="PYG")*DP$149+(FC_Mon&lt;&gt;"PYG"))*(1+FC_g)^(DP$147-1)*((FC_Desde=0)*(DP$146+DP$145)+(FC_Desde&gt;=1)*(DP$144&gt;=FC_Desde)*DP$145))</f>
        <v>28312.1481887248</v>
      </c>
      <c r="DQ191" s="34" t="n">
        <f aca="false">SUMPRODUCT((FC_Clase="Administración")*FC_V*((FC_Mon="PYG")*DQ$149+(FC_Mon&lt;&gt;"PYG"))*(1+FC_g)^(DQ$147-1)*((FC_Desde=0)*(DQ$146+DQ$145)+(FC_Desde&gt;=1)*(DQ$144&gt;=FC_Desde)*DQ$145))</f>
        <v>28312.1481887248</v>
      </c>
      <c r="DR191" s="34" t="n">
        <f aca="false">SUMPRODUCT((FC_Clase="Administración")*FC_V*((FC_Mon="PYG")*DR$149+(FC_Mon&lt;&gt;"PYG"))*(1+FC_g)^(DR$147-1)*((FC_Desde=0)*(DR$146+DR$145)+(FC_Desde&gt;=1)*(DR$144&gt;=FC_Desde)*DR$145))</f>
        <v>28312.1481887248</v>
      </c>
      <c r="DS191" s="34" t="n">
        <f aca="false">SUMPRODUCT((FC_Clase="Administración")*FC_V*((FC_Mon="PYG")*DS$149+(FC_Mon&lt;&gt;"PYG"))*(1+FC_g)^(DS$147-1)*((FC_Desde=0)*(DS$146+DS$145)+(FC_Desde&gt;=1)*(DS$144&gt;=FC_Desde)*DS$145))</f>
        <v>28312.1481887248</v>
      </c>
      <c r="DT191" s="34" t="n">
        <f aca="false">SUMPRODUCT((FC_Clase="Administración")*FC_V*((FC_Mon="PYG")*DT$149+(FC_Mon&lt;&gt;"PYG"))*(1+FC_g)^(DT$147-1)*((FC_Desde=0)*(DT$146+DT$145)+(FC_Desde&gt;=1)*(DT$144&gt;=FC_Desde)*DT$145))</f>
        <v>28312.1481887248</v>
      </c>
      <c r="DU191" s="34" t="n">
        <f aca="false">SUMPRODUCT((FC_Clase="Administración")*FC_V*((FC_Mon="PYG")*DU$149+(FC_Mon&lt;&gt;"PYG"))*(1+FC_g)^(DU$147-1)*((FC_Desde=0)*(DU$146+DU$145)+(FC_Desde&gt;=1)*(DU$144&gt;=FC_Desde)*DU$145))</f>
        <v>28312.1481887248</v>
      </c>
      <c r="DV191" s="34" t="n">
        <f aca="false">SUMPRODUCT((FC_Clase="Administración")*FC_V*((FC_Mon="PYG")*DV$149+(FC_Mon&lt;&gt;"PYG"))*(1+FC_g)^(DV$147-1)*((FC_Desde=0)*(DV$146+DV$145)+(FC_Desde&gt;=1)*(DV$144&gt;=FC_Desde)*DV$145))</f>
        <v>0</v>
      </c>
      <c r="DW191" s="34" t="n">
        <f aca="false">SUMPRODUCT((FC_Clase="Administración")*FC_V*((FC_Mon="PYG")*DW$149+(FC_Mon&lt;&gt;"PYG"))*(1+FC_g)^(DW$147-1)*((FC_Desde=0)*(DW$146+DW$145)+(FC_Desde&gt;=1)*(DW$144&gt;=FC_Desde)*DW$145))</f>
        <v>0</v>
      </c>
      <c r="DX191" s="34" t="n">
        <f aca="false">SUMPRODUCT((FC_Clase="Administración")*FC_V*((FC_Mon="PYG")*DX$149+(FC_Mon&lt;&gt;"PYG"))*(1+FC_g)^(DX$147-1)*((FC_Desde=0)*(DX$146+DX$145)+(FC_Desde&gt;=1)*(DX$144&gt;=FC_Desde)*DX$145))</f>
        <v>0</v>
      </c>
      <c r="DY191" s="34" t="n">
        <f aca="false">SUMPRODUCT((FC_Clase="Administración")*FC_V*((FC_Mon="PYG")*DY$149+(FC_Mon&lt;&gt;"PYG"))*(1+FC_g)^(DY$147-1)*((FC_Desde=0)*(DY$146+DY$145)+(FC_Desde&gt;=1)*(DY$144&gt;=FC_Desde)*DY$145))</f>
        <v>0</v>
      </c>
      <c r="DZ191" s="34" t="n">
        <f aca="false">SUMPRODUCT((FC_Clase="Administración")*FC_V*((FC_Mon="PYG")*DZ$149+(FC_Mon&lt;&gt;"PYG"))*(1+FC_g)^(DZ$147-1)*((FC_Desde=0)*(DZ$146+DZ$145)+(FC_Desde&gt;=1)*(DZ$144&gt;=FC_Desde)*DZ$145))</f>
        <v>0</v>
      </c>
      <c r="EA191" s="34" t="n">
        <f aca="false">SUMPRODUCT((FC_Clase="Administración")*FC_V*((FC_Mon="PYG")*EA$149+(FC_Mon&lt;&gt;"PYG"))*(1+FC_g)^(EA$147-1)*((FC_Desde=0)*(EA$146+EA$145)+(FC_Desde&gt;=1)*(EA$144&gt;=FC_Desde)*EA$145))</f>
        <v>0</v>
      </c>
      <c r="EB191" s="34" t="n">
        <f aca="false">SUMPRODUCT((FC_Clase="Administración")*FC_V*((FC_Mon="PYG")*EB$149+(FC_Mon&lt;&gt;"PYG"))*(1+FC_g)^(EB$147-1)*((FC_Desde=0)*(EB$146+EB$145)+(FC_Desde&gt;=1)*(EB$144&gt;=FC_Desde)*EB$145))</f>
        <v>0</v>
      </c>
      <c r="EC191" s="34" t="n">
        <f aca="false">SUMPRODUCT((FC_Clase="Administración")*FC_V*((FC_Mon="PYG")*EC$149+(FC_Mon&lt;&gt;"PYG"))*(1+FC_g)^(EC$147-1)*((FC_Desde=0)*(EC$146+EC$145)+(FC_Desde&gt;=1)*(EC$144&gt;=FC_Desde)*EC$145))</f>
        <v>0</v>
      </c>
      <c r="ED191" s="34" t="n">
        <f aca="false">SUMPRODUCT((FC_Clase="Administración")*FC_V*((FC_Mon="PYG")*ED$149+(FC_Mon&lt;&gt;"PYG"))*(1+FC_g)^(ED$147-1)*((FC_Desde=0)*(ED$146+ED$145)+(FC_Desde&gt;=1)*(ED$144&gt;=FC_Desde)*ED$145))</f>
        <v>0</v>
      </c>
      <c r="EE191" s="34" t="n">
        <f aca="false">SUMPRODUCT((FC_Clase="Administración")*FC_V*((FC_Mon="PYG")*EE$149+(FC_Mon&lt;&gt;"PYG"))*(1+FC_g)^(EE$147-1)*((FC_Desde=0)*(EE$146+EE$145)+(FC_Desde&gt;=1)*(EE$144&gt;=FC_Desde)*EE$145))</f>
        <v>0</v>
      </c>
      <c r="EF191" s="34" t="n">
        <f aca="false">SUMPRODUCT((FC_Clase="Administración")*FC_V*((FC_Mon="PYG")*EF$149+(FC_Mon&lt;&gt;"PYG"))*(1+FC_g)^(EF$147-1)*((FC_Desde=0)*(EF$146+EF$145)+(FC_Desde&gt;=1)*(EF$144&gt;=FC_Desde)*EF$145))</f>
        <v>0</v>
      </c>
      <c r="EG191" s="34" t="n">
        <f aca="false">SUMPRODUCT((FC_Clase="Administración")*FC_V*((FC_Mon="PYG")*EG$149+(FC_Mon&lt;&gt;"PYG"))*(1+FC_g)^(EG$147-1)*((FC_Desde=0)*(EG$146+EG$145)+(FC_Desde&gt;=1)*(EG$144&gt;=FC_Desde)*EG$145))</f>
        <v>0</v>
      </c>
      <c r="EH191" s="34" t="n">
        <f aca="false">SUMPRODUCT((FC_Clase="Administración")*FC_V*((FC_Mon="PYG")*EH$149+(FC_Mon&lt;&gt;"PYG"))*(1+FC_g)^(EH$147-1)*((FC_Desde=0)*(EH$146+EH$145)+(FC_Desde&gt;=1)*(EH$144&gt;=FC_Desde)*EH$145))</f>
        <v>0</v>
      </c>
      <c r="EI191" s="34" t="n">
        <f aca="false">SUMPRODUCT((FC_Clase="Administración")*FC_V*((FC_Mon="PYG")*EI$149+(FC_Mon&lt;&gt;"PYG"))*(1+FC_g)^(EI$147-1)*((FC_Desde=0)*(EI$146+EI$145)+(FC_Desde&gt;=1)*(EI$144&gt;=FC_Desde)*EI$145))</f>
        <v>0</v>
      </c>
      <c r="EJ191" s="34" t="n">
        <f aca="false">SUMPRODUCT((FC_Clase="Administración")*FC_V*((FC_Mon="PYG")*EJ$149+(FC_Mon&lt;&gt;"PYG"))*(1+FC_g)^(EJ$147-1)*((FC_Desde=0)*(EJ$146+EJ$145)+(FC_Desde&gt;=1)*(EJ$144&gt;=FC_Desde)*EJ$145))</f>
        <v>0</v>
      </c>
      <c r="EK191" s="34" t="n">
        <f aca="false">SUMPRODUCT((FC_Clase="Administración")*FC_V*((FC_Mon="PYG")*EK$149+(FC_Mon&lt;&gt;"PYG"))*(1+FC_g)^(EK$147-1)*((FC_Desde=0)*(EK$146+EK$145)+(FC_Desde&gt;=1)*(EK$144&gt;=FC_Desde)*EK$145))</f>
        <v>0</v>
      </c>
      <c r="EL191" s="34" t="n">
        <f aca="false">SUMPRODUCT((FC_Clase="Administración")*FC_V*((FC_Mon="PYG")*EL$149+(FC_Mon&lt;&gt;"PYG"))*(1+FC_g)^(EL$147-1)*((FC_Desde=0)*(EL$146+EL$145)+(FC_Desde&gt;=1)*(EL$144&gt;=FC_Desde)*EL$145))</f>
        <v>0</v>
      </c>
      <c r="EM191" s="34" t="n">
        <f aca="false">SUMPRODUCT((FC_Clase="Administración")*FC_V*((FC_Mon="PYG")*EM$149+(FC_Mon&lt;&gt;"PYG"))*(1+FC_g)^(EM$147-1)*((FC_Desde=0)*(EM$146+EM$145)+(FC_Desde&gt;=1)*(EM$144&gt;=FC_Desde)*EM$145))</f>
        <v>0</v>
      </c>
      <c r="EN191" s="34" t="n">
        <f aca="false">SUMPRODUCT((FC_Clase="Administración")*FC_V*((FC_Mon="PYG")*EN$149+(FC_Mon&lt;&gt;"PYG"))*(1+FC_g)^(EN$147-1)*((FC_Desde=0)*(EN$146+EN$145)+(FC_Desde&gt;=1)*(EN$144&gt;=FC_Desde)*EN$145))</f>
        <v>0</v>
      </c>
      <c r="EO191" s="34" t="n">
        <f aca="false">SUMPRODUCT((FC_Clase="Administración")*FC_V*((FC_Mon="PYG")*EO$149+(FC_Mon&lt;&gt;"PYG"))*(1+FC_g)^(EO$147-1)*((FC_Desde=0)*(EO$146+EO$145)+(FC_Desde&gt;=1)*(EO$144&gt;=FC_Desde)*EO$145))</f>
        <v>0</v>
      </c>
      <c r="EP191" s="34" t="n">
        <f aca="false">SUMPRODUCT((FC_Clase="Administración")*FC_V*((FC_Mon="PYG")*EP$149+(FC_Mon&lt;&gt;"PYG"))*(1+FC_g)^(EP$147-1)*((FC_Desde=0)*(EP$146+EP$145)+(FC_Desde&gt;=1)*(EP$144&gt;=FC_Desde)*EP$145))</f>
        <v>0</v>
      </c>
      <c r="EQ191" s="34" t="n">
        <f aca="false">SUMPRODUCT((FC_Clase="Administración")*FC_V*((FC_Mon="PYG")*EQ$149+(FC_Mon&lt;&gt;"PYG"))*(1+FC_g)^(EQ$147-1)*((FC_Desde=0)*(EQ$146+EQ$145)+(FC_Desde&gt;=1)*(EQ$144&gt;=FC_Desde)*EQ$145))</f>
        <v>0</v>
      </c>
      <c r="ER191" s="34" t="n">
        <f aca="false">SUMPRODUCT((FC_Clase="Administración")*FC_V*((FC_Mon="PYG")*ER$149+(FC_Mon&lt;&gt;"PYG"))*(1+FC_g)^(ER$147-1)*((FC_Desde=0)*(ER$146+ER$145)+(FC_Desde&gt;=1)*(ER$144&gt;=FC_Desde)*ER$145))</f>
        <v>0</v>
      </c>
      <c r="ES191" s="34" t="n">
        <f aca="false">SUMPRODUCT((FC_Clase="Administración")*FC_V*((FC_Mon="PYG")*ES$149+(FC_Mon&lt;&gt;"PYG"))*(1+FC_g)^(ES$147-1)*((FC_Desde=0)*(ES$146+ES$145)+(FC_Desde&gt;=1)*(ES$144&gt;=FC_Desde)*ES$145))</f>
        <v>0</v>
      </c>
    </row>
    <row r="192" customFormat="false" ht="15" hidden="false" customHeight="false" outlineLevel="0" collapsed="false">
      <c r="A192" s="2" t="s">
        <v>807</v>
      </c>
      <c r="B192" s="6" t="s">
        <v>616</v>
      </c>
      <c r="C192" s="6" t="s">
        <v>250</v>
      </c>
      <c r="E192" s="40" t="n">
        <f aca="false">SUM(F192:ES192)</f>
        <v>613750.290410959</v>
      </c>
      <c r="F192" s="34" t="n">
        <f aca="false">SUMPRODUCT((FC_Clase="Administración")*FC_Base*FC_V*((FC_Mon="PYG")*F$149+(FC_Mon&lt;&gt;"PYG"))*(1+FC_g)^(F$147-1)*((FC_Desde=0)*(F$146+F$145)+(FC_Desde&gt;=1)*(F$144&gt;=FC_Desde)*F$145))</f>
        <v>5114.58575342466</v>
      </c>
      <c r="G192" s="34" t="n">
        <f aca="false">SUMPRODUCT((FC_Clase="Administración")*FC_Base*FC_V*((FC_Mon="PYG")*G$149+(FC_Mon&lt;&gt;"PYG"))*(1+FC_g)^(G$147-1)*((FC_Desde=0)*(G$146+G$145)+(FC_Desde&gt;=1)*(G$144&gt;=FC_Desde)*G$145))</f>
        <v>5114.58575342466</v>
      </c>
      <c r="H192" s="34" t="n">
        <f aca="false">SUMPRODUCT((FC_Clase="Administración")*FC_Base*FC_V*((FC_Mon="PYG")*H$149+(FC_Mon&lt;&gt;"PYG"))*(1+FC_g)^(H$147-1)*((FC_Desde=0)*(H$146+H$145)+(FC_Desde&gt;=1)*(H$144&gt;=FC_Desde)*H$145))</f>
        <v>5114.58575342466</v>
      </c>
      <c r="I192" s="34" t="n">
        <f aca="false">SUMPRODUCT((FC_Clase="Administración")*FC_Base*FC_V*((FC_Mon="PYG")*I$149+(FC_Mon&lt;&gt;"PYG"))*(1+FC_g)^(I$147-1)*((FC_Desde=0)*(I$146+I$145)+(FC_Desde&gt;=1)*(I$144&gt;=FC_Desde)*I$145))</f>
        <v>5114.58575342466</v>
      </c>
      <c r="J192" s="34" t="n">
        <f aca="false">SUMPRODUCT((FC_Clase="Administración")*FC_Base*FC_V*((FC_Mon="PYG")*J$149+(FC_Mon&lt;&gt;"PYG"))*(1+FC_g)^(J$147-1)*((FC_Desde=0)*(J$146+J$145)+(FC_Desde&gt;=1)*(J$144&gt;=FC_Desde)*J$145))</f>
        <v>5114.58575342466</v>
      </c>
      <c r="K192" s="34" t="n">
        <f aca="false">SUMPRODUCT((FC_Clase="Administración")*FC_Base*FC_V*((FC_Mon="PYG")*K$149+(FC_Mon&lt;&gt;"PYG"))*(1+FC_g)^(K$147-1)*((FC_Desde=0)*(K$146+K$145)+(FC_Desde&gt;=1)*(K$144&gt;=FC_Desde)*K$145))</f>
        <v>5114.58575342466</v>
      </c>
      <c r="L192" s="34" t="n">
        <f aca="false">SUMPRODUCT((FC_Clase="Administración")*FC_Base*FC_V*((FC_Mon="PYG")*L$149+(FC_Mon&lt;&gt;"PYG"))*(1+FC_g)^(L$147-1)*((FC_Desde=0)*(L$146+L$145)+(FC_Desde&gt;=1)*(L$144&gt;=FC_Desde)*L$145))</f>
        <v>5114.58575342466</v>
      </c>
      <c r="M192" s="34" t="n">
        <f aca="false">SUMPRODUCT((FC_Clase="Administración")*FC_Base*FC_V*((FC_Mon="PYG")*M$149+(FC_Mon&lt;&gt;"PYG"))*(1+FC_g)^(M$147-1)*((FC_Desde=0)*(M$146+M$145)+(FC_Desde&gt;=1)*(M$144&gt;=FC_Desde)*M$145))</f>
        <v>5114.58575342466</v>
      </c>
      <c r="N192" s="34" t="n">
        <f aca="false">SUMPRODUCT((FC_Clase="Administración")*FC_Base*FC_V*((FC_Mon="PYG")*N$149+(FC_Mon&lt;&gt;"PYG"))*(1+FC_g)^(N$147-1)*((FC_Desde=0)*(N$146+N$145)+(FC_Desde&gt;=1)*(N$144&gt;=FC_Desde)*N$145))</f>
        <v>5114.58575342466</v>
      </c>
      <c r="O192" s="34" t="n">
        <f aca="false">SUMPRODUCT((FC_Clase="Administración")*FC_Base*FC_V*((FC_Mon="PYG")*O$149+(FC_Mon&lt;&gt;"PYG"))*(1+FC_g)^(O$147-1)*((FC_Desde=0)*(O$146+O$145)+(FC_Desde&gt;=1)*(O$144&gt;=FC_Desde)*O$145))</f>
        <v>5114.58575342466</v>
      </c>
      <c r="P192" s="34" t="n">
        <f aca="false">SUMPRODUCT((FC_Clase="Administración")*FC_Base*FC_V*((FC_Mon="PYG")*P$149+(FC_Mon&lt;&gt;"PYG"))*(1+FC_g)^(P$147-1)*((FC_Desde=0)*(P$146+P$145)+(FC_Desde&gt;=1)*(P$144&gt;=FC_Desde)*P$145))</f>
        <v>5114.58575342466</v>
      </c>
      <c r="Q192" s="34" t="n">
        <f aca="false">SUMPRODUCT((FC_Clase="Administración")*FC_Base*FC_V*((FC_Mon="PYG")*Q$149+(FC_Mon&lt;&gt;"PYG"))*(1+FC_g)^(Q$147-1)*((FC_Desde=0)*(Q$146+Q$145)+(FC_Desde&gt;=1)*(Q$144&gt;=FC_Desde)*Q$145))</f>
        <v>5114.58575342466</v>
      </c>
      <c r="R192" s="34" t="n">
        <f aca="false">SUMPRODUCT((FC_Clase="Administración")*FC_Base*FC_V*((FC_Mon="PYG")*R$149+(FC_Mon&lt;&gt;"PYG"))*(1+FC_g)^(R$147-1)*((FC_Desde=0)*(R$146+R$145)+(FC_Desde&gt;=1)*(R$144&gt;=FC_Desde)*R$145))</f>
        <v>5114.58575342466</v>
      </c>
      <c r="S192" s="34" t="n">
        <f aca="false">SUMPRODUCT((FC_Clase="Administración")*FC_Base*FC_V*((FC_Mon="PYG")*S$149+(FC_Mon&lt;&gt;"PYG"))*(1+FC_g)^(S$147-1)*((FC_Desde=0)*(S$146+S$145)+(FC_Desde&gt;=1)*(S$144&gt;=FC_Desde)*S$145))</f>
        <v>5114.58575342466</v>
      </c>
      <c r="T192" s="34" t="n">
        <f aca="false">SUMPRODUCT((FC_Clase="Administración")*FC_Base*FC_V*((FC_Mon="PYG")*T$149+(FC_Mon&lt;&gt;"PYG"))*(1+FC_g)^(T$147-1)*((FC_Desde=0)*(T$146+T$145)+(FC_Desde&gt;=1)*(T$144&gt;=FC_Desde)*T$145))</f>
        <v>5114.58575342466</v>
      </c>
      <c r="U192" s="34" t="n">
        <f aca="false">SUMPRODUCT((FC_Clase="Administración")*FC_Base*FC_V*((FC_Mon="PYG")*U$149+(FC_Mon&lt;&gt;"PYG"))*(1+FC_g)^(U$147-1)*((FC_Desde=0)*(U$146+U$145)+(FC_Desde&gt;=1)*(U$144&gt;=FC_Desde)*U$145))</f>
        <v>5114.58575342466</v>
      </c>
      <c r="V192" s="34" t="n">
        <f aca="false">SUMPRODUCT((FC_Clase="Administración")*FC_Base*FC_V*((FC_Mon="PYG")*V$149+(FC_Mon&lt;&gt;"PYG"))*(1+FC_g)^(V$147-1)*((FC_Desde=0)*(V$146+V$145)+(FC_Desde&gt;=1)*(V$144&gt;=FC_Desde)*V$145))</f>
        <v>5114.58575342466</v>
      </c>
      <c r="W192" s="34" t="n">
        <f aca="false">SUMPRODUCT((FC_Clase="Administración")*FC_Base*FC_V*((FC_Mon="PYG")*W$149+(FC_Mon&lt;&gt;"PYG"))*(1+FC_g)^(W$147-1)*((FC_Desde=0)*(W$146+W$145)+(FC_Desde&gt;=1)*(W$144&gt;=FC_Desde)*W$145))</f>
        <v>5114.58575342466</v>
      </c>
      <c r="X192" s="34" t="n">
        <f aca="false">SUMPRODUCT((FC_Clase="Administración")*FC_Base*FC_V*((FC_Mon="PYG")*X$149+(FC_Mon&lt;&gt;"PYG"))*(1+FC_g)^(X$147-1)*((FC_Desde=0)*(X$146+X$145)+(FC_Desde&gt;=1)*(X$144&gt;=FC_Desde)*X$145))</f>
        <v>5114.58575342466</v>
      </c>
      <c r="Y192" s="34" t="n">
        <f aca="false">SUMPRODUCT((FC_Clase="Administración")*FC_Base*FC_V*((FC_Mon="PYG")*Y$149+(FC_Mon&lt;&gt;"PYG"))*(1+FC_g)^(Y$147-1)*((FC_Desde=0)*(Y$146+Y$145)+(FC_Desde&gt;=1)*(Y$144&gt;=FC_Desde)*Y$145))</f>
        <v>5114.58575342466</v>
      </c>
      <c r="Z192" s="34" t="n">
        <f aca="false">SUMPRODUCT((FC_Clase="Administración")*FC_Base*FC_V*((FC_Mon="PYG")*Z$149+(FC_Mon&lt;&gt;"PYG"))*(1+FC_g)^(Z$147-1)*((FC_Desde=0)*(Z$146+Z$145)+(FC_Desde&gt;=1)*(Z$144&gt;=FC_Desde)*Z$145))</f>
        <v>5114.58575342466</v>
      </c>
      <c r="AA192" s="34" t="n">
        <f aca="false">SUMPRODUCT((FC_Clase="Administración")*FC_Base*FC_V*((FC_Mon="PYG")*AA$149+(FC_Mon&lt;&gt;"PYG"))*(1+FC_g)^(AA$147-1)*((FC_Desde=0)*(AA$146+AA$145)+(FC_Desde&gt;=1)*(AA$144&gt;=FC_Desde)*AA$145))</f>
        <v>5114.58575342466</v>
      </c>
      <c r="AB192" s="34" t="n">
        <f aca="false">SUMPRODUCT((FC_Clase="Administración")*FC_Base*FC_V*((FC_Mon="PYG")*AB$149+(FC_Mon&lt;&gt;"PYG"))*(1+FC_g)^(AB$147-1)*((FC_Desde=0)*(AB$146+AB$145)+(FC_Desde&gt;=1)*(AB$144&gt;=FC_Desde)*AB$145))</f>
        <v>5114.58575342466</v>
      </c>
      <c r="AC192" s="34" t="n">
        <f aca="false">SUMPRODUCT((FC_Clase="Administración")*FC_Base*FC_V*((FC_Mon="PYG")*AC$149+(FC_Mon&lt;&gt;"PYG"))*(1+FC_g)^(AC$147-1)*((FC_Desde=0)*(AC$146+AC$145)+(FC_Desde&gt;=1)*(AC$144&gt;=FC_Desde)*AC$145))</f>
        <v>5114.58575342466</v>
      </c>
      <c r="AD192" s="34" t="n">
        <f aca="false">SUMPRODUCT((FC_Clase="Administración")*FC_Base*FC_V*((FC_Mon="PYG")*AD$149+(FC_Mon&lt;&gt;"PYG"))*(1+FC_g)^(AD$147-1)*((FC_Desde=0)*(AD$146+AD$145)+(FC_Desde&gt;=1)*(AD$144&gt;=FC_Desde)*AD$145))</f>
        <v>5114.58575342466</v>
      </c>
      <c r="AE192" s="34" t="n">
        <f aca="false">SUMPRODUCT((FC_Clase="Administración")*FC_Base*FC_V*((FC_Mon="PYG")*AE$149+(FC_Mon&lt;&gt;"PYG"))*(1+FC_g)^(AE$147-1)*((FC_Desde=0)*(AE$146+AE$145)+(FC_Desde&gt;=1)*(AE$144&gt;=FC_Desde)*AE$145))</f>
        <v>5114.58575342466</v>
      </c>
      <c r="AF192" s="34" t="n">
        <f aca="false">SUMPRODUCT((FC_Clase="Administración")*FC_Base*FC_V*((FC_Mon="PYG")*AF$149+(FC_Mon&lt;&gt;"PYG"))*(1+FC_g)^(AF$147-1)*((FC_Desde=0)*(AF$146+AF$145)+(FC_Desde&gt;=1)*(AF$144&gt;=FC_Desde)*AF$145))</f>
        <v>5114.58575342466</v>
      </c>
      <c r="AG192" s="34" t="n">
        <f aca="false">SUMPRODUCT((FC_Clase="Administración")*FC_Base*FC_V*((FC_Mon="PYG")*AG$149+(FC_Mon&lt;&gt;"PYG"))*(1+FC_g)^(AG$147-1)*((FC_Desde=0)*(AG$146+AG$145)+(FC_Desde&gt;=1)*(AG$144&gt;=FC_Desde)*AG$145))</f>
        <v>5114.58575342466</v>
      </c>
      <c r="AH192" s="34" t="n">
        <f aca="false">SUMPRODUCT((FC_Clase="Administración")*FC_Base*FC_V*((FC_Mon="PYG")*AH$149+(FC_Mon&lt;&gt;"PYG"))*(1+FC_g)^(AH$147-1)*((FC_Desde=0)*(AH$146+AH$145)+(FC_Desde&gt;=1)*(AH$144&gt;=FC_Desde)*AH$145))</f>
        <v>5114.58575342466</v>
      </c>
      <c r="AI192" s="34" t="n">
        <f aca="false">SUMPRODUCT((FC_Clase="Administración")*FC_Base*FC_V*((FC_Mon="PYG")*AI$149+(FC_Mon&lt;&gt;"PYG"))*(1+FC_g)^(AI$147-1)*((FC_Desde=0)*(AI$146+AI$145)+(FC_Desde&gt;=1)*(AI$144&gt;=FC_Desde)*AI$145))</f>
        <v>5114.58575342466</v>
      </c>
      <c r="AJ192" s="34" t="n">
        <f aca="false">SUMPRODUCT((FC_Clase="Administración")*FC_Base*FC_V*((FC_Mon="PYG")*AJ$149+(FC_Mon&lt;&gt;"PYG"))*(1+FC_g)^(AJ$147-1)*((FC_Desde=0)*(AJ$146+AJ$145)+(FC_Desde&gt;=1)*(AJ$144&gt;=FC_Desde)*AJ$145))</f>
        <v>5114.58575342466</v>
      </c>
      <c r="AK192" s="34" t="n">
        <f aca="false">SUMPRODUCT((FC_Clase="Administración")*FC_Base*FC_V*((FC_Mon="PYG")*AK$149+(FC_Mon&lt;&gt;"PYG"))*(1+FC_g)^(AK$147-1)*((FC_Desde=0)*(AK$146+AK$145)+(FC_Desde&gt;=1)*(AK$144&gt;=FC_Desde)*AK$145))</f>
        <v>5114.58575342466</v>
      </c>
      <c r="AL192" s="34" t="n">
        <f aca="false">SUMPRODUCT((FC_Clase="Administración")*FC_Base*FC_V*((FC_Mon="PYG")*AL$149+(FC_Mon&lt;&gt;"PYG"))*(1+FC_g)^(AL$147-1)*((FC_Desde=0)*(AL$146+AL$145)+(FC_Desde&gt;=1)*(AL$144&gt;=FC_Desde)*AL$145))</f>
        <v>5114.58575342466</v>
      </c>
      <c r="AM192" s="34" t="n">
        <f aca="false">SUMPRODUCT((FC_Clase="Administración")*FC_Base*FC_V*((FC_Mon="PYG")*AM$149+(FC_Mon&lt;&gt;"PYG"))*(1+FC_g)^(AM$147-1)*((FC_Desde=0)*(AM$146+AM$145)+(FC_Desde&gt;=1)*(AM$144&gt;=FC_Desde)*AM$145))</f>
        <v>5114.58575342466</v>
      </c>
      <c r="AN192" s="34" t="n">
        <f aca="false">SUMPRODUCT((FC_Clase="Administración")*FC_Base*FC_V*((FC_Mon="PYG")*AN$149+(FC_Mon&lt;&gt;"PYG"))*(1+FC_g)^(AN$147-1)*((FC_Desde=0)*(AN$146+AN$145)+(FC_Desde&gt;=1)*(AN$144&gt;=FC_Desde)*AN$145))</f>
        <v>5114.58575342466</v>
      </c>
      <c r="AO192" s="34" t="n">
        <f aca="false">SUMPRODUCT((FC_Clase="Administración")*FC_Base*FC_V*((FC_Mon="PYG")*AO$149+(FC_Mon&lt;&gt;"PYG"))*(1+FC_g)^(AO$147-1)*((FC_Desde=0)*(AO$146+AO$145)+(FC_Desde&gt;=1)*(AO$144&gt;=FC_Desde)*AO$145))</f>
        <v>5114.58575342466</v>
      </c>
      <c r="AP192" s="34" t="n">
        <f aca="false">SUMPRODUCT((FC_Clase="Administración")*FC_Base*FC_V*((FC_Mon="PYG")*AP$149+(FC_Mon&lt;&gt;"PYG"))*(1+FC_g)^(AP$147-1)*((FC_Desde=0)*(AP$146+AP$145)+(FC_Desde&gt;=1)*(AP$144&gt;=FC_Desde)*AP$145))</f>
        <v>5114.58575342466</v>
      </c>
      <c r="AQ192" s="34" t="n">
        <f aca="false">SUMPRODUCT((FC_Clase="Administración")*FC_Base*FC_V*((FC_Mon="PYG")*AQ$149+(FC_Mon&lt;&gt;"PYG"))*(1+FC_g)^(AQ$147-1)*((FC_Desde=0)*(AQ$146+AQ$145)+(FC_Desde&gt;=1)*(AQ$144&gt;=FC_Desde)*AQ$145))</f>
        <v>5114.58575342466</v>
      </c>
      <c r="AR192" s="34" t="n">
        <f aca="false">SUMPRODUCT((FC_Clase="Administración")*FC_Base*FC_V*((FC_Mon="PYG")*AR$149+(FC_Mon&lt;&gt;"PYG"))*(1+FC_g)^(AR$147-1)*((FC_Desde=0)*(AR$146+AR$145)+(FC_Desde&gt;=1)*(AR$144&gt;=FC_Desde)*AR$145))</f>
        <v>5114.58575342466</v>
      </c>
      <c r="AS192" s="34" t="n">
        <f aca="false">SUMPRODUCT((FC_Clase="Administración")*FC_Base*FC_V*((FC_Mon="PYG")*AS$149+(FC_Mon&lt;&gt;"PYG"))*(1+FC_g)^(AS$147-1)*((FC_Desde=0)*(AS$146+AS$145)+(FC_Desde&gt;=1)*(AS$144&gt;=FC_Desde)*AS$145))</f>
        <v>5114.58575342466</v>
      </c>
      <c r="AT192" s="34" t="n">
        <f aca="false">SUMPRODUCT((FC_Clase="Administración")*FC_Base*FC_V*((FC_Mon="PYG")*AT$149+(FC_Mon&lt;&gt;"PYG"))*(1+FC_g)^(AT$147-1)*((FC_Desde=0)*(AT$146+AT$145)+(FC_Desde&gt;=1)*(AT$144&gt;=FC_Desde)*AT$145))</f>
        <v>5114.58575342466</v>
      </c>
      <c r="AU192" s="34" t="n">
        <f aca="false">SUMPRODUCT((FC_Clase="Administración")*FC_Base*FC_V*((FC_Mon="PYG")*AU$149+(FC_Mon&lt;&gt;"PYG"))*(1+FC_g)^(AU$147-1)*((FC_Desde=0)*(AU$146+AU$145)+(FC_Desde&gt;=1)*(AU$144&gt;=FC_Desde)*AU$145))</f>
        <v>5114.58575342466</v>
      </c>
      <c r="AV192" s="34" t="n">
        <f aca="false">SUMPRODUCT((FC_Clase="Administración")*FC_Base*FC_V*((FC_Mon="PYG")*AV$149+(FC_Mon&lt;&gt;"PYG"))*(1+FC_g)^(AV$147-1)*((FC_Desde=0)*(AV$146+AV$145)+(FC_Desde&gt;=1)*(AV$144&gt;=FC_Desde)*AV$145))</f>
        <v>5114.58575342466</v>
      </c>
      <c r="AW192" s="34" t="n">
        <f aca="false">SUMPRODUCT((FC_Clase="Administración")*FC_Base*FC_V*((FC_Mon="PYG")*AW$149+(FC_Mon&lt;&gt;"PYG"))*(1+FC_g)^(AW$147-1)*((FC_Desde=0)*(AW$146+AW$145)+(FC_Desde&gt;=1)*(AW$144&gt;=FC_Desde)*AW$145))</f>
        <v>5114.58575342466</v>
      </c>
      <c r="AX192" s="34" t="n">
        <f aca="false">SUMPRODUCT((FC_Clase="Administración")*FC_Base*FC_V*((FC_Mon="PYG")*AX$149+(FC_Mon&lt;&gt;"PYG"))*(1+FC_g)^(AX$147-1)*((FC_Desde=0)*(AX$146+AX$145)+(FC_Desde&gt;=1)*(AX$144&gt;=FC_Desde)*AX$145))</f>
        <v>5114.58575342466</v>
      </c>
      <c r="AY192" s="34" t="n">
        <f aca="false">SUMPRODUCT((FC_Clase="Administración")*FC_Base*FC_V*((FC_Mon="PYG")*AY$149+(FC_Mon&lt;&gt;"PYG"))*(1+FC_g)^(AY$147-1)*((FC_Desde=0)*(AY$146+AY$145)+(FC_Desde&gt;=1)*(AY$144&gt;=FC_Desde)*AY$145))</f>
        <v>5114.58575342466</v>
      </c>
      <c r="AZ192" s="34" t="n">
        <f aca="false">SUMPRODUCT((FC_Clase="Administración")*FC_Base*FC_V*((FC_Mon="PYG")*AZ$149+(FC_Mon&lt;&gt;"PYG"))*(1+FC_g)^(AZ$147-1)*((FC_Desde=0)*(AZ$146+AZ$145)+(FC_Desde&gt;=1)*(AZ$144&gt;=FC_Desde)*AZ$145))</f>
        <v>5114.58575342466</v>
      </c>
      <c r="BA192" s="34" t="n">
        <f aca="false">SUMPRODUCT((FC_Clase="Administración")*FC_Base*FC_V*((FC_Mon="PYG")*BA$149+(FC_Mon&lt;&gt;"PYG"))*(1+FC_g)^(BA$147-1)*((FC_Desde=0)*(BA$146+BA$145)+(FC_Desde&gt;=1)*(BA$144&gt;=FC_Desde)*BA$145))</f>
        <v>5114.58575342466</v>
      </c>
      <c r="BB192" s="34" t="n">
        <f aca="false">SUMPRODUCT((FC_Clase="Administración")*FC_Base*FC_V*((FC_Mon="PYG")*BB$149+(FC_Mon&lt;&gt;"PYG"))*(1+FC_g)^(BB$147-1)*((FC_Desde=0)*(BB$146+BB$145)+(FC_Desde&gt;=1)*(BB$144&gt;=FC_Desde)*BB$145))</f>
        <v>5114.58575342466</v>
      </c>
      <c r="BC192" s="34" t="n">
        <f aca="false">SUMPRODUCT((FC_Clase="Administración")*FC_Base*FC_V*((FC_Mon="PYG")*BC$149+(FC_Mon&lt;&gt;"PYG"))*(1+FC_g)^(BC$147-1)*((FC_Desde=0)*(BC$146+BC$145)+(FC_Desde&gt;=1)*(BC$144&gt;=FC_Desde)*BC$145))</f>
        <v>5114.58575342466</v>
      </c>
      <c r="BD192" s="34" t="n">
        <f aca="false">SUMPRODUCT((FC_Clase="Administración")*FC_Base*FC_V*((FC_Mon="PYG")*BD$149+(FC_Mon&lt;&gt;"PYG"))*(1+FC_g)^(BD$147-1)*((FC_Desde=0)*(BD$146+BD$145)+(FC_Desde&gt;=1)*(BD$144&gt;=FC_Desde)*BD$145))</f>
        <v>5114.58575342466</v>
      </c>
      <c r="BE192" s="34" t="n">
        <f aca="false">SUMPRODUCT((FC_Clase="Administración")*FC_Base*FC_V*((FC_Mon="PYG")*BE$149+(FC_Mon&lt;&gt;"PYG"))*(1+FC_g)^(BE$147-1)*((FC_Desde=0)*(BE$146+BE$145)+(FC_Desde&gt;=1)*(BE$144&gt;=FC_Desde)*BE$145))</f>
        <v>5114.58575342466</v>
      </c>
      <c r="BF192" s="34" t="n">
        <f aca="false">SUMPRODUCT((FC_Clase="Administración")*FC_Base*FC_V*((FC_Mon="PYG")*BF$149+(FC_Mon&lt;&gt;"PYG"))*(1+FC_g)^(BF$147-1)*((FC_Desde=0)*(BF$146+BF$145)+(FC_Desde&gt;=1)*(BF$144&gt;=FC_Desde)*BF$145))</f>
        <v>5114.58575342466</v>
      </c>
      <c r="BG192" s="34" t="n">
        <f aca="false">SUMPRODUCT((FC_Clase="Administración")*FC_Base*FC_V*((FC_Mon="PYG")*BG$149+(FC_Mon&lt;&gt;"PYG"))*(1+FC_g)^(BG$147-1)*((FC_Desde=0)*(BG$146+BG$145)+(FC_Desde&gt;=1)*(BG$144&gt;=FC_Desde)*BG$145))</f>
        <v>5114.58575342466</v>
      </c>
      <c r="BH192" s="34" t="n">
        <f aca="false">SUMPRODUCT((FC_Clase="Administración")*FC_Base*FC_V*((FC_Mon="PYG")*BH$149+(FC_Mon&lt;&gt;"PYG"))*(1+FC_g)^(BH$147-1)*((FC_Desde=0)*(BH$146+BH$145)+(FC_Desde&gt;=1)*(BH$144&gt;=FC_Desde)*BH$145))</f>
        <v>5114.58575342466</v>
      </c>
      <c r="BI192" s="34" t="n">
        <f aca="false">SUMPRODUCT((FC_Clase="Administración")*FC_Base*FC_V*((FC_Mon="PYG")*BI$149+(FC_Mon&lt;&gt;"PYG"))*(1+FC_g)^(BI$147-1)*((FC_Desde=0)*(BI$146+BI$145)+(FC_Desde&gt;=1)*(BI$144&gt;=FC_Desde)*BI$145))</f>
        <v>5114.58575342466</v>
      </c>
      <c r="BJ192" s="34" t="n">
        <f aca="false">SUMPRODUCT((FC_Clase="Administración")*FC_Base*FC_V*((FC_Mon="PYG")*BJ$149+(FC_Mon&lt;&gt;"PYG"))*(1+FC_g)^(BJ$147-1)*((FC_Desde=0)*(BJ$146+BJ$145)+(FC_Desde&gt;=1)*(BJ$144&gt;=FC_Desde)*BJ$145))</f>
        <v>5114.58575342466</v>
      </c>
      <c r="BK192" s="34" t="n">
        <f aca="false">SUMPRODUCT((FC_Clase="Administración")*FC_Base*FC_V*((FC_Mon="PYG")*BK$149+(FC_Mon&lt;&gt;"PYG"))*(1+FC_g)^(BK$147-1)*((FC_Desde=0)*(BK$146+BK$145)+(FC_Desde&gt;=1)*(BK$144&gt;=FC_Desde)*BK$145))</f>
        <v>5114.58575342466</v>
      </c>
      <c r="BL192" s="34" t="n">
        <f aca="false">SUMPRODUCT((FC_Clase="Administración")*FC_Base*FC_V*((FC_Mon="PYG")*BL$149+(FC_Mon&lt;&gt;"PYG"))*(1+FC_g)^(BL$147-1)*((FC_Desde=0)*(BL$146+BL$145)+(FC_Desde&gt;=1)*(BL$144&gt;=FC_Desde)*BL$145))</f>
        <v>5114.58575342466</v>
      </c>
      <c r="BM192" s="34" t="n">
        <f aca="false">SUMPRODUCT((FC_Clase="Administración")*FC_Base*FC_V*((FC_Mon="PYG")*BM$149+(FC_Mon&lt;&gt;"PYG"))*(1+FC_g)^(BM$147-1)*((FC_Desde=0)*(BM$146+BM$145)+(FC_Desde&gt;=1)*(BM$144&gt;=FC_Desde)*BM$145))</f>
        <v>5114.58575342466</v>
      </c>
      <c r="BN192" s="34" t="n">
        <f aca="false">SUMPRODUCT((FC_Clase="Administración")*FC_Base*FC_V*((FC_Mon="PYG")*BN$149+(FC_Mon&lt;&gt;"PYG"))*(1+FC_g)^(BN$147-1)*((FC_Desde=0)*(BN$146+BN$145)+(FC_Desde&gt;=1)*(BN$144&gt;=FC_Desde)*BN$145))</f>
        <v>5114.58575342466</v>
      </c>
      <c r="BO192" s="34" t="n">
        <f aca="false">SUMPRODUCT((FC_Clase="Administración")*FC_Base*FC_V*((FC_Mon="PYG")*BO$149+(FC_Mon&lt;&gt;"PYG"))*(1+FC_g)^(BO$147-1)*((FC_Desde=0)*(BO$146+BO$145)+(FC_Desde&gt;=1)*(BO$144&gt;=FC_Desde)*BO$145))</f>
        <v>5114.58575342466</v>
      </c>
      <c r="BP192" s="34" t="n">
        <f aca="false">SUMPRODUCT((FC_Clase="Administración")*FC_Base*FC_V*((FC_Mon="PYG")*BP$149+(FC_Mon&lt;&gt;"PYG"))*(1+FC_g)^(BP$147-1)*((FC_Desde=0)*(BP$146+BP$145)+(FC_Desde&gt;=1)*(BP$144&gt;=FC_Desde)*BP$145))</f>
        <v>5114.58575342466</v>
      </c>
      <c r="BQ192" s="34" t="n">
        <f aca="false">SUMPRODUCT((FC_Clase="Administración")*FC_Base*FC_V*((FC_Mon="PYG")*BQ$149+(FC_Mon&lt;&gt;"PYG"))*(1+FC_g)^(BQ$147-1)*((FC_Desde=0)*(BQ$146+BQ$145)+(FC_Desde&gt;=1)*(BQ$144&gt;=FC_Desde)*BQ$145))</f>
        <v>5114.58575342466</v>
      </c>
      <c r="BR192" s="34" t="n">
        <f aca="false">SUMPRODUCT((FC_Clase="Administración")*FC_Base*FC_V*((FC_Mon="PYG")*BR$149+(FC_Mon&lt;&gt;"PYG"))*(1+FC_g)^(BR$147-1)*((FC_Desde=0)*(BR$146+BR$145)+(FC_Desde&gt;=1)*(BR$144&gt;=FC_Desde)*BR$145))</f>
        <v>5114.58575342466</v>
      </c>
      <c r="BS192" s="34" t="n">
        <f aca="false">SUMPRODUCT((FC_Clase="Administración")*FC_Base*FC_V*((FC_Mon="PYG")*BS$149+(FC_Mon&lt;&gt;"PYG"))*(1+FC_g)^(BS$147-1)*((FC_Desde=0)*(BS$146+BS$145)+(FC_Desde&gt;=1)*(BS$144&gt;=FC_Desde)*BS$145))</f>
        <v>5114.58575342466</v>
      </c>
      <c r="BT192" s="34" t="n">
        <f aca="false">SUMPRODUCT((FC_Clase="Administración")*FC_Base*FC_V*((FC_Mon="PYG")*BT$149+(FC_Mon&lt;&gt;"PYG"))*(1+FC_g)^(BT$147-1)*((FC_Desde=0)*(BT$146+BT$145)+(FC_Desde&gt;=1)*(BT$144&gt;=FC_Desde)*BT$145))</f>
        <v>5114.58575342466</v>
      </c>
      <c r="BU192" s="34" t="n">
        <f aca="false">SUMPRODUCT((FC_Clase="Administración")*FC_Base*FC_V*((FC_Mon="PYG")*BU$149+(FC_Mon&lt;&gt;"PYG"))*(1+FC_g)^(BU$147-1)*((FC_Desde=0)*(BU$146+BU$145)+(FC_Desde&gt;=1)*(BU$144&gt;=FC_Desde)*BU$145))</f>
        <v>5114.58575342466</v>
      </c>
      <c r="BV192" s="34" t="n">
        <f aca="false">SUMPRODUCT((FC_Clase="Administración")*FC_Base*FC_V*((FC_Mon="PYG")*BV$149+(FC_Mon&lt;&gt;"PYG"))*(1+FC_g)^(BV$147-1)*((FC_Desde=0)*(BV$146+BV$145)+(FC_Desde&gt;=1)*(BV$144&gt;=FC_Desde)*BV$145))</f>
        <v>5114.58575342466</v>
      </c>
      <c r="BW192" s="34" t="n">
        <f aca="false">SUMPRODUCT((FC_Clase="Administración")*FC_Base*FC_V*((FC_Mon="PYG")*BW$149+(FC_Mon&lt;&gt;"PYG"))*(1+FC_g)^(BW$147-1)*((FC_Desde=0)*(BW$146+BW$145)+(FC_Desde&gt;=1)*(BW$144&gt;=FC_Desde)*BW$145))</f>
        <v>5114.58575342466</v>
      </c>
      <c r="BX192" s="34" t="n">
        <f aca="false">SUMPRODUCT((FC_Clase="Administración")*FC_Base*FC_V*((FC_Mon="PYG")*BX$149+(FC_Mon&lt;&gt;"PYG"))*(1+FC_g)^(BX$147-1)*((FC_Desde=0)*(BX$146+BX$145)+(FC_Desde&gt;=1)*(BX$144&gt;=FC_Desde)*BX$145))</f>
        <v>5114.58575342466</v>
      </c>
      <c r="BY192" s="34" t="n">
        <f aca="false">SUMPRODUCT((FC_Clase="Administración")*FC_Base*FC_V*((FC_Mon="PYG")*BY$149+(FC_Mon&lt;&gt;"PYG"))*(1+FC_g)^(BY$147-1)*((FC_Desde=0)*(BY$146+BY$145)+(FC_Desde&gt;=1)*(BY$144&gt;=FC_Desde)*BY$145))</f>
        <v>5114.58575342466</v>
      </c>
      <c r="BZ192" s="34" t="n">
        <f aca="false">SUMPRODUCT((FC_Clase="Administración")*FC_Base*FC_V*((FC_Mon="PYG")*BZ$149+(FC_Mon&lt;&gt;"PYG"))*(1+FC_g)^(BZ$147-1)*((FC_Desde=0)*(BZ$146+BZ$145)+(FC_Desde&gt;=1)*(BZ$144&gt;=FC_Desde)*BZ$145))</f>
        <v>5114.58575342466</v>
      </c>
      <c r="CA192" s="34" t="n">
        <f aca="false">SUMPRODUCT((FC_Clase="Administración")*FC_Base*FC_V*((FC_Mon="PYG")*CA$149+(FC_Mon&lt;&gt;"PYG"))*(1+FC_g)^(CA$147-1)*((FC_Desde=0)*(CA$146+CA$145)+(FC_Desde&gt;=1)*(CA$144&gt;=FC_Desde)*CA$145))</f>
        <v>5114.58575342466</v>
      </c>
      <c r="CB192" s="34" t="n">
        <f aca="false">SUMPRODUCT((FC_Clase="Administración")*FC_Base*FC_V*((FC_Mon="PYG")*CB$149+(FC_Mon&lt;&gt;"PYG"))*(1+FC_g)^(CB$147-1)*((FC_Desde=0)*(CB$146+CB$145)+(FC_Desde&gt;=1)*(CB$144&gt;=FC_Desde)*CB$145))</f>
        <v>5114.58575342466</v>
      </c>
      <c r="CC192" s="34" t="n">
        <f aca="false">SUMPRODUCT((FC_Clase="Administración")*FC_Base*FC_V*((FC_Mon="PYG")*CC$149+(FC_Mon&lt;&gt;"PYG"))*(1+FC_g)^(CC$147-1)*((FC_Desde=0)*(CC$146+CC$145)+(FC_Desde&gt;=1)*(CC$144&gt;=FC_Desde)*CC$145))</f>
        <v>5114.58575342466</v>
      </c>
      <c r="CD192" s="34" t="n">
        <f aca="false">SUMPRODUCT((FC_Clase="Administración")*FC_Base*FC_V*((FC_Mon="PYG")*CD$149+(FC_Mon&lt;&gt;"PYG"))*(1+FC_g)^(CD$147-1)*((FC_Desde=0)*(CD$146+CD$145)+(FC_Desde&gt;=1)*(CD$144&gt;=FC_Desde)*CD$145))</f>
        <v>5114.58575342466</v>
      </c>
      <c r="CE192" s="34" t="n">
        <f aca="false">SUMPRODUCT((FC_Clase="Administración")*FC_Base*FC_V*((FC_Mon="PYG")*CE$149+(FC_Mon&lt;&gt;"PYG"))*(1+FC_g)^(CE$147-1)*((FC_Desde=0)*(CE$146+CE$145)+(FC_Desde&gt;=1)*(CE$144&gt;=FC_Desde)*CE$145))</f>
        <v>5114.58575342466</v>
      </c>
      <c r="CF192" s="34" t="n">
        <f aca="false">SUMPRODUCT((FC_Clase="Administración")*FC_Base*FC_V*((FC_Mon="PYG")*CF$149+(FC_Mon&lt;&gt;"PYG"))*(1+FC_g)^(CF$147-1)*((FC_Desde=0)*(CF$146+CF$145)+(FC_Desde&gt;=1)*(CF$144&gt;=FC_Desde)*CF$145))</f>
        <v>5114.58575342466</v>
      </c>
      <c r="CG192" s="34" t="n">
        <f aca="false">SUMPRODUCT((FC_Clase="Administración")*FC_Base*FC_V*((FC_Mon="PYG")*CG$149+(FC_Mon&lt;&gt;"PYG"))*(1+FC_g)^(CG$147-1)*((FC_Desde=0)*(CG$146+CG$145)+(FC_Desde&gt;=1)*(CG$144&gt;=FC_Desde)*CG$145))</f>
        <v>5114.58575342466</v>
      </c>
      <c r="CH192" s="34" t="n">
        <f aca="false">SUMPRODUCT((FC_Clase="Administración")*FC_Base*FC_V*((FC_Mon="PYG")*CH$149+(FC_Mon&lt;&gt;"PYG"))*(1+FC_g)^(CH$147-1)*((FC_Desde=0)*(CH$146+CH$145)+(FC_Desde&gt;=1)*(CH$144&gt;=FC_Desde)*CH$145))</f>
        <v>5114.58575342466</v>
      </c>
      <c r="CI192" s="34" t="n">
        <f aca="false">SUMPRODUCT((FC_Clase="Administración")*FC_Base*FC_V*((FC_Mon="PYG")*CI$149+(FC_Mon&lt;&gt;"PYG"))*(1+FC_g)^(CI$147-1)*((FC_Desde=0)*(CI$146+CI$145)+(FC_Desde&gt;=1)*(CI$144&gt;=FC_Desde)*CI$145))</f>
        <v>5114.58575342466</v>
      </c>
      <c r="CJ192" s="34" t="n">
        <f aca="false">SUMPRODUCT((FC_Clase="Administración")*FC_Base*FC_V*((FC_Mon="PYG")*CJ$149+(FC_Mon&lt;&gt;"PYG"))*(1+FC_g)^(CJ$147-1)*((FC_Desde=0)*(CJ$146+CJ$145)+(FC_Desde&gt;=1)*(CJ$144&gt;=FC_Desde)*CJ$145))</f>
        <v>5114.58575342466</v>
      </c>
      <c r="CK192" s="34" t="n">
        <f aca="false">SUMPRODUCT((FC_Clase="Administración")*FC_Base*FC_V*((FC_Mon="PYG")*CK$149+(FC_Mon&lt;&gt;"PYG"))*(1+FC_g)^(CK$147-1)*((FC_Desde=0)*(CK$146+CK$145)+(FC_Desde&gt;=1)*(CK$144&gt;=FC_Desde)*CK$145))</f>
        <v>5114.58575342466</v>
      </c>
      <c r="CL192" s="34" t="n">
        <f aca="false">SUMPRODUCT((FC_Clase="Administración")*FC_Base*FC_V*((FC_Mon="PYG")*CL$149+(FC_Mon&lt;&gt;"PYG"))*(1+FC_g)^(CL$147-1)*((FC_Desde=0)*(CL$146+CL$145)+(FC_Desde&gt;=1)*(CL$144&gt;=FC_Desde)*CL$145))</f>
        <v>5114.58575342466</v>
      </c>
      <c r="CM192" s="34" t="n">
        <f aca="false">SUMPRODUCT((FC_Clase="Administración")*FC_Base*FC_V*((FC_Mon="PYG")*CM$149+(FC_Mon&lt;&gt;"PYG"))*(1+FC_g)^(CM$147-1)*((FC_Desde=0)*(CM$146+CM$145)+(FC_Desde&gt;=1)*(CM$144&gt;=FC_Desde)*CM$145))</f>
        <v>5114.58575342466</v>
      </c>
      <c r="CN192" s="34" t="n">
        <f aca="false">SUMPRODUCT((FC_Clase="Administración")*FC_Base*FC_V*((FC_Mon="PYG")*CN$149+(FC_Mon&lt;&gt;"PYG"))*(1+FC_g)^(CN$147-1)*((FC_Desde=0)*(CN$146+CN$145)+(FC_Desde&gt;=1)*(CN$144&gt;=FC_Desde)*CN$145))</f>
        <v>5114.58575342466</v>
      </c>
      <c r="CO192" s="34" t="n">
        <f aca="false">SUMPRODUCT((FC_Clase="Administración")*FC_Base*FC_V*((FC_Mon="PYG")*CO$149+(FC_Mon&lt;&gt;"PYG"))*(1+FC_g)^(CO$147-1)*((FC_Desde=0)*(CO$146+CO$145)+(FC_Desde&gt;=1)*(CO$144&gt;=FC_Desde)*CO$145))</f>
        <v>5114.58575342466</v>
      </c>
      <c r="CP192" s="34" t="n">
        <f aca="false">SUMPRODUCT((FC_Clase="Administración")*FC_Base*FC_V*((FC_Mon="PYG")*CP$149+(FC_Mon&lt;&gt;"PYG"))*(1+FC_g)^(CP$147-1)*((FC_Desde=0)*(CP$146+CP$145)+(FC_Desde&gt;=1)*(CP$144&gt;=FC_Desde)*CP$145))</f>
        <v>5114.58575342466</v>
      </c>
      <c r="CQ192" s="34" t="n">
        <f aca="false">SUMPRODUCT((FC_Clase="Administración")*FC_Base*FC_V*((FC_Mon="PYG")*CQ$149+(FC_Mon&lt;&gt;"PYG"))*(1+FC_g)^(CQ$147-1)*((FC_Desde=0)*(CQ$146+CQ$145)+(FC_Desde&gt;=1)*(CQ$144&gt;=FC_Desde)*CQ$145))</f>
        <v>5114.58575342466</v>
      </c>
      <c r="CR192" s="34" t="n">
        <f aca="false">SUMPRODUCT((FC_Clase="Administración")*FC_Base*FC_V*((FC_Mon="PYG")*CR$149+(FC_Mon&lt;&gt;"PYG"))*(1+FC_g)^(CR$147-1)*((FC_Desde=0)*(CR$146+CR$145)+(FC_Desde&gt;=1)*(CR$144&gt;=FC_Desde)*CR$145))</f>
        <v>5114.58575342466</v>
      </c>
      <c r="CS192" s="34" t="n">
        <f aca="false">SUMPRODUCT((FC_Clase="Administración")*FC_Base*FC_V*((FC_Mon="PYG")*CS$149+(FC_Mon&lt;&gt;"PYG"))*(1+FC_g)^(CS$147-1)*((FC_Desde=0)*(CS$146+CS$145)+(FC_Desde&gt;=1)*(CS$144&gt;=FC_Desde)*CS$145))</f>
        <v>5114.58575342466</v>
      </c>
      <c r="CT192" s="34" t="n">
        <f aca="false">SUMPRODUCT((FC_Clase="Administración")*FC_Base*FC_V*((FC_Mon="PYG")*CT$149+(FC_Mon&lt;&gt;"PYG"))*(1+FC_g)^(CT$147-1)*((FC_Desde=0)*(CT$146+CT$145)+(FC_Desde&gt;=1)*(CT$144&gt;=FC_Desde)*CT$145))</f>
        <v>5114.58575342466</v>
      </c>
      <c r="CU192" s="34" t="n">
        <f aca="false">SUMPRODUCT((FC_Clase="Administración")*FC_Base*FC_V*((FC_Mon="PYG")*CU$149+(FC_Mon&lt;&gt;"PYG"))*(1+FC_g)^(CU$147-1)*((FC_Desde=0)*(CU$146+CU$145)+(FC_Desde&gt;=1)*(CU$144&gt;=FC_Desde)*CU$145))</f>
        <v>5114.58575342466</v>
      </c>
      <c r="CV192" s="34" t="n">
        <f aca="false">SUMPRODUCT((FC_Clase="Administración")*FC_Base*FC_V*((FC_Mon="PYG")*CV$149+(FC_Mon&lt;&gt;"PYG"))*(1+FC_g)^(CV$147-1)*((FC_Desde=0)*(CV$146+CV$145)+(FC_Desde&gt;=1)*(CV$144&gt;=FC_Desde)*CV$145))</f>
        <v>5114.58575342466</v>
      </c>
      <c r="CW192" s="34" t="n">
        <f aca="false">SUMPRODUCT((FC_Clase="Administración")*FC_Base*FC_V*((FC_Mon="PYG")*CW$149+(FC_Mon&lt;&gt;"PYG"))*(1+FC_g)^(CW$147-1)*((FC_Desde=0)*(CW$146+CW$145)+(FC_Desde&gt;=1)*(CW$144&gt;=FC_Desde)*CW$145))</f>
        <v>5114.58575342466</v>
      </c>
      <c r="CX192" s="34" t="n">
        <f aca="false">SUMPRODUCT((FC_Clase="Administración")*FC_Base*FC_V*((FC_Mon="PYG")*CX$149+(FC_Mon&lt;&gt;"PYG"))*(1+FC_g)^(CX$147-1)*((FC_Desde=0)*(CX$146+CX$145)+(FC_Desde&gt;=1)*(CX$144&gt;=FC_Desde)*CX$145))</f>
        <v>5114.58575342466</v>
      </c>
      <c r="CY192" s="34" t="n">
        <f aca="false">SUMPRODUCT((FC_Clase="Administración")*FC_Base*FC_V*((FC_Mon="PYG")*CY$149+(FC_Mon&lt;&gt;"PYG"))*(1+FC_g)^(CY$147-1)*((FC_Desde=0)*(CY$146+CY$145)+(FC_Desde&gt;=1)*(CY$144&gt;=FC_Desde)*CY$145))</f>
        <v>5114.58575342466</v>
      </c>
      <c r="CZ192" s="34" t="n">
        <f aca="false">SUMPRODUCT((FC_Clase="Administración")*FC_Base*FC_V*((FC_Mon="PYG")*CZ$149+(FC_Mon&lt;&gt;"PYG"))*(1+FC_g)^(CZ$147-1)*((FC_Desde=0)*(CZ$146+CZ$145)+(FC_Desde&gt;=1)*(CZ$144&gt;=FC_Desde)*CZ$145))</f>
        <v>5114.58575342466</v>
      </c>
      <c r="DA192" s="34" t="n">
        <f aca="false">SUMPRODUCT((FC_Clase="Administración")*FC_Base*FC_V*((FC_Mon="PYG")*DA$149+(FC_Mon&lt;&gt;"PYG"))*(1+FC_g)^(DA$147-1)*((FC_Desde=0)*(DA$146+DA$145)+(FC_Desde&gt;=1)*(DA$144&gt;=FC_Desde)*DA$145))</f>
        <v>5114.58575342466</v>
      </c>
      <c r="DB192" s="34" t="n">
        <f aca="false">SUMPRODUCT((FC_Clase="Administración")*FC_Base*FC_V*((FC_Mon="PYG")*DB$149+(FC_Mon&lt;&gt;"PYG"))*(1+FC_g)^(DB$147-1)*((FC_Desde=0)*(DB$146+DB$145)+(FC_Desde&gt;=1)*(DB$144&gt;=FC_Desde)*DB$145))</f>
        <v>5114.58575342466</v>
      </c>
      <c r="DC192" s="34" t="n">
        <f aca="false">SUMPRODUCT((FC_Clase="Administración")*FC_Base*FC_V*((FC_Mon="PYG")*DC$149+(FC_Mon&lt;&gt;"PYG"))*(1+FC_g)^(DC$147-1)*((FC_Desde=0)*(DC$146+DC$145)+(FC_Desde&gt;=1)*(DC$144&gt;=FC_Desde)*DC$145))</f>
        <v>5114.58575342466</v>
      </c>
      <c r="DD192" s="34" t="n">
        <f aca="false">SUMPRODUCT((FC_Clase="Administración")*FC_Base*FC_V*((FC_Mon="PYG")*DD$149+(FC_Mon&lt;&gt;"PYG"))*(1+FC_g)^(DD$147-1)*((FC_Desde=0)*(DD$146+DD$145)+(FC_Desde&gt;=1)*(DD$144&gt;=FC_Desde)*DD$145))</f>
        <v>5114.58575342466</v>
      </c>
      <c r="DE192" s="34" t="n">
        <f aca="false">SUMPRODUCT((FC_Clase="Administración")*FC_Base*FC_V*((FC_Mon="PYG")*DE$149+(FC_Mon&lt;&gt;"PYG"))*(1+FC_g)^(DE$147-1)*((FC_Desde=0)*(DE$146+DE$145)+(FC_Desde&gt;=1)*(DE$144&gt;=FC_Desde)*DE$145))</f>
        <v>5114.58575342466</v>
      </c>
      <c r="DF192" s="34" t="n">
        <f aca="false">SUMPRODUCT((FC_Clase="Administración")*FC_Base*FC_V*((FC_Mon="PYG")*DF$149+(FC_Mon&lt;&gt;"PYG"))*(1+FC_g)^(DF$147-1)*((FC_Desde=0)*(DF$146+DF$145)+(FC_Desde&gt;=1)*(DF$144&gt;=FC_Desde)*DF$145))</f>
        <v>5114.58575342466</v>
      </c>
      <c r="DG192" s="34" t="n">
        <f aca="false">SUMPRODUCT((FC_Clase="Administración")*FC_Base*FC_V*((FC_Mon="PYG")*DG$149+(FC_Mon&lt;&gt;"PYG"))*(1+FC_g)^(DG$147-1)*((FC_Desde=0)*(DG$146+DG$145)+(FC_Desde&gt;=1)*(DG$144&gt;=FC_Desde)*DG$145))</f>
        <v>5114.58575342466</v>
      </c>
      <c r="DH192" s="34" t="n">
        <f aca="false">SUMPRODUCT((FC_Clase="Administración")*FC_Base*FC_V*((FC_Mon="PYG")*DH$149+(FC_Mon&lt;&gt;"PYG"))*(1+FC_g)^(DH$147-1)*((FC_Desde=0)*(DH$146+DH$145)+(FC_Desde&gt;=1)*(DH$144&gt;=FC_Desde)*DH$145))</f>
        <v>5114.58575342466</v>
      </c>
      <c r="DI192" s="34" t="n">
        <f aca="false">SUMPRODUCT((FC_Clase="Administración")*FC_Base*FC_V*((FC_Mon="PYG")*DI$149+(FC_Mon&lt;&gt;"PYG"))*(1+FC_g)^(DI$147-1)*((FC_Desde=0)*(DI$146+DI$145)+(FC_Desde&gt;=1)*(DI$144&gt;=FC_Desde)*DI$145))</f>
        <v>5114.58575342466</v>
      </c>
      <c r="DJ192" s="34" t="n">
        <f aca="false">SUMPRODUCT((FC_Clase="Administración")*FC_Base*FC_V*((FC_Mon="PYG")*DJ$149+(FC_Mon&lt;&gt;"PYG"))*(1+FC_g)^(DJ$147-1)*((FC_Desde=0)*(DJ$146+DJ$145)+(FC_Desde&gt;=1)*(DJ$144&gt;=FC_Desde)*DJ$145))</f>
        <v>5114.58575342466</v>
      </c>
      <c r="DK192" s="34" t="n">
        <f aca="false">SUMPRODUCT((FC_Clase="Administración")*FC_Base*FC_V*((FC_Mon="PYG")*DK$149+(FC_Mon&lt;&gt;"PYG"))*(1+FC_g)^(DK$147-1)*((FC_Desde=0)*(DK$146+DK$145)+(FC_Desde&gt;=1)*(DK$144&gt;=FC_Desde)*DK$145))</f>
        <v>5114.58575342466</v>
      </c>
      <c r="DL192" s="34" t="n">
        <f aca="false">SUMPRODUCT((FC_Clase="Administración")*FC_Base*FC_V*((FC_Mon="PYG")*DL$149+(FC_Mon&lt;&gt;"PYG"))*(1+FC_g)^(DL$147-1)*((FC_Desde=0)*(DL$146+DL$145)+(FC_Desde&gt;=1)*(DL$144&gt;=FC_Desde)*DL$145))</f>
        <v>5114.58575342466</v>
      </c>
      <c r="DM192" s="34" t="n">
        <f aca="false">SUMPRODUCT((FC_Clase="Administración")*FC_Base*FC_V*((FC_Mon="PYG")*DM$149+(FC_Mon&lt;&gt;"PYG"))*(1+FC_g)^(DM$147-1)*((FC_Desde=0)*(DM$146+DM$145)+(FC_Desde&gt;=1)*(DM$144&gt;=FC_Desde)*DM$145))</f>
        <v>5114.58575342466</v>
      </c>
      <c r="DN192" s="34" t="n">
        <f aca="false">SUMPRODUCT((FC_Clase="Administración")*FC_Base*FC_V*((FC_Mon="PYG")*DN$149+(FC_Mon&lt;&gt;"PYG"))*(1+FC_g)^(DN$147-1)*((FC_Desde=0)*(DN$146+DN$145)+(FC_Desde&gt;=1)*(DN$144&gt;=FC_Desde)*DN$145))</f>
        <v>5114.58575342466</v>
      </c>
      <c r="DO192" s="34" t="n">
        <f aca="false">SUMPRODUCT((FC_Clase="Administración")*FC_Base*FC_V*((FC_Mon="PYG")*DO$149+(FC_Mon&lt;&gt;"PYG"))*(1+FC_g)^(DO$147-1)*((FC_Desde=0)*(DO$146+DO$145)+(FC_Desde&gt;=1)*(DO$144&gt;=FC_Desde)*DO$145))</f>
        <v>5114.58575342466</v>
      </c>
      <c r="DP192" s="34" t="n">
        <f aca="false">SUMPRODUCT((FC_Clase="Administración")*FC_Base*FC_V*((FC_Mon="PYG")*DP$149+(FC_Mon&lt;&gt;"PYG"))*(1+FC_g)^(DP$147-1)*((FC_Desde=0)*(DP$146+DP$145)+(FC_Desde&gt;=1)*(DP$144&gt;=FC_Desde)*DP$145))</f>
        <v>5114.58575342466</v>
      </c>
      <c r="DQ192" s="34" t="n">
        <f aca="false">SUMPRODUCT((FC_Clase="Administración")*FC_Base*FC_V*((FC_Mon="PYG")*DQ$149+(FC_Mon&lt;&gt;"PYG"))*(1+FC_g)^(DQ$147-1)*((FC_Desde=0)*(DQ$146+DQ$145)+(FC_Desde&gt;=1)*(DQ$144&gt;=FC_Desde)*DQ$145))</f>
        <v>5114.58575342466</v>
      </c>
      <c r="DR192" s="34" t="n">
        <f aca="false">SUMPRODUCT((FC_Clase="Administración")*FC_Base*FC_V*((FC_Mon="PYG")*DR$149+(FC_Mon&lt;&gt;"PYG"))*(1+FC_g)^(DR$147-1)*((FC_Desde=0)*(DR$146+DR$145)+(FC_Desde&gt;=1)*(DR$144&gt;=FC_Desde)*DR$145))</f>
        <v>5114.58575342466</v>
      </c>
      <c r="DS192" s="34" t="n">
        <f aca="false">SUMPRODUCT((FC_Clase="Administración")*FC_Base*FC_V*((FC_Mon="PYG")*DS$149+(FC_Mon&lt;&gt;"PYG"))*(1+FC_g)^(DS$147-1)*((FC_Desde=0)*(DS$146+DS$145)+(FC_Desde&gt;=1)*(DS$144&gt;=FC_Desde)*DS$145))</f>
        <v>5114.58575342466</v>
      </c>
      <c r="DT192" s="34" t="n">
        <f aca="false">SUMPRODUCT((FC_Clase="Administración")*FC_Base*FC_V*((FC_Mon="PYG")*DT$149+(FC_Mon&lt;&gt;"PYG"))*(1+FC_g)^(DT$147-1)*((FC_Desde=0)*(DT$146+DT$145)+(FC_Desde&gt;=1)*(DT$144&gt;=FC_Desde)*DT$145))</f>
        <v>5114.58575342466</v>
      </c>
      <c r="DU192" s="34" t="n">
        <f aca="false">SUMPRODUCT((FC_Clase="Administración")*FC_Base*FC_V*((FC_Mon="PYG")*DU$149+(FC_Mon&lt;&gt;"PYG"))*(1+FC_g)^(DU$147-1)*((FC_Desde=0)*(DU$146+DU$145)+(FC_Desde&gt;=1)*(DU$144&gt;=FC_Desde)*DU$145))</f>
        <v>5114.58575342466</v>
      </c>
      <c r="DV192" s="34" t="n">
        <f aca="false">SUMPRODUCT((FC_Clase="Administración")*FC_Base*FC_V*((FC_Mon="PYG")*DV$149+(FC_Mon&lt;&gt;"PYG"))*(1+FC_g)^(DV$147-1)*((FC_Desde=0)*(DV$146+DV$145)+(FC_Desde&gt;=1)*(DV$144&gt;=FC_Desde)*DV$145))</f>
        <v>0</v>
      </c>
      <c r="DW192" s="34" t="n">
        <f aca="false">SUMPRODUCT((FC_Clase="Administración")*FC_Base*FC_V*((FC_Mon="PYG")*DW$149+(FC_Mon&lt;&gt;"PYG"))*(1+FC_g)^(DW$147-1)*((FC_Desde=0)*(DW$146+DW$145)+(FC_Desde&gt;=1)*(DW$144&gt;=FC_Desde)*DW$145))</f>
        <v>0</v>
      </c>
      <c r="DX192" s="34" t="n">
        <f aca="false">SUMPRODUCT((FC_Clase="Administración")*FC_Base*FC_V*((FC_Mon="PYG")*DX$149+(FC_Mon&lt;&gt;"PYG"))*(1+FC_g)^(DX$147-1)*((FC_Desde=0)*(DX$146+DX$145)+(FC_Desde&gt;=1)*(DX$144&gt;=FC_Desde)*DX$145))</f>
        <v>0</v>
      </c>
      <c r="DY192" s="34" t="n">
        <f aca="false">SUMPRODUCT((FC_Clase="Administración")*FC_Base*FC_V*((FC_Mon="PYG")*DY$149+(FC_Mon&lt;&gt;"PYG"))*(1+FC_g)^(DY$147-1)*((FC_Desde=0)*(DY$146+DY$145)+(FC_Desde&gt;=1)*(DY$144&gt;=FC_Desde)*DY$145))</f>
        <v>0</v>
      </c>
      <c r="DZ192" s="34" t="n">
        <f aca="false">SUMPRODUCT((FC_Clase="Administración")*FC_Base*FC_V*((FC_Mon="PYG")*DZ$149+(FC_Mon&lt;&gt;"PYG"))*(1+FC_g)^(DZ$147-1)*((FC_Desde=0)*(DZ$146+DZ$145)+(FC_Desde&gt;=1)*(DZ$144&gt;=FC_Desde)*DZ$145))</f>
        <v>0</v>
      </c>
      <c r="EA192" s="34" t="n">
        <f aca="false">SUMPRODUCT((FC_Clase="Administración")*FC_Base*FC_V*((FC_Mon="PYG")*EA$149+(FC_Mon&lt;&gt;"PYG"))*(1+FC_g)^(EA$147-1)*((FC_Desde=0)*(EA$146+EA$145)+(FC_Desde&gt;=1)*(EA$144&gt;=FC_Desde)*EA$145))</f>
        <v>0</v>
      </c>
      <c r="EB192" s="34" t="n">
        <f aca="false">SUMPRODUCT((FC_Clase="Administración")*FC_Base*FC_V*((FC_Mon="PYG")*EB$149+(FC_Mon&lt;&gt;"PYG"))*(1+FC_g)^(EB$147-1)*((FC_Desde=0)*(EB$146+EB$145)+(FC_Desde&gt;=1)*(EB$144&gt;=FC_Desde)*EB$145))</f>
        <v>0</v>
      </c>
      <c r="EC192" s="34" t="n">
        <f aca="false">SUMPRODUCT((FC_Clase="Administración")*FC_Base*FC_V*((FC_Mon="PYG")*EC$149+(FC_Mon&lt;&gt;"PYG"))*(1+FC_g)^(EC$147-1)*((FC_Desde=0)*(EC$146+EC$145)+(FC_Desde&gt;=1)*(EC$144&gt;=FC_Desde)*EC$145))</f>
        <v>0</v>
      </c>
      <c r="ED192" s="34" t="n">
        <f aca="false">SUMPRODUCT((FC_Clase="Administración")*FC_Base*FC_V*((FC_Mon="PYG")*ED$149+(FC_Mon&lt;&gt;"PYG"))*(1+FC_g)^(ED$147-1)*((FC_Desde=0)*(ED$146+ED$145)+(FC_Desde&gt;=1)*(ED$144&gt;=FC_Desde)*ED$145))</f>
        <v>0</v>
      </c>
      <c r="EE192" s="34" t="n">
        <f aca="false">SUMPRODUCT((FC_Clase="Administración")*FC_Base*FC_V*((FC_Mon="PYG")*EE$149+(FC_Mon&lt;&gt;"PYG"))*(1+FC_g)^(EE$147-1)*((FC_Desde=0)*(EE$146+EE$145)+(FC_Desde&gt;=1)*(EE$144&gt;=FC_Desde)*EE$145))</f>
        <v>0</v>
      </c>
      <c r="EF192" s="34" t="n">
        <f aca="false">SUMPRODUCT((FC_Clase="Administración")*FC_Base*FC_V*((FC_Mon="PYG")*EF$149+(FC_Mon&lt;&gt;"PYG"))*(1+FC_g)^(EF$147-1)*((FC_Desde=0)*(EF$146+EF$145)+(FC_Desde&gt;=1)*(EF$144&gt;=FC_Desde)*EF$145))</f>
        <v>0</v>
      </c>
      <c r="EG192" s="34" t="n">
        <f aca="false">SUMPRODUCT((FC_Clase="Administración")*FC_Base*FC_V*((FC_Mon="PYG")*EG$149+(FC_Mon&lt;&gt;"PYG"))*(1+FC_g)^(EG$147-1)*((FC_Desde=0)*(EG$146+EG$145)+(FC_Desde&gt;=1)*(EG$144&gt;=FC_Desde)*EG$145))</f>
        <v>0</v>
      </c>
      <c r="EH192" s="34" t="n">
        <f aca="false">SUMPRODUCT((FC_Clase="Administración")*FC_Base*FC_V*((FC_Mon="PYG")*EH$149+(FC_Mon&lt;&gt;"PYG"))*(1+FC_g)^(EH$147-1)*((FC_Desde=0)*(EH$146+EH$145)+(FC_Desde&gt;=1)*(EH$144&gt;=FC_Desde)*EH$145))</f>
        <v>0</v>
      </c>
      <c r="EI192" s="34" t="n">
        <f aca="false">SUMPRODUCT((FC_Clase="Administración")*FC_Base*FC_V*((FC_Mon="PYG")*EI$149+(FC_Mon&lt;&gt;"PYG"))*(1+FC_g)^(EI$147-1)*((FC_Desde=0)*(EI$146+EI$145)+(FC_Desde&gt;=1)*(EI$144&gt;=FC_Desde)*EI$145))</f>
        <v>0</v>
      </c>
      <c r="EJ192" s="34" t="n">
        <f aca="false">SUMPRODUCT((FC_Clase="Administración")*FC_Base*FC_V*((FC_Mon="PYG")*EJ$149+(FC_Mon&lt;&gt;"PYG"))*(1+FC_g)^(EJ$147-1)*((FC_Desde=0)*(EJ$146+EJ$145)+(FC_Desde&gt;=1)*(EJ$144&gt;=FC_Desde)*EJ$145))</f>
        <v>0</v>
      </c>
      <c r="EK192" s="34" t="n">
        <f aca="false">SUMPRODUCT((FC_Clase="Administración")*FC_Base*FC_V*((FC_Mon="PYG")*EK$149+(FC_Mon&lt;&gt;"PYG"))*(1+FC_g)^(EK$147-1)*((FC_Desde=0)*(EK$146+EK$145)+(FC_Desde&gt;=1)*(EK$144&gt;=FC_Desde)*EK$145))</f>
        <v>0</v>
      </c>
      <c r="EL192" s="34" t="n">
        <f aca="false">SUMPRODUCT((FC_Clase="Administración")*FC_Base*FC_V*((FC_Mon="PYG")*EL$149+(FC_Mon&lt;&gt;"PYG"))*(1+FC_g)^(EL$147-1)*((FC_Desde=0)*(EL$146+EL$145)+(FC_Desde&gt;=1)*(EL$144&gt;=FC_Desde)*EL$145))</f>
        <v>0</v>
      </c>
      <c r="EM192" s="34" t="n">
        <f aca="false">SUMPRODUCT((FC_Clase="Administración")*FC_Base*FC_V*((FC_Mon="PYG")*EM$149+(FC_Mon&lt;&gt;"PYG"))*(1+FC_g)^(EM$147-1)*((FC_Desde=0)*(EM$146+EM$145)+(FC_Desde&gt;=1)*(EM$144&gt;=FC_Desde)*EM$145))</f>
        <v>0</v>
      </c>
      <c r="EN192" s="34" t="n">
        <f aca="false">SUMPRODUCT((FC_Clase="Administración")*FC_Base*FC_V*((FC_Mon="PYG")*EN$149+(FC_Mon&lt;&gt;"PYG"))*(1+FC_g)^(EN$147-1)*((FC_Desde=0)*(EN$146+EN$145)+(FC_Desde&gt;=1)*(EN$144&gt;=FC_Desde)*EN$145))</f>
        <v>0</v>
      </c>
      <c r="EO192" s="34" t="n">
        <f aca="false">SUMPRODUCT((FC_Clase="Administración")*FC_Base*FC_V*((FC_Mon="PYG")*EO$149+(FC_Mon&lt;&gt;"PYG"))*(1+FC_g)^(EO$147-1)*((FC_Desde=0)*(EO$146+EO$145)+(FC_Desde&gt;=1)*(EO$144&gt;=FC_Desde)*EO$145))</f>
        <v>0</v>
      </c>
      <c r="EP192" s="34" t="n">
        <f aca="false">SUMPRODUCT((FC_Clase="Administración")*FC_Base*FC_V*((FC_Mon="PYG")*EP$149+(FC_Mon&lt;&gt;"PYG"))*(1+FC_g)^(EP$147-1)*((FC_Desde=0)*(EP$146+EP$145)+(FC_Desde&gt;=1)*(EP$144&gt;=FC_Desde)*EP$145))</f>
        <v>0</v>
      </c>
      <c r="EQ192" s="34" t="n">
        <f aca="false">SUMPRODUCT((FC_Clase="Administración")*FC_Base*FC_V*((FC_Mon="PYG")*EQ$149+(FC_Mon&lt;&gt;"PYG"))*(1+FC_g)^(EQ$147-1)*((FC_Desde=0)*(EQ$146+EQ$145)+(FC_Desde&gt;=1)*(EQ$144&gt;=FC_Desde)*EQ$145))</f>
        <v>0</v>
      </c>
      <c r="ER192" s="34" t="n">
        <f aca="false">SUMPRODUCT((FC_Clase="Administración")*FC_Base*FC_V*((FC_Mon="PYG")*ER$149+(FC_Mon&lt;&gt;"PYG"))*(1+FC_g)^(ER$147-1)*((FC_Desde=0)*(ER$146+ER$145)+(FC_Desde&gt;=1)*(ER$144&gt;=FC_Desde)*ER$145))</f>
        <v>0</v>
      </c>
      <c r="ES192" s="34" t="n">
        <f aca="false">SUMPRODUCT((FC_Clase="Administración")*FC_Base*FC_V*((FC_Mon="PYG")*ES$149+(FC_Mon&lt;&gt;"PYG"))*(1+FC_g)^(ES$147-1)*((FC_Desde=0)*(ES$146+ES$145)+(FC_Desde&gt;=1)*(ES$144&gt;=FC_Desde)*ES$145))</f>
        <v>0</v>
      </c>
    </row>
    <row r="193" customFormat="false" ht="15" hidden="false" customHeight="false" outlineLevel="0" collapsed="false">
      <c r="A193" s="2" t="s">
        <v>808</v>
      </c>
      <c r="B193" s="6" t="s">
        <v>618</v>
      </c>
      <c r="C193" s="6" t="s">
        <v>250</v>
      </c>
      <c r="E193" s="40" t="n">
        <f aca="false">SUM(F193:ES193)</f>
        <v>2851501.29749091</v>
      </c>
      <c r="F193" s="34" t="n">
        <f aca="false">V_ImpP*(F$177+F$178+F$179+F$180+F$187+F$188+F$182+F$184+F$190)</f>
        <v>15479.5332084976</v>
      </c>
      <c r="G193" s="34" t="n">
        <f aca="false">V_ImpP*(G$177+G$178+G$179+G$180+G$187+G$188+G$182+G$184+G$190)</f>
        <v>15479.5332084976</v>
      </c>
      <c r="H193" s="34" t="n">
        <f aca="false">V_ImpP*(H$177+H$178+H$179+H$180+H$187+H$188+H$182+H$184+H$190)</f>
        <v>15479.5332084976</v>
      </c>
      <c r="I193" s="34" t="n">
        <f aca="false">V_ImpP*(I$177+I$178+I$179+I$180+I$187+I$188+I$182+I$184+I$190)</f>
        <v>15479.5332084976</v>
      </c>
      <c r="J193" s="34" t="n">
        <f aca="false">V_ImpP*(J$177+J$178+J$179+J$180+J$187+J$188+J$182+J$184+J$190)</f>
        <v>15479.5332084976</v>
      </c>
      <c r="K193" s="34" t="n">
        <f aca="false">V_ImpP*(K$177+K$178+K$179+K$180+K$187+K$188+K$182+K$184+K$190)</f>
        <v>15479.5332084976</v>
      </c>
      <c r="L193" s="34" t="n">
        <f aca="false">V_ImpP*(L$177+L$178+L$179+L$180+L$187+L$188+L$182+L$184+L$190)</f>
        <v>15479.5332084976</v>
      </c>
      <c r="M193" s="34" t="n">
        <f aca="false">V_ImpP*(M$177+M$178+M$179+M$180+M$187+M$188+M$182+M$184+M$190)</f>
        <v>15479.5332084976</v>
      </c>
      <c r="N193" s="34" t="n">
        <f aca="false">V_ImpP*(N$177+N$178+N$179+N$180+N$187+N$188+N$182+N$184+N$190)</f>
        <v>15479.5332084976</v>
      </c>
      <c r="O193" s="34" t="n">
        <f aca="false">V_ImpP*(O$177+O$178+O$179+O$180+O$187+O$188+O$182+O$184+O$190)</f>
        <v>15479.5332084976</v>
      </c>
      <c r="P193" s="34" t="n">
        <f aca="false">V_ImpP*(P$177+P$178+P$179+P$180+P$187+P$188+P$182+P$184+P$190)</f>
        <v>15479.5332084976</v>
      </c>
      <c r="Q193" s="34" t="n">
        <f aca="false">V_ImpP*(Q$177+Q$178+Q$179+Q$180+Q$187+Q$188+Q$182+Q$184+Q$190)</f>
        <v>15479.5332084976</v>
      </c>
      <c r="R193" s="34" t="n">
        <f aca="false">V_ImpP*(R$177+R$178+R$179+R$180+R$187+R$188+R$182+R$184+R$190)</f>
        <v>18874.3773742893</v>
      </c>
      <c r="S193" s="34" t="n">
        <f aca="false">V_ImpP*(S$177+S$178+S$179+S$180+S$187+S$188+S$182+S$184+S$190)</f>
        <v>18874.3773742893</v>
      </c>
      <c r="T193" s="34" t="n">
        <f aca="false">V_ImpP*(T$177+T$178+T$179+T$180+T$187+T$188+T$182+T$184+T$190)</f>
        <v>18874.3773742893</v>
      </c>
      <c r="U193" s="34" t="n">
        <f aca="false">V_ImpP*(U$177+U$178+U$179+U$180+U$187+U$188+U$182+U$184+U$190)</f>
        <v>18874.3773742893</v>
      </c>
      <c r="V193" s="34" t="n">
        <f aca="false">V_ImpP*(V$177+V$178+V$179+V$180+V$187+V$188+V$182+V$184+V$190)</f>
        <v>18874.3773742893</v>
      </c>
      <c r="W193" s="34" t="n">
        <f aca="false">V_ImpP*(W$177+W$178+W$179+W$180+W$187+W$188+W$182+W$184+W$190)</f>
        <v>18874.3773742893</v>
      </c>
      <c r="X193" s="34" t="n">
        <f aca="false">V_ImpP*(X$177+X$178+X$179+X$180+X$187+X$188+X$182+X$184+X$190)</f>
        <v>18874.3773742893</v>
      </c>
      <c r="Y193" s="34" t="n">
        <f aca="false">V_ImpP*(Y$177+Y$178+Y$179+Y$180+Y$187+Y$188+Y$182+Y$184+Y$190)</f>
        <v>18874.3773742893</v>
      </c>
      <c r="Z193" s="34" t="n">
        <f aca="false">V_ImpP*(Z$177+Z$178+Z$179+Z$180+Z$187+Z$188+Z$182+Z$184+Z$190)</f>
        <v>18874.3773742893</v>
      </c>
      <c r="AA193" s="34" t="n">
        <f aca="false">V_ImpP*(AA$177+AA$178+AA$179+AA$180+AA$187+AA$188+AA$182+AA$184+AA$190)</f>
        <v>18874.3773742893</v>
      </c>
      <c r="AB193" s="34" t="n">
        <f aca="false">V_ImpP*(AB$177+AB$178+AB$179+AB$180+AB$187+AB$188+AB$182+AB$184+AB$190)</f>
        <v>18874.3773742893</v>
      </c>
      <c r="AC193" s="34" t="n">
        <f aca="false">V_ImpP*(AC$177+AC$178+AC$179+AC$180+AC$187+AC$188+AC$182+AC$184+AC$190)</f>
        <v>18874.3773742893</v>
      </c>
      <c r="AD193" s="34" t="n">
        <f aca="false">V_ImpP*(AD$177+AD$178+AD$179+AD$180+AD$187+AD$188+AD$182+AD$184+AD$190)</f>
        <v>22438.3044470912</v>
      </c>
      <c r="AE193" s="34" t="n">
        <f aca="false">V_ImpP*(AE$177+AE$178+AE$179+AE$180+AE$187+AE$188+AE$182+AE$184+AE$190)</f>
        <v>22438.3044470912</v>
      </c>
      <c r="AF193" s="34" t="n">
        <f aca="false">V_ImpP*(AF$177+AF$178+AF$179+AF$180+AF$187+AF$188+AF$182+AF$184+AF$190)</f>
        <v>22438.3044470912</v>
      </c>
      <c r="AG193" s="34" t="n">
        <f aca="false">V_ImpP*(AG$177+AG$178+AG$179+AG$180+AG$187+AG$188+AG$182+AG$184+AG$190)</f>
        <v>22438.3044470912</v>
      </c>
      <c r="AH193" s="34" t="n">
        <f aca="false">V_ImpP*(AH$177+AH$178+AH$179+AH$180+AH$187+AH$188+AH$182+AH$184+AH$190)</f>
        <v>22438.3044470912</v>
      </c>
      <c r="AI193" s="34" t="n">
        <f aca="false">V_ImpP*(AI$177+AI$178+AI$179+AI$180+AI$187+AI$188+AI$182+AI$184+AI$190)</f>
        <v>22438.3044470912</v>
      </c>
      <c r="AJ193" s="34" t="n">
        <f aca="false">V_ImpP*(AJ$177+AJ$178+AJ$179+AJ$180+AJ$187+AJ$188+AJ$182+AJ$184+AJ$190)</f>
        <v>22438.3044470912</v>
      </c>
      <c r="AK193" s="34" t="n">
        <f aca="false">V_ImpP*(AK$177+AK$178+AK$179+AK$180+AK$187+AK$188+AK$182+AK$184+AK$190)</f>
        <v>22438.3044470912</v>
      </c>
      <c r="AL193" s="34" t="n">
        <f aca="false">V_ImpP*(AL$177+AL$178+AL$179+AL$180+AL$187+AL$188+AL$182+AL$184+AL$190)</f>
        <v>22438.3044470912</v>
      </c>
      <c r="AM193" s="34" t="n">
        <f aca="false">V_ImpP*(AM$177+AM$178+AM$179+AM$180+AM$187+AM$188+AM$182+AM$184+AM$190)</f>
        <v>22438.3044470912</v>
      </c>
      <c r="AN193" s="34" t="n">
        <f aca="false">V_ImpP*(AN$177+AN$178+AN$179+AN$180+AN$187+AN$188+AN$182+AN$184+AN$190)</f>
        <v>22438.3044470912</v>
      </c>
      <c r="AO193" s="34" t="n">
        <f aca="false">V_ImpP*(AO$177+AO$178+AO$179+AO$180+AO$187+AO$188+AO$182+AO$184+AO$190)</f>
        <v>22438.3044470912</v>
      </c>
      <c r="AP193" s="34" t="n">
        <f aca="false">V_ImpP*(AP$177+AP$178+AP$179+AP$180+AP$187+AP$188+AP$182+AP$184+AP$190)</f>
        <v>25354.7196483896</v>
      </c>
      <c r="AQ193" s="34" t="n">
        <f aca="false">V_ImpP*(AQ$177+AQ$178+AQ$179+AQ$180+AQ$187+AQ$188+AQ$182+AQ$184+AQ$190)</f>
        <v>25354.7196483896</v>
      </c>
      <c r="AR193" s="34" t="n">
        <f aca="false">V_ImpP*(AR$177+AR$178+AR$179+AR$180+AR$187+AR$188+AR$182+AR$184+AR$190)</f>
        <v>25354.7196483896</v>
      </c>
      <c r="AS193" s="34" t="n">
        <f aca="false">V_ImpP*(AS$177+AS$178+AS$179+AS$180+AS$187+AS$188+AS$182+AS$184+AS$190)</f>
        <v>25354.7196483896</v>
      </c>
      <c r="AT193" s="34" t="n">
        <f aca="false">V_ImpP*(AT$177+AT$178+AT$179+AT$180+AT$187+AT$188+AT$182+AT$184+AT$190)</f>
        <v>25354.7196483896</v>
      </c>
      <c r="AU193" s="34" t="n">
        <f aca="false">V_ImpP*(AU$177+AU$178+AU$179+AU$180+AU$187+AU$188+AU$182+AU$184+AU$190)</f>
        <v>25354.7196483896</v>
      </c>
      <c r="AV193" s="34" t="n">
        <f aca="false">V_ImpP*(AV$177+AV$178+AV$179+AV$180+AV$187+AV$188+AV$182+AV$184+AV$190)</f>
        <v>25354.7196483896</v>
      </c>
      <c r="AW193" s="34" t="n">
        <f aca="false">V_ImpP*(AW$177+AW$178+AW$179+AW$180+AW$187+AW$188+AW$182+AW$184+AW$190)</f>
        <v>25354.7196483896</v>
      </c>
      <c r="AX193" s="34" t="n">
        <f aca="false">V_ImpP*(AX$177+AX$178+AX$179+AX$180+AX$187+AX$188+AX$182+AX$184+AX$190)</f>
        <v>25354.7196483896</v>
      </c>
      <c r="AY193" s="34" t="n">
        <f aca="false">V_ImpP*(AY$177+AY$178+AY$179+AY$180+AY$187+AY$188+AY$182+AY$184+AY$190)</f>
        <v>25354.7196483896</v>
      </c>
      <c r="AZ193" s="34" t="n">
        <f aca="false">V_ImpP*(AZ$177+AZ$178+AZ$179+AZ$180+AZ$187+AZ$188+AZ$182+AZ$184+AZ$190)</f>
        <v>25354.7196483896</v>
      </c>
      <c r="BA193" s="34" t="n">
        <f aca="false">V_ImpP*(BA$177+BA$178+BA$179+BA$180+BA$187+BA$188+BA$182+BA$184+BA$190)</f>
        <v>25354.7196483896</v>
      </c>
      <c r="BB193" s="34" t="n">
        <f aca="false">V_ImpP*(BB$177+BB$178+BB$179+BB$180+BB$187+BB$188+BB$182+BB$184+BB$190)</f>
        <v>25605.3421761632</v>
      </c>
      <c r="BC193" s="34" t="n">
        <f aca="false">V_ImpP*(BC$177+BC$178+BC$179+BC$180+BC$187+BC$188+BC$182+BC$184+BC$190)</f>
        <v>25605.3421761632</v>
      </c>
      <c r="BD193" s="34" t="n">
        <f aca="false">V_ImpP*(BD$177+BD$178+BD$179+BD$180+BD$187+BD$188+BD$182+BD$184+BD$190)</f>
        <v>25605.3421761632</v>
      </c>
      <c r="BE193" s="34" t="n">
        <f aca="false">V_ImpP*(BE$177+BE$178+BE$179+BE$180+BE$187+BE$188+BE$182+BE$184+BE$190)</f>
        <v>25605.3421761632</v>
      </c>
      <c r="BF193" s="34" t="n">
        <f aca="false">V_ImpP*(BF$177+BF$178+BF$179+BF$180+BF$187+BF$188+BF$182+BF$184+BF$190)</f>
        <v>25605.3421761632</v>
      </c>
      <c r="BG193" s="34" t="n">
        <f aca="false">V_ImpP*(BG$177+BG$178+BG$179+BG$180+BG$187+BG$188+BG$182+BG$184+BG$190)</f>
        <v>25605.3421761632</v>
      </c>
      <c r="BH193" s="34" t="n">
        <f aca="false">V_ImpP*(BH$177+BH$178+BH$179+BH$180+BH$187+BH$188+BH$182+BH$184+BH$190)</f>
        <v>25605.3421761632</v>
      </c>
      <c r="BI193" s="34" t="n">
        <f aca="false">V_ImpP*(BI$177+BI$178+BI$179+BI$180+BI$187+BI$188+BI$182+BI$184+BI$190)</f>
        <v>25605.3421761632</v>
      </c>
      <c r="BJ193" s="34" t="n">
        <f aca="false">V_ImpP*(BJ$177+BJ$178+BJ$179+BJ$180+BJ$187+BJ$188+BJ$182+BJ$184+BJ$190)</f>
        <v>25605.3421761632</v>
      </c>
      <c r="BK193" s="34" t="n">
        <f aca="false">V_ImpP*(BK$177+BK$178+BK$179+BK$180+BK$187+BK$188+BK$182+BK$184+BK$190)</f>
        <v>25605.3421761632</v>
      </c>
      <c r="BL193" s="34" t="n">
        <f aca="false">V_ImpP*(BL$177+BL$178+BL$179+BL$180+BL$187+BL$188+BL$182+BL$184+BL$190)</f>
        <v>25605.3421761632</v>
      </c>
      <c r="BM193" s="34" t="n">
        <f aca="false">V_ImpP*(BM$177+BM$178+BM$179+BM$180+BM$187+BM$188+BM$182+BM$184+BM$190)</f>
        <v>25605.3421761632</v>
      </c>
      <c r="BN193" s="34" t="n">
        <f aca="false">V_ImpP*(BN$177+BN$178+BN$179+BN$180+BN$187+BN$188+BN$182+BN$184+BN$190)</f>
        <v>25726.7493753587</v>
      </c>
      <c r="BO193" s="34" t="n">
        <f aca="false">V_ImpP*(BO$177+BO$178+BO$179+BO$180+BO$187+BO$188+BO$182+BO$184+BO$190)</f>
        <v>25726.7493753587</v>
      </c>
      <c r="BP193" s="34" t="n">
        <f aca="false">V_ImpP*(BP$177+BP$178+BP$179+BP$180+BP$187+BP$188+BP$182+BP$184+BP$190)</f>
        <v>25726.7493753587</v>
      </c>
      <c r="BQ193" s="34" t="n">
        <f aca="false">V_ImpP*(BQ$177+BQ$178+BQ$179+BQ$180+BQ$187+BQ$188+BQ$182+BQ$184+BQ$190)</f>
        <v>25726.7493753587</v>
      </c>
      <c r="BR193" s="34" t="n">
        <f aca="false">V_ImpP*(BR$177+BR$178+BR$179+BR$180+BR$187+BR$188+BR$182+BR$184+BR$190)</f>
        <v>25726.7493753587</v>
      </c>
      <c r="BS193" s="34" t="n">
        <f aca="false">V_ImpP*(BS$177+BS$178+BS$179+BS$180+BS$187+BS$188+BS$182+BS$184+BS$190)</f>
        <v>25726.7493753587</v>
      </c>
      <c r="BT193" s="34" t="n">
        <f aca="false">V_ImpP*(BT$177+BT$178+BT$179+BT$180+BT$187+BT$188+BT$182+BT$184+BT$190)</f>
        <v>25726.7493753587</v>
      </c>
      <c r="BU193" s="34" t="n">
        <f aca="false">V_ImpP*(BU$177+BU$178+BU$179+BU$180+BU$187+BU$188+BU$182+BU$184+BU$190)</f>
        <v>25726.7493753587</v>
      </c>
      <c r="BV193" s="34" t="n">
        <f aca="false">V_ImpP*(BV$177+BV$178+BV$179+BV$180+BV$187+BV$188+BV$182+BV$184+BV$190)</f>
        <v>25726.7493753587</v>
      </c>
      <c r="BW193" s="34" t="n">
        <f aca="false">V_ImpP*(BW$177+BW$178+BW$179+BW$180+BW$187+BW$188+BW$182+BW$184+BW$190)</f>
        <v>25726.7493753587</v>
      </c>
      <c r="BX193" s="34" t="n">
        <f aca="false">V_ImpP*(BX$177+BX$178+BX$179+BX$180+BX$187+BX$188+BX$182+BX$184+BX$190)</f>
        <v>25726.7493753587</v>
      </c>
      <c r="BY193" s="34" t="n">
        <f aca="false">V_ImpP*(BY$177+BY$178+BY$179+BY$180+BY$187+BY$188+BY$182+BY$184+BY$190)</f>
        <v>25726.7493753587</v>
      </c>
      <c r="BZ193" s="34" t="n">
        <f aca="false">V_ImpP*(BZ$177+BZ$178+BZ$179+BZ$180+BZ$187+BZ$188+BZ$182+BZ$184+BZ$190)</f>
        <v>25849.3974439944</v>
      </c>
      <c r="CA193" s="34" t="n">
        <f aca="false">V_ImpP*(CA$177+CA$178+CA$179+CA$180+CA$187+CA$188+CA$182+CA$184+CA$190)</f>
        <v>25849.3974439944</v>
      </c>
      <c r="CB193" s="34" t="n">
        <f aca="false">V_ImpP*(CB$177+CB$178+CB$179+CB$180+CB$187+CB$188+CB$182+CB$184+CB$190)</f>
        <v>25849.3974439944</v>
      </c>
      <c r="CC193" s="34" t="n">
        <f aca="false">V_ImpP*(CC$177+CC$178+CC$179+CC$180+CC$187+CC$188+CC$182+CC$184+CC$190)</f>
        <v>25849.3974439944</v>
      </c>
      <c r="CD193" s="34" t="n">
        <f aca="false">V_ImpP*(CD$177+CD$178+CD$179+CD$180+CD$187+CD$188+CD$182+CD$184+CD$190)</f>
        <v>25849.3974439944</v>
      </c>
      <c r="CE193" s="34" t="n">
        <f aca="false">V_ImpP*(CE$177+CE$178+CE$179+CE$180+CE$187+CE$188+CE$182+CE$184+CE$190)</f>
        <v>25849.3974439944</v>
      </c>
      <c r="CF193" s="34" t="n">
        <f aca="false">V_ImpP*(CF$177+CF$178+CF$179+CF$180+CF$187+CF$188+CF$182+CF$184+CF$190)</f>
        <v>25849.3974439944</v>
      </c>
      <c r="CG193" s="34" t="n">
        <f aca="false">V_ImpP*(CG$177+CG$178+CG$179+CG$180+CG$187+CG$188+CG$182+CG$184+CG$190)</f>
        <v>25849.3974439944</v>
      </c>
      <c r="CH193" s="34" t="n">
        <f aca="false">V_ImpP*(CH$177+CH$178+CH$179+CH$180+CH$187+CH$188+CH$182+CH$184+CH$190)</f>
        <v>25849.3974439944</v>
      </c>
      <c r="CI193" s="34" t="n">
        <f aca="false">V_ImpP*(CI$177+CI$178+CI$179+CI$180+CI$187+CI$188+CI$182+CI$184+CI$190)</f>
        <v>25849.3974439944</v>
      </c>
      <c r="CJ193" s="34" t="n">
        <f aca="false">V_ImpP*(CJ$177+CJ$178+CJ$179+CJ$180+CJ$187+CJ$188+CJ$182+CJ$184+CJ$190)</f>
        <v>25849.3974439944</v>
      </c>
      <c r="CK193" s="34" t="n">
        <f aca="false">V_ImpP*(CK$177+CK$178+CK$179+CK$180+CK$187+CK$188+CK$182+CK$184+CK$190)</f>
        <v>25849.3974439944</v>
      </c>
      <c r="CL193" s="34" t="n">
        <f aca="false">V_ImpP*(CL$177+CL$178+CL$179+CL$180+CL$187+CL$188+CL$182+CL$184+CL$190)</f>
        <v>25973.2993267137</v>
      </c>
      <c r="CM193" s="34" t="n">
        <f aca="false">V_ImpP*(CM$177+CM$178+CM$179+CM$180+CM$187+CM$188+CM$182+CM$184+CM$190)</f>
        <v>25973.2993267137</v>
      </c>
      <c r="CN193" s="34" t="n">
        <f aca="false">V_ImpP*(CN$177+CN$178+CN$179+CN$180+CN$187+CN$188+CN$182+CN$184+CN$190)</f>
        <v>25973.2993267137</v>
      </c>
      <c r="CO193" s="34" t="n">
        <f aca="false">V_ImpP*(CO$177+CO$178+CO$179+CO$180+CO$187+CO$188+CO$182+CO$184+CO$190)</f>
        <v>25973.2993267137</v>
      </c>
      <c r="CP193" s="34" t="n">
        <f aca="false">V_ImpP*(CP$177+CP$178+CP$179+CP$180+CP$187+CP$188+CP$182+CP$184+CP$190)</f>
        <v>25973.2993267137</v>
      </c>
      <c r="CQ193" s="34" t="n">
        <f aca="false">V_ImpP*(CQ$177+CQ$178+CQ$179+CQ$180+CQ$187+CQ$188+CQ$182+CQ$184+CQ$190)</f>
        <v>25973.2993267137</v>
      </c>
      <c r="CR193" s="34" t="n">
        <f aca="false">V_ImpP*(CR$177+CR$178+CR$179+CR$180+CR$187+CR$188+CR$182+CR$184+CR$190)</f>
        <v>25973.2993267137</v>
      </c>
      <c r="CS193" s="34" t="n">
        <f aca="false">V_ImpP*(CS$177+CS$178+CS$179+CS$180+CS$187+CS$188+CS$182+CS$184+CS$190)</f>
        <v>25973.2993267137</v>
      </c>
      <c r="CT193" s="34" t="n">
        <f aca="false">V_ImpP*(CT$177+CT$178+CT$179+CT$180+CT$187+CT$188+CT$182+CT$184+CT$190)</f>
        <v>25973.2993267137</v>
      </c>
      <c r="CU193" s="34" t="n">
        <f aca="false">V_ImpP*(CU$177+CU$178+CU$179+CU$180+CU$187+CU$188+CU$182+CU$184+CU$190)</f>
        <v>25973.2993267137</v>
      </c>
      <c r="CV193" s="34" t="n">
        <f aca="false">V_ImpP*(CV$177+CV$178+CV$179+CV$180+CV$187+CV$188+CV$182+CV$184+CV$190)</f>
        <v>25973.2993267137</v>
      </c>
      <c r="CW193" s="34" t="n">
        <f aca="false">V_ImpP*(CW$177+CW$178+CW$179+CW$180+CW$187+CW$188+CW$182+CW$184+CW$190)</f>
        <v>25973.2993267137</v>
      </c>
      <c r="CX193" s="34" t="n">
        <f aca="false">V_ImpP*(CX$177+CX$178+CX$179+CX$180+CX$187+CX$188+CX$182+CX$184+CX$190)</f>
        <v>26098.4681083253</v>
      </c>
      <c r="CY193" s="34" t="n">
        <f aca="false">V_ImpP*(CY$177+CY$178+CY$179+CY$180+CY$187+CY$188+CY$182+CY$184+CY$190)</f>
        <v>26098.4681083253</v>
      </c>
      <c r="CZ193" s="34" t="n">
        <f aca="false">V_ImpP*(CZ$177+CZ$178+CZ$179+CZ$180+CZ$187+CZ$188+CZ$182+CZ$184+CZ$190)</f>
        <v>26098.4681083253</v>
      </c>
      <c r="DA193" s="34" t="n">
        <f aca="false">V_ImpP*(DA$177+DA$178+DA$179+DA$180+DA$187+DA$188+DA$182+DA$184+DA$190)</f>
        <v>26098.4681083253</v>
      </c>
      <c r="DB193" s="34" t="n">
        <f aca="false">V_ImpP*(DB$177+DB$178+DB$179+DB$180+DB$187+DB$188+DB$182+DB$184+DB$190)</f>
        <v>26098.4681083253</v>
      </c>
      <c r="DC193" s="34" t="n">
        <f aca="false">V_ImpP*(DC$177+DC$178+DC$179+DC$180+DC$187+DC$188+DC$182+DC$184+DC$190)</f>
        <v>26098.4681083253</v>
      </c>
      <c r="DD193" s="34" t="n">
        <f aca="false">V_ImpP*(DD$177+DD$178+DD$179+DD$180+DD$187+DD$188+DD$182+DD$184+DD$190)</f>
        <v>26098.4681083253</v>
      </c>
      <c r="DE193" s="34" t="n">
        <f aca="false">V_ImpP*(DE$177+DE$178+DE$179+DE$180+DE$187+DE$188+DE$182+DE$184+DE$190)</f>
        <v>26098.4681083253</v>
      </c>
      <c r="DF193" s="34" t="n">
        <f aca="false">V_ImpP*(DF$177+DF$178+DF$179+DF$180+DF$187+DF$188+DF$182+DF$184+DF$190)</f>
        <v>26098.4681083253</v>
      </c>
      <c r="DG193" s="34" t="n">
        <f aca="false">V_ImpP*(DG$177+DG$178+DG$179+DG$180+DG$187+DG$188+DG$182+DG$184+DG$190)</f>
        <v>26098.4681083253</v>
      </c>
      <c r="DH193" s="34" t="n">
        <f aca="false">V_ImpP*(DH$177+DH$178+DH$179+DH$180+DH$187+DH$188+DH$182+DH$184+DH$190)</f>
        <v>26098.4681083253</v>
      </c>
      <c r="DI193" s="34" t="n">
        <f aca="false">V_ImpP*(DI$177+DI$178+DI$179+DI$180+DI$187+DI$188+DI$182+DI$184+DI$190)</f>
        <v>26098.4681083253</v>
      </c>
      <c r="DJ193" s="34" t="n">
        <f aca="false">V_ImpP*(DJ$177+DJ$178+DJ$179+DJ$180+DJ$187+DJ$188+DJ$182+DJ$184+DJ$190)</f>
        <v>26224.9170154195</v>
      </c>
      <c r="DK193" s="34" t="n">
        <f aca="false">V_ImpP*(DK$177+DK$178+DK$179+DK$180+DK$187+DK$188+DK$182+DK$184+DK$190)</f>
        <v>26224.9170154195</v>
      </c>
      <c r="DL193" s="34" t="n">
        <f aca="false">V_ImpP*(DL$177+DL$178+DL$179+DL$180+DL$187+DL$188+DL$182+DL$184+DL$190)</f>
        <v>26224.9170154195</v>
      </c>
      <c r="DM193" s="34" t="n">
        <f aca="false">V_ImpP*(DM$177+DM$178+DM$179+DM$180+DM$187+DM$188+DM$182+DM$184+DM$190)</f>
        <v>26224.9170154195</v>
      </c>
      <c r="DN193" s="34" t="n">
        <f aca="false">V_ImpP*(DN$177+DN$178+DN$179+DN$180+DN$187+DN$188+DN$182+DN$184+DN$190)</f>
        <v>26224.9170154195</v>
      </c>
      <c r="DO193" s="34" t="n">
        <f aca="false">V_ImpP*(DO$177+DO$178+DO$179+DO$180+DO$187+DO$188+DO$182+DO$184+DO$190)</f>
        <v>26224.9170154195</v>
      </c>
      <c r="DP193" s="34" t="n">
        <f aca="false">V_ImpP*(DP$177+DP$178+DP$179+DP$180+DP$187+DP$188+DP$182+DP$184+DP$190)</f>
        <v>26224.9170154195</v>
      </c>
      <c r="DQ193" s="34" t="n">
        <f aca="false">V_ImpP*(DQ$177+DQ$178+DQ$179+DQ$180+DQ$187+DQ$188+DQ$182+DQ$184+DQ$190)</f>
        <v>26224.9170154195</v>
      </c>
      <c r="DR193" s="34" t="n">
        <f aca="false">V_ImpP*(DR$177+DR$178+DR$179+DR$180+DR$187+DR$188+DR$182+DR$184+DR$190)</f>
        <v>26224.9170154195</v>
      </c>
      <c r="DS193" s="34" t="n">
        <f aca="false">V_ImpP*(DS$177+DS$178+DS$179+DS$180+DS$187+DS$188+DS$182+DS$184+DS$190)</f>
        <v>26224.9170154195</v>
      </c>
      <c r="DT193" s="34" t="n">
        <f aca="false">V_ImpP*(DT$177+DT$178+DT$179+DT$180+DT$187+DT$188+DT$182+DT$184+DT$190)</f>
        <v>26224.9170154195</v>
      </c>
      <c r="DU193" s="34" t="n">
        <f aca="false">V_ImpP*(DU$177+DU$178+DU$179+DU$180+DU$187+DU$188+DU$182+DU$184+DU$190)</f>
        <v>26224.9170154195</v>
      </c>
      <c r="DV193" s="34" t="n">
        <f aca="false">V_ImpP*(DV$177+DV$178+DV$179+DV$180+DV$187+DV$188+DV$182+DV$184+DV$190)</f>
        <v>0</v>
      </c>
      <c r="DW193" s="34" t="n">
        <f aca="false">V_ImpP*(DW$177+DW$178+DW$179+DW$180+DW$187+DW$188+DW$182+DW$184+DW$190)</f>
        <v>0</v>
      </c>
      <c r="DX193" s="34" t="n">
        <f aca="false">V_ImpP*(DX$177+DX$178+DX$179+DX$180+DX$187+DX$188+DX$182+DX$184+DX$190)</f>
        <v>0</v>
      </c>
      <c r="DY193" s="34" t="n">
        <f aca="false">V_ImpP*(DY$177+DY$178+DY$179+DY$180+DY$187+DY$188+DY$182+DY$184+DY$190)</f>
        <v>0</v>
      </c>
      <c r="DZ193" s="34" t="n">
        <f aca="false">V_ImpP*(DZ$177+DZ$178+DZ$179+DZ$180+DZ$187+DZ$188+DZ$182+DZ$184+DZ$190)</f>
        <v>0</v>
      </c>
      <c r="EA193" s="34" t="n">
        <f aca="false">V_ImpP*(EA$177+EA$178+EA$179+EA$180+EA$187+EA$188+EA$182+EA$184+EA$190)</f>
        <v>0</v>
      </c>
      <c r="EB193" s="34" t="n">
        <f aca="false">V_ImpP*(EB$177+EB$178+EB$179+EB$180+EB$187+EB$188+EB$182+EB$184+EB$190)</f>
        <v>0</v>
      </c>
      <c r="EC193" s="34" t="n">
        <f aca="false">V_ImpP*(EC$177+EC$178+EC$179+EC$180+EC$187+EC$188+EC$182+EC$184+EC$190)</f>
        <v>0</v>
      </c>
      <c r="ED193" s="34" t="n">
        <f aca="false">V_ImpP*(ED$177+ED$178+ED$179+ED$180+ED$187+ED$188+ED$182+ED$184+ED$190)</f>
        <v>0</v>
      </c>
      <c r="EE193" s="34" t="n">
        <f aca="false">V_ImpP*(EE$177+EE$178+EE$179+EE$180+EE$187+EE$188+EE$182+EE$184+EE$190)</f>
        <v>0</v>
      </c>
      <c r="EF193" s="34" t="n">
        <f aca="false">V_ImpP*(EF$177+EF$178+EF$179+EF$180+EF$187+EF$188+EF$182+EF$184+EF$190)</f>
        <v>0</v>
      </c>
      <c r="EG193" s="34" t="n">
        <f aca="false">V_ImpP*(EG$177+EG$178+EG$179+EG$180+EG$187+EG$188+EG$182+EG$184+EG$190)</f>
        <v>0</v>
      </c>
      <c r="EH193" s="34" t="n">
        <f aca="false">V_ImpP*(EH$177+EH$178+EH$179+EH$180+EH$187+EH$188+EH$182+EH$184+EH$190)</f>
        <v>0</v>
      </c>
      <c r="EI193" s="34" t="n">
        <f aca="false">V_ImpP*(EI$177+EI$178+EI$179+EI$180+EI$187+EI$188+EI$182+EI$184+EI$190)</f>
        <v>0</v>
      </c>
      <c r="EJ193" s="34" t="n">
        <f aca="false">V_ImpP*(EJ$177+EJ$178+EJ$179+EJ$180+EJ$187+EJ$188+EJ$182+EJ$184+EJ$190)</f>
        <v>0</v>
      </c>
      <c r="EK193" s="34" t="n">
        <f aca="false">V_ImpP*(EK$177+EK$178+EK$179+EK$180+EK$187+EK$188+EK$182+EK$184+EK$190)</f>
        <v>0</v>
      </c>
      <c r="EL193" s="34" t="n">
        <f aca="false">V_ImpP*(EL$177+EL$178+EL$179+EL$180+EL$187+EL$188+EL$182+EL$184+EL$190)</f>
        <v>0</v>
      </c>
      <c r="EM193" s="34" t="n">
        <f aca="false">V_ImpP*(EM$177+EM$178+EM$179+EM$180+EM$187+EM$188+EM$182+EM$184+EM$190)</f>
        <v>0</v>
      </c>
      <c r="EN193" s="34" t="n">
        <f aca="false">V_ImpP*(EN$177+EN$178+EN$179+EN$180+EN$187+EN$188+EN$182+EN$184+EN$190)</f>
        <v>0</v>
      </c>
      <c r="EO193" s="34" t="n">
        <f aca="false">V_ImpP*(EO$177+EO$178+EO$179+EO$180+EO$187+EO$188+EO$182+EO$184+EO$190)</f>
        <v>0</v>
      </c>
      <c r="EP193" s="34" t="n">
        <f aca="false">V_ImpP*(EP$177+EP$178+EP$179+EP$180+EP$187+EP$188+EP$182+EP$184+EP$190)</f>
        <v>0</v>
      </c>
      <c r="EQ193" s="34" t="n">
        <f aca="false">V_ImpP*(EQ$177+EQ$178+EQ$179+EQ$180+EQ$187+EQ$188+EQ$182+EQ$184+EQ$190)</f>
        <v>0</v>
      </c>
      <c r="ER193" s="34" t="n">
        <f aca="false">V_ImpP*(ER$177+ER$178+ER$179+ER$180+ER$187+ER$188+ER$182+ER$184+ER$190)</f>
        <v>0</v>
      </c>
      <c r="ES193" s="34" t="n">
        <f aca="false">V_ImpP*(ES$177+ES$178+ES$179+ES$180+ES$187+ES$188+ES$182+ES$184+ES$190)</f>
        <v>0</v>
      </c>
    </row>
    <row r="194" customFormat="false" ht="15" hidden="false" customHeight="false" outlineLevel="0" collapsed="false">
      <c r="A194" s="2" t="s">
        <v>809</v>
      </c>
      <c r="B194" s="6" t="s">
        <v>620</v>
      </c>
      <c r="C194" s="6" t="s">
        <v>250</v>
      </c>
      <c r="E194" s="40" t="n">
        <f aca="false">SUM(F194:ES194)</f>
        <v>84447.4408340548</v>
      </c>
      <c r="F194" s="34" t="n">
        <f aca="false">V_ImpA*(F$186+F$192)</f>
        <v>703.728673617123</v>
      </c>
      <c r="G194" s="34" t="n">
        <f aca="false">V_ImpA*(G$186+G$192)</f>
        <v>703.728673617123</v>
      </c>
      <c r="H194" s="34" t="n">
        <f aca="false">V_ImpA*(H$186+H$192)</f>
        <v>703.728673617123</v>
      </c>
      <c r="I194" s="34" t="n">
        <f aca="false">V_ImpA*(I$186+I$192)</f>
        <v>703.728673617123</v>
      </c>
      <c r="J194" s="34" t="n">
        <f aca="false">V_ImpA*(J$186+J$192)</f>
        <v>703.728673617123</v>
      </c>
      <c r="K194" s="34" t="n">
        <f aca="false">V_ImpA*(K$186+K$192)</f>
        <v>703.728673617123</v>
      </c>
      <c r="L194" s="34" t="n">
        <f aca="false">V_ImpA*(L$186+L$192)</f>
        <v>703.728673617123</v>
      </c>
      <c r="M194" s="34" t="n">
        <f aca="false">V_ImpA*(M$186+M$192)</f>
        <v>703.728673617123</v>
      </c>
      <c r="N194" s="34" t="n">
        <f aca="false">V_ImpA*(N$186+N$192)</f>
        <v>703.728673617123</v>
      </c>
      <c r="O194" s="34" t="n">
        <f aca="false">V_ImpA*(O$186+O$192)</f>
        <v>703.728673617123</v>
      </c>
      <c r="P194" s="34" t="n">
        <f aca="false">V_ImpA*(P$186+P$192)</f>
        <v>703.728673617123</v>
      </c>
      <c r="Q194" s="34" t="n">
        <f aca="false">V_ImpA*(Q$186+Q$192)</f>
        <v>703.728673617123</v>
      </c>
      <c r="R194" s="34" t="n">
        <f aca="false">V_ImpA*(R$186+R$192)</f>
        <v>703.728673617123</v>
      </c>
      <c r="S194" s="34" t="n">
        <f aca="false">V_ImpA*(S$186+S$192)</f>
        <v>703.728673617123</v>
      </c>
      <c r="T194" s="34" t="n">
        <f aca="false">V_ImpA*(T$186+T$192)</f>
        <v>703.728673617123</v>
      </c>
      <c r="U194" s="34" t="n">
        <f aca="false">V_ImpA*(U$186+U$192)</f>
        <v>703.728673617123</v>
      </c>
      <c r="V194" s="34" t="n">
        <f aca="false">V_ImpA*(V$186+V$192)</f>
        <v>703.728673617123</v>
      </c>
      <c r="W194" s="34" t="n">
        <f aca="false">V_ImpA*(W$186+W$192)</f>
        <v>703.728673617123</v>
      </c>
      <c r="X194" s="34" t="n">
        <f aca="false">V_ImpA*(X$186+X$192)</f>
        <v>703.728673617123</v>
      </c>
      <c r="Y194" s="34" t="n">
        <f aca="false">V_ImpA*(Y$186+Y$192)</f>
        <v>703.728673617123</v>
      </c>
      <c r="Z194" s="34" t="n">
        <f aca="false">V_ImpA*(Z$186+Z$192)</f>
        <v>703.728673617123</v>
      </c>
      <c r="AA194" s="34" t="n">
        <f aca="false">V_ImpA*(AA$186+AA$192)</f>
        <v>703.728673617123</v>
      </c>
      <c r="AB194" s="34" t="n">
        <f aca="false">V_ImpA*(AB$186+AB$192)</f>
        <v>703.728673617123</v>
      </c>
      <c r="AC194" s="34" t="n">
        <f aca="false">V_ImpA*(AC$186+AC$192)</f>
        <v>703.728673617123</v>
      </c>
      <c r="AD194" s="34" t="n">
        <f aca="false">V_ImpA*(AD$186+AD$192)</f>
        <v>703.728673617123</v>
      </c>
      <c r="AE194" s="34" t="n">
        <f aca="false">V_ImpA*(AE$186+AE$192)</f>
        <v>703.728673617123</v>
      </c>
      <c r="AF194" s="34" t="n">
        <f aca="false">V_ImpA*(AF$186+AF$192)</f>
        <v>703.728673617123</v>
      </c>
      <c r="AG194" s="34" t="n">
        <f aca="false">V_ImpA*(AG$186+AG$192)</f>
        <v>703.728673617123</v>
      </c>
      <c r="AH194" s="34" t="n">
        <f aca="false">V_ImpA*(AH$186+AH$192)</f>
        <v>703.728673617123</v>
      </c>
      <c r="AI194" s="34" t="n">
        <f aca="false">V_ImpA*(AI$186+AI$192)</f>
        <v>703.728673617123</v>
      </c>
      <c r="AJ194" s="34" t="n">
        <f aca="false">V_ImpA*(AJ$186+AJ$192)</f>
        <v>703.728673617123</v>
      </c>
      <c r="AK194" s="34" t="n">
        <f aca="false">V_ImpA*(AK$186+AK$192)</f>
        <v>703.728673617123</v>
      </c>
      <c r="AL194" s="34" t="n">
        <f aca="false">V_ImpA*(AL$186+AL$192)</f>
        <v>703.728673617123</v>
      </c>
      <c r="AM194" s="34" t="n">
        <f aca="false">V_ImpA*(AM$186+AM$192)</f>
        <v>703.728673617123</v>
      </c>
      <c r="AN194" s="34" t="n">
        <f aca="false">V_ImpA*(AN$186+AN$192)</f>
        <v>703.728673617123</v>
      </c>
      <c r="AO194" s="34" t="n">
        <f aca="false">V_ImpA*(AO$186+AO$192)</f>
        <v>703.728673617123</v>
      </c>
      <c r="AP194" s="34" t="n">
        <f aca="false">V_ImpA*(AP$186+AP$192)</f>
        <v>703.728673617123</v>
      </c>
      <c r="AQ194" s="34" t="n">
        <f aca="false">V_ImpA*(AQ$186+AQ$192)</f>
        <v>703.728673617123</v>
      </c>
      <c r="AR194" s="34" t="n">
        <f aca="false">V_ImpA*(AR$186+AR$192)</f>
        <v>703.728673617123</v>
      </c>
      <c r="AS194" s="34" t="n">
        <f aca="false">V_ImpA*(AS$186+AS$192)</f>
        <v>703.728673617123</v>
      </c>
      <c r="AT194" s="34" t="n">
        <f aca="false">V_ImpA*(AT$186+AT$192)</f>
        <v>703.728673617123</v>
      </c>
      <c r="AU194" s="34" t="n">
        <f aca="false">V_ImpA*(AU$186+AU$192)</f>
        <v>703.728673617123</v>
      </c>
      <c r="AV194" s="34" t="n">
        <f aca="false">V_ImpA*(AV$186+AV$192)</f>
        <v>703.728673617123</v>
      </c>
      <c r="AW194" s="34" t="n">
        <f aca="false">V_ImpA*(AW$186+AW$192)</f>
        <v>703.728673617123</v>
      </c>
      <c r="AX194" s="34" t="n">
        <f aca="false">V_ImpA*(AX$186+AX$192)</f>
        <v>703.728673617123</v>
      </c>
      <c r="AY194" s="34" t="n">
        <f aca="false">V_ImpA*(AY$186+AY$192)</f>
        <v>703.728673617123</v>
      </c>
      <c r="AZ194" s="34" t="n">
        <f aca="false">V_ImpA*(AZ$186+AZ$192)</f>
        <v>703.728673617123</v>
      </c>
      <c r="BA194" s="34" t="n">
        <f aca="false">V_ImpA*(BA$186+BA$192)</f>
        <v>703.728673617123</v>
      </c>
      <c r="BB194" s="34" t="n">
        <f aca="false">V_ImpA*(BB$186+BB$192)</f>
        <v>703.728673617123</v>
      </c>
      <c r="BC194" s="34" t="n">
        <f aca="false">V_ImpA*(BC$186+BC$192)</f>
        <v>703.728673617123</v>
      </c>
      <c r="BD194" s="34" t="n">
        <f aca="false">V_ImpA*(BD$186+BD$192)</f>
        <v>703.728673617123</v>
      </c>
      <c r="BE194" s="34" t="n">
        <f aca="false">V_ImpA*(BE$186+BE$192)</f>
        <v>703.728673617123</v>
      </c>
      <c r="BF194" s="34" t="n">
        <f aca="false">V_ImpA*(BF$186+BF$192)</f>
        <v>703.728673617123</v>
      </c>
      <c r="BG194" s="34" t="n">
        <f aca="false">V_ImpA*(BG$186+BG$192)</f>
        <v>703.728673617123</v>
      </c>
      <c r="BH194" s="34" t="n">
        <f aca="false">V_ImpA*(BH$186+BH$192)</f>
        <v>703.728673617123</v>
      </c>
      <c r="BI194" s="34" t="n">
        <f aca="false">V_ImpA*(BI$186+BI$192)</f>
        <v>703.728673617123</v>
      </c>
      <c r="BJ194" s="34" t="n">
        <f aca="false">V_ImpA*(BJ$186+BJ$192)</f>
        <v>703.728673617123</v>
      </c>
      <c r="BK194" s="34" t="n">
        <f aca="false">V_ImpA*(BK$186+BK$192)</f>
        <v>703.728673617123</v>
      </c>
      <c r="BL194" s="34" t="n">
        <f aca="false">V_ImpA*(BL$186+BL$192)</f>
        <v>703.728673617123</v>
      </c>
      <c r="BM194" s="34" t="n">
        <f aca="false">V_ImpA*(BM$186+BM$192)</f>
        <v>703.728673617123</v>
      </c>
      <c r="BN194" s="34" t="n">
        <f aca="false">V_ImpA*(BN$186+BN$192)</f>
        <v>703.728673617123</v>
      </c>
      <c r="BO194" s="34" t="n">
        <f aca="false">V_ImpA*(BO$186+BO$192)</f>
        <v>703.728673617123</v>
      </c>
      <c r="BP194" s="34" t="n">
        <f aca="false">V_ImpA*(BP$186+BP$192)</f>
        <v>703.728673617123</v>
      </c>
      <c r="BQ194" s="34" t="n">
        <f aca="false">V_ImpA*(BQ$186+BQ$192)</f>
        <v>703.728673617123</v>
      </c>
      <c r="BR194" s="34" t="n">
        <f aca="false">V_ImpA*(BR$186+BR$192)</f>
        <v>703.728673617123</v>
      </c>
      <c r="BS194" s="34" t="n">
        <f aca="false">V_ImpA*(BS$186+BS$192)</f>
        <v>703.728673617123</v>
      </c>
      <c r="BT194" s="34" t="n">
        <f aca="false">V_ImpA*(BT$186+BT$192)</f>
        <v>703.728673617123</v>
      </c>
      <c r="BU194" s="34" t="n">
        <f aca="false">V_ImpA*(BU$186+BU$192)</f>
        <v>703.728673617123</v>
      </c>
      <c r="BV194" s="34" t="n">
        <f aca="false">V_ImpA*(BV$186+BV$192)</f>
        <v>703.728673617123</v>
      </c>
      <c r="BW194" s="34" t="n">
        <f aca="false">V_ImpA*(BW$186+BW$192)</f>
        <v>703.728673617123</v>
      </c>
      <c r="BX194" s="34" t="n">
        <f aca="false">V_ImpA*(BX$186+BX$192)</f>
        <v>703.728673617123</v>
      </c>
      <c r="BY194" s="34" t="n">
        <f aca="false">V_ImpA*(BY$186+BY$192)</f>
        <v>703.728673617123</v>
      </c>
      <c r="BZ194" s="34" t="n">
        <f aca="false">V_ImpA*(BZ$186+BZ$192)</f>
        <v>703.728673617123</v>
      </c>
      <c r="CA194" s="34" t="n">
        <f aca="false">V_ImpA*(CA$186+CA$192)</f>
        <v>703.728673617123</v>
      </c>
      <c r="CB194" s="34" t="n">
        <f aca="false">V_ImpA*(CB$186+CB$192)</f>
        <v>703.728673617123</v>
      </c>
      <c r="CC194" s="34" t="n">
        <f aca="false">V_ImpA*(CC$186+CC$192)</f>
        <v>703.728673617123</v>
      </c>
      <c r="CD194" s="34" t="n">
        <f aca="false">V_ImpA*(CD$186+CD$192)</f>
        <v>703.728673617123</v>
      </c>
      <c r="CE194" s="34" t="n">
        <f aca="false">V_ImpA*(CE$186+CE$192)</f>
        <v>703.728673617123</v>
      </c>
      <c r="CF194" s="34" t="n">
        <f aca="false">V_ImpA*(CF$186+CF$192)</f>
        <v>703.728673617123</v>
      </c>
      <c r="CG194" s="34" t="n">
        <f aca="false">V_ImpA*(CG$186+CG$192)</f>
        <v>703.728673617123</v>
      </c>
      <c r="CH194" s="34" t="n">
        <f aca="false">V_ImpA*(CH$186+CH$192)</f>
        <v>703.728673617123</v>
      </c>
      <c r="CI194" s="34" t="n">
        <f aca="false">V_ImpA*(CI$186+CI$192)</f>
        <v>703.728673617123</v>
      </c>
      <c r="CJ194" s="34" t="n">
        <f aca="false">V_ImpA*(CJ$186+CJ$192)</f>
        <v>703.728673617123</v>
      </c>
      <c r="CK194" s="34" t="n">
        <f aca="false">V_ImpA*(CK$186+CK$192)</f>
        <v>703.728673617123</v>
      </c>
      <c r="CL194" s="34" t="n">
        <f aca="false">V_ImpA*(CL$186+CL$192)</f>
        <v>703.728673617123</v>
      </c>
      <c r="CM194" s="34" t="n">
        <f aca="false">V_ImpA*(CM$186+CM$192)</f>
        <v>703.728673617123</v>
      </c>
      <c r="CN194" s="34" t="n">
        <f aca="false">V_ImpA*(CN$186+CN$192)</f>
        <v>703.728673617123</v>
      </c>
      <c r="CO194" s="34" t="n">
        <f aca="false">V_ImpA*(CO$186+CO$192)</f>
        <v>703.728673617123</v>
      </c>
      <c r="CP194" s="34" t="n">
        <f aca="false">V_ImpA*(CP$186+CP$192)</f>
        <v>703.728673617123</v>
      </c>
      <c r="CQ194" s="34" t="n">
        <f aca="false">V_ImpA*(CQ$186+CQ$192)</f>
        <v>703.728673617123</v>
      </c>
      <c r="CR194" s="34" t="n">
        <f aca="false">V_ImpA*(CR$186+CR$192)</f>
        <v>703.728673617123</v>
      </c>
      <c r="CS194" s="34" t="n">
        <f aca="false">V_ImpA*(CS$186+CS$192)</f>
        <v>703.728673617123</v>
      </c>
      <c r="CT194" s="34" t="n">
        <f aca="false">V_ImpA*(CT$186+CT$192)</f>
        <v>703.728673617123</v>
      </c>
      <c r="CU194" s="34" t="n">
        <f aca="false">V_ImpA*(CU$186+CU$192)</f>
        <v>703.728673617123</v>
      </c>
      <c r="CV194" s="34" t="n">
        <f aca="false">V_ImpA*(CV$186+CV$192)</f>
        <v>703.728673617123</v>
      </c>
      <c r="CW194" s="34" t="n">
        <f aca="false">V_ImpA*(CW$186+CW$192)</f>
        <v>703.728673617123</v>
      </c>
      <c r="CX194" s="34" t="n">
        <f aca="false">V_ImpA*(CX$186+CX$192)</f>
        <v>703.728673617123</v>
      </c>
      <c r="CY194" s="34" t="n">
        <f aca="false">V_ImpA*(CY$186+CY$192)</f>
        <v>703.728673617123</v>
      </c>
      <c r="CZ194" s="34" t="n">
        <f aca="false">V_ImpA*(CZ$186+CZ$192)</f>
        <v>703.728673617123</v>
      </c>
      <c r="DA194" s="34" t="n">
        <f aca="false">V_ImpA*(DA$186+DA$192)</f>
        <v>703.728673617123</v>
      </c>
      <c r="DB194" s="34" t="n">
        <f aca="false">V_ImpA*(DB$186+DB$192)</f>
        <v>703.728673617123</v>
      </c>
      <c r="DC194" s="34" t="n">
        <f aca="false">V_ImpA*(DC$186+DC$192)</f>
        <v>703.728673617123</v>
      </c>
      <c r="DD194" s="34" t="n">
        <f aca="false">V_ImpA*(DD$186+DD$192)</f>
        <v>703.728673617123</v>
      </c>
      <c r="DE194" s="34" t="n">
        <f aca="false">V_ImpA*(DE$186+DE$192)</f>
        <v>703.728673617123</v>
      </c>
      <c r="DF194" s="34" t="n">
        <f aca="false">V_ImpA*(DF$186+DF$192)</f>
        <v>703.728673617123</v>
      </c>
      <c r="DG194" s="34" t="n">
        <f aca="false">V_ImpA*(DG$186+DG$192)</f>
        <v>703.728673617123</v>
      </c>
      <c r="DH194" s="34" t="n">
        <f aca="false">V_ImpA*(DH$186+DH$192)</f>
        <v>703.728673617123</v>
      </c>
      <c r="DI194" s="34" t="n">
        <f aca="false">V_ImpA*(DI$186+DI$192)</f>
        <v>703.728673617123</v>
      </c>
      <c r="DJ194" s="34" t="n">
        <f aca="false">V_ImpA*(DJ$186+DJ$192)</f>
        <v>703.728673617123</v>
      </c>
      <c r="DK194" s="34" t="n">
        <f aca="false">V_ImpA*(DK$186+DK$192)</f>
        <v>703.728673617123</v>
      </c>
      <c r="DL194" s="34" t="n">
        <f aca="false">V_ImpA*(DL$186+DL$192)</f>
        <v>703.728673617123</v>
      </c>
      <c r="DM194" s="34" t="n">
        <f aca="false">V_ImpA*(DM$186+DM$192)</f>
        <v>703.728673617123</v>
      </c>
      <c r="DN194" s="34" t="n">
        <f aca="false">V_ImpA*(DN$186+DN$192)</f>
        <v>703.728673617123</v>
      </c>
      <c r="DO194" s="34" t="n">
        <f aca="false">V_ImpA*(DO$186+DO$192)</f>
        <v>703.728673617123</v>
      </c>
      <c r="DP194" s="34" t="n">
        <f aca="false">V_ImpA*(DP$186+DP$192)</f>
        <v>703.728673617123</v>
      </c>
      <c r="DQ194" s="34" t="n">
        <f aca="false">V_ImpA*(DQ$186+DQ$192)</f>
        <v>703.728673617123</v>
      </c>
      <c r="DR194" s="34" t="n">
        <f aca="false">V_ImpA*(DR$186+DR$192)</f>
        <v>703.728673617123</v>
      </c>
      <c r="DS194" s="34" t="n">
        <f aca="false">V_ImpA*(DS$186+DS$192)</f>
        <v>703.728673617123</v>
      </c>
      <c r="DT194" s="34" t="n">
        <f aca="false">V_ImpA*(DT$186+DT$192)</f>
        <v>703.728673617123</v>
      </c>
      <c r="DU194" s="34" t="n">
        <f aca="false">V_ImpA*(DU$186+DU$192)</f>
        <v>703.728673617123</v>
      </c>
      <c r="DV194" s="34" t="n">
        <f aca="false">V_ImpA*(DV$186+DV$192)</f>
        <v>0</v>
      </c>
      <c r="DW194" s="34" t="n">
        <f aca="false">V_ImpA*(DW$186+DW$192)</f>
        <v>0</v>
      </c>
      <c r="DX194" s="34" t="n">
        <f aca="false">V_ImpA*(DX$186+DX$192)</f>
        <v>0</v>
      </c>
      <c r="DY194" s="34" t="n">
        <f aca="false">V_ImpA*(DY$186+DY$192)</f>
        <v>0</v>
      </c>
      <c r="DZ194" s="34" t="n">
        <f aca="false">V_ImpA*(DZ$186+DZ$192)</f>
        <v>0</v>
      </c>
      <c r="EA194" s="34" t="n">
        <f aca="false">V_ImpA*(EA$186+EA$192)</f>
        <v>0</v>
      </c>
      <c r="EB194" s="34" t="n">
        <f aca="false">V_ImpA*(EB$186+EB$192)</f>
        <v>0</v>
      </c>
      <c r="EC194" s="34" t="n">
        <f aca="false">V_ImpA*(EC$186+EC$192)</f>
        <v>0</v>
      </c>
      <c r="ED194" s="34" t="n">
        <f aca="false">V_ImpA*(ED$186+ED$192)</f>
        <v>0</v>
      </c>
      <c r="EE194" s="34" t="n">
        <f aca="false">V_ImpA*(EE$186+EE$192)</f>
        <v>0</v>
      </c>
      <c r="EF194" s="34" t="n">
        <f aca="false">V_ImpA*(EF$186+EF$192)</f>
        <v>0</v>
      </c>
      <c r="EG194" s="34" t="n">
        <f aca="false">V_ImpA*(EG$186+EG$192)</f>
        <v>0</v>
      </c>
      <c r="EH194" s="34" t="n">
        <f aca="false">V_ImpA*(EH$186+EH$192)</f>
        <v>0</v>
      </c>
      <c r="EI194" s="34" t="n">
        <f aca="false">V_ImpA*(EI$186+EI$192)</f>
        <v>0</v>
      </c>
      <c r="EJ194" s="34" t="n">
        <f aca="false">V_ImpA*(EJ$186+EJ$192)</f>
        <v>0</v>
      </c>
      <c r="EK194" s="34" t="n">
        <f aca="false">V_ImpA*(EK$186+EK$192)</f>
        <v>0</v>
      </c>
      <c r="EL194" s="34" t="n">
        <f aca="false">V_ImpA*(EL$186+EL$192)</f>
        <v>0</v>
      </c>
      <c r="EM194" s="34" t="n">
        <f aca="false">V_ImpA*(EM$186+EM$192)</f>
        <v>0</v>
      </c>
      <c r="EN194" s="34" t="n">
        <f aca="false">V_ImpA*(EN$186+EN$192)</f>
        <v>0</v>
      </c>
      <c r="EO194" s="34" t="n">
        <f aca="false">V_ImpA*(EO$186+EO$192)</f>
        <v>0</v>
      </c>
      <c r="EP194" s="34" t="n">
        <f aca="false">V_ImpA*(EP$186+EP$192)</f>
        <v>0</v>
      </c>
      <c r="EQ194" s="34" t="n">
        <f aca="false">V_ImpA*(EQ$186+EQ$192)</f>
        <v>0</v>
      </c>
      <c r="ER194" s="34" t="n">
        <f aca="false">V_ImpA*(ER$186+ER$192)</f>
        <v>0</v>
      </c>
      <c r="ES194" s="34" t="n">
        <f aca="false">V_ImpA*(ES$186+ES$192)</f>
        <v>0</v>
      </c>
    </row>
    <row r="195" customFormat="false" ht="15" hidden="false" customHeight="false" outlineLevel="0" collapsed="false">
      <c r="A195" s="2" t="s">
        <v>810</v>
      </c>
      <c r="B195" s="6" t="s">
        <v>622</v>
      </c>
      <c r="C195" s="6" t="s">
        <v>250</v>
      </c>
      <c r="E195" s="40" t="n">
        <f aca="false">SUM(F195:ES195)</f>
        <v>212677.888986405</v>
      </c>
      <c r="F195" s="34" t="n">
        <f aca="false">SUMPRODUCT(FC_V*((FC_Mon="PYG")*F$149+(FC_Mon&lt;&gt;"PYG"))*(1+FC_g)^(F$147-1)*((FC_Desde=0)*(F$146+F$145)+(FC_Desde&gt;=1)*(F$144&gt;=FC_Desde)*F$145)*FC_IVA/(1+FC_IVA))</f>
        <v>1546</v>
      </c>
      <c r="G195" s="34" t="n">
        <f aca="false">SUMPRODUCT(FC_V*((FC_Mon="PYG")*G$149+(FC_Mon&lt;&gt;"PYG"))*(1+FC_g)^(G$147-1)*((FC_Desde=0)*(G$146+G$145)+(FC_Desde&gt;=1)*(G$144&gt;=FC_Desde)*G$145)*FC_IVA/(1+FC_IVA))</f>
        <v>1546</v>
      </c>
      <c r="H195" s="34" t="n">
        <f aca="false">SUMPRODUCT(FC_V*((FC_Mon="PYG")*H$149+(FC_Mon&lt;&gt;"PYG"))*(1+FC_g)^(H$147-1)*((FC_Desde=0)*(H$146+H$145)+(FC_Desde&gt;=1)*(H$144&gt;=FC_Desde)*H$145)*FC_IVA/(1+FC_IVA))</f>
        <v>1546</v>
      </c>
      <c r="I195" s="34" t="n">
        <f aca="false">SUMPRODUCT(FC_V*((FC_Mon="PYG")*I$149+(FC_Mon&lt;&gt;"PYG"))*(1+FC_g)^(I$147-1)*((FC_Desde=0)*(I$146+I$145)+(FC_Desde&gt;=1)*(I$144&gt;=FC_Desde)*I$145)*FC_IVA/(1+FC_IVA))</f>
        <v>1546</v>
      </c>
      <c r="J195" s="34" t="n">
        <f aca="false">SUMPRODUCT(FC_V*((FC_Mon="PYG")*J$149+(FC_Mon&lt;&gt;"PYG"))*(1+FC_g)^(J$147-1)*((FC_Desde=0)*(J$146+J$145)+(FC_Desde&gt;=1)*(J$144&gt;=FC_Desde)*J$145)*FC_IVA/(1+FC_IVA))</f>
        <v>1546</v>
      </c>
      <c r="K195" s="34" t="n">
        <f aca="false">SUMPRODUCT(FC_V*((FC_Mon="PYG")*K$149+(FC_Mon&lt;&gt;"PYG"))*(1+FC_g)^(K$147-1)*((FC_Desde=0)*(K$146+K$145)+(FC_Desde&gt;=1)*(K$144&gt;=FC_Desde)*K$145)*FC_IVA/(1+FC_IVA))</f>
        <v>1546</v>
      </c>
      <c r="L195" s="34" t="n">
        <f aca="false">SUMPRODUCT(FC_V*((FC_Mon="PYG")*L$149+(FC_Mon&lt;&gt;"PYG"))*(1+FC_g)^(L$147-1)*((FC_Desde=0)*(L$146+L$145)+(FC_Desde&gt;=1)*(L$144&gt;=FC_Desde)*L$145)*FC_IVA/(1+FC_IVA))</f>
        <v>1546</v>
      </c>
      <c r="M195" s="34" t="n">
        <f aca="false">SUMPRODUCT(FC_V*((FC_Mon="PYG")*M$149+(FC_Mon&lt;&gt;"PYG"))*(1+FC_g)^(M$147-1)*((FC_Desde=0)*(M$146+M$145)+(FC_Desde&gt;=1)*(M$144&gt;=FC_Desde)*M$145)*FC_IVA/(1+FC_IVA))</f>
        <v>1546</v>
      </c>
      <c r="N195" s="34" t="n">
        <f aca="false">SUMPRODUCT(FC_V*((FC_Mon="PYG")*N$149+(FC_Mon&lt;&gt;"PYG"))*(1+FC_g)^(N$147-1)*((FC_Desde=0)*(N$146+N$145)+(FC_Desde&gt;=1)*(N$144&gt;=FC_Desde)*N$145)*FC_IVA/(1+FC_IVA))</f>
        <v>1546</v>
      </c>
      <c r="O195" s="34" t="n">
        <f aca="false">SUMPRODUCT(FC_V*((FC_Mon="PYG")*O$149+(FC_Mon&lt;&gt;"PYG"))*(1+FC_g)^(O$147-1)*((FC_Desde=0)*(O$146+O$145)+(FC_Desde&gt;=1)*(O$144&gt;=FC_Desde)*O$145)*FC_IVA/(1+FC_IVA))</f>
        <v>1546</v>
      </c>
      <c r="P195" s="34" t="n">
        <f aca="false">SUMPRODUCT(FC_V*((FC_Mon="PYG")*P$149+(FC_Mon&lt;&gt;"PYG"))*(1+FC_g)^(P$147-1)*((FC_Desde=0)*(P$146+P$145)+(FC_Desde&gt;=1)*(P$144&gt;=FC_Desde)*P$145)*FC_IVA/(1+FC_IVA))</f>
        <v>1546</v>
      </c>
      <c r="Q195" s="34" t="n">
        <f aca="false">SUMPRODUCT(FC_V*((FC_Mon="PYG")*Q$149+(FC_Mon&lt;&gt;"PYG"))*(1+FC_g)^(Q$147-1)*((FC_Desde=0)*(Q$146+Q$145)+(FC_Desde&gt;=1)*(Q$144&gt;=FC_Desde)*Q$145)*FC_IVA/(1+FC_IVA))</f>
        <v>1546</v>
      </c>
      <c r="R195" s="34" t="n">
        <f aca="false">SUMPRODUCT(FC_V*((FC_Mon="PYG")*R$149+(FC_Mon&lt;&gt;"PYG"))*(1+FC_g)^(R$147-1)*((FC_Desde=0)*(R$146+R$145)+(FC_Desde&gt;=1)*(R$144&gt;=FC_Desde)*R$145)*FC_IVA/(1+FC_IVA))</f>
        <v>1592.38</v>
      </c>
      <c r="S195" s="34" t="n">
        <f aca="false">SUMPRODUCT(FC_V*((FC_Mon="PYG")*S$149+(FC_Mon&lt;&gt;"PYG"))*(1+FC_g)^(S$147-1)*((FC_Desde=0)*(S$146+S$145)+(FC_Desde&gt;=1)*(S$144&gt;=FC_Desde)*S$145)*FC_IVA/(1+FC_IVA))</f>
        <v>1592.38</v>
      </c>
      <c r="T195" s="34" t="n">
        <f aca="false">SUMPRODUCT(FC_V*((FC_Mon="PYG")*T$149+(FC_Mon&lt;&gt;"PYG"))*(1+FC_g)^(T$147-1)*((FC_Desde=0)*(T$146+T$145)+(FC_Desde&gt;=1)*(T$144&gt;=FC_Desde)*T$145)*FC_IVA/(1+FC_IVA))</f>
        <v>1592.38</v>
      </c>
      <c r="U195" s="34" t="n">
        <f aca="false">SUMPRODUCT(FC_V*((FC_Mon="PYG")*U$149+(FC_Mon&lt;&gt;"PYG"))*(1+FC_g)^(U$147-1)*((FC_Desde=0)*(U$146+U$145)+(FC_Desde&gt;=1)*(U$144&gt;=FC_Desde)*U$145)*FC_IVA/(1+FC_IVA))</f>
        <v>1592.38</v>
      </c>
      <c r="V195" s="34" t="n">
        <f aca="false">SUMPRODUCT(FC_V*((FC_Mon="PYG")*V$149+(FC_Mon&lt;&gt;"PYG"))*(1+FC_g)^(V$147-1)*((FC_Desde=0)*(V$146+V$145)+(FC_Desde&gt;=1)*(V$144&gt;=FC_Desde)*V$145)*FC_IVA/(1+FC_IVA))</f>
        <v>1592.38</v>
      </c>
      <c r="W195" s="34" t="n">
        <f aca="false">SUMPRODUCT(FC_V*((FC_Mon="PYG")*W$149+(FC_Mon&lt;&gt;"PYG"))*(1+FC_g)^(W$147-1)*((FC_Desde=0)*(W$146+W$145)+(FC_Desde&gt;=1)*(W$144&gt;=FC_Desde)*W$145)*FC_IVA/(1+FC_IVA))</f>
        <v>1592.38</v>
      </c>
      <c r="X195" s="34" t="n">
        <f aca="false">SUMPRODUCT(FC_V*((FC_Mon="PYG")*X$149+(FC_Mon&lt;&gt;"PYG"))*(1+FC_g)^(X$147-1)*((FC_Desde=0)*(X$146+X$145)+(FC_Desde&gt;=1)*(X$144&gt;=FC_Desde)*X$145)*FC_IVA/(1+FC_IVA))</f>
        <v>1592.38</v>
      </c>
      <c r="Y195" s="34" t="n">
        <f aca="false">SUMPRODUCT(FC_V*((FC_Mon="PYG")*Y$149+(FC_Mon&lt;&gt;"PYG"))*(1+FC_g)^(Y$147-1)*((FC_Desde=0)*(Y$146+Y$145)+(FC_Desde&gt;=1)*(Y$144&gt;=FC_Desde)*Y$145)*FC_IVA/(1+FC_IVA))</f>
        <v>1592.38</v>
      </c>
      <c r="Z195" s="34" t="n">
        <f aca="false">SUMPRODUCT(FC_V*((FC_Mon="PYG")*Z$149+(FC_Mon&lt;&gt;"PYG"))*(1+FC_g)^(Z$147-1)*((FC_Desde=0)*(Z$146+Z$145)+(FC_Desde&gt;=1)*(Z$144&gt;=FC_Desde)*Z$145)*FC_IVA/(1+FC_IVA))</f>
        <v>1592.38</v>
      </c>
      <c r="AA195" s="34" t="n">
        <f aca="false">SUMPRODUCT(FC_V*((FC_Mon="PYG")*AA$149+(FC_Mon&lt;&gt;"PYG"))*(1+FC_g)^(AA$147-1)*((FC_Desde=0)*(AA$146+AA$145)+(FC_Desde&gt;=1)*(AA$144&gt;=FC_Desde)*AA$145)*FC_IVA/(1+FC_IVA))</f>
        <v>1592.38</v>
      </c>
      <c r="AB195" s="34" t="n">
        <f aca="false">SUMPRODUCT(FC_V*((FC_Mon="PYG")*AB$149+(FC_Mon&lt;&gt;"PYG"))*(1+FC_g)^(AB$147-1)*((FC_Desde=0)*(AB$146+AB$145)+(FC_Desde&gt;=1)*(AB$144&gt;=FC_Desde)*AB$145)*FC_IVA/(1+FC_IVA))</f>
        <v>1592.38</v>
      </c>
      <c r="AC195" s="34" t="n">
        <f aca="false">SUMPRODUCT(FC_V*((FC_Mon="PYG")*AC$149+(FC_Mon&lt;&gt;"PYG"))*(1+FC_g)^(AC$147-1)*((FC_Desde=0)*(AC$146+AC$145)+(FC_Desde&gt;=1)*(AC$144&gt;=FC_Desde)*AC$145)*FC_IVA/(1+FC_IVA))</f>
        <v>1592.38</v>
      </c>
      <c r="AD195" s="34" t="n">
        <f aca="false">SUMPRODUCT(FC_V*((FC_Mon="PYG")*AD$149+(FC_Mon&lt;&gt;"PYG"))*(1+FC_g)^(AD$147-1)*((FC_Desde=0)*(AD$146+AD$145)+(FC_Desde&gt;=1)*(AD$144&gt;=FC_Desde)*AD$145)*FC_IVA/(1+FC_IVA))</f>
        <v>1640.1514</v>
      </c>
      <c r="AE195" s="34" t="n">
        <f aca="false">SUMPRODUCT(FC_V*((FC_Mon="PYG")*AE$149+(FC_Mon&lt;&gt;"PYG"))*(1+FC_g)^(AE$147-1)*((FC_Desde=0)*(AE$146+AE$145)+(FC_Desde&gt;=1)*(AE$144&gt;=FC_Desde)*AE$145)*FC_IVA/(1+FC_IVA))</f>
        <v>1640.1514</v>
      </c>
      <c r="AF195" s="34" t="n">
        <f aca="false">SUMPRODUCT(FC_V*((FC_Mon="PYG")*AF$149+(FC_Mon&lt;&gt;"PYG"))*(1+FC_g)^(AF$147-1)*((FC_Desde=0)*(AF$146+AF$145)+(FC_Desde&gt;=1)*(AF$144&gt;=FC_Desde)*AF$145)*FC_IVA/(1+FC_IVA))</f>
        <v>1640.1514</v>
      </c>
      <c r="AG195" s="34" t="n">
        <f aca="false">SUMPRODUCT(FC_V*((FC_Mon="PYG")*AG$149+(FC_Mon&lt;&gt;"PYG"))*(1+FC_g)^(AG$147-1)*((FC_Desde=0)*(AG$146+AG$145)+(FC_Desde&gt;=1)*(AG$144&gt;=FC_Desde)*AG$145)*FC_IVA/(1+FC_IVA))</f>
        <v>1640.1514</v>
      </c>
      <c r="AH195" s="34" t="n">
        <f aca="false">SUMPRODUCT(FC_V*((FC_Mon="PYG")*AH$149+(FC_Mon&lt;&gt;"PYG"))*(1+FC_g)^(AH$147-1)*((FC_Desde=0)*(AH$146+AH$145)+(FC_Desde&gt;=1)*(AH$144&gt;=FC_Desde)*AH$145)*FC_IVA/(1+FC_IVA))</f>
        <v>1640.1514</v>
      </c>
      <c r="AI195" s="34" t="n">
        <f aca="false">SUMPRODUCT(FC_V*((FC_Mon="PYG")*AI$149+(FC_Mon&lt;&gt;"PYG"))*(1+FC_g)^(AI$147-1)*((FC_Desde=0)*(AI$146+AI$145)+(FC_Desde&gt;=1)*(AI$144&gt;=FC_Desde)*AI$145)*FC_IVA/(1+FC_IVA))</f>
        <v>1640.1514</v>
      </c>
      <c r="AJ195" s="34" t="n">
        <f aca="false">SUMPRODUCT(FC_V*((FC_Mon="PYG")*AJ$149+(FC_Mon&lt;&gt;"PYG"))*(1+FC_g)^(AJ$147-1)*((FC_Desde=0)*(AJ$146+AJ$145)+(FC_Desde&gt;=1)*(AJ$144&gt;=FC_Desde)*AJ$145)*FC_IVA/(1+FC_IVA))</f>
        <v>1640.1514</v>
      </c>
      <c r="AK195" s="34" t="n">
        <f aca="false">SUMPRODUCT(FC_V*((FC_Mon="PYG")*AK$149+(FC_Mon&lt;&gt;"PYG"))*(1+FC_g)^(AK$147-1)*((FC_Desde=0)*(AK$146+AK$145)+(FC_Desde&gt;=1)*(AK$144&gt;=FC_Desde)*AK$145)*FC_IVA/(1+FC_IVA))</f>
        <v>1640.1514</v>
      </c>
      <c r="AL195" s="34" t="n">
        <f aca="false">SUMPRODUCT(FC_V*((FC_Mon="PYG")*AL$149+(FC_Mon&lt;&gt;"PYG"))*(1+FC_g)^(AL$147-1)*((FC_Desde=0)*(AL$146+AL$145)+(FC_Desde&gt;=1)*(AL$144&gt;=FC_Desde)*AL$145)*FC_IVA/(1+FC_IVA))</f>
        <v>1640.1514</v>
      </c>
      <c r="AM195" s="34" t="n">
        <f aca="false">SUMPRODUCT(FC_V*((FC_Mon="PYG")*AM$149+(FC_Mon&lt;&gt;"PYG"))*(1+FC_g)^(AM$147-1)*((FC_Desde=0)*(AM$146+AM$145)+(FC_Desde&gt;=1)*(AM$144&gt;=FC_Desde)*AM$145)*FC_IVA/(1+FC_IVA))</f>
        <v>1640.1514</v>
      </c>
      <c r="AN195" s="34" t="n">
        <f aca="false">SUMPRODUCT(FC_V*((FC_Mon="PYG")*AN$149+(FC_Mon&lt;&gt;"PYG"))*(1+FC_g)^(AN$147-1)*((FC_Desde=0)*(AN$146+AN$145)+(FC_Desde&gt;=1)*(AN$144&gt;=FC_Desde)*AN$145)*FC_IVA/(1+FC_IVA))</f>
        <v>1640.1514</v>
      </c>
      <c r="AO195" s="34" t="n">
        <f aca="false">SUMPRODUCT(FC_V*((FC_Mon="PYG")*AO$149+(FC_Mon&lt;&gt;"PYG"))*(1+FC_g)^(AO$147-1)*((FC_Desde=0)*(AO$146+AO$145)+(FC_Desde&gt;=1)*(AO$144&gt;=FC_Desde)*AO$145)*FC_IVA/(1+FC_IVA))</f>
        <v>1640.1514</v>
      </c>
      <c r="AP195" s="34" t="n">
        <f aca="false">SUMPRODUCT(FC_V*((FC_Mon="PYG")*AP$149+(FC_Mon&lt;&gt;"PYG"))*(1+FC_g)^(AP$147-1)*((FC_Desde=0)*(AP$146+AP$145)+(FC_Desde&gt;=1)*(AP$144&gt;=FC_Desde)*AP$145)*FC_IVA/(1+FC_IVA))</f>
        <v>1689.355942</v>
      </c>
      <c r="AQ195" s="34" t="n">
        <f aca="false">SUMPRODUCT(FC_V*((FC_Mon="PYG")*AQ$149+(FC_Mon&lt;&gt;"PYG"))*(1+FC_g)^(AQ$147-1)*((FC_Desde=0)*(AQ$146+AQ$145)+(FC_Desde&gt;=1)*(AQ$144&gt;=FC_Desde)*AQ$145)*FC_IVA/(1+FC_IVA))</f>
        <v>1689.355942</v>
      </c>
      <c r="AR195" s="34" t="n">
        <f aca="false">SUMPRODUCT(FC_V*((FC_Mon="PYG")*AR$149+(FC_Mon&lt;&gt;"PYG"))*(1+FC_g)^(AR$147-1)*((FC_Desde=0)*(AR$146+AR$145)+(FC_Desde&gt;=1)*(AR$144&gt;=FC_Desde)*AR$145)*FC_IVA/(1+FC_IVA))</f>
        <v>1689.355942</v>
      </c>
      <c r="AS195" s="34" t="n">
        <f aca="false">SUMPRODUCT(FC_V*((FC_Mon="PYG")*AS$149+(FC_Mon&lt;&gt;"PYG"))*(1+FC_g)^(AS$147-1)*((FC_Desde=0)*(AS$146+AS$145)+(FC_Desde&gt;=1)*(AS$144&gt;=FC_Desde)*AS$145)*FC_IVA/(1+FC_IVA))</f>
        <v>1689.355942</v>
      </c>
      <c r="AT195" s="34" t="n">
        <f aca="false">SUMPRODUCT(FC_V*((FC_Mon="PYG")*AT$149+(FC_Mon&lt;&gt;"PYG"))*(1+FC_g)^(AT$147-1)*((FC_Desde=0)*(AT$146+AT$145)+(FC_Desde&gt;=1)*(AT$144&gt;=FC_Desde)*AT$145)*FC_IVA/(1+FC_IVA))</f>
        <v>1689.355942</v>
      </c>
      <c r="AU195" s="34" t="n">
        <f aca="false">SUMPRODUCT(FC_V*((FC_Mon="PYG")*AU$149+(FC_Mon&lt;&gt;"PYG"))*(1+FC_g)^(AU$147-1)*((FC_Desde=0)*(AU$146+AU$145)+(FC_Desde&gt;=1)*(AU$144&gt;=FC_Desde)*AU$145)*FC_IVA/(1+FC_IVA))</f>
        <v>1689.355942</v>
      </c>
      <c r="AV195" s="34" t="n">
        <f aca="false">SUMPRODUCT(FC_V*((FC_Mon="PYG")*AV$149+(FC_Mon&lt;&gt;"PYG"))*(1+FC_g)^(AV$147-1)*((FC_Desde=0)*(AV$146+AV$145)+(FC_Desde&gt;=1)*(AV$144&gt;=FC_Desde)*AV$145)*FC_IVA/(1+FC_IVA))</f>
        <v>1689.355942</v>
      </c>
      <c r="AW195" s="34" t="n">
        <f aca="false">SUMPRODUCT(FC_V*((FC_Mon="PYG")*AW$149+(FC_Mon&lt;&gt;"PYG"))*(1+FC_g)^(AW$147-1)*((FC_Desde=0)*(AW$146+AW$145)+(FC_Desde&gt;=1)*(AW$144&gt;=FC_Desde)*AW$145)*FC_IVA/(1+FC_IVA))</f>
        <v>1689.355942</v>
      </c>
      <c r="AX195" s="34" t="n">
        <f aca="false">SUMPRODUCT(FC_V*((FC_Mon="PYG")*AX$149+(FC_Mon&lt;&gt;"PYG"))*(1+FC_g)^(AX$147-1)*((FC_Desde=0)*(AX$146+AX$145)+(FC_Desde&gt;=1)*(AX$144&gt;=FC_Desde)*AX$145)*FC_IVA/(1+FC_IVA))</f>
        <v>1689.355942</v>
      </c>
      <c r="AY195" s="34" t="n">
        <f aca="false">SUMPRODUCT(FC_V*((FC_Mon="PYG")*AY$149+(FC_Mon&lt;&gt;"PYG"))*(1+FC_g)^(AY$147-1)*((FC_Desde=0)*(AY$146+AY$145)+(FC_Desde&gt;=1)*(AY$144&gt;=FC_Desde)*AY$145)*FC_IVA/(1+FC_IVA))</f>
        <v>1689.355942</v>
      </c>
      <c r="AZ195" s="34" t="n">
        <f aca="false">SUMPRODUCT(FC_V*((FC_Mon="PYG")*AZ$149+(FC_Mon&lt;&gt;"PYG"))*(1+FC_g)^(AZ$147-1)*((FC_Desde=0)*(AZ$146+AZ$145)+(FC_Desde&gt;=1)*(AZ$144&gt;=FC_Desde)*AZ$145)*FC_IVA/(1+FC_IVA))</f>
        <v>1689.355942</v>
      </c>
      <c r="BA195" s="34" t="n">
        <f aca="false">SUMPRODUCT(FC_V*((FC_Mon="PYG")*BA$149+(FC_Mon&lt;&gt;"PYG"))*(1+FC_g)^(BA$147-1)*((FC_Desde=0)*(BA$146+BA$145)+(FC_Desde&gt;=1)*(BA$144&gt;=FC_Desde)*BA$145)*FC_IVA/(1+FC_IVA))</f>
        <v>1689.355942</v>
      </c>
      <c r="BB195" s="34" t="n">
        <f aca="false">SUMPRODUCT(FC_V*((FC_Mon="PYG")*BB$149+(FC_Mon&lt;&gt;"PYG"))*(1+FC_g)^(BB$147-1)*((FC_Desde=0)*(BB$146+BB$145)+(FC_Desde&gt;=1)*(BB$144&gt;=FC_Desde)*BB$145)*FC_IVA/(1+FC_IVA))</f>
        <v>1740.03662026</v>
      </c>
      <c r="BC195" s="34" t="n">
        <f aca="false">SUMPRODUCT(FC_V*((FC_Mon="PYG")*BC$149+(FC_Mon&lt;&gt;"PYG"))*(1+FC_g)^(BC$147-1)*((FC_Desde=0)*(BC$146+BC$145)+(FC_Desde&gt;=1)*(BC$144&gt;=FC_Desde)*BC$145)*FC_IVA/(1+FC_IVA))</f>
        <v>1740.03662026</v>
      </c>
      <c r="BD195" s="34" t="n">
        <f aca="false">SUMPRODUCT(FC_V*((FC_Mon="PYG")*BD$149+(FC_Mon&lt;&gt;"PYG"))*(1+FC_g)^(BD$147-1)*((FC_Desde=0)*(BD$146+BD$145)+(FC_Desde&gt;=1)*(BD$144&gt;=FC_Desde)*BD$145)*FC_IVA/(1+FC_IVA))</f>
        <v>1740.03662026</v>
      </c>
      <c r="BE195" s="34" t="n">
        <f aca="false">SUMPRODUCT(FC_V*((FC_Mon="PYG")*BE$149+(FC_Mon&lt;&gt;"PYG"))*(1+FC_g)^(BE$147-1)*((FC_Desde=0)*(BE$146+BE$145)+(FC_Desde&gt;=1)*(BE$144&gt;=FC_Desde)*BE$145)*FC_IVA/(1+FC_IVA))</f>
        <v>1740.03662026</v>
      </c>
      <c r="BF195" s="34" t="n">
        <f aca="false">SUMPRODUCT(FC_V*((FC_Mon="PYG")*BF$149+(FC_Mon&lt;&gt;"PYG"))*(1+FC_g)^(BF$147-1)*((FC_Desde=0)*(BF$146+BF$145)+(FC_Desde&gt;=1)*(BF$144&gt;=FC_Desde)*BF$145)*FC_IVA/(1+FC_IVA))</f>
        <v>1740.03662026</v>
      </c>
      <c r="BG195" s="34" t="n">
        <f aca="false">SUMPRODUCT(FC_V*((FC_Mon="PYG")*BG$149+(FC_Mon&lt;&gt;"PYG"))*(1+FC_g)^(BG$147-1)*((FC_Desde=0)*(BG$146+BG$145)+(FC_Desde&gt;=1)*(BG$144&gt;=FC_Desde)*BG$145)*FC_IVA/(1+FC_IVA))</f>
        <v>1740.03662026</v>
      </c>
      <c r="BH195" s="34" t="n">
        <f aca="false">SUMPRODUCT(FC_V*((FC_Mon="PYG")*BH$149+(FC_Mon&lt;&gt;"PYG"))*(1+FC_g)^(BH$147-1)*((FC_Desde=0)*(BH$146+BH$145)+(FC_Desde&gt;=1)*(BH$144&gt;=FC_Desde)*BH$145)*FC_IVA/(1+FC_IVA))</f>
        <v>1740.03662026</v>
      </c>
      <c r="BI195" s="34" t="n">
        <f aca="false">SUMPRODUCT(FC_V*((FC_Mon="PYG")*BI$149+(FC_Mon&lt;&gt;"PYG"))*(1+FC_g)^(BI$147-1)*((FC_Desde=0)*(BI$146+BI$145)+(FC_Desde&gt;=1)*(BI$144&gt;=FC_Desde)*BI$145)*FC_IVA/(1+FC_IVA))</f>
        <v>1740.03662026</v>
      </c>
      <c r="BJ195" s="34" t="n">
        <f aca="false">SUMPRODUCT(FC_V*((FC_Mon="PYG")*BJ$149+(FC_Mon&lt;&gt;"PYG"))*(1+FC_g)^(BJ$147-1)*((FC_Desde=0)*(BJ$146+BJ$145)+(FC_Desde&gt;=1)*(BJ$144&gt;=FC_Desde)*BJ$145)*FC_IVA/(1+FC_IVA))</f>
        <v>1740.03662026</v>
      </c>
      <c r="BK195" s="34" t="n">
        <f aca="false">SUMPRODUCT(FC_V*((FC_Mon="PYG")*BK$149+(FC_Mon&lt;&gt;"PYG"))*(1+FC_g)^(BK$147-1)*((FC_Desde=0)*(BK$146+BK$145)+(FC_Desde&gt;=1)*(BK$144&gt;=FC_Desde)*BK$145)*FC_IVA/(1+FC_IVA))</f>
        <v>1740.03662026</v>
      </c>
      <c r="BL195" s="34" t="n">
        <f aca="false">SUMPRODUCT(FC_V*((FC_Mon="PYG")*BL$149+(FC_Mon&lt;&gt;"PYG"))*(1+FC_g)^(BL$147-1)*((FC_Desde=0)*(BL$146+BL$145)+(FC_Desde&gt;=1)*(BL$144&gt;=FC_Desde)*BL$145)*FC_IVA/(1+FC_IVA))</f>
        <v>1740.03662026</v>
      </c>
      <c r="BM195" s="34" t="n">
        <f aca="false">SUMPRODUCT(FC_V*((FC_Mon="PYG")*BM$149+(FC_Mon&lt;&gt;"PYG"))*(1+FC_g)^(BM$147-1)*((FC_Desde=0)*(BM$146+BM$145)+(FC_Desde&gt;=1)*(BM$144&gt;=FC_Desde)*BM$145)*FC_IVA/(1+FC_IVA))</f>
        <v>1740.03662026</v>
      </c>
      <c r="BN195" s="34" t="n">
        <f aca="false">SUMPRODUCT(FC_V*((FC_Mon="PYG")*BN$149+(FC_Mon&lt;&gt;"PYG"))*(1+FC_g)^(BN$147-1)*((FC_Desde=0)*(BN$146+BN$145)+(FC_Desde&gt;=1)*(BN$144&gt;=FC_Desde)*BN$145)*FC_IVA/(1+FC_IVA))</f>
        <v>1792.2377188678</v>
      </c>
      <c r="BO195" s="34" t="n">
        <f aca="false">SUMPRODUCT(FC_V*((FC_Mon="PYG")*BO$149+(FC_Mon&lt;&gt;"PYG"))*(1+FC_g)^(BO$147-1)*((FC_Desde=0)*(BO$146+BO$145)+(FC_Desde&gt;=1)*(BO$144&gt;=FC_Desde)*BO$145)*FC_IVA/(1+FC_IVA))</f>
        <v>1792.2377188678</v>
      </c>
      <c r="BP195" s="34" t="n">
        <f aca="false">SUMPRODUCT(FC_V*((FC_Mon="PYG")*BP$149+(FC_Mon&lt;&gt;"PYG"))*(1+FC_g)^(BP$147-1)*((FC_Desde=0)*(BP$146+BP$145)+(FC_Desde&gt;=1)*(BP$144&gt;=FC_Desde)*BP$145)*FC_IVA/(1+FC_IVA))</f>
        <v>1792.2377188678</v>
      </c>
      <c r="BQ195" s="34" t="n">
        <f aca="false">SUMPRODUCT(FC_V*((FC_Mon="PYG")*BQ$149+(FC_Mon&lt;&gt;"PYG"))*(1+FC_g)^(BQ$147-1)*((FC_Desde=0)*(BQ$146+BQ$145)+(FC_Desde&gt;=1)*(BQ$144&gt;=FC_Desde)*BQ$145)*FC_IVA/(1+FC_IVA))</f>
        <v>1792.2377188678</v>
      </c>
      <c r="BR195" s="34" t="n">
        <f aca="false">SUMPRODUCT(FC_V*((FC_Mon="PYG")*BR$149+(FC_Mon&lt;&gt;"PYG"))*(1+FC_g)^(BR$147-1)*((FC_Desde=0)*(BR$146+BR$145)+(FC_Desde&gt;=1)*(BR$144&gt;=FC_Desde)*BR$145)*FC_IVA/(1+FC_IVA))</f>
        <v>1792.2377188678</v>
      </c>
      <c r="BS195" s="34" t="n">
        <f aca="false">SUMPRODUCT(FC_V*((FC_Mon="PYG")*BS$149+(FC_Mon&lt;&gt;"PYG"))*(1+FC_g)^(BS$147-1)*((FC_Desde=0)*(BS$146+BS$145)+(FC_Desde&gt;=1)*(BS$144&gt;=FC_Desde)*BS$145)*FC_IVA/(1+FC_IVA))</f>
        <v>1792.2377188678</v>
      </c>
      <c r="BT195" s="34" t="n">
        <f aca="false">SUMPRODUCT(FC_V*((FC_Mon="PYG")*BT$149+(FC_Mon&lt;&gt;"PYG"))*(1+FC_g)^(BT$147-1)*((FC_Desde=0)*(BT$146+BT$145)+(FC_Desde&gt;=1)*(BT$144&gt;=FC_Desde)*BT$145)*FC_IVA/(1+FC_IVA))</f>
        <v>1792.2377188678</v>
      </c>
      <c r="BU195" s="34" t="n">
        <f aca="false">SUMPRODUCT(FC_V*((FC_Mon="PYG")*BU$149+(FC_Mon&lt;&gt;"PYG"))*(1+FC_g)^(BU$147-1)*((FC_Desde=0)*(BU$146+BU$145)+(FC_Desde&gt;=1)*(BU$144&gt;=FC_Desde)*BU$145)*FC_IVA/(1+FC_IVA))</f>
        <v>1792.2377188678</v>
      </c>
      <c r="BV195" s="34" t="n">
        <f aca="false">SUMPRODUCT(FC_V*((FC_Mon="PYG")*BV$149+(FC_Mon&lt;&gt;"PYG"))*(1+FC_g)^(BV$147-1)*((FC_Desde=0)*(BV$146+BV$145)+(FC_Desde&gt;=1)*(BV$144&gt;=FC_Desde)*BV$145)*FC_IVA/(1+FC_IVA))</f>
        <v>1792.2377188678</v>
      </c>
      <c r="BW195" s="34" t="n">
        <f aca="false">SUMPRODUCT(FC_V*((FC_Mon="PYG")*BW$149+(FC_Mon&lt;&gt;"PYG"))*(1+FC_g)^(BW$147-1)*((FC_Desde=0)*(BW$146+BW$145)+(FC_Desde&gt;=1)*(BW$144&gt;=FC_Desde)*BW$145)*FC_IVA/(1+FC_IVA))</f>
        <v>1792.2377188678</v>
      </c>
      <c r="BX195" s="34" t="n">
        <f aca="false">SUMPRODUCT(FC_V*((FC_Mon="PYG")*BX$149+(FC_Mon&lt;&gt;"PYG"))*(1+FC_g)^(BX$147-1)*((FC_Desde=0)*(BX$146+BX$145)+(FC_Desde&gt;=1)*(BX$144&gt;=FC_Desde)*BX$145)*FC_IVA/(1+FC_IVA))</f>
        <v>1792.2377188678</v>
      </c>
      <c r="BY195" s="34" t="n">
        <f aca="false">SUMPRODUCT(FC_V*((FC_Mon="PYG")*BY$149+(FC_Mon&lt;&gt;"PYG"))*(1+FC_g)^(BY$147-1)*((FC_Desde=0)*(BY$146+BY$145)+(FC_Desde&gt;=1)*(BY$144&gt;=FC_Desde)*BY$145)*FC_IVA/(1+FC_IVA))</f>
        <v>1792.2377188678</v>
      </c>
      <c r="BZ195" s="34" t="n">
        <f aca="false">SUMPRODUCT(FC_V*((FC_Mon="PYG")*BZ$149+(FC_Mon&lt;&gt;"PYG"))*(1+FC_g)^(BZ$147-1)*((FC_Desde=0)*(BZ$146+BZ$145)+(FC_Desde&gt;=1)*(BZ$144&gt;=FC_Desde)*BZ$145)*FC_IVA/(1+FC_IVA))</f>
        <v>1846.00485043383</v>
      </c>
      <c r="CA195" s="34" t="n">
        <f aca="false">SUMPRODUCT(FC_V*((FC_Mon="PYG")*CA$149+(FC_Mon&lt;&gt;"PYG"))*(1+FC_g)^(CA$147-1)*((FC_Desde=0)*(CA$146+CA$145)+(FC_Desde&gt;=1)*(CA$144&gt;=FC_Desde)*CA$145)*FC_IVA/(1+FC_IVA))</f>
        <v>1846.00485043383</v>
      </c>
      <c r="CB195" s="34" t="n">
        <f aca="false">SUMPRODUCT(FC_V*((FC_Mon="PYG")*CB$149+(FC_Mon&lt;&gt;"PYG"))*(1+FC_g)^(CB$147-1)*((FC_Desde=0)*(CB$146+CB$145)+(FC_Desde&gt;=1)*(CB$144&gt;=FC_Desde)*CB$145)*FC_IVA/(1+FC_IVA))</f>
        <v>1846.00485043383</v>
      </c>
      <c r="CC195" s="34" t="n">
        <f aca="false">SUMPRODUCT(FC_V*((FC_Mon="PYG")*CC$149+(FC_Mon&lt;&gt;"PYG"))*(1+FC_g)^(CC$147-1)*((FC_Desde=0)*(CC$146+CC$145)+(FC_Desde&gt;=1)*(CC$144&gt;=FC_Desde)*CC$145)*FC_IVA/(1+FC_IVA))</f>
        <v>1846.00485043383</v>
      </c>
      <c r="CD195" s="34" t="n">
        <f aca="false">SUMPRODUCT(FC_V*((FC_Mon="PYG")*CD$149+(FC_Mon&lt;&gt;"PYG"))*(1+FC_g)^(CD$147-1)*((FC_Desde=0)*(CD$146+CD$145)+(FC_Desde&gt;=1)*(CD$144&gt;=FC_Desde)*CD$145)*FC_IVA/(1+FC_IVA))</f>
        <v>1846.00485043383</v>
      </c>
      <c r="CE195" s="34" t="n">
        <f aca="false">SUMPRODUCT(FC_V*((FC_Mon="PYG")*CE$149+(FC_Mon&lt;&gt;"PYG"))*(1+FC_g)^(CE$147-1)*((FC_Desde=0)*(CE$146+CE$145)+(FC_Desde&gt;=1)*(CE$144&gt;=FC_Desde)*CE$145)*FC_IVA/(1+FC_IVA))</f>
        <v>1846.00485043383</v>
      </c>
      <c r="CF195" s="34" t="n">
        <f aca="false">SUMPRODUCT(FC_V*((FC_Mon="PYG")*CF$149+(FC_Mon&lt;&gt;"PYG"))*(1+FC_g)^(CF$147-1)*((FC_Desde=0)*(CF$146+CF$145)+(FC_Desde&gt;=1)*(CF$144&gt;=FC_Desde)*CF$145)*FC_IVA/(1+FC_IVA))</f>
        <v>1846.00485043383</v>
      </c>
      <c r="CG195" s="34" t="n">
        <f aca="false">SUMPRODUCT(FC_V*((FC_Mon="PYG")*CG$149+(FC_Mon&lt;&gt;"PYG"))*(1+FC_g)^(CG$147-1)*((FC_Desde=0)*(CG$146+CG$145)+(FC_Desde&gt;=1)*(CG$144&gt;=FC_Desde)*CG$145)*FC_IVA/(1+FC_IVA))</f>
        <v>1846.00485043383</v>
      </c>
      <c r="CH195" s="34" t="n">
        <f aca="false">SUMPRODUCT(FC_V*((FC_Mon="PYG")*CH$149+(FC_Mon&lt;&gt;"PYG"))*(1+FC_g)^(CH$147-1)*((FC_Desde=0)*(CH$146+CH$145)+(FC_Desde&gt;=1)*(CH$144&gt;=FC_Desde)*CH$145)*FC_IVA/(1+FC_IVA))</f>
        <v>1846.00485043383</v>
      </c>
      <c r="CI195" s="34" t="n">
        <f aca="false">SUMPRODUCT(FC_V*((FC_Mon="PYG")*CI$149+(FC_Mon&lt;&gt;"PYG"))*(1+FC_g)^(CI$147-1)*((FC_Desde=0)*(CI$146+CI$145)+(FC_Desde&gt;=1)*(CI$144&gt;=FC_Desde)*CI$145)*FC_IVA/(1+FC_IVA))</f>
        <v>1846.00485043383</v>
      </c>
      <c r="CJ195" s="34" t="n">
        <f aca="false">SUMPRODUCT(FC_V*((FC_Mon="PYG")*CJ$149+(FC_Mon&lt;&gt;"PYG"))*(1+FC_g)^(CJ$147-1)*((FC_Desde=0)*(CJ$146+CJ$145)+(FC_Desde&gt;=1)*(CJ$144&gt;=FC_Desde)*CJ$145)*FC_IVA/(1+FC_IVA))</f>
        <v>1846.00485043383</v>
      </c>
      <c r="CK195" s="34" t="n">
        <f aca="false">SUMPRODUCT(FC_V*((FC_Mon="PYG")*CK$149+(FC_Mon&lt;&gt;"PYG"))*(1+FC_g)^(CK$147-1)*((FC_Desde=0)*(CK$146+CK$145)+(FC_Desde&gt;=1)*(CK$144&gt;=FC_Desde)*CK$145)*FC_IVA/(1+FC_IVA))</f>
        <v>1846.00485043383</v>
      </c>
      <c r="CL195" s="34" t="n">
        <f aca="false">SUMPRODUCT(FC_V*((FC_Mon="PYG")*CL$149+(FC_Mon&lt;&gt;"PYG"))*(1+FC_g)^(CL$147-1)*((FC_Desde=0)*(CL$146+CL$145)+(FC_Desde&gt;=1)*(CL$144&gt;=FC_Desde)*CL$145)*FC_IVA/(1+FC_IVA))</f>
        <v>1901.38499594685</v>
      </c>
      <c r="CM195" s="34" t="n">
        <f aca="false">SUMPRODUCT(FC_V*((FC_Mon="PYG")*CM$149+(FC_Mon&lt;&gt;"PYG"))*(1+FC_g)^(CM$147-1)*((FC_Desde=0)*(CM$146+CM$145)+(FC_Desde&gt;=1)*(CM$144&gt;=FC_Desde)*CM$145)*FC_IVA/(1+FC_IVA))</f>
        <v>1901.38499594685</v>
      </c>
      <c r="CN195" s="34" t="n">
        <f aca="false">SUMPRODUCT(FC_V*((FC_Mon="PYG")*CN$149+(FC_Mon&lt;&gt;"PYG"))*(1+FC_g)^(CN$147-1)*((FC_Desde=0)*(CN$146+CN$145)+(FC_Desde&gt;=1)*(CN$144&gt;=FC_Desde)*CN$145)*FC_IVA/(1+FC_IVA))</f>
        <v>1901.38499594685</v>
      </c>
      <c r="CO195" s="34" t="n">
        <f aca="false">SUMPRODUCT(FC_V*((FC_Mon="PYG")*CO$149+(FC_Mon&lt;&gt;"PYG"))*(1+FC_g)^(CO$147-1)*((FC_Desde=0)*(CO$146+CO$145)+(FC_Desde&gt;=1)*(CO$144&gt;=FC_Desde)*CO$145)*FC_IVA/(1+FC_IVA))</f>
        <v>1901.38499594685</v>
      </c>
      <c r="CP195" s="34" t="n">
        <f aca="false">SUMPRODUCT(FC_V*((FC_Mon="PYG")*CP$149+(FC_Mon&lt;&gt;"PYG"))*(1+FC_g)^(CP$147-1)*((FC_Desde=0)*(CP$146+CP$145)+(FC_Desde&gt;=1)*(CP$144&gt;=FC_Desde)*CP$145)*FC_IVA/(1+FC_IVA))</f>
        <v>1901.38499594685</v>
      </c>
      <c r="CQ195" s="34" t="n">
        <f aca="false">SUMPRODUCT(FC_V*((FC_Mon="PYG")*CQ$149+(FC_Mon&lt;&gt;"PYG"))*(1+FC_g)^(CQ$147-1)*((FC_Desde=0)*(CQ$146+CQ$145)+(FC_Desde&gt;=1)*(CQ$144&gt;=FC_Desde)*CQ$145)*FC_IVA/(1+FC_IVA))</f>
        <v>1901.38499594685</v>
      </c>
      <c r="CR195" s="34" t="n">
        <f aca="false">SUMPRODUCT(FC_V*((FC_Mon="PYG")*CR$149+(FC_Mon&lt;&gt;"PYG"))*(1+FC_g)^(CR$147-1)*((FC_Desde=0)*(CR$146+CR$145)+(FC_Desde&gt;=1)*(CR$144&gt;=FC_Desde)*CR$145)*FC_IVA/(1+FC_IVA))</f>
        <v>1901.38499594685</v>
      </c>
      <c r="CS195" s="34" t="n">
        <f aca="false">SUMPRODUCT(FC_V*((FC_Mon="PYG")*CS$149+(FC_Mon&lt;&gt;"PYG"))*(1+FC_g)^(CS$147-1)*((FC_Desde=0)*(CS$146+CS$145)+(FC_Desde&gt;=1)*(CS$144&gt;=FC_Desde)*CS$145)*FC_IVA/(1+FC_IVA))</f>
        <v>1901.38499594685</v>
      </c>
      <c r="CT195" s="34" t="n">
        <f aca="false">SUMPRODUCT(FC_V*((FC_Mon="PYG")*CT$149+(FC_Mon&lt;&gt;"PYG"))*(1+FC_g)^(CT$147-1)*((FC_Desde=0)*(CT$146+CT$145)+(FC_Desde&gt;=1)*(CT$144&gt;=FC_Desde)*CT$145)*FC_IVA/(1+FC_IVA))</f>
        <v>1901.38499594685</v>
      </c>
      <c r="CU195" s="34" t="n">
        <f aca="false">SUMPRODUCT(FC_V*((FC_Mon="PYG")*CU$149+(FC_Mon&lt;&gt;"PYG"))*(1+FC_g)^(CU$147-1)*((FC_Desde=0)*(CU$146+CU$145)+(FC_Desde&gt;=1)*(CU$144&gt;=FC_Desde)*CU$145)*FC_IVA/(1+FC_IVA))</f>
        <v>1901.38499594685</v>
      </c>
      <c r="CV195" s="34" t="n">
        <f aca="false">SUMPRODUCT(FC_V*((FC_Mon="PYG")*CV$149+(FC_Mon&lt;&gt;"PYG"))*(1+FC_g)^(CV$147-1)*((FC_Desde=0)*(CV$146+CV$145)+(FC_Desde&gt;=1)*(CV$144&gt;=FC_Desde)*CV$145)*FC_IVA/(1+FC_IVA))</f>
        <v>1901.38499594685</v>
      </c>
      <c r="CW195" s="34" t="n">
        <f aca="false">SUMPRODUCT(FC_V*((FC_Mon="PYG")*CW$149+(FC_Mon&lt;&gt;"PYG"))*(1+FC_g)^(CW$147-1)*((FC_Desde=0)*(CW$146+CW$145)+(FC_Desde&gt;=1)*(CW$144&gt;=FC_Desde)*CW$145)*FC_IVA/(1+FC_IVA))</f>
        <v>1901.38499594685</v>
      </c>
      <c r="CX195" s="34" t="n">
        <f aca="false">SUMPRODUCT(FC_V*((FC_Mon="PYG")*CX$149+(FC_Mon&lt;&gt;"PYG"))*(1+FC_g)^(CX$147-1)*((FC_Desde=0)*(CX$146+CX$145)+(FC_Desde&gt;=1)*(CX$144&gt;=FC_Desde)*CX$145)*FC_IVA/(1+FC_IVA))</f>
        <v>1958.42654582525</v>
      </c>
      <c r="CY195" s="34" t="n">
        <f aca="false">SUMPRODUCT(FC_V*((FC_Mon="PYG")*CY$149+(FC_Mon&lt;&gt;"PYG"))*(1+FC_g)^(CY$147-1)*((FC_Desde=0)*(CY$146+CY$145)+(FC_Desde&gt;=1)*(CY$144&gt;=FC_Desde)*CY$145)*FC_IVA/(1+FC_IVA))</f>
        <v>1958.42654582525</v>
      </c>
      <c r="CZ195" s="34" t="n">
        <f aca="false">SUMPRODUCT(FC_V*((FC_Mon="PYG")*CZ$149+(FC_Mon&lt;&gt;"PYG"))*(1+FC_g)^(CZ$147-1)*((FC_Desde=0)*(CZ$146+CZ$145)+(FC_Desde&gt;=1)*(CZ$144&gt;=FC_Desde)*CZ$145)*FC_IVA/(1+FC_IVA))</f>
        <v>1958.42654582525</v>
      </c>
      <c r="DA195" s="34" t="n">
        <f aca="false">SUMPRODUCT(FC_V*((FC_Mon="PYG")*DA$149+(FC_Mon&lt;&gt;"PYG"))*(1+FC_g)^(DA$147-1)*((FC_Desde=0)*(DA$146+DA$145)+(FC_Desde&gt;=1)*(DA$144&gt;=FC_Desde)*DA$145)*FC_IVA/(1+FC_IVA))</f>
        <v>1958.42654582525</v>
      </c>
      <c r="DB195" s="34" t="n">
        <f aca="false">SUMPRODUCT(FC_V*((FC_Mon="PYG")*DB$149+(FC_Mon&lt;&gt;"PYG"))*(1+FC_g)^(DB$147-1)*((FC_Desde=0)*(DB$146+DB$145)+(FC_Desde&gt;=1)*(DB$144&gt;=FC_Desde)*DB$145)*FC_IVA/(1+FC_IVA))</f>
        <v>1958.42654582525</v>
      </c>
      <c r="DC195" s="34" t="n">
        <f aca="false">SUMPRODUCT(FC_V*((FC_Mon="PYG")*DC$149+(FC_Mon&lt;&gt;"PYG"))*(1+FC_g)^(DC$147-1)*((FC_Desde=0)*(DC$146+DC$145)+(FC_Desde&gt;=1)*(DC$144&gt;=FC_Desde)*DC$145)*FC_IVA/(1+FC_IVA))</f>
        <v>1958.42654582525</v>
      </c>
      <c r="DD195" s="34" t="n">
        <f aca="false">SUMPRODUCT(FC_V*((FC_Mon="PYG")*DD$149+(FC_Mon&lt;&gt;"PYG"))*(1+FC_g)^(DD$147-1)*((FC_Desde=0)*(DD$146+DD$145)+(FC_Desde&gt;=1)*(DD$144&gt;=FC_Desde)*DD$145)*FC_IVA/(1+FC_IVA))</f>
        <v>1958.42654582525</v>
      </c>
      <c r="DE195" s="34" t="n">
        <f aca="false">SUMPRODUCT(FC_V*((FC_Mon="PYG")*DE$149+(FC_Mon&lt;&gt;"PYG"))*(1+FC_g)^(DE$147-1)*((FC_Desde=0)*(DE$146+DE$145)+(FC_Desde&gt;=1)*(DE$144&gt;=FC_Desde)*DE$145)*FC_IVA/(1+FC_IVA))</f>
        <v>1958.42654582525</v>
      </c>
      <c r="DF195" s="34" t="n">
        <f aca="false">SUMPRODUCT(FC_V*((FC_Mon="PYG")*DF$149+(FC_Mon&lt;&gt;"PYG"))*(1+FC_g)^(DF$147-1)*((FC_Desde=0)*(DF$146+DF$145)+(FC_Desde&gt;=1)*(DF$144&gt;=FC_Desde)*DF$145)*FC_IVA/(1+FC_IVA))</f>
        <v>1958.42654582525</v>
      </c>
      <c r="DG195" s="34" t="n">
        <f aca="false">SUMPRODUCT(FC_V*((FC_Mon="PYG")*DG$149+(FC_Mon&lt;&gt;"PYG"))*(1+FC_g)^(DG$147-1)*((FC_Desde=0)*(DG$146+DG$145)+(FC_Desde&gt;=1)*(DG$144&gt;=FC_Desde)*DG$145)*FC_IVA/(1+FC_IVA))</f>
        <v>1958.42654582525</v>
      </c>
      <c r="DH195" s="34" t="n">
        <f aca="false">SUMPRODUCT(FC_V*((FC_Mon="PYG")*DH$149+(FC_Mon&lt;&gt;"PYG"))*(1+FC_g)^(DH$147-1)*((FC_Desde=0)*(DH$146+DH$145)+(FC_Desde&gt;=1)*(DH$144&gt;=FC_Desde)*DH$145)*FC_IVA/(1+FC_IVA))</f>
        <v>1958.42654582525</v>
      </c>
      <c r="DI195" s="34" t="n">
        <f aca="false">SUMPRODUCT(FC_V*((FC_Mon="PYG")*DI$149+(FC_Mon&lt;&gt;"PYG"))*(1+FC_g)^(DI$147-1)*((FC_Desde=0)*(DI$146+DI$145)+(FC_Desde&gt;=1)*(DI$144&gt;=FC_Desde)*DI$145)*FC_IVA/(1+FC_IVA))</f>
        <v>1958.42654582525</v>
      </c>
      <c r="DJ195" s="34" t="n">
        <f aca="false">SUMPRODUCT(FC_V*((FC_Mon="PYG")*DJ$149+(FC_Mon&lt;&gt;"PYG"))*(1+FC_g)^(DJ$147-1)*((FC_Desde=0)*(DJ$146+DJ$145)+(FC_Desde&gt;=1)*(DJ$144&gt;=FC_Desde)*DJ$145)*FC_IVA/(1+FC_IVA))</f>
        <v>2017.17934220001</v>
      </c>
      <c r="DK195" s="34" t="n">
        <f aca="false">SUMPRODUCT(FC_V*((FC_Mon="PYG")*DK$149+(FC_Mon&lt;&gt;"PYG"))*(1+FC_g)^(DK$147-1)*((FC_Desde=0)*(DK$146+DK$145)+(FC_Desde&gt;=1)*(DK$144&gt;=FC_Desde)*DK$145)*FC_IVA/(1+FC_IVA))</f>
        <v>2017.17934220001</v>
      </c>
      <c r="DL195" s="34" t="n">
        <f aca="false">SUMPRODUCT(FC_V*((FC_Mon="PYG")*DL$149+(FC_Mon&lt;&gt;"PYG"))*(1+FC_g)^(DL$147-1)*((FC_Desde=0)*(DL$146+DL$145)+(FC_Desde&gt;=1)*(DL$144&gt;=FC_Desde)*DL$145)*FC_IVA/(1+FC_IVA))</f>
        <v>2017.17934220001</v>
      </c>
      <c r="DM195" s="34" t="n">
        <f aca="false">SUMPRODUCT(FC_V*((FC_Mon="PYG")*DM$149+(FC_Mon&lt;&gt;"PYG"))*(1+FC_g)^(DM$147-1)*((FC_Desde=0)*(DM$146+DM$145)+(FC_Desde&gt;=1)*(DM$144&gt;=FC_Desde)*DM$145)*FC_IVA/(1+FC_IVA))</f>
        <v>2017.17934220001</v>
      </c>
      <c r="DN195" s="34" t="n">
        <f aca="false">SUMPRODUCT(FC_V*((FC_Mon="PYG")*DN$149+(FC_Mon&lt;&gt;"PYG"))*(1+FC_g)^(DN$147-1)*((FC_Desde=0)*(DN$146+DN$145)+(FC_Desde&gt;=1)*(DN$144&gt;=FC_Desde)*DN$145)*FC_IVA/(1+FC_IVA))</f>
        <v>2017.17934220001</v>
      </c>
      <c r="DO195" s="34" t="n">
        <f aca="false">SUMPRODUCT(FC_V*((FC_Mon="PYG")*DO$149+(FC_Mon&lt;&gt;"PYG"))*(1+FC_g)^(DO$147-1)*((FC_Desde=0)*(DO$146+DO$145)+(FC_Desde&gt;=1)*(DO$144&gt;=FC_Desde)*DO$145)*FC_IVA/(1+FC_IVA))</f>
        <v>2017.17934220001</v>
      </c>
      <c r="DP195" s="34" t="n">
        <f aca="false">SUMPRODUCT(FC_V*((FC_Mon="PYG")*DP$149+(FC_Mon&lt;&gt;"PYG"))*(1+FC_g)^(DP$147-1)*((FC_Desde=0)*(DP$146+DP$145)+(FC_Desde&gt;=1)*(DP$144&gt;=FC_Desde)*DP$145)*FC_IVA/(1+FC_IVA))</f>
        <v>2017.17934220001</v>
      </c>
      <c r="DQ195" s="34" t="n">
        <f aca="false">SUMPRODUCT(FC_V*((FC_Mon="PYG")*DQ$149+(FC_Mon&lt;&gt;"PYG"))*(1+FC_g)^(DQ$147-1)*((FC_Desde=0)*(DQ$146+DQ$145)+(FC_Desde&gt;=1)*(DQ$144&gt;=FC_Desde)*DQ$145)*FC_IVA/(1+FC_IVA))</f>
        <v>2017.17934220001</v>
      </c>
      <c r="DR195" s="34" t="n">
        <f aca="false">SUMPRODUCT(FC_V*((FC_Mon="PYG")*DR$149+(FC_Mon&lt;&gt;"PYG"))*(1+FC_g)^(DR$147-1)*((FC_Desde=0)*(DR$146+DR$145)+(FC_Desde&gt;=1)*(DR$144&gt;=FC_Desde)*DR$145)*FC_IVA/(1+FC_IVA))</f>
        <v>2017.17934220001</v>
      </c>
      <c r="DS195" s="34" t="n">
        <f aca="false">SUMPRODUCT(FC_V*((FC_Mon="PYG")*DS$149+(FC_Mon&lt;&gt;"PYG"))*(1+FC_g)^(DS$147-1)*((FC_Desde=0)*(DS$146+DS$145)+(FC_Desde&gt;=1)*(DS$144&gt;=FC_Desde)*DS$145)*FC_IVA/(1+FC_IVA))</f>
        <v>2017.17934220001</v>
      </c>
      <c r="DT195" s="34" t="n">
        <f aca="false">SUMPRODUCT(FC_V*((FC_Mon="PYG")*DT$149+(FC_Mon&lt;&gt;"PYG"))*(1+FC_g)^(DT$147-1)*((FC_Desde=0)*(DT$146+DT$145)+(FC_Desde&gt;=1)*(DT$144&gt;=FC_Desde)*DT$145)*FC_IVA/(1+FC_IVA))</f>
        <v>2017.17934220001</v>
      </c>
      <c r="DU195" s="34" t="n">
        <f aca="false">SUMPRODUCT(FC_V*((FC_Mon="PYG")*DU$149+(FC_Mon&lt;&gt;"PYG"))*(1+FC_g)^(DU$147-1)*((FC_Desde=0)*(DU$146+DU$145)+(FC_Desde&gt;=1)*(DU$144&gt;=FC_Desde)*DU$145)*FC_IVA/(1+FC_IVA))</f>
        <v>2017.17934220001</v>
      </c>
      <c r="DV195" s="34" t="n">
        <f aca="false">SUMPRODUCT(FC_V*((FC_Mon="PYG")*DV$149+(FC_Mon&lt;&gt;"PYG"))*(1+FC_g)^(DV$147-1)*((FC_Desde=0)*(DV$146+DV$145)+(FC_Desde&gt;=1)*(DV$144&gt;=FC_Desde)*DV$145)*FC_IVA/(1+FC_IVA))</f>
        <v>0</v>
      </c>
      <c r="DW195" s="34" t="n">
        <f aca="false">SUMPRODUCT(FC_V*((FC_Mon="PYG")*DW$149+(FC_Mon&lt;&gt;"PYG"))*(1+FC_g)^(DW$147-1)*((FC_Desde=0)*(DW$146+DW$145)+(FC_Desde&gt;=1)*(DW$144&gt;=FC_Desde)*DW$145)*FC_IVA/(1+FC_IVA))</f>
        <v>0</v>
      </c>
      <c r="DX195" s="34" t="n">
        <f aca="false">SUMPRODUCT(FC_V*((FC_Mon="PYG")*DX$149+(FC_Mon&lt;&gt;"PYG"))*(1+FC_g)^(DX$147-1)*((FC_Desde=0)*(DX$146+DX$145)+(FC_Desde&gt;=1)*(DX$144&gt;=FC_Desde)*DX$145)*FC_IVA/(1+FC_IVA))</f>
        <v>0</v>
      </c>
      <c r="DY195" s="34" t="n">
        <f aca="false">SUMPRODUCT(FC_V*((FC_Mon="PYG")*DY$149+(FC_Mon&lt;&gt;"PYG"))*(1+FC_g)^(DY$147-1)*((FC_Desde=0)*(DY$146+DY$145)+(FC_Desde&gt;=1)*(DY$144&gt;=FC_Desde)*DY$145)*FC_IVA/(1+FC_IVA))</f>
        <v>0</v>
      </c>
      <c r="DZ195" s="34" t="n">
        <f aca="false">SUMPRODUCT(FC_V*((FC_Mon="PYG")*DZ$149+(FC_Mon&lt;&gt;"PYG"))*(1+FC_g)^(DZ$147-1)*((FC_Desde=0)*(DZ$146+DZ$145)+(FC_Desde&gt;=1)*(DZ$144&gt;=FC_Desde)*DZ$145)*FC_IVA/(1+FC_IVA))</f>
        <v>0</v>
      </c>
      <c r="EA195" s="34" t="n">
        <f aca="false">SUMPRODUCT(FC_V*((FC_Mon="PYG")*EA$149+(FC_Mon&lt;&gt;"PYG"))*(1+FC_g)^(EA$147-1)*((FC_Desde=0)*(EA$146+EA$145)+(FC_Desde&gt;=1)*(EA$144&gt;=FC_Desde)*EA$145)*FC_IVA/(1+FC_IVA))</f>
        <v>0</v>
      </c>
      <c r="EB195" s="34" t="n">
        <f aca="false">SUMPRODUCT(FC_V*((FC_Mon="PYG")*EB$149+(FC_Mon&lt;&gt;"PYG"))*(1+FC_g)^(EB$147-1)*((FC_Desde=0)*(EB$146+EB$145)+(FC_Desde&gt;=1)*(EB$144&gt;=FC_Desde)*EB$145)*FC_IVA/(1+FC_IVA))</f>
        <v>0</v>
      </c>
      <c r="EC195" s="34" t="n">
        <f aca="false">SUMPRODUCT(FC_V*((FC_Mon="PYG")*EC$149+(FC_Mon&lt;&gt;"PYG"))*(1+FC_g)^(EC$147-1)*((FC_Desde=0)*(EC$146+EC$145)+(FC_Desde&gt;=1)*(EC$144&gt;=FC_Desde)*EC$145)*FC_IVA/(1+FC_IVA))</f>
        <v>0</v>
      </c>
      <c r="ED195" s="34" t="n">
        <f aca="false">SUMPRODUCT(FC_V*((FC_Mon="PYG")*ED$149+(FC_Mon&lt;&gt;"PYG"))*(1+FC_g)^(ED$147-1)*((FC_Desde=0)*(ED$146+ED$145)+(FC_Desde&gt;=1)*(ED$144&gt;=FC_Desde)*ED$145)*FC_IVA/(1+FC_IVA))</f>
        <v>0</v>
      </c>
      <c r="EE195" s="34" t="n">
        <f aca="false">SUMPRODUCT(FC_V*((FC_Mon="PYG")*EE$149+(FC_Mon&lt;&gt;"PYG"))*(1+FC_g)^(EE$147-1)*((FC_Desde=0)*(EE$146+EE$145)+(FC_Desde&gt;=1)*(EE$144&gt;=FC_Desde)*EE$145)*FC_IVA/(1+FC_IVA))</f>
        <v>0</v>
      </c>
      <c r="EF195" s="34" t="n">
        <f aca="false">SUMPRODUCT(FC_V*((FC_Mon="PYG")*EF$149+(FC_Mon&lt;&gt;"PYG"))*(1+FC_g)^(EF$147-1)*((FC_Desde=0)*(EF$146+EF$145)+(FC_Desde&gt;=1)*(EF$144&gt;=FC_Desde)*EF$145)*FC_IVA/(1+FC_IVA))</f>
        <v>0</v>
      </c>
      <c r="EG195" s="34" t="n">
        <f aca="false">SUMPRODUCT(FC_V*((FC_Mon="PYG")*EG$149+(FC_Mon&lt;&gt;"PYG"))*(1+FC_g)^(EG$147-1)*((FC_Desde=0)*(EG$146+EG$145)+(FC_Desde&gt;=1)*(EG$144&gt;=FC_Desde)*EG$145)*FC_IVA/(1+FC_IVA))</f>
        <v>0</v>
      </c>
      <c r="EH195" s="34" t="n">
        <f aca="false">SUMPRODUCT(FC_V*((FC_Mon="PYG")*EH$149+(FC_Mon&lt;&gt;"PYG"))*(1+FC_g)^(EH$147-1)*((FC_Desde=0)*(EH$146+EH$145)+(FC_Desde&gt;=1)*(EH$144&gt;=FC_Desde)*EH$145)*FC_IVA/(1+FC_IVA))</f>
        <v>0</v>
      </c>
      <c r="EI195" s="34" t="n">
        <f aca="false">SUMPRODUCT(FC_V*((FC_Mon="PYG")*EI$149+(FC_Mon&lt;&gt;"PYG"))*(1+FC_g)^(EI$147-1)*((FC_Desde=0)*(EI$146+EI$145)+(FC_Desde&gt;=1)*(EI$144&gt;=FC_Desde)*EI$145)*FC_IVA/(1+FC_IVA))</f>
        <v>0</v>
      </c>
      <c r="EJ195" s="34" t="n">
        <f aca="false">SUMPRODUCT(FC_V*((FC_Mon="PYG")*EJ$149+(FC_Mon&lt;&gt;"PYG"))*(1+FC_g)^(EJ$147-1)*((FC_Desde=0)*(EJ$146+EJ$145)+(FC_Desde&gt;=1)*(EJ$144&gt;=FC_Desde)*EJ$145)*FC_IVA/(1+FC_IVA))</f>
        <v>0</v>
      </c>
      <c r="EK195" s="34" t="n">
        <f aca="false">SUMPRODUCT(FC_V*((FC_Mon="PYG")*EK$149+(FC_Mon&lt;&gt;"PYG"))*(1+FC_g)^(EK$147-1)*((FC_Desde=0)*(EK$146+EK$145)+(FC_Desde&gt;=1)*(EK$144&gt;=FC_Desde)*EK$145)*FC_IVA/(1+FC_IVA))</f>
        <v>0</v>
      </c>
      <c r="EL195" s="34" t="n">
        <f aca="false">SUMPRODUCT(FC_V*((FC_Mon="PYG")*EL$149+(FC_Mon&lt;&gt;"PYG"))*(1+FC_g)^(EL$147-1)*((FC_Desde=0)*(EL$146+EL$145)+(FC_Desde&gt;=1)*(EL$144&gt;=FC_Desde)*EL$145)*FC_IVA/(1+FC_IVA))</f>
        <v>0</v>
      </c>
      <c r="EM195" s="34" t="n">
        <f aca="false">SUMPRODUCT(FC_V*((FC_Mon="PYG")*EM$149+(FC_Mon&lt;&gt;"PYG"))*(1+FC_g)^(EM$147-1)*((FC_Desde=0)*(EM$146+EM$145)+(FC_Desde&gt;=1)*(EM$144&gt;=FC_Desde)*EM$145)*FC_IVA/(1+FC_IVA))</f>
        <v>0</v>
      </c>
      <c r="EN195" s="34" t="n">
        <f aca="false">SUMPRODUCT(FC_V*((FC_Mon="PYG")*EN$149+(FC_Mon&lt;&gt;"PYG"))*(1+FC_g)^(EN$147-1)*((FC_Desde=0)*(EN$146+EN$145)+(FC_Desde&gt;=1)*(EN$144&gt;=FC_Desde)*EN$145)*FC_IVA/(1+FC_IVA))</f>
        <v>0</v>
      </c>
      <c r="EO195" s="34" t="n">
        <f aca="false">SUMPRODUCT(FC_V*((FC_Mon="PYG")*EO$149+(FC_Mon&lt;&gt;"PYG"))*(1+FC_g)^(EO$147-1)*((FC_Desde=0)*(EO$146+EO$145)+(FC_Desde&gt;=1)*(EO$144&gt;=FC_Desde)*EO$145)*FC_IVA/(1+FC_IVA))</f>
        <v>0</v>
      </c>
      <c r="EP195" s="34" t="n">
        <f aca="false">SUMPRODUCT(FC_V*((FC_Mon="PYG")*EP$149+(FC_Mon&lt;&gt;"PYG"))*(1+FC_g)^(EP$147-1)*((FC_Desde=0)*(EP$146+EP$145)+(FC_Desde&gt;=1)*(EP$144&gt;=FC_Desde)*EP$145)*FC_IVA/(1+FC_IVA))</f>
        <v>0</v>
      </c>
      <c r="EQ195" s="34" t="n">
        <f aca="false">SUMPRODUCT(FC_V*((FC_Mon="PYG")*EQ$149+(FC_Mon&lt;&gt;"PYG"))*(1+FC_g)^(EQ$147-1)*((FC_Desde=0)*(EQ$146+EQ$145)+(FC_Desde&gt;=1)*(EQ$144&gt;=FC_Desde)*EQ$145)*FC_IVA/(1+FC_IVA))</f>
        <v>0</v>
      </c>
      <c r="ER195" s="34" t="n">
        <f aca="false">SUMPRODUCT(FC_V*((FC_Mon="PYG")*ER$149+(FC_Mon&lt;&gt;"PYG"))*(1+FC_g)^(ER$147-1)*((FC_Desde=0)*(ER$146+ER$145)+(FC_Desde&gt;=1)*(ER$144&gt;=FC_Desde)*ER$145)*FC_IVA/(1+FC_IVA))</f>
        <v>0</v>
      </c>
      <c r="ES195" s="34" t="n">
        <f aca="false">SUMPRODUCT(FC_V*((FC_Mon="PYG")*ES$149+(FC_Mon&lt;&gt;"PYG"))*(1+FC_g)^(ES$147-1)*((FC_Desde=0)*(ES$146+ES$145)+(FC_Desde&gt;=1)*(ES$144&gt;=FC_Desde)*ES$145)*FC_IVA/(1+FC_IVA))</f>
        <v>0</v>
      </c>
    </row>
    <row r="196" customFormat="false" ht="15" hidden="false" customHeight="false" outlineLevel="0" collapsed="false">
      <c r="A196" s="4"/>
      <c r="B196" s="3" t="s">
        <v>623</v>
      </c>
      <c r="C196" s="4"/>
      <c r="D196" s="4"/>
      <c r="E196" s="4"/>
    </row>
    <row r="197" customFormat="false" ht="15" hidden="false" customHeight="false" outlineLevel="0" collapsed="false">
      <c r="A197" s="2" t="s">
        <v>811</v>
      </c>
      <c r="B197" s="6" t="s">
        <v>625</v>
      </c>
      <c r="C197" s="6" t="s">
        <v>250</v>
      </c>
      <c r="E197" s="40" t="n">
        <f aca="false">SUM(F197:ES197)</f>
        <v>39318093.38356</v>
      </c>
      <c r="F197" s="34" t="n">
        <f aca="false">IF(F$8=1,IF(Reales!$C$38="PYG",IF(F$10&gt;0,N(Reales!F38)/F$10,0),N(Reales!F38)),F$177+F$178)</f>
        <v>199172.5</v>
      </c>
      <c r="G197" s="34" t="n">
        <f aca="false">IF(G$8=1,IF(Reales!$C$38="PYG",IF(G$10&gt;0,N(Reales!G38)/G$10,0),N(Reales!G38)),G$177+G$178)</f>
        <v>199172.5</v>
      </c>
      <c r="H197" s="34" t="n">
        <f aca="false">IF(H$8=1,IF(Reales!$C$38="PYG",IF(H$10&gt;0,N(Reales!H38)/H$10,0),N(Reales!H38)),H$177+H$178)</f>
        <v>199172.5</v>
      </c>
      <c r="I197" s="34" t="n">
        <f aca="false">IF(I$8=1,IF(Reales!$C$38="PYG",IF(I$10&gt;0,N(Reales!I38)/I$10,0),N(Reales!I38)),I$177+I$178)</f>
        <v>199172.5</v>
      </c>
      <c r="J197" s="34" t="n">
        <f aca="false">IF(J$8=1,IF(Reales!$C$38="PYG",IF(J$10&gt;0,N(Reales!J38)/J$10,0),N(Reales!J38)),J$177+J$178)</f>
        <v>199172.5</v>
      </c>
      <c r="K197" s="34" t="n">
        <f aca="false">IF(K$8=1,IF(Reales!$C$38="PYG",IF(K$10&gt;0,N(Reales!K38)/K$10,0),N(Reales!K38)),K$177+K$178)</f>
        <v>199172.5</v>
      </c>
      <c r="L197" s="34" t="n">
        <f aca="false">IF(L$8=1,IF(Reales!$C$38="PYG",IF(L$10&gt;0,N(Reales!L38)/L$10,0),N(Reales!L38)),L$177+L$178)</f>
        <v>199172.5</v>
      </c>
      <c r="M197" s="34" t="n">
        <f aca="false">IF(M$8=1,IF(Reales!$C$38="PYG",IF(M$10&gt;0,N(Reales!M38)/M$10,0),N(Reales!M38)),M$177+M$178)</f>
        <v>199172.5</v>
      </c>
      <c r="N197" s="34" t="n">
        <f aca="false">IF(N$8=1,IF(Reales!$C$38="PYG",IF(N$10&gt;0,N(Reales!N38)/N$10,0),N(Reales!N38)),N$177+N$178)</f>
        <v>199172.5</v>
      </c>
      <c r="O197" s="34" t="n">
        <f aca="false">IF(O$8=1,IF(Reales!$C$38="PYG",IF(O$10&gt;0,N(Reales!O38)/O$10,0),N(Reales!O38)),O$177+O$178)</f>
        <v>199172.5</v>
      </c>
      <c r="P197" s="34" t="n">
        <f aca="false">IF(P$8=1,IF(Reales!$C$38="PYG",IF(P$10&gt;0,N(Reales!P38)/P$10,0),N(Reales!P38)),P$177+P$178)</f>
        <v>199172.5</v>
      </c>
      <c r="Q197" s="34" t="n">
        <f aca="false">IF(Q$8=1,IF(Reales!$C$38="PYG",IF(Q$10&gt;0,N(Reales!Q38)/Q$10,0),N(Reales!Q38)),Q$177+Q$178)</f>
        <v>199172.5</v>
      </c>
      <c r="R197" s="34" t="n">
        <f aca="false">IF(R$8=1,IF(Reales!$C$38="PYG",IF(R$10&gt;0,N(Reales!R38)/R$10,0),N(Reales!R38)),R$177+R$178)</f>
        <v>253108.875</v>
      </c>
      <c r="S197" s="34" t="n">
        <f aca="false">IF(S$8=1,IF(Reales!$C$38="PYG",IF(S$10&gt;0,N(Reales!S38)/S$10,0),N(Reales!S38)),S$177+S$178)</f>
        <v>253108.875</v>
      </c>
      <c r="T197" s="34" t="n">
        <f aca="false">IF(T$8=1,IF(Reales!$C$38="PYG",IF(T$10&gt;0,N(Reales!T38)/T$10,0),N(Reales!T38)),T$177+T$178)</f>
        <v>253108.875</v>
      </c>
      <c r="U197" s="34" t="n">
        <f aca="false">IF(U$8=1,IF(Reales!$C$38="PYG",IF(U$10&gt;0,N(Reales!U38)/U$10,0),N(Reales!U38)),U$177+U$178)</f>
        <v>253108.875</v>
      </c>
      <c r="V197" s="34" t="n">
        <f aca="false">IF(V$8=1,IF(Reales!$C$38="PYG",IF(V$10&gt;0,N(Reales!V38)/V$10,0),N(Reales!V38)),V$177+V$178)</f>
        <v>253108.875</v>
      </c>
      <c r="W197" s="34" t="n">
        <f aca="false">IF(W$8=1,IF(Reales!$C$38="PYG",IF(W$10&gt;0,N(Reales!W38)/W$10,0),N(Reales!W38)),W$177+W$178)</f>
        <v>253108.875</v>
      </c>
      <c r="X197" s="34" t="n">
        <f aca="false">IF(X$8=1,IF(Reales!$C$38="PYG",IF(X$10&gt;0,N(Reales!X38)/X$10,0),N(Reales!X38)),X$177+X$178)</f>
        <v>253108.875</v>
      </c>
      <c r="Y197" s="34" t="n">
        <f aca="false">IF(Y$8=1,IF(Reales!$C$38="PYG",IF(Y$10&gt;0,N(Reales!Y38)/Y$10,0),N(Reales!Y38)),Y$177+Y$178)</f>
        <v>253108.875</v>
      </c>
      <c r="Z197" s="34" t="n">
        <f aca="false">IF(Z$8=1,IF(Reales!$C$38="PYG",IF(Z$10&gt;0,N(Reales!Z38)/Z$10,0),N(Reales!Z38)),Z$177+Z$178)</f>
        <v>253108.875</v>
      </c>
      <c r="AA197" s="34" t="n">
        <f aca="false">IF(AA$8=1,IF(Reales!$C$38="PYG",IF(AA$10&gt;0,N(Reales!AA38)/AA$10,0),N(Reales!AA38)),AA$177+AA$178)</f>
        <v>253108.875</v>
      </c>
      <c r="AB197" s="34" t="n">
        <f aca="false">IF(AB$8=1,IF(Reales!$C$38="PYG",IF(AB$10&gt;0,N(Reales!AB38)/AB$10,0),N(Reales!AB38)),AB$177+AB$178)</f>
        <v>253108.875</v>
      </c>
      <c r="AC197" s="34" t="n">
        <f aca="false">IF(AC$8=1,IF(Reales!$C$38="PYG",IF(AC$10&gt;0,N(Reales!AC38)/AC$10,0),N(Reales!AC38)),AC$177+AC$178)</f>
        <v>253108.875</v>
      </c>
      <c r="AD197" s="34" t="n">
        <f aca="false">IF(AD$8=1,IF(Reales!$C$38="PYG",IF(AD$10&gt;0,N(Reales!AD38)/AD$10,0),N(Reales!AD38)),AD$177+AD$178)</f>
        <v>307724.69</v>
      </c>
      <c r="AE197" s="34" t="n">
        <f aca="false">IF(AE$8=1,IF(Reales!$C$38="PYG",IF(AE$10&gt;0,N(Reales!AE38)/AE$10,0),N(Reales!AE38)),AE$177+AE$178)</f>
        <v>307724.69</v>
      </c>
      <c r="AF197" s="34" t="n">
        <f aca="false">IF(AF$8=1,IF(Reales!$C$38="PYG",IF(AF$10&gt;0,N(Reales!AF38)/AF$10,0),N(Reales!AF38)),AF$177+AF$178)</f>
        <v>307724.69</v>
      </c>
      <c r="AG197" s="34" t="n">
        <f aca="false">IF(AG$8=1,IF(Reales!$C$38="PYG",IF(AG$10&gt;0,N(Reales!AG38)/AG$10,0),N(Reales!AG38)),AG$177+AG$178)</f>
        <v>307724.69</v>
      </c>
      <c r="AH197" s="34" t="n">
        <f aca="false">IF(AH$8=1,IF(Reales!$C$38="PYG",IF(AH$10&gt;0,N(Reales!AH38)/AH$10,0),N(Reales!AH38)),AH$177+AH$178)</f>
        <v>307724.69</v>
      </c>
      <c r="AI197" s="34" t="n">
        <f aca="false">IF(AI$8=1,IF(Reales!$C$38="PYG",IF(AI$10&gt;0,N(Reales!AI38)/AI$10,0),N(Reales!AI38)),AI$177+AI$178)</f>
        <v>307724.69</v>
      </c>
      <c r="AJ197" s="34" t="n">
        <f aca="false">IF(AJ$8=1,IF(Reales!$C$38="PYG",IF(AJ$10&gt;0,N(Reales!AJ38)/AJ$10,0),N(Reales!AJ38)),AJ$177+AJ$178)</f>
        <v>307724.69</v>
      </c>
      <c r="AK197" s="34" t="n">
        <f aca="false">IF(AK$8=1,IF(Reales!$C$38="PYG",IF(AK$10&gt;0,N(Reales!AK38)/AK$10,0),N(Reales!AK38)),AK$177+AK$178)</f>
        <v>307724.69</v>
      </c>
      <c r="AL197" s="34" t="n">
        <f aca="false">IF(AL$8=1,IF(Reales!$C$38="PYG",IF(AL$10&gt;0,N(Reales!AL38)/AL$10,0),N(Reales!AL38)),AL$177+AL$178)</f>
        <v>307724.69</v>
      </c>
      <c r="AM197" s="34" t="n">
        <f aca="false">IF(AM$8=1,IF(Reales!$C$38="PYG",IF(AM$10&gt;0,N(Reales!AM38)/AM$10,0),N(Reales!AM38)),AM$177+AM$178)</f>
        <v>307724.69</v>
      </c>
      <c r="AN197" s="34" t="n">
        <f aca="false">IF(AN$8=1,IF(Reales!$C$38="PYG",IF(AN$10&gt;0,N(Reales!AN38)/AN$10,0),N(Reales!AN38)),AN$177+AN$178)</f>
        <v>307724.69</v>
      </c>
      <c r="AO197" s="34" t="n">
        <f aca="false">IF(AO$8=1,IF(Reales!$C$38="PYG",IF(AO$10&gt;0,N(Reales!AO38)/AO$10,0),N(Reales!AO38)),AO$177+AO$178)</f>
        <v>307724.69</v>
      </c>
      <c r="AP197" s="34" t="n">
        <f aca="false">IF(AP$8=1,IF(Reales!$C$38="PYG",IF(AP$10&gt;0,N(Reales!AP38)/AP$10,0),N(Reales!AP38)),AP$177+AP$178)</f>
        <v>352625.4649875</v>
      </c>
      <c r="AQ197" s="34" t="n">
        <f aca="false">IF(AQ$8=1,IF(Reales!$C$38="PYG",IF(AQ$10&gt;0,N(Reales!AQ38)/AQ$10,0),N(Reales!AQ38)),AQ$177+AQ$178)</f>
        <v>352625.4649875</v>
      </c>
      <c r="AR197" s="34" t="n">
        <f aca="false">IF(AR$8=1,IF(Reales!$C$38="PYG",IF(AR$10&gt;0,N(Reales!AR38)/AR$10,0),N(Reales!AR38)),AR$177+AR$178)</f>
        <v>352625.4649875</v>
      </c>
      <c r="AS197" s="34" t="n">
        <f aca="false">IF(AS$8=1,IF(Reales!$C$38="PYG",IF(AS$10&gt;0,N(Reales!AS38)/AS$10,0),N(Reales!AS38)),AS$177+AS$178)</f>
        <v>352625.4649875</v>
      </c>
      <c r="AT197" s="34" t="n">
        <f aca="false">IF(AT$8=1,IF(Reales!$C$38="PYG",IF(AT$10&gt;0,N(Reales!AT38)/AT$10,0),N(Reales!AT38)),AT$177+AT$178)</f>
        <v>352625.4649875</v>
      </c>
      <c r="AU197" s="34" t="n">
        <f aca="false">IF(AU$8=1,IF(Reales!$C$38="PYG",IF(AU$10&gt;0,N(Reales!AU38)/AU$10,0),N(Reales!AU38)),AU$177+AU$178)</f>
        <v>352625.4649875</v>
      </c>
      <c r="AV197" s="34" t="n">
        <f aca="false">IF(AV$8=1,IF(Reales!$C$38="PYG",IF(AV$10&gt;0,N(Reales!AV38)/AV$10,0),N(Reales!AV38)),AV$177+AV$178)</f>
        <v>352625.4649875</v>
      </c>
      <c r="AW197" s="34" t="n">
        <f aca="false">IF(AW$8=1,IF(Reales!$C$38="PYG",IF(AW$10&gt;0,N(Reales!AW38)/AW$10,0),N(Reales!AW38)),AW$177+AW$178)</f>
        <v>352625.4649875</v>
      </c>
      <c r="AX197" s="34" t="n">
        <f aca="false">IF(AX$8=1,IF(Reales!$C$38="PYG",IF(AX$10&gt;0,N(Reales!AX38)/AX$10,0),N(Reales!AX38)),AX$177+AX$178)</f>
        <v>352625.4649875</v>
      </c>
      <c r="AY197" s="34" t="n">
        <f aca="false">IF(AY$8=1,IF(Reales!$C$38="PYG",IF(AY$10&gt;0,N(Reales!AY38)/AY$10,0),N(Reales!AY38)),AY$177+AY$178)</f>
        <v>352625.4649875</v>
      </c>
      <c r="AZ197" s="34" t="n">
        <f aca="false">IF(AZ$8=1,IF(Reales!$C$38="PYG",IF(AZ$10&gt;0,N(Reales!AZ38)/AZ$10,0),N(Reales!AZ38)),AZ$177+AZ$178)</f>
        <v>352625.4649875</v>
      </c>
      <c r="BA197" s="34" t="n">
        <f aca="false">IF(BA$8=1,IF(Reales!$C$38="PYG",IF(BA$10&gt;0,N(Reales!BA38)/BA$10,0),N(Reales!BA38)),BA$177+BA$178)</f>
        <v>352625.4649875</v>
      </c>
      <c r="BB197" s="34" t="n">
        <f aca="false">IF(BB$8=1,IF(Reales!$C$38="PYG",IF(BB$10&gt;0,N(Reales!BB38)/BB$10,0),N(Reales!BB38)),BB$177+BB$178)</f>
        <v>354879.119637375</v>
      </c>
      <c r="BC197" s="34" t="n">
        <f aca="false">IF(BC$8=1,IF(Reales!$C$38="PYG",IF(BC$10&gt;0,N(Reales!BC38)/BC$10,0),N(Reales!BC38)),BC$177+BC$178)</f>
        <v>354879.119637375</v>
      </c>
      <c r="BD197" s="34" t="n">
        <f aca="false">IF(BD$8=1,IF(Reales!$C$38="PYG",IF(BD$10&gt;0,N(Reales!BD38)/BD$10,0),N(Reales!BD38)),BD$177+BD$178)</f>
        <v>354879.119637375</v>
      </c>
      <c r="BE197" s="34" t="n">
        <f aca="false">IF(BE$8=1,IF(Reales!$C$38="PYG",IF(BE$10&gt;0,N(Reales!BE38)/BE$10,0),N(Reales!BE38)),BE$177+BE$178)</f>
        <v>354879.119637375</v>
      </c>
      <c r="BF197" s="34" t="n">
        <f aca="false">IF(BF$8=1,IF(Reales!$C$38="PYG",IF(BF$10&gt;0,N(Reales!BF38)/BF$10,0),N(Reales!BF38)),BF$177+BF$178)</f>
        <v>354879.119637375</v>
      </c>
      <c r="BG197" s="34" t="n">
        <f aca="false">IF(BG$8=1,IF(Reales!$C$38="PYG",IF(BG$10&gt;0,N(Reales!BG38)/BG$10,0),N(Reales!BG38)),BG$177+BG$178)</f>
        <v>354879.119637375</v>
      </c>
      <c r="BH197" s="34" t="n">
        <f aca="false">IF(BH$8=1,IF(Reales!$C$38="PYG",IF(BH$10&gt;0,N(Reales!BH38)/BH$10,0),N(Reales!BH38)),BH$177+BH$178)</f>
        <v>354879.119637375</v>
      </c>
      <c r="BI197" s="34" t="n">
        <f aca="false">IF(BI$8=1,IF(Reales!$C$38="PYG",IF(BI$10&gt;0,N(Reales!BI38)/BI$10,0),N(Reales!BI38)),BI$177+BI$178)</f>
        <v>354879.119637375</v>
      </c>
      <c r="BJ197" s="34" t="n">
        <f aca="false">IF(BJ$8=1,IF(Reales!$C$38="PYG",IF(BJ$10&gt;0,N(Reales!BJ38)/BJ$10,0),N(Reales!BJ38)),BJ$177+BJ$178)</f>
        <v>354879.119637375</v>
      </c>
      <c r="BK197" s="34" t="n">
        <f aca="false">IF(BK$8=1,IF(Reales!$C$38="PYG",IF(BK$10&gt;0,N(Reales!BK38)/BK$10,0),N(Reales!BK38)),BK$177+BK$178)</f>
        <v>354879.119637375</v>
      </c>
      <c r="BL197" s="34" t="n">
        <f aca="false">IF(BL$8=1,IF(Reales!$C$38="PYG",IF(BL$10&gt;0,N(Reales!BL38)/BL$10,0),N(Reales!BL38)),BL$177+BL$178)</f>
        <v>354879.119637375</v>
      </c>
      <c r="BM197" s="34" t="n">
        <f aca="false">IF(BM$8=1,IF(Reales!$C$38="PYG",IF(BM$10&gt;0,N(Reales!BM38)/BM$10,0),N(Reales!BM38)),BM$177+BM$178)</f>
        <v>354879.119637375</v>
      </c>
      <c r="BN197" s="34" t="n">
        <f aca="false">IF(BN$8=1,IF(Reales!$C$38="PYG",IF(BN$10&gt;0,N(Reales!BN38)/BN$10,0),N(Reales!BN38)),BN$177+BN$178)</f>
        <v>357155.310833749</v>
      </c>
      <c r="BO197" s="34" t="n">
        <f aca="false">IF(BO$8=1,IF(Reales!$C$38="PYG",IF(BO$10&gt;0,N(Reales!BO38)/BO$10,0),N(Reales!BO38)),BO$177+BO$178)</f>
        <v>357155.310833749</v>
      </c>
      <c r="BP197" s="34" t="n">
        <f aca="false">IF(BP$8=1,IF(Reales!$C$38="PYG",IF(BP$10&gt;0,N(Reales!BP38)/BP$10,0),N(Reales!BP38)),BP$177+BP$178)</f>
        <v>357155.310833749</v>
      </c>
      <c r="BQ197" s="34" t="n">
        <f aca="false">IF(BQ$8=1,IF(Reales!$C$38="PYG",IF(BQ$10&gt;0,N(Reales!BQ38)/BQ$10,0),N(Reales!BQ38)),BQ$177+BQ$178)</f>
        <v>357155.310833749</v>
      </c>
      <c r="BR197" s="34" t="n">
        <f aca="false">IF(BR$8=1,IF(Reales!$C$38="PYG",IF(BR$10&gt;0,N(Reales!BR38)/BR$10,0),N(Reales!BR38)),BR$177+BR$178)</f>
        <v>357155.310833749</v>
      </c>
      <c r="BS197" s="34" t="n">
        <f aca="false">IF(BS$8=1,IF(Reales!$C$38="PYG",IF(BS$10&gt;0,N(Reales!BS38)/BS$10,0),N(Reales!BS38)),BS$177+BS$178)</f>
        <v>357155.310833749</v>
      </c>
      <c r="BT197" s="34" t="n">
        <f aca="false">IF(BT$8=1,IF(Reales!$C$38="PYG",IF(BT$10&gt;0,N(Reales!BT38)/BT$10,0),N(Reales!BT38)),BT$177+BT$178)</f>
        <v>357155.310833749</v>
      </c>
      <c r="BU197" s="34" t="n">
        <f aca="false">IF(BU$8=1,IF(Reales!$C$38="PYG",IF(BU$10&gt;0,N(Reales!BU38)/BU$10,0),N(Reales!BU38)),BU$177+BU$178)</f>
        <v>357155.310833749</v>
      </c>
      <c r="BV197" s="34" t="n">
        <f aca="false">IF(BV$8=1,IF(Reales!$C$38="PYG",IF(BV$10&gt;0,N(Reales!BV38)/BV$10,0),N(Reales!BV38)),BV$177+BV$178)</f>
        <v>357155.310833749</v>
      </c>
      <c r="BW197" s="34" t="n">
        <f aca="false">IF(BW$8=1,IF(Reales!$C$38="PYG",IF(BW$10&gt;0,N(Reales!BW38)/BW$10,0),N(Reales!BW38)),BW$177+BW$178)</f>
        <v>357155.310833749</v>
      </c>
      <c r="BX197" s="34" t="n">
        <f aca="false">IF(BX$8=1,IF(Reales!$C$38="PYG",IF(BX$10&gt;0,N(Reales!BX38)/BX$10,0),N(Reales!BX38)),BX$177+BX$178)</f>
        <v>357155.310833749</v>
      </c>
      <c r="BY197" s="34" t="n">
        <f aca="false">IF(BY$8=1,IF(Reales!$C$38="PYG",IF(BY$10&gt;0,N(Reales!BY38)/BY$10,0),N(Reales!BY38)),BY$177+BY$178)</f>
        <v>357155.310833749</v>
      </c>
      <c r="BZ197" s="34" t="n">
        <f aca="false">IF(BZ$8=1,IF(Reales!$C$38="PYG",IF(BZ$10&gt;0,N(Reales!BZ38)/BZ$10,0),N(Reales!BZ38)),BZ$177+BZ$178)</f>
        <v>359454.263942086</v>
      </c>
      <c r="CA197" s="34" t="n">
        <f aca="false">IF(CA$8=1,IF(Reales!$C$38="PYG",IF(CA$10&gt;0,N(Reales!CA38)/CA$10,0),N(Reales!CA38)),CA$177+CA$178)</f>
        <v>359454.263942086</v>
      </c>
      <c r="CB197" s="34" t="n">
        <f aca="false">IF(CB$8=1,IF(Reales!$C$38="PYG",IF(CB$10&gt;0,N(Reales!CB38)/CB$10,0),N(Reales!CB38)),CB$177+CB$178)</f>
        <v>359454.263942086</v>
      </c>
      <c r="CC197" s="34" t="n">
        <f aca="false">IF(CC$8=1,IF(Reales!$C$38="PYG",IF(CC$10&gt;0,N(Reales!CC38)/CC$10,0),N(Reales!CC38)),CC$177+CC$178)</f>
        <v>359454.263942086</v>
      </c>
      <c r="CD197" s="34" t="n">
        <f aca="false">IF(CD$8=1,IF(Reales!$C$38="PYG",IF(CD$10&gt;0,N(Reales!CD38)/CD$10,0),N(Reales!CD38)),CD$177+CD$178)</f>
        <v>359454.263942086</v>
      </c>
      <c r="CE197" s="34" t="n">
        <f aca="false">IF(CE$8=1,IF(Reales!$C$38="PYG",IF(CE$10&gt;0,N(Reales!CE38)/CE$10,0),N(Reales!CE38)),CE$177+CE$178)</f>
        <v>359454.263942086</v>
      </c>
      <c r="CF197" s="34" t="n">
        <f aca="false">IF(CF$8=1,IF(Reales!$C$38="PYG",IF(CF$10&gt;0,N(Reales!CF38)/CF$10,0),N(Reales!CF38)),CF$177+CF$178)</f>
        <v>359454.263942086</v>
      </c>
      <c r="CG197" s="34" t="n">
        <f aca="false">IF(CG$8=1,IF(Reales!$C$38="PYG",IF(CG$10&gt;0,N(Reales!CG38)/CG$10,0),N(Reales!CG38)),CG$177+CG$178)</f>
        <v>359454.263942086</v>
      </c>
      <c r="CH197" s="34" t="n">
        <f aca="false">IF(CH$8=1,IF(Reales!$C$38="PYG",IF(CH$10&gt;0,N(Reales!CH38)/CH$10,0),N(Reales!CH38)),CH$177+CH$178)</f>
        <v>359454.263942086</v>
      </c>
      <c r="CI197" s="34" t="n">
        <f aca="false">IF(CI$8=1,IF(Reales!$C$38="PYG",IF(CI$10&gt;0,N(Reales!CI38)/CI$10,0),N(Reales!CI38)),CI$177+CI$178)</f>
        <v>359454.263942086</v>
      </c>
      <c r="CJ197" s="34" t="n">
        <f aca="false">IF(CJ$8=1,IF(Reales!$C$38="PYG",IF(CJ$10&gt;0,N(Reales!CJ38)/CJ$10,0),N(Reales!CJ38)),CJ$177+CJ$178)</f>
        <v>359454.263942086</v>
      </c>
      <c r="CK197" s="34" t="n">
        <f aca="false">IF(CK$8=1,IF(Reales!$C$38="PYG",IF(CK$10&gt;0,N(Reales!CK38)/CK$10,0),N(Reales!CK38)),CK$177+CK$178)</f>
        <v>359454.263942086</v>
      </c>
      <c r="CL197" s="34" t="n">
        <f aca="false">IF(CL$8=1,IF(Reales!$C$38="PYG",IF(CL$10&gt;0,N(Reales!CL38)/CL$10,0),N(Reales!CL38)),CL$177+CL$178)</f>
        <v>361776.206581507</v>
      </c>
      <c r="CM197" s="34" t="n">
        <f aca="false">IF(CM$8=1,IF(Reales!$C$38="PYG",IF(CM$10&gt;0,N(Reales!CM38)/CM$10,0),N(Reales!CM38)),CM$177+CM$178)</f>
        <v>361776.206581507</v>
      </c>
      <c r="CN197" s="34" t="n">
        <f aca="false">IF(CN$8=1,IF(Reales!$C$38="PYG",IF(CN$10&gt;0,N(Reales!CN38)/CN$10,0),N(Reales!CN38)),CN$177+CN$178)</f>
        <v>361776.206581507</v>
      </c>
      <c r="CO197" s="34" t="n">
        <f aca="false">IF(CO$8=1,IF(Reales!$C$38="PYG",IF(CO$10&gt;0,N(Reales!CO38)/CO$10,0),N(Reales!CO38)),CO$177+CO$178)</f>
        <v>361776.206581507</v>
      </c>
      <c r="CP197" s="34" t="n">
        <f aca="false">IF(CP$8=1,IF(Reales!$C$38="PYG",IF(CP$10&gt;0,N(Reales!CP38)/CP$10,0),N(Reales!CP38)),CP$177+CP$178)</f>
        <v>361776.206581507</v>
      </c>
      <c r="CQ197" s="34" t="n">
        <f aca="false">IF(CQ$8=1,IF(Reales!$C$38="PYG",IF(CQ$10&gt;0,N(Reales!CQ38)/CQ$10,0),N(Reales!CQ38)),CQ$177+CQ$178)</f>
        <v>361776.206581507</v>
      </c>
      <c r="CR197" s="34" t="n">
        <f aca="false">IF(CR$8=1,IF(Reales!$C$38="PYG",IF(CR$10&gt;0,N(Reales!CR38)/CR$10,0),N(Reales!CR38)),CR$177+CR$178)</f>
        <v>361776.206581507</v>
      </c>
      <c r="CS197" s="34" t="n">
        <f aca="false">IF(CS$8=1,IF(Reales!$C$38="PYG",IF(CS$10&gt;0,N(Reales!CS38)/CS$10,0),N(Reales!CS38)),CS$177+CS$178)</f>
        <v>361776.206581507</v>
      </c>
      <c r="CT197" s="34" t="n">
        <f aca="false">IF(CT$8=1,IF(Reales!$C$38="PYG",IF(CT$10&gt;0,N(Reales!CT38)/CT$10,0),N(Reales!CT38)),CT$177+CT$178)</f>
        <v>361776.206581507</v>
      </c>
      <c r="CU197" s="34" t="n">
        <f aca="false">IF(CU$8=1,IF(Reales!$C$38="PYG",IF(CU$10&gt;0,N(Reales!CU38)/CU$10,0),N(Reales!CU38)),CU$177+CU$178)</f>
        <v>361776.206581507</v>
      </c>
      <c r="CV197" s="34" t="n">
        <f aca="false">IF(CV$8=1,IF(Reales!$C$38="PYG",IF(CV$10&gt;0,N(Reales!CV38)/CV$10,0),N(Reales!CV38)),CV$177+CV$178)</f>
        <v>361776.206581507</v>
      </c>
      <c r="CW197" s="34" t="n">
        <f aca="false">IF(CW$8=1,IF(Reales!$C$38="PYG",IF(CW$10&gt;0,N(Reales!CW38)/CW$10,0),N(Reales!CW38)),CW$177+CW$178)</f>
        <v>361776.206581507</v>
      </c>
      <c r="CX197" s="34" t="n">
        <f aca="false">IF(CX$8=1,IF(Reales!$C$38="PYG",IF(CX$10&gt;0,N(Reales!CX38)/CX$10,0),N(Reales!CX38)),CX$177+CX$178)</f>
        <v>364121.368647322</v>
      </c>
      <c r="CY197" s="34" t="n">
        <f aca="false">IF(CY$8=1,IF(Reales!$C$38="PYG",IF(CY$10&gt;0,N(Reales!CY38)/CY$10,0),N(Reales!CY38)),CY$177+CY$178)</f>
        <v>364121.368647322</v>
      </c>
      <c r="CZ197" s="34" t="n">
        <f aca="false">IF(CZ$8=1,IF(Reales!$C$38="PYG",IF(CZ$10&gt;0,N(Reales!CZ38)/CZ$10,0),N(Reales!CZ38)),CZ$177+CZ$178)</f>
        <v>364121.368647322</v>
      </c>
      <c r="DA197" s="34" t="n">
        <f aca="false">IF(DA$8=1,IF(Reales!$C$38="PYG",IF(DA$10&gt;0,N(Reales!DA38)/DA$10,0),N(Reales!DA38)),DA$177+DA$178)</f>
        <v>364121.368647322</v>
      </c>
      <c r="DB197" s="34" t="n">
        <f aca="false">IF(DB$8=1,IF(Reales!$C$38="PYG",IF(DB$10&gt;0,N(Reales!DB38)/DB$10,0),N(Reales!DB38)),DB$177+DB$178)</f>
        <v>364121.368647322</v>
      </c>
      <c r="DC197" s="34" t="n">
        <f aca="false">IF(DC$8=1,IF(Reales!$C$38="PYG",IF(DC$10&gt;0,N(Reales!DC38)/DC$10,0),N(Reales!DC38)),DC$177+DC$178)</f>
        <v>364121.368647322</v>
      </c>
      <c r="DD197" s="34" t="n">
        <f aca="false">IF(DD$8=1,IF(Reales!$C$38="PYG",IF(DD$10&gt;0,N(Reales!DD38)/DD$10,0),N(Reales!DD38)),DD$177+DD$178)</f>
        <v>364121.368647322</v>
      </c>
      <c r="DE197" s="34" t="n">
        <f aca="false">IF(DE$8=1,IF(Reales!$C$38="PYG",IF(DE$10&gt;0,N(Reales!DE38)/DE$10,0),N(Reales!DE38)),DE$177+DE$178)</f>
        <v>364121.368647322</v>
      </c>
      <c r="DF197" s="34" t="n">
        <f aca="false">IF(DF$8=1,IF(Reales!$C$38="PYG",IF(DF$10&gt;0,N(Reales!DF38)/DF$10,0),N(Reales!DF38)),DF$177+DF$178)</f>
        <v>364121.368647322</v>
      </c>
      <c r="DG197" s="34" t="n">
        <f aca="false">IF(DG$8=1,IF(Reales!$C$38="PYG",IF(DG$10&gt;0,N(Reales!DG38)/DG$10,0),N(Reales!DG38)),DG$177+DG$178)</f>
        <v>364121.368647322</v>
      </c>
      <c r="DH197" s="34" t="n">
        <f aca="false">IF(DH$8=1,IF(Reales!$C$38="PYG",IF(DH$10&gt;0,N(Reales!DH38)/DH$10,0),N(Reales!DH38)),DH$177+DH$178)</f>
        <v>364121.368647322</v>
      </c>
      <c r="DI197" s="34" t="n">
        <f aca="false">IF(DI$8=1,IF(Reales!$C$38="PYG",IF(DI$10&gt;0,N(Reales!DI38)/DI$10,0),N(Reales!DI38)),DI$177+DI$178)</f>
        <v>364121.368647322</v>
      </c>
      <c r="DJ197" s="34" t="n">
        <f aca="false">IF(DJ$8=1,IF(Reales!$C$38="PYG",IF(DJ$10&gt;0,N(Reales!DJ38)/DJ$10,0),N(Reales!DJ38)),DJ$177+DJ$178)</f>
        <v>366489.982333795</v>
      </c>
      <c r="DK197" s="34" t="n">
        <f aca="false">IF(DK$8=1,IF(Reales!$C$38="PYG",IF(DK$10&gt;0,N(Reales!DK38)/DK$10,0),N(Reales!DK38)),DK$177+DK$178)</f>
        <v>366489.982333795</v>
      </c>
      <c r="DL197" s="34" t="n">
        <f aca="false">IF(DL$8=1,IF(Reales!$C$38="PYG",IF(DL$10&gt;0,N(Reales!DL38)/DL$10,0),N(Reales!DL38)),DL$177+DL$178)</f>
        <v>366489.982333795</v>
      </c>
      <c r="DM197" s="34" t="n">
        <f aca="false">IF(DM$8=1,IF(Reales!$C$38="PYG",IF(DM$10&gt;0,N(Reales!DM38)/DM$10,0),N(Reales!DM38)),DM$177+DM$178)</f>
        <v>366489.982333795</v>
      </c>
      <c r="DN197" s="34" t="n">
        <f aca="false">IF(DN$8=1,IF(Reales!$C$38="PYG",IF(DN$10&gt;0,N(Reales!DN38)/DN$10,0),N(Reales!DN38)),DN$177+DN$178)</f>
        <v>366489.982333795</v>
      </c>
      <c r="DO197" s="34" t="n">
        <f aca="false">IF(DO$8=1,IF(Reales!$C$38="PYG",IF(DO$10&gt;0,N(Reales!DO38)/DO$10,0),N(Reales!DO38)),DO$177+DO$178)</f>
        <v>366489.982333795</v>
      </c>
      <c r="DP197" s="34" t="n">
        <f aca="false">IF(DP$8=1,IF(Reales!$C$38="PYG",IF(DP$10&gt;0,N(Reales!DP38)/DP$10,0),N(Reales!DP38)),DP$177+DP$178)</f>
        <v>366489.982333795</v>
      </c>
      <c r="DQ197" s="34" t="n">
        <f aca="false">IF(DQ$8=1,IF(Reales!$C$38="PYG",IF(DQ$10&gt;0,N(Reales!DQ38)/DQ$10,0),N(Reales!DQ38)),DQ$177+DQ$178)</f>
        <v>366489.982333795</v>
      </c>
      <c r="DR197" s="34" t="n">
        <f aca="false">IF(DR$8=1,IF(Reales!$C$38="PYG",IF(DR$10&gt;0,N(Reales!DR38)/DR$10,0),N(Reales!DR38)),DR$177+DR$178)</f>
        <v>366489.982333795</v>
      </c>
      <c r="DS197" s="34" t="n">
        <f aca="false">IF(DS$8=1,IF(Reales!$C$38="PYG",IF(DS$10&gt;0,N(Reales!DS38)/DS$10,0),N(Reales!DS38)),DS$177+DS$178)</f>
        <v>366489.982333795</v>
      </c>
      <c r="DT197" s="34" t="n">
        <f aca="false">IF(DT$8=1,IF(Reales!$C$38="PYG",IF(DT$10&gt;0,N(Reales!DT38)/DT$10,0),N(Reales!DT38)),DT$177+DT$178)</f>
        <v>366489.982333795</v>
      </c>
      <c r="DU197" s="34" t="n">
        <f aca="false">IF(DU$8=1,IF(Reales!$C$38="PYG",IF(DU$10&gt;0,N(Reales!DU38)/DU$10,0),N(Reales!DU38)),DU$177+DU$178)</f>
        <v>366489.982333795</v>
      </c>
      <c r="DV197" s="34" t="n">
        <f aca="false">IF(DV$8=1,IF(Reales!$C$38="PYG",IF(DV$10&gt;0,N(Reales!DV38)/DV$10,0),N(Reales!DV38)),DV$177+DV$178)</f>
        <v>0</v>
      </c>
      <c r="DW197" s="34" t="n">
        <f aca="false">IF(DW$8=1,IF(Reales!$C$38="PYG",IF(DW$10&gt;0,N(Reales!DW38)/DW$10,0),N(Reales!DW38)),DW$177+DW$178)</f>
        <v>0</v>
      </c>
      <c r="DX197" s="34" t="n">
        <f aca="false">IF(DX$8=1,IF(Reales!$C$38="PYG",IF(DX$10&gt;0,N(Reales!DX38)/DX$10,0),N(Reales!DX38)),DX$177+DX$178)</f>
        <v>0</v>
      </c>
      <c r="DY197" s="34" t="n">
        <f aca="false">IF(DY$8=1,IF(Reales!$C$38="PYG",IF(DY$10&gt;0,N(Reales!DY38)/DY$10,0),N(Reales!DY38)),DY$177+DY$178)</f>
        <v>0</v>
      </c>
      <c r="DZ197" s="34" t="n">
        <f aca="false">IF(DZ$8=1,IF(Reales!$C$38="PYG",IF(DZ$10&gt;0,N(Reales!DZ38)/DZ$10,0),N(Reales!DZ38)),DZ$177+DZ$178)</f>
        <v>0</v>
      </c>
      <c r="EA197" s="34" t="n">
        <f aca="false">IF(EA$8=1,IF(Reales!$C$38="PYG",IF(EA$10&gt;0,N(Reales!EA38)/EA$10,0),N(Reales!EA38)),EA$177+EA$178)</f>
        <v>0</v>
      </c>
      <c r="EB197" s="34" t="n">
        <f aca="false">IF(EB$8=1,IF(Reales!$C$38="PYG",IF(EB$10&gt;0,N(Reales!EB38)/EB$10,0),N(Reales!EB38)),EB$177+EB$178)</f>
        <v>0</v>
      </c>
      <c r="EC197" s="34" t="n">
        <f aca="false">IF(EC$8=1,IF(Reales!$C$38="PYG",IF(EC$10&gt;0,N(Reales!EC38)/EC$10,0),N(Reales!EC38)),EC$177+EC$178)</f>
        <v>0</v>
      </c>
      <c r="ED197" s="34" t="n">
        <f aca="false">IF(ED$8=1,IF(Reales!$C$38="PYG",IF(ED$10&gt;0,N(Reales!ED38)/ED$10,0),N(Reales!ED38)),ED$177+ED$178)</f>
        <v>0</v>
      </c>
      <c r="EE197" s="34" t="n">
        <f aca="false">IF(EE$8=1,IF(Reales!$C$38="PYG",IF(EE$10&gt;0,N(Reales!EE38)/EE$10,0),N(Reales!EE38)),EE$177+EE$178)</f>
        <v>0</v>
      </c>
      <c r="EF197" s="34" t="n">
        <f aca="false">IF(EF$8=1,IF(Reales!$C$38="PYG",IF(EF$10&gt;0,N(Reales!EF38)/EF$10,0),N(Reales!EF38)),EF$177+EF$178)</f>
        <v>0</v>
      </c>
      <c r="EG197" s="34" t="n">
        <f aca="false">IF(EG$8=1,IF(Reales!$C$38="PYG",IF(EG$10&gt;0,N(Reales!EG38)/EG$10,0),N(Reales!EG38)),EG$177+EG$178)</f>
        <v>0</v>
      </c>
      <c r="EH197" s="34" t="n">
        <f aca="false">IF(EH$8=1,IF(Reales!$C$38="PYG",IF(EH$10&gt;0,N(Reales!EH38)/EH$10,0),N(Reales!EH38)),EH$177+EH$178)</f>
        <v>0</v>
      </c>
      <c r="EI197" s="34" t="n">
        <f aca="false">IF(EI$8=1,IF(Reales!$C$38="PYG",IF(EI$10&gt;0,N(Reales!EI38)/EI$10,0),N(Reales!EI38)),EI$177+EI$178)</f>
        <v>0</v>
      </c>
      <c r="EJ197" s="34" t="n">
        <f aca="false">IF(EJ$8=1,IF(Reales!$C$38="PYG",IF(EJ$10&gt;0,N(Reales!EJ38)/EJ$10,0),N(Reales!EJ38)),EJ$177+EJ$178)</f>
        <v>0</v>
      </c>
      <c r="EK197" s="34" t="n">
        <f aca="false">IF(EK$8=1,IF(Reales!$C$38="PYG",IF(EK$10&gt;0,N(Reales!EK38)/EK$10,0),N(Reales!EK38)),EK$177+EK$178)</f>
        <v>0</v>
      </c>
      <c r="EL197" s="34" t="n">
        <f aca="false">IF(EL$8=1,IF(Reales!$C$38="PYG",IF(EL$10&gt;0,N(Reales!EL38)/EL$10,0),N(Reales!EL38)),EL$177+EL$178)</f>
        <v>0</v>
      </c>
      <c r="EM197" s="34" t="n">
        <f aca="false">IF(EM$8=1,IF(Reales!$C$38="PYG",IF(EM$10&gt;0,N(Reales!EM38)/EM$10,0),N(Reales!EM38)),EM$177+EM$178)</f>
        <v>0</v>
      </c>
      <c r="EN197" s="34" t="n">
        <f aca="false">IF(EN$8=1,IF(Reales!$C$38="PYG",IF(EN$10&gt;0,N(Reales!EN38)/EN$10,0),N(Reales!EN38)),EN$177+EN$178)</f>
        <v>0</v>
      </c>
      <c r="EO197" s="34" t="n">
        <f aca="false">IF(EO$8=1,IF(Reales!$C$38="PYG",IF(EO$10&gt;0,N(Reales!EO38)/EO$10,0),N(Reales!EO38)),EO$177+EO$178)</f>
        <v>0</v>
      </c>
      <c r="EP197" s="34" t="n">
        <f aca="false">IF(EP$8=1,IF(Reales!$C$38="PYG",IF(EP$10&gt;0,N(Reales!EP38)/EP$10,0),N(Reales!EP38)),EP$177+EP$178)</f>
        <v>0</v>
      </c>
      <c r="EQ197" s="34" t="n">
        <f aca="false">IF(EQ$8=1,IF(Reales!$C$38="PYG",IF(EQ$10&gt;0,N(Reales!EQ38)/EQ$10,0),N(Reales!EQ38)),EQ$177+EQ$178)</f>
        <v>0</v>
      </c>
      <c r="ER197" s="34" t="n">
        <f aca="false">IF(ER$8=1,IF(Reales!$C$38="PYG",IF(ER$10&gt;0,N(Reales!ER38)/ER$10,0),N(Reales!ER38)),ER$177+ER$178)</f>
        <v>0</v>
      </c>
      <c r="ES197" s="34" t="n">
        <f aca="false">IF(ES$8=1,IF(Reales!$C$38="PYG",IF(ES$10&gt;0,N(Reales!ES38)/ES$10,0),N(Reales!ES38)),ES$177+ES$178)</f>
        <v>0</v>
      </c>
    </row>
    <row r="198" customFormat="false" ht="15" hidden="false" customHeight="false" outlineLevel="0" collapsed="false">
      <c r="A198" s="2" t="s">
        <v>812</v>
      </c>
      <c r="B198" s="6" t="s">
        <v>627</v>
      </c>
      <c r="C198" s="6" t="s">
        <v>250</v>
      </c>
      <c r="E198" s="40" t="n">
        <f aca="false">SUM(F198:ES198)</f>
        <v>10172052.5275746</v>
      </c>
      <c r="F198" s="34" t="n">
        <f aca="false">IF(F$8=1,IF(Reales!$C$39="PYG",IF(F$10&gt;0,N(Reales!F39)/F$10,0),N(Reales!F39)),F$179+F$180+F$187+F$188)</f>
        <v>52969.9652546379</v>
      </c>
      <c r="G198" s="34" t="n">
        <f aca="false">IF(G$8=1,IF(Reales!$C$39="PYG",IF(G$10&gt;0,N(Reales!G39)/G$10,0),N(Reales!G39)),G$179+G$180+G$187+G$188)</f>
        <v>52969.9652546379</v>
      </c>
      <c r="H198" s="34" t="n">
        <f aca="false">IF(H$8=1,IF(Reales!$C$39="PYG",IF(H$10&gt;0,N(Reales!H39)/H$10,0),N(Reales!H39)),H$179+H$180+H$187+H$188)</f>
        <v>52969.9652546379</v>
      </c>
      <c r="I198" s="34" t="n">
        <f aca="false">IF(I$8=1,IF(Reales!$C$39="PYG",IF(I$10&gt;0,N(Reales!I39)/I$10,0),N(Reales!I39)),I$179+I$180+I$187+I$188)</f>
        <v>52969.9652546379</v>
      </c>
      <c r="J198" s="34" t="n">
        <f aca="false">IF(J$8=1,IF(Reales!$C$39="PYG",IF(J$10&gt;0,N(Reales!J39)/J$10,0),N(Reales!J39)),J$179+J$180+J$187+J$188)</f>
        <v>52969.9652546379</v>
      </c>
      <c r="K198" s="34" t="n">
        <f aca="false">IF(K$8=1,IF(Reales!$C$39="PYG",IF(K$10&gt;0,N(Reales!K39)/K$10,0),N(Reales!K39)),K$179+K$180+K$187+K$188)</f>
        <v>52969.9652546379</v>
      </c>
      <c r="L198" s="34" t="n">
        <f aca="false">IF(L$8=1,IF(Reales!$C$39="PYG",IF(L$10&gt;0,N(Reales!L39)/L$10,0),N(Reales!L39)),L$179+L$180+L$187+L$188)</f>
        <v>52969.9652546379</v>
      </c>
      <c r="M198" s="34" t="n">
        <f aca="false">IF(M$8=1,IF(Reales!$C$39="PYG",IF(M$10&gt;0,N(Reales!M39)/M$10,0),N(Reales!M39)),M$179+M$180+M$187+M$188)</f>
        <v>52969.9652546379</v>
      </c>
      <c r="N198" s="34" t="n">
        <f aca="false">IF(N$8=1,IF(Reales!$C$39="PYG",IF(N$10&gt;0,N(Reales!N39)/N$10,0),N(Reales!N39)),N$179+N$180+N$187+N$188)</f>
        <v>52969.9652546379</v>
      </c>
      <c r="O198" s="34" t="n">
        <f aca="false">IF(O$8=1,IF(Reales!$C$39="PYG",IF(O$10&gt;0,N(Reales!O39)/O$10,0),N(Reales!O39)),O$179+O$180+O$187+O$188)</f>
        <v>52969.9652546379</v>
      </c>
      <c r="P198" s="34" t="n">
        <f aca="false">IF(P$8=1,IF(Reales!$C$39="PYG",IF(P$10&gt;0,N(Reales!P39)/P$10,0),N(Reales!P39)),P$179+P$180+P$187+P$188)</f>
        <v>52969.9652546379</v>
      </c>
      <c r="Q198" s="34" t="n">
        <f aca="false">IF(Q$8=1,IF(Reales!$C$39="PYG",IF(Q$10&gt;0,N(Reales!Q39)/Q$10,0),N(Reales!Q39)),Q$179+Q$180+Q$187+Q$188)</f>
        <v>52969.9652546379</v>
      </c>
      <c r="R198" s="34" t="n">
        <f aca="false">IF(R$8=1,IF(Reales!$C$39="PYG",IF(R$10&gt;0,N(Reales!R39)/R$10,0),N(Reales!R39)),R$179+R$180+R$187+R$188)</f>
        <v>66880.9601704712</v>
      </c>
      <c r="S198" s="34" t="n">
        <f aca="false">IF(S$8=1,IF(Reales!$C$39="PYG",IF(S$10&gt;0,N(Reales!S39)/S$10,0),N(Reales!S39)),S$179+S$180+S$187+S$188)</f>
        <v>66880.9601704712</v>
      </c>
      <c r="T198" s="34" t="n">
        <f aca="false">IF(T$8=1,IF(Reales!$C$39="PYG",IF(T$10&gt;0,N(Reales!T39)/T$10,0),N(Reales!T39)),T$179+T$180+T$187+T$188)</f>
        <v>66880.9601704712</v>
      </c>
      <c r="U198" s="34" t="n">
        <f aca="false">IF(U$8=1,IF(Reales!$C$39="PYG",IF(U$10&gt;0,N(Reales!U39)/U$10,0),N(Reales!U39)),U$179+U$180+U$187+U$188)</f>
        <v>66880.9601704712</v>
      </c>
      <c r="V198" s="34" t="n">
        <f aca="false">IF(V$8=1,IF(Reales!$C$39="PYG",IF(V$10&gt;0,N(Reales!V39)/V$10,0),N(Reales!V39)),V$179+V$180+V$187+V$188)</f>
        <v>66880.9601704712</v>
      </c>
      <c r="W198" s="34" t="n">
        <f aca="false">IF(W$8=1,IF(Reales!$C$39="PYG",IF(W$10&gt;0,N(Reales!W39)/W$10,0),N(Reales!W39)),W$179+W$180+W$187+W$188)</f>
        <v>66880.9601704712</v>
      </c>
      <c r="X198" s="34" t="n">
        <f aca="false">IF(X$8=1,IF(Reales!$C$39="PYG",IF(X$10&gt;0,N(Reales!X39)/X$10,0),N(Reales!X39)),X$179+X$180+X$187+X$188)</f>
        <v>66880.9601704712</v>
      </c>
      <c r="Y198" s="34" t="n">
        <f aca="false">IF(Y$8=1,IF(Reales!$C$39="PYG",IF(Y$10&gt;0,N(Reales!Y39)/Y$10,0),N(Reales!Y39)),Y$179+Y$180+Y$187+Y$188)</f>
        <v>66880.9601704712</v>
      </c>
      <c r="Z198" s="34" t="n">
        <f aca="false">IF(Z$8=1,IF(Reales!$C$39="PYG",IF(Z$10&gt;0,N(Reales!Z39)/Z$10,0),N(Reales!Z39)),Z$179+Z$180+Z$187+Z$188)</f>
        <v>66880.9601704712</v>
      </c>
      <c r="AA198" s="34" t="n">
        <f aca="false">IF(AA$8=1,IF(Reales!$C$39="PYG",IF(AA$10&gt;0,N(Reales!AA39)/AA$10,0),N(Reales!AA39)),AA$179+AA$180+AA$187+AA$188)</f>
        <v>66880.9601704712</v>
      </c>
      <c r="AB198" s="34" t="n">
        <f aca="false">IF(AB$8=1,IF(Reales!$C$39="PYG",IF(AB$10&gt;0,N(Reales!AB39)/AB$10,0),N(Reales!AB39)),AB$179+AB$180+AB$187+AB$188)</f>
        <v>66880.9601704712</v>
      </c>
      <c r="AC198" s="34" t="n">
        <f aca="false">IF(AC$8=1,IF(Reales!$C$39="PYG",IF(AC$10&gt;0,N(Reales!AC39)/AC$10,0),N(Reales!AC39)),AC$179+AC$180+AC$187+AC$188)</f>
        <v>66880.9601704712</v>
      </c>
      <c r="AD198" s="34" t="n">
        <f aca="false">IF(AD$8=1,IF(Reales!$C$39="PYG",IF(AD$10&gt;0,N(Reales!AD39)/AD$10,0),N(Reales!AD39)),AD$179+AD$180+AD$187+AD$188)</f>
        <v>80847.7651147422</v>
      </c>
      <c r="AE198" s="34" t="n">
        <f aca="false">IF(AE$8=1,IF(Reales!$C$39="PYG",IF(AE$10&gt;0,N(Reales!AE39)/AE$10,0),N(Reales!AE39)),AE$179+AE$180+AE$187+AE$188)</f>
        <v>80847.7651147422</v>
      </c>
      <c r="AF198" s="34" t="n">
        <f aca="false">IF(AF$8=1,IF(Reales!$C$39="PYG",IF(AF$10&gt;0,N(Reales!AF39)/AF$10,0),N(Reales!AF39)),AF$179+AF$180+AF$187+AF$188)</f>
        <v>80847.7651147422</v>
      </c>
      <c r="AG198" s="34" t="n">
        <f aca="false">IF(AG$8=1,IF(Reales!$C$39="PYG",IF(AG$10&gt;0,N(Reales!AG39)/AG$10,0),N(Reales!AG39)),AG$179+AG$180+AG$187+AG$188)</f>
        <v>80847.7651147422</v>
      </c>
      <c r="AH198" s="34" t="n">
        <f aca="false">IF(AH$8=1,IF(Reales!$C$39="PYG",IF(AH$10&gt;0,N(Reales!AH39)/AH$10,0),N(Reales!AH39)),AH$179+AH$180+AH$187+AH$188)</f>
        <v>80847.7651147422</v>
      </c>
      <c r="AI198" s="34" t="n">
        <f aca="false">IF(AI$8=1,IF(Reales!$C$39="PYG",IF(AI$10&gt;0,N(Reales!AI39)/AI$10,0),N(Reales!AI39)),AI$179+AI$180+AI$187+AI$188)</f>
        <v>80847.7651147422</v>
      </c>
      <c r="AJ198" s="34" t="n">
        <f aca="false">IF(AJ$8=1,IF(Reales!$C$39="PYG",IF(AJ$10&gt;0,N(Reales!AJ39)/AJ$10,0),N(Reales!AJ39)),AJ$179+AJ$180+AJ$187+AJ$188)</f>
        <v>80847.7651147422</v>
      </c>
      <c r="AK198" s="34" t="n">
        <f aca="false">IF(AK$8=1,IF(Reales!$C$39="PYG",IF(AK$10&gt;0,N(Reales!AK39)/AK$10,0),N(Reales!AK39)),AK$179+AK$180+AK$187+AK$188)</f>
        <v>80847.7651147422</v>
      </c>
      <c r="AL198" s="34" t="n">
        <f aca="false">IF(AL$8=1,IF(Reales!$C$39="PYG",IF(AL$10&gt;0,N(Reales!AL39)/AL$10,0),N(Reales!AL39)),AL$179+AL$180+AL$187+AL$188)</f>
        <v>80847.7651147422</v>
      </c>
      <c r="AM198" s="34" t="n">
        <f aca="false">IF(AM$8=1,IF(Reales!$C$39="PYG",IF(AM$10&gt;0,N(Reales!AM39)/AM$10,0),N(Reales!AM39)),AM$179+AM$180+AM$187+AM$188)</f>
        <v>80847.7651147422</v>
      </c>
      <c r="AN198" s="34" t="n">
        <f aca="false">IF(AN$8=1,IF(Reales!$C$39="PYG",IF(AN$10&gt;0,N(Reales!AN39)/AN$10,0),N(Reales!AN39)),AN$179+AN$180+AN$187+AN$188)</f>
        <v>80847.7651147422</v>
      </c>
      <c r="AO198" s="34" t="n">
        <f aca="false">IF(AO$8=1,IF(Reales!$C$39="PYG",IF(AO$10&gt;0,N(Reales!AO39)/AO$10,0),N(Reales!AO39)),AO$179+AO$180+AO$187+AO$188)</f>
        <v>80847.7651147422</v>
      </c>
      <c r="AP198" s="34" t="n">
        <f aca="false">IF(AP$8=1,IF(Reales!$C$39="PYG",IF(AP$10&gt;0,N(Reales!AP39)/AP$10,0),N(Reales!AP39)),AP$179+AP$180+AP$187+AP$188)</f>
        <v>92105.4112574529</v>
      </c>
      <c r="AQ198" s="34" t="n">
        <f aca="false">IF(AQ$8=1,IF(Reales!$C$39="PYG",IF(AQ$10&gt;0,N(Reales!AQ39)/AQ$10,0),N(Reales!AQ39)),AQ$179+AQ$180+AQ$187+AQ$188)</f>
        <v>92105.4112574529</v>
      </c>
      <c r="AR198" s="34" t="n">
        <f aca="false">IF(AR$8=1,IF(Reales!$C$39="PYG",IF(AR$10&gt;0,N(Reales!AR39)/AR$10,0),N(Reales!AR39)),AR$179+AR$180+AR$187+AR$188)</f>
        <v>92105.4112574529</v>
      </c>
      <c r="AS198" s="34" t="n">
        <f aca="false">IF(AS$8=1,IF(Reales!$C$39="PYG",IF(AS$10&gt;0,N(Reales!AS39)/AS$10,0),N(Reales!AS39)),AS$179+AS$180+AS$187+AS$188)</f>
        <v>92105.4112574529</v>
      </c>
      <c r="AT198" s="34" t="n">
        <f aca="false">IF(AT$8=1,IF(Reales!$C$39="PYG",IF(AT$10&gt;0,N(Reales!AT39)/AT$10,0),N(Reales!AT39)),AT$179+AT$180+AT$187+AT$188)</f>
        <v>92105.4112574529</v>
      </c>
      <c r="AU198" s="34" t="n">
        <f aca="false">IF(AU$8=1,IF(Reales!$C$39="PYG",IF(AU$10&gt;0,N(Reales!AU39)/AU$10,0),N(Reales!AU39)),AU$179+AU$180+AU$187+AU$188)</f>
        <v>92105.4112574529</v>
      </c>
      <c r="AV198" s="34" t="n">
        <f aca="false">IF(AV$8=1,IF(Reales!$C$39="PYG",IF(AV$10&gt;0,N(Reales!AV39)/AV$10,0),N(Reales!AV39)),AV$179+AV$180+AV$187+AV$188)</f>
        <v>92105.4112574529</v>
      </c>
      <c r="AW198" s="34" t="n">
        <f aca="false">IF(AW$8=1,IF(Reales!$C$39="PYG",IF(AW$10&gt;0,N(Reales!AW39)/AW$10,0),N(Reales!AW39)),AW$179+AW$180+AW$187+AW$188)</f>
        <v>92105.4112574529</v>
      </c>
      <c r="AX198" s="34" t="n">
        <f aca="false">IF(AX$8=1,IF(Reales!$C$39="PYG",IF(AX$10&gt;0,N(Reales!AX39)/AX$10,0),N(Reales!AX39)),AX$179+AX$180+AX$187+AX$188)</f>
        <v>92105.4112574529</v>
      </c>
      <c r="AY198" s="34" t="n">
        <f aca="false">IF(AY$8=1,IF(Reales!$C$39="PYG",IF(AY$10&gt;0,N(Reales!AY39)/AY$10,0),N(Reales!AY39)),AY$179+AY$180+AY$187+AY$188)</f>
        <v>92105.4112574529</v>
      </c>
      <c r="AZ198" s="34" t="n">
        <f aca="false">IF(AZ$8=1,IF(Reales!$C$39="PYG",IF(AZ$10&gt;0,N(Reales!AZ39)/AZ$10,0),N(Reales!AZ39)),AZ$179+AZ$180+AZ$187+AZ$188)</f>
        <v>92105.4112574529</v>
      </c>
      <c r="BA198" s="34" t="n">
        <f aca="false">IF(BA$8=1,IF(Reales!$C$39="PYG",IF(BA$10&gt;0,N(Reales!BA39)/BA$10,0),N(Reales!BA39)),BA$179+BA$180+BA$187+BA$188)</f>
        <v>92105.4112574529</v>
      </c>
      <c r="BB198" s="34" t="n">
        <f aca="false">IF(BB$8=1,IF(Reales!$C$39="PYG",IF(BB$10&gt;0,N(Reales!BB39)/BB$10,0),N(Reales!BB39)),BB$179+BB$180+BB$187+BB$188)</f>
        <v>92228.6256826153</v>
      </c>
      <c r="BC198" s="34" t="n">
        <f aca="false">IF(BC$8=1,IF(Reales!$C$39="PYG",IF(BC$10&gt;0,N(Reales!BC39)/BC$10,0),N(Reales!BC39)),BC$179+BC$180+BC$187+BC$188)</f>
        <v>92228.6256826153</v>
      </c>
      <c r="BD198" s="34" t="n">
        <f aca="false">IF(BD$8=1,IF(Reales!$C$39="PYG",IF(BD$10&gt;0,N(Reales!BD39)/BD$10,0),N(Reales!BD39)),BD$179+BD$180+BD$187+BD$188)</f>
        <v>92228.6256826153</v>
      </c>
      <c r="BE198" s="34" t="n">
        <f aca="false">IF(BE$8=1,IF(Reales!$C$39="PYG",IF(BE$10&gt;0,N(Reales!BE39)/BE$10,0),N(Reales!BE39)),BE$179+BE$180+BE$187+BE$188)</f>
        <v>92228.6256826153</v>
      </c>
      <c r="BF198" s="34" t="n">
        <f aca="false">IF(BF$8=1,IF(Reales!$C$39="PYG",IF(BF$10&gt;0,N(Reales!BF39)/BF$10,0),N(Reales!BF39)),BF$179+BF$180+BF$187+BF$188)</f>
        <v>92228.6256826153</v>
      </c>
      <c r="BG198" s="34" t="n">
        <f aca="false">IF(BG$8=1,IF(Reales!$C$39="PYG",IF(BG$10&gt;0,N(Reales!BG39)/BG$10,0),N(Reales!BG39)),BG$179+BG$180+BG$187+BG$188)</f>
        <v>92228.6256826153</v>
      </c>
      <c r="BH198" s="34" t="n">
        <f aca="false">IF(BH$8=1,IF(Reales!$C$39="PYG",IF(BH$10&gt;0,N(Reales!BH39)/BH$10,0),N(Reales!BH39)),BH$179+BH$180+BH$187+BH$188)</f>
        <v>92228.6256826153</v>
      </c>
      <c r="BI198" s="34" t="n">
        <f aca="false">IF(BI$8=1,IF(Reales!$C$39="PYG",IF(BI$10&gt;0,N(Reales!BI39)/BI$10,0),N(Reales!BI39)),BI$179+BI$180+BI$187+BI$188)</f>
        <v>92228.6256826153</v>
      </c>
      <c r="BJ198" s="34" t="n">
        <f aca="false">IF(BJ$8=1,IF(Reales!$C$39="PYG",IF(BJ$10&gt;0,N(Reales!BJ39)/BJ$10,0),N(Reales!BJ39)),BJ$179+BJ$180+BJ$187+BJ$188)</f>
        <v>92228.6256826153</v>
      </c>
      <c r="BK198" s="34" t="n">
        <f aca="false">IF(BK$8=1,IF(Reales!$C$39="PYG",IF(BK$10&gt;0,N(Reales!BK39)/BK$10,0),N(Reales!BK39)),BK$179+BK$180+BK$187+BK$188)</f>
        <v>92228.6256826153</v>
      </c>
      <c r="BL198" s="34" t="n">
        <f aca="false">IF(BL$8=1,IF(Reales!$C$39="PYG",IF(BL$10&gt;0,N(Reales!BL39)/BL$10,0),N(Reales!BL39)),BL$179+BL$180+BL$187+BL$188)</f>
        <v>92228.6256826153</v>
      </c>
      <c r="BM198" s="34" t="n">
        <f aca="false">IF(BM$8=1,IF(Reales!$C$39="PYG",IF(BM$10&gt;0,N(Reales!BM39)/BM$10,0),N(Reales!BM39)),BM$179+BM$180+BM$187+BM$188)</f>
        <v>92228.6256826153</v>
      </c>
      <c r="BN198" s="34" t="n">
        <f aca="false">IF(BN$8=1,IF(Reales!$C$39="PYG",IF(BN$10&gt;0,N(Reales!BN39)/BN$10,0),N(Reales!BN39)),BN$179+BN$180+BN$187+BN$188)</f>
        <v>92326.9835736405</v>
      </c>
      <c r="BO198" s="34" t="n">
        <f aca="false">IF(BO$8=1,IF(Reales!$C$39="PYG",IF(BO$10&gt;0,N(Reales!BO39)/BO$10,0),N(Reales!BO39)),BO$179+BO$180+BO$187+BO$188)</f>
        <v>92326.9835736405</v>
      </c>
      <c r="BP198" s="34" t="n">
        <f aca="false">IF(BP$8=1,IF(Reales!$C$39="PYG",IF(BP$10&gt;0,N(Reales!BP39)/BP$10,0),N(Reales!BP39)),BP$179+BP$180+BP$187+BP$188)</f>
        <v>92326.9835736405</v>
      </c>
      <c r="BQ198" s="34" t="n">
        <f aca="false">IF(BQ$8=1,IF(Reales!$C$39="PYG",IF(BQ$10&gt;0,N(Reales!BQ39)/BQ$10,0),N(Reales!BQ39)),BQ$179+BQ$180+BQ$187+BQ$188)</f>
        <v>92326.9835736405</v>
      </c>
      <c r="BR198" s="34" t="n">
        <f aca="false">IF(BR$8=1,IF(Reales!$C$39="PYG",IF(BR$10&gt;0,N(Reales!BR39)/BR$10,0),N(Reales!BR39)),BR$179+BR$180+BR$187+BR$188)</f>
        <v>92326.9835736405</v>
      </c>
      <c r="BS198" s="34" t="n">
        <f aca="false">IF(BS$8=1,IF(Reales!$C$39="PYG",IF(BS$10&gt;0,N(Reales!BS39)/BS$10,0),N(Reales!BS39)),BS$179+BS$180+BS$187+BS$188)</f>
        <v>92326.9835736405</v>
      </c>
      <c r="BT198" s="34" t="n">
        <f aca="false">IF(BT$8=1,IF(Reales!$C$39="PYG",IF(BT$10&gt;0,N(Reales!BT39)/BT$10,0),N(Reales!BT39)),BT$179+BT$180+BT$187+BT$188)</f>
        <v>92326.9835736405</v>
      </c>
      <c r="BU198" s="34" t="n">
        <f aca="false">IF(BU$8=1,IF(Reales!$C$39="PYG",IF(BU$10&gt;0,N(Reales!BU39)/BU$10,0),N(Reales!BU39)),BU$179+BU$180+BU$187+BU$188)</f>
        <v>92326.9835736405</v>
      </c>
      <c r="BV198" s="34" t="n">
        <f aca="false">IF(BV$8=1,IF(Reales!$C$39="PYG",IF(BV$10&gt;0,N(Reales!BV39)/BV$10,0),N(Reales!BV39)),BV$179+BV$180+BV$187+BV$188)</f>
        <v>92326.9835736405</v>
      </c>
      <c r="BW198" s="34" t="n">
        <f aca="false">IF(BW$8=1,IF(Reales!$C$39="PYG",IF(BW$10&gt;0,N(Reales!BW39)/BW$10,0),N(Reales!BW39)),BW$179+BW$180+BW$187+BW$188)</f>
        <v>92326.9835736405</v>
      </c>
      <c r="BX198" s="34" t="n">
        <f aca="false">IF(BX$8=1,IF(Reales!$C$39="PYG",IF(BX$10&gt;0,N(Reales!BX39)/BX$10,0),N(Reales!BX39)),BX$179+BX$180+BX$187+BX$188)</f>
        <v>92326.9835736405</v>
      </c>
      <c r="BY198" s="34" t="n">
        <f aca="false">IF(BY$8=1,IF(Reales!$C$39="PYG",IF(BY$10&gt;0,N(Reales!BY39)/BY$10,0),N(Reales!BY39)),BY$179+BY$180+BY$187+BY$188)</f>
        <v>92326.9835736405</v>
      </c>
      <c r="BZ198" s="34" t="n">
        <f aca="false">IF(BZ$8=1,IF(Reales!$C$39="PYG",IF(BZ$10&gt;0,N(Reales!BZ39)/BZ$10,0),N(Reales!BZ39)),BZ$179+BZ$180+BZ$187+BZ$188)</f>
        <v>92426.325043576</v>
      </c>
      <c r="CA198" s="34" t="n">
        <f aca="false">IF(CA$8=1,IF(Reales!$C$39="PYG",IF(CA$10&gt;0,N(Reales!CA39)/CA$10,0),N(Reales!CA39)),CA$179+CA$180+CA$187+CA$188)</f>
        <v>92426.325043576</v>
      </c>
      <c r="CB198" s="34" t="n">
        <f aca="false">IF(CB$8=1,IF(Reales!$C$39="PYG",IF(CB$10&gt;0,N(Reales!CB39)/CB$10,0),N(Reales!CB39)),CB$179+CB$180+CB$187+CB$188)</f>
        <v>92426.325043576</v>
      </c>
      <c r="CC198" s="34" t="n">
        <f aca="false">IF(CC$8=1,IF(Reales!$C$39="PYG",IF(CC$10&gt;0,N(Reales!CC39)/CC$10,0),N(Reales!CC39)),CC$179+CC$180+CC$187+CC$188)</f>
        <v>92426.325043576</v>
      </c>
      <c r="CD198" s="34" t="n">
        <f aca="false">IF(CD$8=1,IF(Reales!$C$39="PYG",IF(CD$10&gt;0,N(Reales!CD39)/CD$10,0),N(Reales!CD39)),CD$179+CD$180+CD$187+CD$188)</f>
        <v>92426.325043576</v>
      </c>
      <c r="CE198" s="34" t="n">
        <f aca="false">IF(CE$8=1,IF(Reales!$C$39="PYG",IF(CE$10&gt;0,N(Reales!CE39)/CE$10,0),N(Reales!CE39)),CE$179+CE$180+CE$187+CE$188)</f>
        <v>92426.325043576</v>
      </c>
      <c r="CF198" s="34" t="n">
        <f aca="false">IF(CF$8=1,IF(Reales!$C$39="PYG",IF(CF$10&gt;0,N(Reales!CF39)/CF$10,0),N(Reales!CF39)),CF$179+CF$180+CF$187+CF$188)</f>
        <v>92426.325043576</v>
      </c>
      <c r="CG198" s="34" t="n">
        <f aca="false">IF(CG$8=1,IF(Reales!$C$39="PYG",IF(CG$10&gt;0,N(Reales!CG39)/CG$10,0),N(Reales!CG39)),CG$179+CG$180+CG$187+CG$188)</f>
        <v>92426.325043576</v>
      </c>
      <c r="CH198" s="34" t="n">
        <f aca="false">IF(CH$8=1,IF(Reales!$C$39="PYG",IF(CH$10&gt;0,N(Reales!CH39)/CH$10,0),N(Reales!CH39)),CH$179+CH$180+CH$187+CH$188)</f>
        <v>92426.325043576</v>
      </c>
      <c r="CI198" s="34" t="n">
        <f aca="false">IF(CI$8=1,IF(Reales!$C$39="PYG",IF(CI$10&gt;0,N(Reales!CI39)/CI$10,0),N(Reales!CI39)),CI$179+CI$180+CI$187+CI$188)</f>
        <v>92426.325043576</v>
      </c>
      <c r="CJ198" s="34" t="n">
        <f aca="false">IF(CJ$8=1,IF(Reales!$C$39="PYG",IF(CJ$10&gt;0,N(Reales!CJ39)/CJ$10,0),N(Reales!CJ39)),CJ$179+CJ$180+CJ$187+CJ$188)</f>
        <v>92426.325043576</v>
      </c>
      <c r="CK198" s="34" t="n">
        <f aca="false">IF(CK$8=1,IF(Reales!$C$39="PYG",IF(CK$10&gt;0,N(Reales!CK39)/CK$10,0),N(Reales!CK39)),CK$179+CK$180+CK$187+CK$188)</f>
        <v>92426.325043576</v>
      </c>
      <c r="CL198" s="34" t="n">
        <f aca="false">IF(CL$8=1,IF(Reales!$C$39="PYG",IF(CL$10&gt;0,N(Reales!CL39)/CL$10,0),N(Reales!CL39)),CL$179+CL$180+CL$187+CL$188)</f>
        <v>92526.6599282108</v>
      </c>
      <c r="CM198" s="34" t="n">
        <f aca="false">IF(CM$8=1,IF(Reales!$C$39="PYG",IF(CM$10&gt;0,N(Reales!CM39)/CM$10,0),N(Reales!CM39)),CM$179+CM$180+CM$187+CM$188)</f>
        <v>92526.6599282108</v>
      </c>
      <c r="CN198" s="34" t="n">
        <f aca="false">IF(CN$8=1,IF(Reales!$C$39="PYG",IF(CN$10&gt;0,N(Reales!CN39)/CN$10,0),N(Reales!CN39)),CN$179+CN$180+CN$187+CN$188)</f>
        <v>92526.6599282108</v>
      </c>
      <c r="CO198" s="34" t="n">
        <f aca="false">IF(CO$8=1,IF(Reales!$C$39="PYG",IF(CO$10&gt;0,N(Reales!CO39)/CO$10,0),N(Reales!CO39)),CO$179+CO$180+CO$187+CO$188)</f>
        <v>92526.6599282108</v>
      </c>
      <c r="CP198" s="34" t="n">
        <f aca="false">IF(CP$8=1,IF(Reales!$C$39="PYG",IF(CP$10&gt;0,N(Reales!CP39)/CP$10,0),N(Reales!CP39)),CP$179+CP$180+CP$187+CP$188)</f>
        <v>92526.6599282108</v>
      </c>
      <c r="CQ198" s="34" t="n">
        <f aca="false">IF(CQ$8=1,IF(Reales!$C$39="PYG",IF(CQ$10&gt;0,N(Reales!CQ39)/CQ$10,0),N(Reales!CQ39)),CQ$179+CQ$180+CQ$187+CQ$188)</f>
        <v>92526.6599282108</v>
      </c>
      <c r="CR198" s="34" t="n">
        <f aca="false">IF(CR$8=1,IF(Reales!$C$39="PYG",IF(CR$10&gt;0,N(Reales!CR39)/CR$10,0),N(Reales!CR39)),CR$179+CR$180+CR$187+CR$188)</f>
        <v>92526.6599282108</v>
      </c>
      <c r="CS198" s="34" t="n">
        <f aca="false">IF(CS$8=1,IF(Reales!$C$39="PYG",IF(CS$10&gt;0,N(Reales!CS39)/CS$10,0),N(Reales!CS39)),CS$179+CS$180+CS$187+CS$188)</f>
        <v>92526.6599282108</v>
      </c>
      <c r="CT198" s="34" t="n">
        <f aca="false">IF(CT$8=1,IF(Reales!$C$39="PYG",IF(CT$10&gt;0,N(Reales!CT39)/CT$10,0),N(Reales!CT39)),CT$179+CT$180+CT$187+CT$188)</f>
        <v>92526.6599282108</v>
      </c>
      <c r="CU198" s="34" t="n">
        <f aca="false">IF(CU$8=1,IF(Reales!$C$39="PYG",IF(CU$10&gt;0,N(Reales!CU39)/CU$10,0),N(Reales!CU39)),CU$179+CU$180+CU$187+CU$188)</f>
        <v>92526.6599282108</v>
      </c>
      <c r="CV198" s="34" t="n">
        <f aca="false">IF(CV$8=1,IF(Reales!$C$39="PYG",IF(CV$10&gt;0,N(Reales!CV39)/CV$10,0),N(Reales!CV39)),CV$179+CV$180+CV$187+CV$188)</f>
        <v>92526.6599282108</v>
      </c>
      <c r="CW198" s="34" t="n">
        <f aca="false">IF(CW$8=1,IF(Reales!$C$39="PYG",IF(CW$10&gt;0,N(Reales!CW39)/CW$10,0),N(Reales!CW39)),CW$179+CW$180+CW$187+CW$188)</f>
        <v>92526.6599282108</v>
      </c>
      <c r="CX198" s="34" t="n">
        <f aca="false">IF(CX$8=1,IF(Reales!$C$39="PYG",IF(CX$10&gt;0,N(Reales!CX39)/CX$10,0),N(Reales!CX39)),CX$179+CX$180+CX$187+CX$188)</f>
        <v>92627.998161692</v>
      </c>
      <c r="CY198" s="34" t="n">
        <f aca="false">IF(CY$8=1,IF(Reales!$C$39="PYG",IF(CY$10&gt;0,N(Reales!CY39)/CY$10,0),N(Reales!CY39)),CY$179+CY$180+CY$187+CY$188)</f>
        <v>92627.998161692</v>
      </c>
      <c r="CZ198" s="34" t="n">
        <f aca="false">IF(CZ$8=1,IF(Reales!$C$39="PYG",IF(CZ$10&gt;0,N(Reales!CZ39)/CZ$10,0),N(Reales!CZ39)),CZ$179+CZ$180+CZ$187+CZ$188)</f>
        <v>92627.998161692</v>
      </c>
      <c r="DA198" s="34" t="n">
        <f aca="false">IF(DA$8=1,IF(Reales!$C$39="PYG",IF(DA$10&gt;0,N(Reales!DA39)/DA$10,0),N(Reales!DA39)),DA$179+DA$180+DA$187+DA$188)</f>
        <v>92627.998161692</v>
      </c>
      <c r="DB198" s="34" t="n">
        <f aca="false">IF(DB$8=1,IF(Reales!$C$39="PYG",IF(DB$10&gt;0,N(Reales!DB39)/DB$10,0),N(Reales!DB39)),DB$179+DB$180+DB$187+DB$188)</f>
        <v>92627.998161692</v>
      </c>
      <c r="DC198" s="34" t="n">
        <f aca="false">IF(DC$8=1,IF(Reales!$C$39="PYG",IF(DC$10&gt;0,N(Reales!DC39)/DC$10,0),N(Reales!DC39)),DC$179+DC$180+DC$187+DC$188)</f>
        <v>92627.998161692</v>
      </c>
      <c r="DD198" s="34" t="n">
        <f aca="false">IF(DD$8=1,IF(Reales!$C$39="PYG",IF(DD$10&gt;0,N(Reales!DD39)/DD$10,0),N(Reales!DD39)),DD$179+DD$180+DD$187+DD$188)</f>
        <v>92627.998161692</v>
      </c>
      <c r="DE198" s="34" t="n">
        <f aca="false">IF(DE$8=1,IF(Reales!$C$39="PYG",IF(DE$10&gt;0,N(Reales!DE39)/DE$10,0),N(Reales!DE39)),DE$179+DE$180+DE$187+DE$188)</f>
        <v>92627.998161692</v>
      </c>
      <c r="DF198" s="34" t="n">
        <f aca="false">IF(DF$8=1,IF(Reales!$C$39="PYG",IF(DF$10&gt;0,N(Reales!DF39)/DF$10,0),N(Reales!DF39)),DF$179+DF$180+DF$187+DF$188)</f>
        <v>92627.998161692</v>
      </c>
      <c r="DG198" s="34" t="n">
        <f aca="false">IF(DG$8=1,IF(Reales!$C$39="PYG",IF(DG$10&gt;0,N(Reales!DG39)/DG$10,0),N(Reales!DG39)),DG$179+DG$180+DG$187+DG$188)</f>
        <v>92627.998161692</v>
      </c>
      <c r="DH198" s="34" t="n">
        <f aca="false">IF(DH$8=1,IF(Reales!$C$39="PYG",IF(DH$10&gt;0,N(Reales!DH39)/DH$10,0),N(Reales!DH39)),DH$179+DH$180+DH$187+DH$188)</f>
        <v>92627.998161692</v>
      </c>
      <c r="DI198" s="34" t="n">
        <f aca="false">IF(DI$8=1,IF(Reales!$C$39="PYG",IF(DI$10&gt;0,N(Reales!DI39)/DI$10,0),N(Reales!DI39)),DI$179+DI$180+DI$187+DI$188)</f>
        <v>92627.998161692</v>
      </c>
      <c r="DJ198" s="34" t="n">
        <f aca="false">IF(DJ$8=1,IF(Reales!$C$39="PYG",IF(DJ$10&gt;0,N(Reales!DJ39)/DJ$10,0),N(Reales!DJ39)),DJ$179+DJ$180+DJ$187+DJ$188)</f>
        <v>92730.3497775079</v>
      </c>
      <c r="DK198" s="34" t="n">
        <f aca="false">IF(DK$8=1,IF(Reales!$C$39="PYG",IF(DK$10&gt;0,N(Reales!DK39)/DK$10,0),N(Reales!DK39)),DK$179+DK$180+DK$187+DK$188)</f>
        <v>92730.3497775079</v>
      </c>
      <c r="DL198" s="34" t="n">
        <f aca="false">IF(DL$8=1,IF(Reales!$C$39="PYG",IF(DL$10&gt;0,N(Reales!DL39)/DL$10,0),N(Reales!DL39)),DL$179+DL$180+DL$187+DL$188)</f>
        <v>92730.3497775079</v>
      </c>
      <c r="DM198" s="34" t="n">
        <f aca="false">IF(DM$8=1,IF(Reales!$C$39="PYG",IF(DM$10&gt;0,N(Reales!DM39)/DM$10,0),N(Reales!DM39)),DM$179+DM$180+DM$187+DM$188)</f>
        <v>92730.3497775079</v>
      </c>
      <c r="DN198" s="34" t="n">
        <f aca="false">IF(DN$8=1,IF(Reales!$C$39="PYG",IF(DN$10&gt;0,N(Reales!DN39)/DN$10,0),N(Reales!DN39)),DN$179+DN$180+DN$187+DN$188)</f>
        <v>92730.3497775079</v>
      </c>
      <c r="DO198" s="34" t="n">
        <f aca="false">IF(DO$8=1,IF(Reales!$C$39="PYG",IF(DO$10&gt;0,N(Reales!DO39)/DO$10,0),N(Reales!DO39)),DO$179+DO$180+DO$187+DO$188)</f>
        <v>92730.3497775079</v>
      </c>
      <c r="DP198" s="34" t="n">
        <f aca="false">IF(DP$8=1,IF(Reales!$C$39="PYG",IF(DP$10&gt;0,N(Reales!DP39)/DP$10,0),N(Reales!DP39)),DP$179+DP$180+DP$187+DP$188)</f>
        <v>92730.3497775079</v>
      </c>
      <c r="DQ198" s="34" t="n">
        <f aca="false">IF(DQ$8=1,IF(Reales!$C$39="PYG",IF(DQ$10&gt;0,N(Reales!DQ39)/DQ$10,0),N(Reales!DQ39)),DQ$179+DQ$180+DQ$187+DQ$188)</f>
        <v>92730.3497775079</v>
      </c>
      <c r="DR198" s="34" t="n">
        <f aca="false">IF(DR$8=1,IF(Reales!$C$39="PYG",IF(DR$10&gt;0,N(Reales!DR39)/DR$10,0),N(Reales!DR39)),DR$179+DR$180+DR$187+DR$188)</f>
        <v>92730.3497775079</v>
      </c>
      <c r="DS198" s="34" t="n">
        <f aca="false">IF(DS$8=1,IF(Reales!$C$39="PYG",IF(DS$10&gt;0,N(Reales!DS39)/DS$10,0),N(Reales!DS39)),DS$179+DS$180+DS$187+DS$188)</f>
        <v>92730.3497775079</v>
      </c>
      <c r="DT198" s="34" t="n">
        <f aca="false">IF(DT$8=1,IF(Reales!$C$39="PYG",IF(DT$10&gt;0,N(Reales!DT39)/DT$10,0),N(Reales!DT39)),DT$179+DT$180+DT$187+DT$188)</f>
        <v>92730.3497775079</v>
      </c>
      <c r="DU198" s="34" t="n">
        <f aca="false">IF(DU$8=1,IF(Reales!$C$39="PYG",IF(DU$10&gt;0,N(Reales!DU39)/DU$10,0),N(Reales!DU39)),DU$179+DU$180+DU$187+DU$188)</f>
        <v>92730.3497775079</v>
      </c>
      <c r="DV198" s="34" t="n">
        <f aca="false">IF(DV$8=1,IF(Reales!$C$39="PYG",IF(DV$10&gt;0,N(Reales!DV39)/DV$10,0),N(Reales!DV39)),DV$179+DV$180+DV$187+DV$188)</f>
        <v>0</v>
      </c>
      <c r="DW198" s="34" t="n">
        <f aca="false">IF(DW$8=1,IF(Reales!$C$39="PYG",IF(DW$10&gt;0,N(Reales!DW39)/DW$10,0),N(Reales!DW39)),DW$179+DW$180+DW$187+DW$188)</f>
        <v>0</v>
      </c>
      <c r="DX198" s="34" t="n">
        <f aca="false">IF(DX$8=1,IF(Reales!$C$39="PYG",IF(DX$10&gt;0,N(Reales!DX39)/DX$10,0),N(Reales!DX39)),DX$179+DX$180+DX$187+DX$188)</f>
        <v>0</v>
      </c>
      <c r="DY198" s="34" t="n">
        <f aca="false">IF(DY$8=1,IF(Reales!$C$39="PYG",IF(DY$10&gt;0,N(Reales!DY39)/DY$10,0),N(Reales!DY39)),DY$179+DY$180+DY$187+DY$188)</f>
        <v>0</v>
      </c>
      <c r="DZ198" s="34" t="n">
        <f aca="false">IF(DZ$8=1,IF(Reales!$C$39="PYG",IF(DZ$10&gt;0,N(Reales!DZ39)/DZ$10,0),N(Reales!DZ39)),DZ$179+DZ$180+DZ$187+DZ$188)</f>
        <v>0</v>
      </c>
      <c r="EA198" s="34" t="n">
        <f aca="false">IF(EA$8=1,IF(Reales!$C$39="PYG",IF(EA$10&gt;0,N(Reales!EA39)/EA$10,0),N(Reales!EA39)),EA$179+EA$180+EA$187+EA$188)</f>
        <v>0</v>
      </c>
      <c r="EB198" s="34" t="n">
        <f aca="false">IF(EB$8=1,IF(Reales!$C$39="PYG",IF(EB$10&gt;0,N(Reales!EB39)/EB$10,0),N(Reales!EB39)),EB$179+EB$180+EB$187+EB$188)</f>
        <v>0</v>
      </c>
      <c r="EC198" s="34" t="n">
        <f aca="false">IF(EC$8=1,IF(Reales!$C$39="PYG",IF(EC$10&gt;0,N(Reales!EC39)/EC$10,0),N(Reales!EC39)),EC$179+EC$180+EC$187+EC$188)</f>
        <v>0</v>
      </c>
      <c r="ED198" s="34" t="n">
        <f aca="false">IF(ED$8=1,IF(Reales!$C$39="PYG",IF(ED$10&gt;0,N(Reales!ED39)/ED$10,0),N(Reales!ED39)),ED$179+ED$180+ED$187+ED$188)</f>
        <v>0</v>
      </c>
      <c r="EE198" s="34" t="n">
        <f aca="false">IF(EE$8=1,IF(Reales!$C$39="PYG",IF(EE$10&gt;0,N(Reales!EE39)/EE$10,0),N(Reales!EE39)),EE$179+EE$180+EE$187+EE$188)</f>
        <v>0</v>
      </c>
      <c r="EF198" s="34" t="n">
        <f aca="false">IF(EF$8=1,IF(Reales!$C$39="PYG",IF(EF$10&gt;0,N(Reales!EF39)/EF$10,0),N(Reales!EF39)),EF$179+EF$180+EF$187+EF$188)</f>
        <v>0</v>
      </c>
      <c r="EG198" s="34" t="n">
        <f aca="false">IF(EG$8=1,IF(Reales!$C$39="PYG",IF(EG$10&gt;0,N(Reales!EG39)/EG$10,0),N(Reales!EG39)),EG$179+EG$180+EG$187+EG$188)</f>
        <v>0</v>
      </c>
      <c r="EH198" s="34" t="n">
        <f aca="false">IF(EH$8=1,IF(Reales!$C$39="PYG",IF(EH$10&gt;0,N(Reales!EH39)/EH$10,0),N(Reales!EH39)),EH$179+EH$180+EH$187+EH$188)</f>
        <v>0</v>
      </c>
      <c r="EI198" s="34" t="n">
        <f aca="false">IF(EI$8=1,IF(Reales!$C$39="PYG",IF(EI$10&gt;0,N(Reales!EI39)/EI$10,0),N(Reales!EI39)),EI$179+EI$180+EI$187+EI$188)</f>
        <v>0</v>
      </c>
      <c r="EJ198" s="34" t="n">
        <f aca="false">IF(EJ$8=1,IF(Reales!$C$39="PYG",IF(EJ$10&gt;0,N(Reales!EJ39)/EJ$10,0),N(Reales!EJ39)),EJ$179+EJ$180+EJ$187+EJ$188)</f>
        <v>0</v>
      </c>
      <c r="EK198" s="34" t="n">
        <f aca="false">IF(EK$8=1,IF(Reales!$C$39="PYG",IF(EK$10&gt;0,N(Reales!EK39)/EK$10,0),N(Reales!EK39)),EK$179+EK$180+EK$187+EK$188)</f>
        <v>0</v>
      </c>
      <c r="EL198" s="34" t="n">
        <f aca="false">IF(EL$8=1,IF(Reales!$C$39="PYG",IF(EL$10&gt;0,N(Reales!EL39)/EL$10,0),N(Reales!EL39)),EL$179+EL$180+EL$187+EL$188)</f>
        <v>0</v>
      </c>
      <c r="EM198" s="34" t="n">
        <f aca="false">IF(EM$8=1,IF(Reales!$C$39="PYG",IF(EM$10&gt;0,N(Reales!EM39)/EM$10,0),N(Reales!EM39)),EM$179+EM$180+EM$187+EM$188)</f>
        <v>0</v>
      </c>
      <c r="EN198" s="34" t="n">
        <f aca="false">IF(EN$8=1,IF(Reales!$C$39="PYG",IF(EN$10&gt;0,N(Reales!EN39)/EN$10,0),N(Reales!EN39)),EN$179+EN$180+EN$187+EN$188)</f>
        <v>0</v>
      </c>
      <c r="EO198" s="34" t="n">
        <f aca="false">IF(EO$8=1,IF(Reales!$C$39="PYG",IF(EO$10&gt;0,N(Reales!EO39)/EO$10,0),N(Reales!EO39)),EO$179+EO$180+EO$187+EO$188)</f>
        <v>0</v>
      </c>
      <c r="EP198" s="34" t="n">
        <f aca="false">IF(EP$8=1,IF(Reales!$C$39="PYG",IF(EP$10&gt;0,N(Reales!EP39)/EP$10,0),N(Reales!EP39)),EP$179+EP$180+EP$187+EP$188)</f>
        <v>0</v>
      </c>
      <c r="EQ198" s="34" t="n">
        <f aca="false">IF(EQ$8=1,IF(Reales!$C$39="PYG",IF(EQ$10&gt;0,N(Reales!EQ39)/EQ$10,0),N(Reales!EQ39)),EQ$179+EQ$180+EQ$187+EQ$188)</f>
        <v>0</v>
      </c>
      <c r="ER198" s="34" t="n">
        <f aca="false">IF(ER$8=1,IF(Reales!$C$39="PYG",IF(ER$10&gt;0,N(Reales!ER39)/ER$10,0),N(Reales!ER39)),ER$179+ER$180+ER$187+ER$188)</f>
        <v>0</v>
      </c>
      <c r="ES198" s="34" t="n">
        <f aca="false">IF(ES$8=1,IF(Reales!$C$39="PYG",IF(ES$10&gt;0,N(Reales!ES39)/ES$10,0),N(Reales!ES39)),ES$179+ES$180+ES$187+ES$188)</f>
        <v>0</v>
      </c>
    </row>
    <row r="199" customFormat="false" ht="15" hidden="false" customHeight="false" outlineLevel="0" collapsed="false">
      <c r="A199" s="2" t="s">
        <v>813</v>
      </c>
      <c r="B199" s="6" t="s">
        <v>629</v>
      </c>
      <c r="C199" s="6" t="s">
        <v>250</v>
      </c>
      <c r="E199" s="40" t="n">
        <f aca="false">SUM(F199:ES199)</f>
        <v>6984448.30293321</v>
      </c>
      <c r="F199" s="34" t="n">
        <f aca="false">IF(F$8=1,IF(Reales!$C$40="PYG",IF(F$10&gt;0,N(Reales!F40)/F$10,0),N(Reales!F40)),F$182+F$184)</f>
        <v>53054.720696137</v>
      </c>
      <c r="G199" s="34" t="n">
        <f aca="false">IF(G$8=1,IF(Reales!$C$40="PYG",IF(G$10&gt;0,N(Reales!G40)/G$10,0),N(Reales!G40)),G$182+G$184)</f>
        <v>53054.720696137</v>
      </c>
      <c r="H199" s="34" t="n">
        <f aca="false">IF(H$8=1,IF(Reales!$C$40="PYG",IF(H$10&gt;0,N(Reales!H40)/H$10,0),N(Reales!H40)),H$182+H$184)</f>
        <v>53054.720696137</v>
      </c>
      <c r="I199" s="34" t="n">
        <f aca="false">IF(I$8=1,IF(Reales!$C$40="PYG",IF(I$10&gt;0,N(Reales!I40)/I$10,0),N(Reales!I40)),I$182+I$184)</f>
        <v>53054.720696137</v>
      </c>
      <c r="J199" s="34" t="n">
        <f aca="false">IF(J$8=1,IF(Reales!$C$40="PYG",IF(J$10&gt;0,N(Reales!J40)/J$10,0),N(Reales!J40)),J$182+J$184)</f>
        <v>53054.720696137</v>
      </c>
      <c r="K199" s="34" t="n">
        <f aca="false">IF(K$8=1,IF(Reales!$C$40="PYG",IF(K$10&gt;0,N(Reales!K40)/K$10,0),N(Reales!K40)),K$182+K$184)</f>
        <v>53054.720696137</v>
      </c>
      <c r="L199" s="34" t="n">
        <f aca="false">IF(L$8=1,IF(Reales!$C$40="PYG",IF(L$10&gt;0,N(Reales!L40)/L$10,0),N(Reales!L40)),L$182+L$184)</f>
        <v>53054.720696137</v>
      </c>
      <c r="M199" s="34" t="n">
        <f aca="false">IF(M$8=1,IF(Reales!$C$40="PYG",IF(M$10&gt;0,N(Reales!M40)/M$10,0),N(Reales!M40)),M$182+M$184)</f>
        <v>53054.720696137</v>
      </c>
      <c r="N199" s="34" t="n">
        <f aca="false">IF(N$8=1,IF(Reales!$C$40="PYG",IF(N$10&gt;0,N(Reales!N40)/N$10,0),N(Reales!N40)),N$182+N$184)</f>
        <v>53054.720696137</v>
      </c>
      <c r="O199" s="34" t="n">
        <f aca="false">IF(O$8=1,IF(Reales!$C$40="PYG",IF(O$10&gt;0,N(Reales!O40)/O$10,0),N(Reales!O40)),O$182+O$184)</f>
        <v>53054.720696137</v>
      </c>
      <c r="P199" s="34" t="n">
        <f aca="false">IF(P$8=1,IF(Reales!$C$40="PYG",IF(P$10&gt;0,N(Reales!P40)/P$10,0),N(Reales!P40)),P$182+P$184)</f>
        <v>53054.720696137</v>
      </c>
      <c r="Q199" s="34" t="n">
        <f aca="false">IF(Q$8=1,IF(Reales!$C$40="PYG",IF(Q$10&gt;0,N(Reales!Q40)/Q$10,0),N(Reales!Q40)),Q$182+Q$184)</f>
        <v>53054.720696137</v>
      </c>
      <c r="R199" s="34" t="n">
        <f aca="false">IF(R$8=1,IF(Reales!$C$40="PYG",IF(R$10&gt;0,N(Reales!R40)/R$10,0),N(Reales!R40)),R$182+R$184)</f>
        <v>53054.720696137</v>
      </c>
      <c r="S199" s="34" t="n">
        <f aca="false">IF(S$8=1,IF(Reales!$C$40="PYG",IF(S$10&gt;0,N(Reales!S40)/S$10,0),N(Reales!S40)),S$182+S$184)</f>
        <v>53054.720696137</v>
      </c>
      <c r="T199" s="34" t="n">
        <f aca="false">IF(T$8=1,IF(Reales!$C$40="PYG",IF(T$10&gt;0,N(Reales!T40)/T$10,0),N(Reales!T40)),T$182+T$184)</f>
        <v>53054.720696137</v>
      </c>
      <c r="U199" s="34" t="n">
        <f aca="false">IF(U$8=1,IF(Reales!$C$40="PYG",IF(U$10&gt;0,N(Reales!U40)/U$10,0),N(Reales!U40)),U$182+U$184)</f>
        <v>53054.720696137</v>
      </c>
      <c r="V199" s="34" t="n">
        <f aca="false">IF(V$8=1,IF(Reales!$C$40="PYG",IF(V$10&gt;0,N(Reales!V40)/V$10,0),N(Reales!V40)),V$182+V$184)</f>
        <v>53054.720696137</v>
      </c>
      <c r="W199" s="34" t="n">
        <f aca="false">IF(W$8=1,IF(Reales!$C$40="PYG",IF(W$10&gt;0,N(Reales!W40)/W$10,0),N(Reales!W40)),W$182+W$184)</f>
        <v>53054.720696137</v>
      </c>
      <c r="X199" s="34" t="n">
        <f aca="false">IF(X$8=1,IF(Reales!$C$40="PYG",IF(X$10&gt;0,N(Reales!X40)/X$10,0),N(Reales!X40)),X$182+X$184)</f>
        <v>53054.720696137</v>
      </c>
      <c r="Y199" s="34" t="n">
        <f aca="false">IF(Y$8=1,IF(Reales!$C$40="PYG",IF(Y$10&gt;0,N(Reales!Y40)/Y$10,0),N(Reales!Y40)),Y$182+Y$184)</f>
        <v>53054.720696137</v>
      </c>
      <c r="Z199" s="34" t="n">
        <f aca="false">IF(Z$8=1,IF(Reales!$C$40="PYG",IF(Z$10&gt;0,N(Reales!Z40)/Z$10,0),N(Reales!Z40)),Z$182+Z$184)</f>
        <v>53054.720696137</v>
      </c>
      <c r="AA199" s="34" t="n">
        <f aca="false">IF(AA$8=1,IF(Reales!$C$40="PYG",IF(AA$10&gt;0,N(Reales!AA40)/AA$10,0),N(Reales!AA40)),AA$182+AA$184)</f>
        <v>53054.720696137</v>
      </c>
      <c r="AB199" s="34" t="n">
        <f aca="false">IF(AB$8=1,IF(Reales!$C$40="PYG",IF(AB$10&gt;0,N(Reales!AB40)/AB$10,0),N(Reales!AB40)),AB$182+AB$184)</f>
        <v>53054.720696137</v>
      </c>
      <c r="AC199" s="34" t="n">
        <f aca="false">IF(AC$8=1,IF(Reales!$C$40="PYG",IF(AC$10&gt;0,N(Reales!AC40)/AC$10,0),N(Reales!AC40)),AC$182+AC$184)</f>
        <v>53054.720696137</v>
      </c>
      <c r="AD199" s="34" t="n">
        <f aca="false">IF(AD$8=1,IF(Reales!$C$40="PYG",IF(AD$10&gt;0,N(Reales!AD40)/AD$10,0),N(Reales!AD40)),AD$182+AD$184)</f>
        <v>55700.1385399041</v>
      </c>
      <c r="AE199" s="34" t="n">
        <f aca="false">IF(AE$8=1,IF(Reales!$C$40="PYG",IF(AE$10&gt;0,N(Reales!AE40)/AE$10,0),N(Reales!AE40)),AE$182+AE$184)</f>
        <v>55700.1385399041</v>
      </c>
      <c r="AF199" s="34" t="n">
        <f aca="false">IF(AF$8=1,IF(Reales!$C$40="PYG",IF(AF$10&gt;0,N(Reales!AF40)/AF$10,0),N(Reales!AF40)),AF$182+AF$184)</f>
        <v>55700.1385399041</v>
      </c>
      <c r="AG199" s="34" t="n">
        <f aca="false">IF(AG$8=1,IF(Reales!$C$40="PYG",IF(AG$10&gt;0,N(Reales!AG40)/AG$10,0),N(Reales!AG40)),AG$182+AG$184)</f>
        <v>55700.1385399041</v>
      </c>
      <c r="AH199" s="34" t="n">
        <f aca="false">IF(AH$8=1,IF(Reales!$C$40="PYG",IF(AH$10&gt;0,N(Reales!AH40)/AH$10,0),N(Reales!AH40)),AH$182+AH$184)</f>
        <v>55700.1385399041</v>
      </c>
      <c r="AI199" s="34" t="n">
        <f aca="false">IF(AI$8=1,IF(Reales!$C$40="PYG",IF(AI$10&gt;0,N(Reales!AI40)/AI$10,0),N(Reales!AI40)),AI$182+AI$184)</f>
        <v>55700.1385399041</v>
      </c>
      <c r="AJ199" s="34" t="n">
        <f aca="false">IF(AJ$8=1,IF(Reales!$C$40="PYG",IF(AJ$10&gt;0,N(Reales!AJ40)/AJ$10,0),N(Reales!AJ40)),AJ$182+AJ$184)</f>
        <v>55700.1385399041</v>
      </c>
      <c r="AK199" s="34" t="n">
        <f aca="false">IF(AK$8=1,IF(Reales!$C$40="PYG",IF(AK$10&gt;0,N(Reales!AK40)/AK$10,0),N(Reales!AK40)),AK$182+AK$184)</f>
        <v>55700.1385399041</v>
      </c>
      <c r="AL199" s="34" t="n">
        <f aca="false">IF(AL$8=1,IF(Reales!$C$40="PYG",IF(AL$10&gt;0,N(Reales!AL40)/AL$10,0),N(Reales!AL40)),AL$182+AL$184)</f>
        <v>55700.1385399041</v>
      </c>
      <c r="AM199" s="34" t="n">
        <f aca="false">IF(AM$8=1,IF(Reales!$C$40="PYG",IF(AM$10&gt;0,N(Reales!AM40)/AM$10,0),N(Reales!AM40)),AM$182+AM$184)</f>
        <v>55700.1385399041</v>
      </c>
      <c r="AN199" s="34" t="n">
        <f aca="false">IF(AN$8=1,IF(Reales!$C$40="PYG",IF(AN$10&gt;0,N(Reales!AN40)/AN$10,0),N(Reales!AN40)),AN$182+AN$184)</f>
        <v>55700.1385399041</v>
      </c>
      <c r="AO199" s="34" t="n">
        <f aca="false">IF(AO$8=1,IF(Reales!$C$40="PYG",IF(AO$10&gt;0,N(Reales!AO40)/AO$10,0),N(Reales!AO40)),AO$182+AO$184)</f>
        <v>55700.1385399041</v>
      </c>
      <c r="AP199" s="34" t="n">
        <f aca="false">IF(AP$8=1,IF(Reales!$C$40="PYG",IF(AP$10&gt;0,N(Reales!AP40)/AP$10,0),N(Reales!AP40)),AP$182+AP$184)</f>
        <v>57818.5076943014</v>
      </c>
      <c r="AQ199" s="34" t="n">
        <f aca="false">IF(AQ$8=1,IF(Reales!$C$40="PYG",IF(AQ$10&gt;0,N(Reales!AQ40)/AQ$10,0),N(Reales!AQ40)),AQ$182+AQ$184)</f>
        <v>57818.5076943014</v>
      </c>
      <c r="AR199" s="34" t="n">
        <f aca="false">IF(AR$8=1,IF(Reales!$C$40="PYG",IF(AR$10&gt;0,N(Reales!AR40)/AR$10,0),N(Reales!AR40)),AR$182+AR$184)</f>
        <v>57818.5076943014</v>
      </c>
      <c r="AS199" s="34" t="n">
        <f aca="false">IF(AS$8=1,IF(Reales!$C$40="PYG",IF(AS$10&gt;0,N(Reales!AS40)/AS$10,0),N(Reales!AS40)),AS$182+AS$184)</f>
        <v>57818.5076943014</v>
      </c>
      <c r="AT199" s="34" t="n">
        <f aca="false">IF(AT$8=1,IF(Reales!$C$40="PYG",IF(AT$10&gt;0,N(Reales!AT40)/AT$10,0),N(Reales!AT40)),AT$182+AT$184)</f>
        <v>57818.5076943014</v>
      </c>
      <c r="AU199" s="34" t="n">
        <f aca="false">IF(AU$8=1,IF(Reales!$C$40="PYG",IF(AU$10&gt;0,N(Reales!AU40)/AU$10,0),N(Reales!AU40)),AU$182+AU$184)</f>
        <v>57818.5076943014</v>
      </c>
      <c r="AV199" s="34" t="n">
        <f aca="false">IF(AV$8=1,IF(Reales!$C$40="PYG",IF(AV$10&gt;0,N(Reales!AV40)/AV$10,0),N(Reales!AV40)),AV$182+AV$184)</f>
        <v>57818.5076943014</v>
      </c>
      <c r="AW199" s="34" t="n">
        <f aca="false">IF(AW$8=1,IF(Reales!$C$40="PYG",IF(AW$10&gt;0,N(Reales!AW40)/AW$10,0),N(Reales!AW40)),AW$182+AW$184)</f>
        <v>57818.5076943014</v>
      </c>
      <c r="AX199" s="34" t="n">
        <f aca="false">IF(AX$8=1,IF(Reales!$C$40="PYG",IF(AX$10&gt;0,N(Reales!AX40)/AX$10,0),N(Reales!AX40)),AX$182+AX$184)</f>
        <v>57818.5076943014</v>
      </c>
      <c r="AY199" s="34" t="n">
        <f aca="false">IF(AY$8=1,IF(Reales!$C$40="PYG",IF(AY$10&gt;0,N(Reales!AY40)/AY$10,0),N(Reales!AY40)),AY$182+AY$184)</f>
        <v>57818.5076943014</v>
      </c>
      <c r="AZ199" s="34" t="n">
        <f aca="false">IF(AZ$8=1,IF(Reales!$C$40="PYG",IF(AZ$10&gt;0,N(Reales!AZ40)/AZ$10,0),N(Reales!AZ40)),AZ$182+AZ$184)</f>
        <v>57818.5076943014</v>
      </c>
      <c r="BA199" s="34" t="n">
        <f aca="false">IF(BA$8=1,IF(Reales!$C$40="PYG",IF(BA$10&gt;0,N(Reales!BA40)/BA$10,0),N(Reales!BA40)),BA$182+BA$184)</f>
        <v>57818.5076943014</v>
      </c>
      <c r="BB199" s="34" t="n">
        <f aca="false">IF(BB$8=1,IF(Reales!$C$40="PYG",IF(BB$10&gt;0,N(Reales!BB40)/BB$10,0),N(Reales!BB40)),BB$182+BB$184)</f>
        <v>60401.5451585479</v>
      </c>
      <c r="BC199" s="34" t="n">
        <f aca="false">IF(BC$8=1,IF(Reales!$C$40="PYG",IF(BC$10&gt;0,N(Reales!BC40)/BC$10,0),N(Reales!BC40)),BC$182+BC$184)</f>
        <v>60401.5451585479</v>
      </c>
      <c r="BD199" s="34" t="n">
        <f aca="false">IF(BD$8=1,IF(Reales!$C$40="PYG",IF(BD$10&gt;0,N(Reales!BD40)/BD$10,0),N(Reales!BD40)),BD$182+BD$184)</f>
        <v>60401.5451585479</v>
      </c>
      <c r="BE199" s="34" t="n">
        <f aca="false">IF(BE$8=1,IF(Reales!$C$40="PYG",IF(BE$10&gt;0,N(Reales!BE40)/BE$10,0),N(Reales!BE40)),BE$182+BE$184)</f>
        <v>60401.5451585479</v>
      </c>
      <c r="BF199" s="34" t="n">
        <f aca="false">IF(BF$8=1,IF(Reales!$C$40="PYG",IF(BF$10&gt;0,N(Reales!BF40)/BF$10,0),N(Reales!BF40)),BF$182+BF$184)</f>
        <v>60401.5451585479</v>
      </c>
      <c r="BG199" s="34" t="n">
        <f aca="false">IF(BG$8=1,IF(Reales!$C$40="PYG",IF(BG$10&gt;0,N(Reales!BG40)/BG$10,0),N(Reales!BG40)),BG$182+BG$184)</f>
        <v>60401.5451585479</v>
      </c>
      <c r="BH199" s="34" t="n">
        <f aca="false">IF(BH$8=1,IF(Reales!$C$40="PYG",IF(BH$10&gt;0,N(Reales!BH40)/BH$10,0),N(Reales!BH40)),BH$182+BH$184)</f>
        <v>60401.5451585479</v>
      </c>
      <c r="BI199" s="34" t="n">
        <f aca="false">IF(BI$8=1,IF(Reales!$C$40="PYG",IF(BI$10&gt;0,N(Reales!BI40)/BI$10,0),N(Reales!BI40)),BI$182+BI$184)</f>
        <v>60401.5451585479</v>
      </c>
      <c r="BJ199" s="34" t="n">
        <f aca="false">IF(BJ$8=1,IF(Reales!$C$40="PYG",IF(BJ$10&gt;0,N(Reales!BJ40)/BJ$10,0),N(Reales!BJ40)),BJ$182+BJ$184)</f>
        <v>60401.5451585479</v>
      </c>
      <c r="BK199" s="34" t="n">
        <f aca="false">IF(BK$8=1,IF(Reales!$C$40="PYG",IF(BK$10&gt;0,N(Reales!BK40)/BK$10,0),N(Reales!BK40)),BK$182+BK$184)</f>
        <v>60401.5451585479</v>
      </c>
      <c r="BL199" s="34" t="n">
        <f aca="false">IF(BL$8=1,IF(Reales!$C$40="PYG",IF(BL$10&gt;0,N(Reales!BL40)/BL$10,0),N(Reales!BL40)),BL$182+BL$184)</f>
        <v>60401.5451585479</v>
      </c>
      <c r="BM199" s="34" t="n">
        <f aca="false">IF(BM$8=1,IF(Reales!$C$40="PYG",IF(BM$10&gt;0,N(Reales!BM40)/BM$10,0),N(Reales!BM40)),BM$182+BM$184)</f>
        <v>60401.5451585479</v>
      </c>
      <c r="BN199" s="34" t="n">
        <f aca="false">IF(BN$8=1,IF(Reales!$C$40="PYG",IF(BN$10&gt;0,N(Reales!BN40)/BN$10,0),N(Reales!BN40)),BN$182+BN$184)</f>
        <v>60401.5451585479</v>
      </c>
      <c r="BO199" s="34" t="n">
        <f aca="false">IF(BO$8=1,IF(Reales!$C$40="PYG",IF(BO$10&gt;0,N(Reales!BO40)/BO$10,0),N(Reales!BO40)),BO$182+BO$184)</f>
        <v>60401.5451585479</v>
      </c>
      <c r="BP199" s="34" t="n">
        <f aca="false">IF(BP$8=1,IF(Reales!$C$40="PYG",IF(BP$10&gt;0,N(Reales!BP40)/BP$10,0),N(Reales!BP40)),BP$182+BP$184)</f>
        <v>60401.5451585479</v>
      </c>
      <c r="BQ199" s="34" t="n">
        <f aca="false">IF(BQ$8=1,IF(Reales!$C$40="PYG",IF(BQ$10&gt;0,N(Reales!BQ40)/BQ$10,0),N(Reales!BQ40)),BQ$182+BQ$184)</f>
        <v>60401.5451585479</v>
      </c>
      <c r="BR199" s="34" t="n">
        <f aca="false">IF(BR$8=1,IF(Reales!$C$40="PYG",IF(BR$10&gt;0,N(Reales!BR40)/BR$10,0),N(Reales!BR40)),BR$182+BR$184)</f>
        <v>60401.5451585479</v>
      </c>
      <c r="BS199" s="34" t="n">
        <f aca="false">IF(BS$8=1,IF(Reales!$C$40="PYG",IF(BS$10&gt;0,N(Reales!BS40)/BS$10,0),N(Reales!BS40)),BS$182+BS$184)</f>
        <v>60401.5451585479</v>
      </c>
      <c r="BT199" s="34" t="n">
        <f aca="false">IF(BT$8=1,IF(Reales!$C$40="PYG",IF(BT$10&gt;0,N(Reales!BT40)/BT$10,0),N(Reales!BT40)),BT$182+BT$184)</f>
        <v>60401.5451585479</v>
      </c>
      <c r="BU199" s="34" t="n">
        <f aca="false">IF(BU$8=1,IF(Reales!$C$40="PYG",IF(BU$10&gt;0,N(Reales!BU40)/BU$10,0),N(Reales!BU40)),BU$182+BU$184)</f>
        <v>60401.5451585479</v>
      </c>
      <c r="BV199" s="34" t="n">
        <f aca="false">IF(BV$8=1,IF(Reales!$C$40="PYG",IF(BV$10&gt;0,N(Reales!BV40)/BV$10,0),N(Reales!BV40)),BV$182+BV$184)</f>
        <v>60401.5451585479</v>
      </c>
      <c r="BW199" s="34" t="n">
        <f aca="false">IF(BW$8=1,IF(Reales!$C$40="PYG",IF(BW$10&gt;0,N(Reales!BW40)/BW$10,0),N(Reales!BW40)),BW$182+BW$184)</f>
        <v>60401.5451585479</v>
      </c>
      <c r="BX199" s="34" t="n">
        <f aca="false">IF(BX$8=1,IF(Reales!$C$40="PYG",IF(BX$10&gt;0,N(Reales!BX40)/BX$10,0),N(Reales!BX40)),BX$182+BX$184)</f>
        <v>60401.5451585479</v>
      </c>
      <c r="BY199" s="34" t="n">
        <f aca="false">IF(BY$8=1,IF(Reales!$C$40="PYG",IF(BY$10&gt;0,N(Reales!BY40)/BY$10,0),N(Reales!BY40)),BY$182+BY$184)</f>
        <v>60401.5451585479</v>
      </c>
      <c r="BZ199" s="34" t="n">
        <f aca="false">IF(BZ$8=1,IF(Reales!$C$40="PYG",IF(BZ$10&gt;0,N(Reales!BZ40)/BZ$10,0),N(Reales!BZ40)),BZ$182+BZ$184)</f>
        <v>60401.5451585479</v>
      </c>
      <c r="CA199" s="34" t="n">
        <f aca="false">IF(CA$8=1,IF(Reales!$C$40="PYG",IF(CA$10&gt;0,N(Reales!CA40)/CA$10,0),N(Reales!CA40)),CA$182+CA$184)</f>
        <v>60401.5451585479</v>
      </c>
      <c r="CB199" s="34" t="n">
        <f aca="false">IF(CB$8=1,IF(Reales!$C$40="PYG",IF(CB$10&gt;0,N(Reales!CB40)/CB$10,0),N(Reales!CB40)),CB$182+CB$184)</f>
        <v>60401.5451585479</v>
      </c>
      <c r="CC199" s="34" t="n">
        <f aca="false">IF(CC$8=1,IF(Reales!$C$40="PYG",IF(CC$10&gt;0,N(Reales!CC40)/CC$10,0),N(Reales!CC40)),CC$182+CC$184)</f>
        <v>60401.5451585479</v>
      </c>
      <c r="CD199" s="34" t="n">
        <f aca="false">IF(CD$8=1,IF(Reales!$C$40="PYG",IF(CD$10&gt;0,N(Reales!CD40)/CD$10,0),N(Reales!CD40)),CD$182+CD$184)</f>
        <v>60401.5451585479</v>
      </c>
      <c r="CE199" s="34" t="n">
        <f aca="false">IF(CE$8=1,IF(Reales!$C$40="PYG",IF(CE$10&gt;0,N(Reales!CE40)/CE$10,0),N(Reales!CE40)),CE$182+CE$184)</f>
        <v>60401.5451585479</v>
      </c>
      <c r="CF199" s="34" t="n">
        <f aca="false">IF(CF$8=1,IF(Reales!$C$40="PYG",IF(CF$10&gt;0,N(Reales!CF40)/CF$10,0),N(Reales!CF40)),CF$182+CF$184)</f>
        <v>60401.5451585479</v>
      </c>
      <c r="CG199" s="34" t="n">
        <f aca="false">IF(CG$8=1,IF(Reales!$C$40="PYG",IF(CG$10&gt;0,N(Reales!CG40)/CG$10,0),N(Reales!CG40)),CG$182+CG$184)</f>
        <v>60401.5451585479</v>
      </c>
      <c r="CH199" s="34" t="n">
        <f aca="false">IF(CH$8=1,IF(Reales!$C$40="PYG",IF(CH$10&gt;0,N(Reales!CH40)/CH$10,0),N(Reales!CH40)),CH$182+CH$184)</f>
        <v>60401.5451585479</v>
      </c>
      <c r="CI199" s="34" t="n">
        <f aca="false">IF(CI$8=1,IF(Reales!$C$40="PYG",IF(CI$10&gt;0,N(Reales!CI40)/CI$10,0),N(Reales!CI40)),CI$182+CI$184)</f>
        <v>60401.5451585479</v>
      </c>
      <c r="CJ199" s="34" t="n">
        <f aca="false">IF(CJ$8=1,IF(Reales!$C$40="PYG",IF(CJ$10&gt;0,N(Reales!CJ40)/CJ$10,0),N(Reales!CJ40)),CJ$182+CJ$184)</f>
        <v>60401.5451585479</v>
      </c>
      <c r="CK199" s="34" t="n">
        <f aca="false">IF(CK$8=1,IF(Reales!$C$40="PYG",IF(CK$10&gt;0,N(Reales!CK40)/CK$10,0),N(Reales!CK40)),CK$182+CK$184)</f>
        <v>60401.5451585479</v>
      </c>
      <c r="CL199" s="34" t="n">
        <f aca="false">IF(CL$8=1,IF(Reales!$C$40="PYG",IF(CL$10&gt;0,N(Reales!CL40)/CL$10,0),N(Reales!CL40)),CL$182+CL$184)</f>
        <v>60401.5451585479</v>
      </c>
      <c r="CM199" s="34" t="n">
        <f aca="false">IF(CM$8=1,IF(Reales!$C$40="PYG",IF(CM$10&gt;0,N(Reales!CM40)/CM$10,0),N(Reales!CM40)),CM$182+CM$184)</f>
        <v>60401.5451585479</v>
      </c>
      <c r="CN199" s="34" t="n">
        <f aca="false">IF(CN$8=1,IF(Reales!$C$40="PYG",IF(CN$10&gt;0,N(Reales!CN40)/CN$10,0),N(Reales!CN40)),CN$182+CN$184)</f>
        <v>60401.5451585479</v>
      </c>
      <c r="CO199" s="34" t="n">
        <f aca="false">IF(CO$8=1,IF(Reales!$C$40="PYG",IF(CO$10&gt;0,N(Reales!CO40)/CO$10,0),N(Reales!CO40)),CO$182+CO$184)</f>
        <v>60401.5451585479</v>
      </c>
      <c r="CP199" s="34" t="n">
        <f aca="false">IF(CP$8=1,IF(Reales!$C$40="PYG",IF(CP$10&gt;0,N(Reales!CP40)/CP$10,0),N(Reales!CP40)),CP$182+CP$184)</f>
        <v>60401.5451585479</v>
      </c>
      <c r="CQ199" s="34" t="n">
        <f aca="false">IF(CQ$8=1,IF(Reales!$C$40="PYG",IF(CQ$10&gt;0,N(Reales!CQ40)/CQ$10,0),N(Reales!CQ40)),CQ$182+CQ$184)</f>
        <v>60401.5451585479</v>
      </c>
      <c r="CR199" s="34" t="n">
        <f aca="false">IF(CR$8=1,IF(Reales!$C$40="PYG",IF(CR$10&gt;0,N(Reales!CR40)/CR$10,0),N(Reales!CR40)),CR$182+CR$184)</f>
        <v>60401.5451585479</v>
      </c>
      <c r="CS199" s="34" t="n">
        <f aca="false">IF(CS$8=1,IF(Reales!$C$40="PYG",IF(CS$10&gt;0,N(Reales!CS40)/CS$10,0),N(Reales!CS40)),CS$182+CS$184)</f>
        <v>60401.5451585479</v>
      </c>
      <c r="CT199" s="34" t="n">
        <f aca="false">IF(CT$8=1,IF(Reales!$C$40="PYG",IF(CT$10&gt;0,N(Reales!CT40)/CT$10,0),N(Reales!CT40)),CT$182+CT$184)</f>
        <v>60401.5451585479</v>
      </c>
      <c r="CU199" s="34" t="n">
        <f aca="false">IF(CU$8=1,IF(Reales!$C$40="PYG",IF(CU$10&gt;0,N(Reales!CU40)/CU$10,0),N(Reales!CU40)),CU$182+CU$184)</f>
        <v>60401.5451585479</v>
      </c>
      <c r="CV199" s="34" t="n">
        <f aca="false">IF(CV$8=1,IF(Reales!$C$40="PYG",IF(CV$10&gt;0,N(Reales!CV40)/CV$10,0),N(Reales!CV40)),CV$182+CV$184)</f>
        <v>60401.5451585479</v>
      </c>
      <c r="CW199" s="34" t="n">
        <f aca="false">IF(CW$8=1,IF(Reales!$C$40="PYG",IF(CW$10&gt;0,N(Reales!CW40)/CW$10,0),N(Reales!CW40)),CW$182+CW$184)</f>
        <v>60401.5451585479</v>
      </c>
      <c r="CX199" s="34" t="n">
        <f aca="false">IF(CX$8=1,IF(Reales!$C$40="PYG",IF(CX$10&gt;0,N(Reales!CX40)/CX$10,0),N(Reales!CX40)),CX$182+CX$184)</f>
        <v>60401.5451585479</v>
      </c>
      <c r="CY199" s="34" t="n">
        <f aca="false">IF(CY$8=1,IF(Reales!$C$40="PYG",IF(CY$10&gt;0,N(Reales!CY40)/CY$10,0),N(Reales!CY40)),CY$182+CY$184)</f>
        <v>60401.5451585479</v>
      </c>
      <c r="CZ199" s="34" t="n">
        <f aca="false">IF(CZ$8=1,IF(Reales!$C$40="PYG",IF(CZ$10&gt;0,N(Reales!CZ40)/CZ$10,0),N(Reales!CZ40)),CZ$182+CZ$184)</f>
        <v>60401.5451585479</v>
      </c>
      <c r="DA199" s="34" t="n">
        <f aca="false">IF(DA$8=1,IF(Reales!$C$40="PYG",IF(DA$10&gt;0,N(Reales!DA40)/DA$10,0),N(Reales!DA40)),DA$182+DA$184)</f>
        <v>60401.5451585479</v>
      </c>
      <c r="DB199" s="34" t="n">
        <f aca="false">IF(DB$8=1,IF(Reales!$C$40="PYG",IF(DB$10&gt;0,N(Reales!DB40)/DB$10,0),N(Reales!DB40)),DB$182+DB$184)</f>
        <v>60401.5451585479</v>
      </c>
      <c r="DC199" s="34" t="n">
        <f aca="false">IF(DC$8=1,IF(Reales!$C$40="PYG",IF(DC$10&gt;0,N(Reales!DC40)/DC$10,0),N(Reales!DC40)),DC$182+DC$184)</f>
        <v>60401.5451585479</v>
      </c>
      <c r="DD199" s="34" t="n">
        <f aca="false">IF(DD$8=1,IF(Reales!$C$40="PYG",IF(DD$10&gt;0,N(Reales!DD40)/DD$10,0),N(Reales!DD40)),DD$182+DD$184)</f>
        <v>60401.5451585479</v>
      </c>
      <c r="DE199" s="34" t="n">
        <f aca="false">IF(DE$8=1,IF(Reales!$C$40="PYG",IF(DE$10&gt;0,N(Reales!DE40)/DE$10,0),N(Reales!DE40)),DE$182+DE$184)</f>
        <v>60401.5451585479</v>
      </c>
      <c r="DF199" s="34" t="n">
        <f aca="false">IF(DF$8=1,IF(Reales!$C$40="PYG",IF(DF$10&gt;0,N(Reales!DF40)/DF$10,0),N(Reales!DF40)),DF$182+DF$184)</f>
        <v>60401.5451585479</v>
      </c>
      <c r="DG199" s="34" t="n">
        <f aca="false">IF(DG$8=1,IF(Reales!$C$40="PYG",IF(DG$10&gt;0,N(Reales!DG40)/DG$10,0),N(Reales!DG40)),DG$182+DG$184)</f>
        <v>60401.5451585479</v>
      </c>
      <c r="DH199" s="34" t="n">
        <f aca="false">IF(DH$8=1,IF(Reales!$C$40="PYG",IF(DH$10&gt;0,N(Reales!DH40)/DH$10,0),N(Reales!DH40)),DH$182+DH$184)</f>
        <v>60401.5451585479</v>
      </c>
      <c r="DI199" s="34" t="n">
        <f aca="false">IF(DI$8=1,IF(Reales!$C$40="PYG",IF(DI$10&gt;0,N(Reales!DI40)/DI$10,0),N(Reales!DI40)),DI$182+DI$184)</f>
        <v>60401.5451585479</v>
      </c>
      <c r="DJ199" s="34" t="n">
        <f aca="false">IF(DJ$8=1,IF(Reales!$C$40="PYG",IF(DJ$10&gt;0,N(Reales!DJ40)/DJ$10,0),N(Reales!DJ40)),DJ$182+DJ$184)</f>
        <v>60401.5451585479</v>
      </c>
      <c r="DK199" s="34" t="n">
        <f aca="false">IF(DK$8=1,IF(Reales!$C$40="PYG",IF(DK$10&gt;0,N(Reales!DK40)/DK$10,0),N(Reales!DK40)),DK$182+DK$184)</f>
        <v>60401.5451585479</v>
      </c>
      <c r="DL199" s="34" t="n">
        <f aca="false">IF(DL$8=1,IF(Reales!$C$40="PYG",IF(DL$10&gt;0,N(Reales!DL40)/DL$10,0),N(Reales!DL40)),DL$182+DL$184)</f>
        <v>60401.5451585479</v>
      </c>
      <c r="DM199" s="34" t="n">
        <f aca="false">IF(DM$8=1,IF(Reales!$C$40="PYG",IF(DM$10&gt;0,N(Reales!DM40)/DM$10,0),N(Reales!DM40)),DM$182+DM$184)</f>
        <v>60401.5451585479</v>
      </c>
      <c r="DN199" s="34" t="n">
        <f aca="false">IF(DN$8=1,IF(Reales!$C$40="PYG",IF(DN$10&gt;0,N(Reales!DN40)/DN$10,0),N(Reales!DN40)),DN$182+DN$184)</f>
        <v>60401.5451585479</v>
      </c>
      <c r="DO199" s="34" t="n">
        <f aca="false">IF(DO$8=1,IF(Reales!$C$40="PYG",IF(DO$10&gt;0,N(Reales!DO40)/DO$10,0),N(Reales!DO40)),DO$182+DO$184)</f>
        <v>60401.5451585479</v>
      </c>
      <c r="DP199" s="34" t="n">
        <f aca="false">IF(DP$8=1,IF(Reales!$C$40="PYG",IF(DP$10&gt;0,N(Reales!DP40)/DP$10,0),N(Reales!DP40)),DP$182+DP$184)</f>
        <v>60401.5451585479</v>
      </c>
      <c r="DQ199" s="34" t="n">
        <f aca="false">IF(DQ$8=1,IF(Reales!$C$40="PYG",IF(DQ$10&gt;0,N(Reales!DQ40)/DQ$10,0),N(Reales!DQ40)),DQ$182+DQ$184)</f>
        <v>60401.5451585479</v>
      </c>
      <c r="DR199" s="34" t="n">
        <f aca="false">IF(DR$8=1,IF(Reales!$C$40="PYG",IF(DR$10&gt;0,N(Reales!DR40)/DR$10,0),N(Reales!DR40)),DR$182+DR$184)</f>
        <v>60401.5451585479</v>
      </c>
      <c r="DS199" s="34" t="n">
        <f aca="false">IF(DS$8=1,IF(Reales!$C$40="PYG",IF(DS$10&gt;0,N(Reales!DS40)/DS$10,0),N(Reales!DS40)),DS$182+DS$184)</f>
        <v>60401.5451585479</v>
      </c>
      <c r="DT199" s="34" t="n">
        <f aca="false">IF(DT$8=1,IF(Reales!$C$40="PYG",IF(DT$10&gt;0,N(Reales!DT40)/DT$10,0),N(Reales!DT40)),DT$182+DT$184)</f>
        <v>60401.5451585479</v>
      </c>
      <c r="DU199" s="34" t="n">
        <f aca="false">IF(DU$8=1,IF(Reales!$C$40="PYG",IF(DU$10&gt;0,N(Reales!DU40)/DU$10,0),N(Reales!DU40)),DU$182+DU$184)</f>
        <v>60401.5451585479</v>
      </c>
      <c r="DV199" s="34" t="n">
        <f aca="false">IF(DV$8=1,IF(Reales!$C$40="PYG",IF(DV$10&gt;0,N(Reales!DV40)/DV$10,0),N(Reales!DV40)),DV$182+DV$184)</f>
        <v>0</v>
      </c>
      <c r="DW199" s="34" t="n">
        <f aca="false">IF(DW$8=1,IF(Reales!$C$40="PYG",IF(DW$10&gt;0,N(Reales!DW40)/DW$10,0),N(Reales!DW40)),DW$182+DW$184)</f>
        <v>0</v>
      </c>
      <c r="DX199" s="34" t="n">
        <f aca="false">IF(DX$8=1,IF(Reales!$C$40="PYG",IF(DX$10&gt;0,N(Reales!DX40)/DX$10,0),N(Reales!DX40)),DX$182+DX$184)</f>
        <v>0</v>
      </c>
      <c r="DY199" s="34" t="n">
        <f aca="false">IF(DY$8=1,IF(Reales!$C$40="PYG",IF(DY$10&gt;0,N(Reales!DY40)/DY$10,0),N(Reales!DY40)),DY$182+DY$184)</f>
        <v>0</v>
      </c>
      <c r="DZ199" s="34" t="n">
        <f aca="false">IF(DZ$8=1,IF(Reales!$C$40="PYG",IF(DZ$10&gt;0,N(Reales!DZ40)/DZ$10,0),N(Reales!DZ40)),DZ$182+DZ$184)</f>
        <v>0</v>
      </c>
      <c r="EA199" s="34" t="n">
        <f aca="false">IF(EA$8=1,IF(Reales!$C$40="PYG",IF(EA$10&gt;0,N(Reales!EA40)/EA$10,0),N(Reales!EA40)),EA$182+EA$184)</f>
        <v>0</v>
      </c>
      <c r="EB199" s="34" t="n">
        <f aca="false">IF(EB$8=1,IF(Reales!$C$40="PYG",IF(EB$10&gt;0,N(Reales!EB40)/EB$10,0),N(Reales!EB40)),EB$182+EB$184)</f>
        <v>0</v>
      </c>
      <c r="EC199" s="34" t="n">
        <f aca="false">IF(EC$8=1,IF(Reales!$C$40="PYG",IF(EC$10&gt;0,N(Reales!EC40)/EC$10,0),N(Reales!EC40)),EC$182+EC$184)</f>
        <v>0</v>
      </c>
      <c r="ED199" s="34" t="n">
        <f aca="false">IF(ED$8=1,IF(Reales!$C$40="PYG",IF(ED$10&gt;0,N(Reales!ED40)/ED$10,0),N(Reales!ED40)),ED$182+ED$184)</f>
        <v>0</v>
      </c>
      <c r="EE199" s="34" t="n">
        <f aca="false">IF(EE$8=1,IF(Reales!$C$40="PYG",IF(EE$10&gt;0,N(Reales!EE40)/EE$10,0),N(Reales!EE40)),EE$182+EE$184)</f>
        <v>0</v>
      </c>
      <c r="EF199" s="34" t="n">
        <f aca="false">IF(EF$8=1,IF(Reales!$C$40="PYG",IF(EF$10&gt;0,N(Reales!EF40)/EF$10,0),N(Reales!EF40)),EF$182+EF$184)</f>
        <v>0</v>
      </c>
      <c r="EG199" s="34" t="n">
        <f aca="false">IF(EG$8=1,IF(Reales!$C$40="PYG",IF(EG$10&gt;0,N(Reales!EG40)/EG$10,0),N(Reales!EG40)),EG$182+EG$184)</f>
        <v>0</v>
      </c>
      <c r="EH199" s="34" t="n">
        <f aca="false">IF(EH$8=1,IF(Reales!$C$40="PYG",IF(EH$10&gt;0,N(Reales!EH40)/EH$10,0),N(Reales!EH40)),EH$182+EH$184)</f>
        <v>0</v>
      </c>
      <c r="EI199" s="34" t="n">
        <f aca="false">IF(EI$8=1,IF(Reales!$C$40="PYG",IF(EI$10&gt;0,N(Reales!EI40)/EI$10,0),N(Reales!EI40)),EI$182+EI$184)</f>
        <v>0</v>
      </c>
      <c r="EJ199" s="34" t="n">
        <f aca="false">IF(EJ$8=1,IF(Reales!$C$40="PYG",IF(EJ$10&gt;0,N(Reales!EJ40)/EJ$10,0),N(Reales!EJ40)),EJ$182+EJ$184)</f>
        <v>0</v>
      </c>
      <c r="EK199" s="34" t="n">
        <f aca="false">IF(EK$8=1,IF(Reales!$C$40="PYG",IF(EK$10&gt;0,N(Reales!EK40)/EK$10,0),N(Reales!EK40)),EK$182+EK$184)</f>
        <v>0</v>
      </c>
      <c r="EL199" s="34" t="n">
        <f aca="false">IF(EL$8=1,IF(Reales!$C$40="PYG",IF(EL$10&gt;0,N(Reales!EL40)/EL$10,0),N(Reales!EL40)),EL$182+EL$184)</f>
        <v>0</v>
      </c>
      <c r="EM199" s="34" t="n">
        <f aca="false">IF(EM$8=1,IF(Reales!$C$40="PYG",IF(EM$10&gt;0,N(Reales!EM40)/EM$10,0),N(Reales!EM40)),EM$182+EM$184)</f>
        <v>0</v>
      </c>
      <c r="EN199" s="34" t="n">
        <f aca="false">IF(EN$8=1,IF(Reales!$C$40="PYG",IF(EN$10&gt;0,N(Reales!EN40)/EN$10,0),N(Reales!EN40)),EN$182+EN$184)</f>
        <v>0</v>
      </c>
      <c r="EO199" s="34" t="n">
        <f aca="false">IF(EO$8=1,IF(Reales!$C$40="PYG",IF(EO$10&gt;0,N(Reales!EO40)/EO$10,0),N(Reales!EO40)),EO$182+EO$184)</f>
        <v>0</v>
      </c>
      <c r="EP199" s="34" t="n">
        <f aca="false">IF(EP$8=1,IF(Reales!$C$40="PYG",IF(EP$10&gt;0,N(Reales!EP40)/EP$10,0),N(Reales!EP40)),EP$182+EP$184)</f>
        <v>0</v>
      </c>
      <c r="EQ199" s="34" t="n">
        <f aca="false">IF(EQ$8=1,IF(Reales!$C$40="PYG",IF(EQ$10&gt;0,N(Reales!EQ40)/EQ$10,0),N(Reales!EQ40)),EQ$182+EQ$184)</f>
        <v>0</v>
      </c>
      <c r="ER199" s="34" t="n">
        <f aca="false">IF(ER$8=1,IF(Reales!$C$40="PYG",IF(ER$10&gt;0,N(Reales!ER40)/ER$10,0),N(Reales!ER40)),ER$182+ER$184)</f>
        <v>0</v>
      </c>
      <c r="ES199" s="34" t="n">
        <f aca="false">IF(ES$8=1,IF(Reales!$C$40="PYG",IF(ES$10&gt;0,N(Reales!ES40)/ES$10,0),N(Reales!ES40)),ES$182+ES$184)</f>
        <v>0</v>
      </c>
    </row>
    <row r="200" customFormat="false" ht="15" hidden="false" customHeight="false" outlineLevel="0" collapsed="false">
      <c r="A200" s="2" t="s">
        <v>814</v>
      </c>
      <c r="B200" s="6" t="s">
        <v>631</v>
      </c>
      <c r="C200" s="6" t="s">
        <v>250</v>
      </c>
      <c r="E200" s="40" t="n">
        <f aca="false">SUM(F200:ES200)</f>
        <v>3406933.03324133</v>
      </c>
      <c r="F200" s="34" t="n">
        <f aca="false">IF(F$8=1,IF(Reales!$C$42="PYG",IF(F$10&gt;0,N(Reales!F42)/F$10,0),N(Reales!F42)),F$190+F$193)</f>
        <v>19873.0114276757</v>
      </c>
      <c r="G200" s="34" t="n">
        <f aca="false">IF(G$8=1,IF(Reales!$C$42="PYG",IF(G$10&gt;0,N(Reales!G42)/G$10,0),N(Reales!G42)),G$190+G$193)</f>
        <v>19873.0114276757</v>
      </c>
      <c r="H200" s="34" t="n">
        <f aca="false">IF(H$8=1,IF(Reales!$C$42="PYG",IF(H$10&gt;0,N(Reales!H42)/H$10,0),N(Reales!H42)),H$190+H$193)</f>
        <v>19873.0114276757</v>
      </c>
      <c r="I200" s="34" t="n">
        <f aca="false">IF(I$8=1,IF(Reales!$C$42="PYG",IF(I$10&gt;0,N(Reales!I42)/I$10,0),N(Reales!I42)),I$190+I$193)</f>
        <v>19873.0114276757</v>
      </c>
      <c r="J200" s="34" t="n">
        <f aca="false">IF(J$8=1,IF(Reales!$C$42="PYG",IF(J$10&gt;0,N(Reales!J42)/J$10,0),N(Reales!J42)),J$190+J$193)</f>
        <v>19873.0114276757</v>
      </c>
      <c r="K200" s="34" t="n">
        <f aca="false">IF(K$8=1,IF(Reales!$C$42="PYG",IF(K$10&gt;0,N(Reales!K42)/K$10,0),N(Reales!K42)),K$190+K$193)</f>
        <v>19873.0114276757</v>
      </c>
      <c r="L200" s="34" t="n">
        <f aca="false">IF(L$8=1,IF(Reales!$C$42="PYG",IF(L$10&gt;0,N(Reales!L42)/L$10,0),N(Reales!L42)),L$190+L$193)</f>
        <v>19873.0114276757</v>
      </c>
      <c r="M200" s="34" t="n">
        <f aca="false">IF(M$8=1,IF(Reales!$C$42="PYG",IF(M$10&gt;0,N(Reales!M42)/M$10,0),N(Reales!M42)),M$190+M$193)</f>
        <v>19873.0114276757</v>
      </c>
      <c r="N200" s="34" t="n">
        <f aca="false">IF(N$8=1,IF(Reales!$C$42="PYG",IF(N$10&gt;0,N(Reales!N42)/N$10,0),N(Reales!N42)),N$190+N$193)</f>
        <v>19873.0114276757</v>
      </c>
      <c r="O200" s="34" t="n">
        <f aca="false">IF(O$8=1,IF(Reales!$C$42="PYG",IF(O$10&gt;0,N(Reales!O42)/O$10,0),N(Reales!O42)),O$190+O$193)</f>
        <v>19873.0114276757</v>
      </c>
      <c r="P200" s="34" t="n">
        <f aca="false">IF(P$8=1,IF(Reales!$C$42="PYG",IF(P$10&gt;0,N(Reales!P42)/P$10,0),N(Reales!P42)),P$190+P$193)</f>
        <v>19873.0114276757</v>
      </c>
      <c r="Q200" s="34" t="n">
        <f aca="false">IF(Q$8=1,IF(Reales!$C$42="PYG",IF(Q$10&gt;0,N(Reales!Q42)/Q$10,0),N(Reales!Q42)),Q$190+Q$193)</f>
        <v>19873.0114276757</v>
      </c>
      <c r="R200" s="34" t="n">
        <f aca="false">IF(R$8=1,IF(Reales!$C$42="PYG",IF(R$10&gt;0,N(Reales!R42)/R$10,0),N(Reales!R42)),R$190+R$193)</f>
        <v>23317.3689934674</v>
      </c>
      <c r="S200" s="34" t="n">
        <f aca="false">IF(S$8=1,IF(Reales!$C$42="PYG",IF(S$10&gt;0,N(Reales!S42)/S$10,0),N(Reales!S42)),S$190+S$193)</f>
        <v>23317.3689934674</v>
      </c>
      <c r="T200" s="34" t="n">
        <f aca="false">IF(T$8=1,IF(Reales!$C$42="PYG",IF(T$10&gt;0,N(Reales!T42)/T$10,0),N(Reales!T42)),T$190+T$193)</f>
        <v>23317.3689934674</v>
      </c>
      <c r="U200" s="34" t="n">
        <f aca="false">IF(U$8=1,IF(Reales!$C$42="PYG",IF(U$10&gt;0,N(Reales!U42)/U$10,0),N(Reales!U42)),U$190+U$193)</f>
        <v>23317.3689934674</v>
      </c>
      <c r="V200" s="34" t="n">
        <f aca="false">IF(V$8=1,IF(Reales!$C$42="PYG",IF(V$10&gt;0,N(Reales!V42)/V$10,0),N(Reales!V42)),V$190+V$193)</f>
        <v>23317.3689934674</v>
      </c>
      <c r="W200" s="34" t="n">
        <f aca="false">IF(W$8=1,IF(Reales!$C$42="PYG",IF(W$10&gt;0,N(Reales!W42)/W$10,0),N(Reales!W42)),W$190+W$193)</f>
        <v>23317.3689934674</v>
      </c>
      <c r="X200" s="34" t="n">
        <f aca="false">IF(X$8=1,IF(Reales!$C$42="PYG",IF(X$10&gt;0,N(Reales!X42)/X$10,0),N(Reales!X42)),X$190+X$193)</f>
        <v>23317.3689934674</v>
      </c>
      <c r="Y200" s="34" t="n">
        <f aca="false">IF(Y$8=1,IF(Reales!$C$42="PYG",IF(Y$10&gt;0,N(Reales!Y42)/Y$10,0),N(Reales!Y42)),Y$190+Y$193)</f>
        <v>23317.3689934674</v>
      </c>
      <c r="Z200" s="34" t="n">
        <f aca="false">IF(Z$8=1,IF(Reales!$C$42="PYG",IF(Z$10&gt;0,N(Reales!Z42)/Z$10,0),N(Reales!Z42)),Z$190+Z$193)</f>
        <v>23317.3689934674</v>
      </c>
      <c r="AA200" s="34" t="n">
        <f aca="false">IF(AA$8=1,IF(Reales!$C$42="PYG",IF(AA$10&gt;0,N(Reales!AA42)/AA$10,0),N(Reales!AA42)),AA$190+AA$193)</f>
        <v>23317.3689934674</v>
      </c>
      <c r="AB200" s="34" t="n">
        <f aca="false">IF(AB$8=1,IF(Reales!$C$42="PYG",IF(AB$10&gt;0,N(Reales!AB42)/AB$10,0),N(Reales!AB42)),AB$190+AB$193)</f>
        <v>23317.3689934674</v>
      </c>
      <c r="AC200" s="34" t="n">
        <f aca="false">IF(AC$8=1,IF(Reales!$C$42="PYG",IF(AC$10&gt;0,N(Reales!AC42)/AC$10,0),N(Reales!AC42)),AC$190+AC$193)</f>
        <v>23317.3689934674</v>
      </c>
      <c r="AD200" s="34" t="n">
        <f aca="false">IF(AD$8=1,IF(Reales!$C$42="PYG",IF(AD$10&gt;0,N(Reales!AD42)/AD$10,0),N(Reales!AD42)),AD$190+AD$193)</f>
        <v>26931.7997342693</v>
      </c>
      <c r="AE200" s="34" t="n">
        <f aca="false">IF(AE$8=1,IF(Reales!$C$42="PYG",IF(AE$10&gt;0,N(Reales!AE42)/AE$10,0),N(Reales!AE42)),AE$190+AE$193)</f>
        <v>26931.7997342693</v>
      </c>
      <c r="AF200" s="34" t="n">
        <f aca="false">IF(AF$8=1,IF(Reales!$C$42="PYG",IF(AF$10&gt;0,N(Reales!AF42)/AF$10,0),N(Reales!AF42)),AF$190+AF$193)</f>
        <v>26931.7997342693</v>
      </c>
      <c r="AG200" s="34" t="n">
        <f aca="false">IF(AG$8=1,IF(Reales!$C$42="PYG",IF(AG$10&gt;0,N(Reales!AG42)/AG$10,0),N(Reales!AG42)),AG$190+AG$193)</f>
        <v>26931.7997342693</v>
      </c>
      <c r="AH200" s="34" t="n">
        <f aca="false">IF(AH$8=1,IF(Reales!$C$42="PYG",IF(AH$10&gt;0,N(Reales!AH42)/AH$10,0),N(Reales!AH42)),AH$190+AH$193)</f>
        <v>26931.7997342693</v>
      </c>
      <c r="AI200" s="34" t="n">
        <f aca="false">IF(AI$8=1,IF(Reales!$C$42="PYG",IF(AI$10&gt;0,N(Reales!AI42)/AI$10,0),N(Reales!AI42)),AI$190+AI$193)</f>
        <v>26931.7997342693</v>
      </c>
      <c r="AJ200" s="34" t="n">
        <f aca="false">IF(AJ$8=1,IF(Reales!$C$42="PYG",IF(AJ$10&gt;0,N(Reales!AJ42)/AJ$10,0),N(Reales!AJ42)),AJ$190+AJ$193)</f>
        <v>26931.7997342693</v>
      </c>
      <c r="AK200" s="34" t="n">
        <f aca="false">IF(AK$8=1,IF(Reales!$C$42="PYG",IF(AK$10&gt;0,N(Reales!AK42)/AK$10,0),N(Reales!AK42)),AK$190+AK$193)</f>
        <v>26931.7997342693</v>
      </c>
      <c r="AL200" s="34" t="n">
        <f aca="false">IF(AL$8=1,IF(Reales!$C$42="PYG",IF(AL$10&gt;0,N(Reales!AL42)/AL$10,0),N(Reales!AL42)),AL$190+AL$193)</f>
        <v>26931.7997342693</v>
      </c>
      <c r="AM200" s="34" t="n">
        <f aca="false">IF(AM$8=1,IF(Reales!$C$42="PYG",IF(AM$10&gt;0,N(Reales!AM42)/AM$10,0),N(Reales!AM42)),AM$190+AM$193)</f>
        <v>26931.7997342693</v>
      </c>
      <c r="AN200" s="34" t="n">
        <f aca="false">IF(AN$8=1,IF(Reales!$C$42="PYG",IF(AN$10&gt;0,N(Reales!AN42)/AN$10,0),N(Reales!AN42)),AN$190+AN$193)</f>
        <v>26931.7997342693</v>
      </c>
      <c r="AO200" s="34" t="n">
        <f aca="false">IF(AO$8=1,IF(Reales!$C$42="PYG",IF(AO$10&gt;0,N(Reales!AO42)/AO$10,0),N(Reales!AO42)),AO$190+AO$193)</f>
        <v>26931.7997342693</v>
      </c>
      <c r="AP200" s="34" t="n">
        <f aca="false">IF(AP$8=1,IF(Reales!$C$42="PYG",IF(AP$10&gt;0,N(Reales!AP42)/AP$10,0),N(Reales!AP42)),AP$190+AP$193)</f>
        <v>29899.7286769277</v>
      </c>
      <c r="AQ200" s="34" t="n">
        <f aca="false">IF(AQ$8=1,IF(Reales!$C$42="PYG",IF(AQ$10&gt;0,N(Reales!AQ42)/AQ$10,0),N(Reales!AQ42)),AQ$190+AQ$193)</f>
        <v>29899.7286769277</v>
      </c>
      <c r="AR200" s="34" t="n">
        <f aca="false">IF(AR$8=1,IF(Reales!$C$42="PYG",IF(AR$10&gt;0,N(Reales!AR42)/AR$10,0),N(Reales!AR42)),AR$190+AR$193)</f>
        <v>29899.7286769277</v>
      </c>
      <c r="AS200" s="34" t="n">
        <f aca="false">IF(AS$8=1,IF(Reales!$C$42="PYG",IF(AS$10&gt;0,N(Reales!AS42)/AS$10,0),N(Reales!AS42)),AS$190+AS$193)</f>
        <v>29899.7286769277</v>
      </c>
      <c r="AT200" s="34" t="n">
        <f aca="false">IF(AT$8=1,IF(Reales!$C$42="PYG",IF(AT$10&gt;0,N(Reales!AT42)/AT$10,0),N(Reales!AT42)),AT$190+AT$193)</f>
        <v>29899.7286769277</v>
      </c>
      <c r="AU200" s="34" t="n">
        <f aca="false">IF(AU$8=1,IF(Reales!$C$42="PYG",IF(AU$10&gt;0,N(Reales!AU42)/AU$10,0),N(Reales!AU42)),AU$190+AU$193)</f>
        <v>29899.7286769277</v>
      </c>
      <c r="AV200" s="34" t="n">
        <f aca="false">IF(AV$8=1,IF(Reales!$C$42="PYG",IF(AV$10&gt;0,N(Reales!AV42)/AV$10,0),N(Reales!AV42)),AV$190+AV$193)</f>
        <v>29899.7286769277</v>
      </c>
      <c r="AW200" s="34" t="n">
        <f aca="false">IF(AW$8=1,IF(Reales!$C$42="PYG",IF(AW$10&gt;0,N(Reales!AW42)/AW$10,0),N(Reales!AW42)),AW$190+AW$193)</f>
        <v>29899.7286769277</v>
      </c>
      <c r="AX200" s="34" t="n">
        <f aca="false">IF(AX$8=1,IF(Reales!$C$42="PYG",IF(AX$10&gt;0,N(Reales!AX42)/AX$10,0),N(Reales!AX42)),AX$190+AX$193)</f>
        <v>29899.7286769277</v>
      </c>
      <c r="AY200" s="34" t="n">
        <f aca="false">IF(AY$8=1,IF(Reales!$C$42="PYG",IF(AY$10&gt;0,N(Reales!AY42)/AY$10,0),N(Reales!AY42)),AY$190+AY$193)</f>
        <v>29899.7286769277</v>
      </c>
      <c r="AZ200" s="34" t="n">
        <f aca="false">IF(AZ$8=1,IF(Reales!$C$42="PYG",IF(AZ$10&gt;0,N(Reales!AZ42)/AZ$10,0),N(Reales!AZ42)),AZ$190+AZ$193)</f>
        <v>29899.7286769277</v>
      </c>
      <c r="BA200" s="34" t="n">
        <f aca="false">IF(BA$8=1,IF(Reales!$C$42="PYG",IF(BA$10&gt;0,N(Reales!BA42)/BA$10,0),N(Reales!BA42)),BA$190+BA$193)</f>
        <v>29899.7286769277</v>
      </c>
      <c r="BB200" s="34" t="n">
        <f aca="false">IF(BB$8=1,IF(Reales!$C$42="PYG",IF(BB$10&gt;0,N(Reales!BB42)/BB$10,0),N(Reales!BB42)),BB$190+BB$193)</f>
        <v>30202.8952208885</v>
      </c>
      <c r="BC200" s="34" t="n">
        <f aca="false">IF(BC$8=1,IF(Reales!$C$42="PYG",IF(BC$10&gt;0,N(Reales!BC42)/BC$10,0),N(Reales!BC42)),BC$190+BC$193)</f>
        <v>30202.8952208885</v>
      </c>
      <c r="BD200" s="34" t="n">
        <f aca="false">IF(BD$8=1,IF(Reales!$C$42="PYG",IF(BD$10&gt;0,N(Reales!BD42)/BD$10,0),N(Reales!BD42)),BD$190+BD$193)</f>
        <v>30202.8952208885</v>
      </c>
      <c r="BE200" s="34" t="n">
        <f aca="false">IF(BE$8=1,IF(Reales!$C$42="PYG",IF(BE$10&gt;0,N(Reales!BE42)/BE$10,0),N(Reales!BE42)),BE$190+BE$193)</f>
        <v>30202.8952208885</v>
      </c>
      <c r="BF200" s="34" t="n">
        <f aca="false">IF(BF$8=1,IF(Reales!$C$42="PYG",IF(BF$10&gt;0,N(Reales!BF42)/BF$10,0),N(Reales!BF42)),BF$190+BF$193)</f>
        <v>30202.8952208885</v>
      </c>
      <c r="BG200" s="34" t="n">
        <f aca="false">IF(BG$8=1,IF(Reales!$C$42="PYG",IF(BG$10&gt;0,N(Reales!BG42)/BG$10,0),N(Reales!BG42)),BG$190+BG$193)</f>
        <v>30202.8952208885</v>
      </c>
      <c r="BH200" s="34" t="n">
        <f aca="false">IF(BH$8=1,IF(Reales!$C$42="PYG",IF(BH$10&gt;0,N(Reales!BH42)/BH$10,0),N(Reales!BH42)),BH$190+BH$193)</f>
        <v>30202.8952208885</v>
      </c>
      <c r="BI200" s="34" t="n">
        <f aca="false">IF(BI$8=1,IF(Reales!$C$42="PYG",IF(BI$10&gt;0,N(Reales!BI42)/BI$10,0),N(Reales!BI42)),BI$190+BI$193)</f>
        <v>30202.8952208885</v>
      </c>
      <c r="BJ200" s="34" t="n">
        <f aca="false">IF(BJ$8=1,IF(Reales!$C$42="PYG",IF(BJ$10&gt;0,N(Reales!BJ42)/BJ$10,0),N(Reales!BJ42)),BJ$190+BJ$193)</f>
        <v>30202.8952208885</v>
      </c>
      <c r="BK200" s="34" t="n">
        <f aca="false">IF(BK$8=1,IF(Reales!$C$42="PYG",IF(BK$10&gt;0,N(Reales!BK42)/BK$10,0),N(Reales!BK42)),BK$190+BK$193)</f>
        <v>30202.8952208885</v>
      </c>
      <c r="BL200" s="34" t="n">
        <f aca="false">IF(BL$8=1,IF(Reales!$C$42="PYG",IF(BL$10&gt;0,N(Reales!BL42)/BL$10,0),N(Reales!BL42)),BL$190+BL$193)</f>
        <v>30202.8952208885</v>
      </c>
      <c r="BM200" s="34" t="n">
        <f aca="false">IF(BM$8=1,IF(Reales!$C$42="PYG",IF(BM$10&gt;0,N(Reales!BM42)/BM$10,0),N(Reales!BM42)),BM$190+BM$193)</f>
        <v>30202.8952208885</v>
      </c>
      <c r="BN200" s="34" t="n">
        <f aca="false">IF(BN$8=1,IF(Reales!$C$42="PYG",IF(BN$10&gt;0,N(Reales!BN42)/BN$10,0),N(Reales!BN42)),BN$190+BN$193)</f>
        <v>30377.8973165949</v>
      </c>
      <c r="BO200" s="34" t="n">
        <f aca="false">IF(BO$8=1,IF(Reales!$C$42="PYG",IF(BO$10&gt;0,N(Reales!BO42)/BO$10,0),N(Reales!BO42)),BO$190+BO$193)</f>
        <v>30377.8973165949</v>
      </c>
      <c r="BP200" s="34" t="n">
        <f aca="false">IF(BP$8=1,IF(Reales!$C$42="PYG",IF(BP$10&gt;0,N(Reales!BP42)/BP$10,0),N(Reales!BP42)),BP$190+BP$193)</f>
        <v>30377.8973165949</v>
      </c>
      <c r="BQ200" s="34" t="n">
        <f aca="false">IF(BQ$8=1,IF(Reales!$C$42="PYG",IF(BQ$10&gt;0,N(Reales!BQ42)/BQ$10,0),N(Reales!BQ42)),BQ$190+BQ$193)</f>
        <v>30377.8973165949</v>
      </c>
      <c r="BR200" s="34" t="n">
        <f aca="false">IF(BR$8=1,IF(Reales!$C$42="PYG",IF(BR$10&gt;0,N(Reales!BR42)/BR$10,0),N(Reales!BR42)),BR$190+BR$193)</f>
        <v>30377.8973165949</v>
      </c>
      <c r="BS200" s="34" t="n">
        <f aca="false">IF(BS$8=1,IF(Reales!$C$42="PYG",IF(BS$10&gt;0,N(Reales!BS42)/BS$10,0),N(Reales!BS42)),BS$190+BS$193)</f>
        <v>30377.8973165949</v>
      </c>
      <c r="BT200" s="34" t="n">
        <f aca="false">IF(BT$8=1,IF(Reales!$C$42="PYG",IF(BT$10&gt;0,N(Reales!BT42)/BT$10,0),N(Reales!BT42)),BT$190+BT$193)</f>
        <v>30377.8973165949</v>
      </c>
      <c r="BU200" s="34" t="n">
        <f aca="false">IF(BU$8=1,IF(Reales!$C$42="PYG",IF(BU$10&gt;0,N(Reales!BU42)/BU$10,0),N(Reales!BU42)),BU$190+BU$193)</f>
        <v>30377.8973165949</v>
      </c>
      <c r="BV200" s="34" t="n">
        <f aca="false">IF(BV$8=1,IF(Reales!$C$42="PYG",IF(BV$10&gt;0,N(Reales!BV42)/BV$10,0),N(Reales!BV42)),BV$190+BV$193)</f>
        <v>30377.8973165949</v>
      </c>
      <c r="BW200" s="34" t="n">
        <f aca="false">IF(BW$8=1,IF(Reales!$C$42="PYG",IF(BW$10&gt;0,N(Reales!BW42)/BW$10,0),N(Reales!BW42)),BW$190+BW$193)</f>
        <v>30377.8973165949</v>
      </c>
      <c r="BX200" s="34" t="n">
        <f aca="false">IF(BX$8=1,IF(Reales!$C$42="PYG",IF(BX$10&gt;0,N(Reales!BX42)/BX$10,0),N(Reales!BX42)),BX$190+BX$193)</f>
        <v>30377.8973165949</v>
      </c>
      <c r="BY200" s="34" t="n">
        <f aca="false">IF(BY$8=1,IF(Reales!$C$42="PYG",IF(BY$10&gt;0,N(Reales!BY42)/BY$10,0),N(Reales!BY42)),BY$190+BY$193)</f>
        <v>30377.8973165949</v>
      </c>
      <c r="BZ200" s="34" t="n">
        <f aca="false">IF(BZ$8=1,IF(Reales!$C$42="PYG",IF(BZ$10&gt;0,N(Reales!BZ42)/BZ$10,0),N(Reales!BZ42)),BZ$190+BZ$193)</f>
        <v>30555.2121796718</v>
      </c>
      <c r="CA200" s="34" t="n">
        <f aca="false">IF(CA$8=1,IF(Reales!$C$42="PYG",IF(CA$10&gt;0,N(Reales!CA42)/CA$10,0),N(Reales!CA42)),CA$190+CA$193)</f>
        <v>30555.2121796718</v>
      </c>
      <c r="CB200" s="34" t="n">
        <f aca="false">IF(CB$8=1,IF(Reales!$C$42="PYG",IF(CB$10&gt;0,N(Reales!CB42)/CB$10,0),N(Reales!CB42)),CB$190+CB$193)</f>
        <v>30555.2121796718</v>
      </c>
      <c r="CC200" s="34" t="n">
        <f aca="false">IF(CC$8=1,IF(Reales!$C$42="PYG",IF(CC$10&gt;0,N(Reales!CC42)/CC$10,0),N(Reales!CC42)),CC$190+CC$193)</f>
        <v>30555.2121796718</v>
      </c>
      <c r="CD200" s="34" t="n">
        <f aca="false">IF(CD$8=1,IF(Reales!$C$42="PYG",IF(CD$10&gt;0,N(Reales!CD42)/CD$10,0),N(Reales!CD42)),CD$190+CD$193)</f>
        <v>30555.2121796718</v>
      </c>
      <c r="CE200" s="34" t="n">
        <f aca="false">IF(CE$8=1,IF(Reales!$C$42="PYG",IF(CE$10&gt;0,N(Reales!CE42)/CE$10,0),N(Reales!CE42)),CE$190+CE$193)</f>
        <v>30555.2121796718</v>
      </c>
      <c r="CF200" s="34" t="n">
        <f aca="false">IF(CF$8=1,IF(Reales!$C$42="PYG",IF(CF$10&gt;0,N(Reales!CF42)/CF$10,0),N(Reales!CF42)),CF$190+CF$193)</f>
        <v>30555.2121796718</v>
      </c>
      <c r="CG200" s="34" t="n">
        <f aca="false">IF(CG$8=1,IF(Reales!$C$42="PYG",IF(CG$10&gt;0,N(Reales!CG42)/CG$10,0),N(Reales!CG42)),CG$190+CG$193)</f>
        <v>30555.2121796718</v>
      </c>
      <c r="CH200" s="34" t="n">
        <f aca="false">IF(CH$8=1,IF(Reales!$C$42="PYG",IF(CH$10&gt;0,N(Reales!CH42)/CH$10,0),N(Reales!CH42)),CH$190+CH$193)</f>
        <v>30555.2121796718</v>
      </c>
      <c r="CI200" s="34" t="n">
        <f aca="false">IF(CI$8=1,IF(Reales!$C$42="PYG",IF(CI$10&gt;0,N(Reales!CI42)/CI$10,0),N(Reales!CI42)),CI$190+CI$193)</f>
        <v>30555.2121796718</v>
      </c>
      <c r="CJ200" s="34" t="n">
        <f aca="false">IF(CJ$8=1,IF(Reales!$C$42="PYG",IF(CJ$10&gt;0,N(Reales!CJ42)/CJ$10,0),N(Reales!CJ42)),CJ$190+CJ$193)</f>
        <v>30555.2121796718</v>
      </c>
      <c r="CK200" s="34" t="n">
        <f aca="false">IF(CK$8=1,IF(Reales!$C$42="PYG",IF(CK$10&gt;0,N(Reales!CK42)/CK$10,0),N(Reales!CK42)),CK$190+CK$193)</f>
        <v>30555.2121796718</v>
      </c>
      <c r="CL200" s="34" t="n">
        <f aca="false">IF(CL$8=1,IF(Reales!$C$42="PYG",IF(CL$10&gt;0,N(Reales!CL42)/CL$10,0),N(Reales!CL42)),CL$190+CL$193)</f>
        <v>30734.874192721</v>
      </c>
      <c r="CM200" s="34" t="n">
        <f aca="false">IF(CM$8=1,IF(Reales!$C$42="PYG",IF(CM$10&gt;0,N(Reales!CM42)/CM$10,0),N(Reales!CM42)),CM$190+CM$193)</f>
        <v>30734.874192721</v>
      </c>
      <c r="CN200" s="34" t="n">
        <f aca="false">IF(CN$8=1,IF(Reales!$C$42="PYG",IF(CN$10&gt;0,N(Reales!CN42)/CN$10,0),N(Reales!CN42)),CN$190+CN$193)</f>
        <v>30734.874192721</v>
      </c>
      <c r="CO200" s="34" t="n">
        <f aca="false">IF(CO$8=1,IF(Reales!$C$42="PYG",IF(CO$10&gt;0,N(Reales!CO42)/CO$10,0),N(Reales!CO42)),CO$190+CO$193)</f>
        <v>30734.874192721</v>
      </c>
      <c r="CP200" s="34" t="n">
        <f aca="false">IF(CP$8=1,IF(Reales!$C$42="PYG",IF(CP$10&gt;0,N(Reales!CP42)/CP$10,0),N(Reales!CP42)),CP$190+CP$193)</f>
        <v>30734.874192721</v>
      </c>
      <c r="CQ200" s="34" t="n">
        <f aca="false">IF(CQ$8=1,IF(Reales!$C$42="PYG",IF(CQ$10&gt;0,N(Reales!CQ42)/CQ$10,0),N(Reales!CQ42)),CQ$190+CQ$193)</f>
        <v>30734.874192721</v>
      </c>
      <c r="CR200" s="34" t="n">
        <f aca="false">IF(CR$8=1,IF(Reales!$C$42="PYG",IF(CR$10&gt;0,N(Reales!CR42)/CR$10,0),N(Reales!CR42)),CR$190+CR$193)</f>
        <v>30734.874192721</v>
      </c>
      <c r="CS200" s="34" t="n">
        <f aca="false">IF(CS$8=1,IF(Reales!$C$42="PYG",IF(CS$10&gt;0,N(Reales!CS42)/CS$10,0),N(Reales!CS42)),CS$190+CS$193)</f>
        <v>30734.874192721</v>
      </c>
      <c r="CT200" s="34" t="n">
        <f aca="false">IF(CT$8=1,IF(Reales!$C$42="PYG",IF(CT$10&gt;0,N(Reales!CT42)/CT$10,0),N(Reales!CT42)),CT$190+CT$193)</f>
        <v>30734.874192721</v>
      </c>
      <c r="CU200" s="34" t="n">
        <f aca="false">IF(CU$8=1,IF(Reales!$C$42="PYG",IF(CU$10&gt;0,N(Reales!CU42)/CU$10,0),N(Reales!CU42)),CU$190+CU$193)</f>
        <v>30734.874192721</v>
      </c>
      <c r="CV200" s="34" t="n">
        <f aca="false">IF(CV$8=1,IF(Reales!$C$42="PYG",IF(CV$10&gt;0,N(Reales!CV42)/CV$10,0),N(Reales!CV42)),CV$190+CV$193)</f>
        <v>30734.874192721</v>
      </c>
      <c r="CW200" s="34" t="n">
        <f aca="false">IF(CW$8=1,IF(Reales!$C$42="PYG",IF(CW$10&gt;0,N(Reales!CW42)/CW$10,0),N(Reales!CW42)),CW$190+CW$193)</f>
        <v>30734.874192721</v>
      </c>
      <c r="CX200" s="34" t="n">
        <f aca="false">IF(CX$8=1,IF(Reales!$C$42="PYG",IF(CX$10&gt;0,N(Reales!CX42)/CX$10,0),N(Reales!CX42)),CX$190+CX$193)</f>
        <v>30916.9183072693</v>
      </c>
      <c r="CY200" s="34" t="n">
        <f aca="false">IF(CY$8=1,IF(Reales!$C$42="PYG",IF(CY$10&gt;0,N(Reales!CY42)/CY$10,0),N(Reales!CY42)),CY$190+CY$193)</f>
        <v>30916.9183072693</v>
      </c>
      <c r="CZ200" s="34" t="n">
        <f aca="false">IF(CZ$8=1,IF(Reales!$C$42="PYG",IF(CZ$10&gt;0,N(Reales!CZ42)/CZ$10,0),N(Reales!CZ42)),CZ$190+CZ$193)</f>
        <v>30916.9183072693</v>
      </c>
      <c r="DA200" s="34" t="n">
        <f aca="false">IF(DA$8=1,IF(Reales!$C$42="PYG",IF(DA$10&gt;0,N(Reales!DA42)/DA$10,0),N(Reales!DA42)),DA$190+DA$193)</f>
        <v>30916.9183072693</v>
      </c>
      <c r="DB200" s="34" t="n">
        <f aca="false">IF(DB$8=1,IF(Reales!$C$42="PYG",IF(DB$10&gt;0,N(Reales!DB42)/DB$10,0),N(Reales!DB42)),DB$190+DB$193)</f>
        <v>30916.9183072693</v>
      </c>
      <c r="DC200" s="34" t="n">
        <f aca="false">IF(DC$8=1,IF(Reales!$C$42="PYG",IF(DC$10&gt;0,N(Reales!DC42)/DC$10,0),N(Reales!DC42)),DC$190+DC$193)</f>
        <v>30916.9183072693</v>
      </c>
      <c r="DD200" s="34" t="n">
        <f aca="false">IF(DD$8=1,IF(Reales!$C$42="PYG",IF(DD$10&gt;0,N(Reales!DD42)/DD$10,0),N(Reales!DD42)),DD$190+DD$193)</f>
        <v>30916.9183072693</v>
      </c>
      <c r="DE200" s="34" t="n">
        <f aca="false">IF(DE$8=1,IF(Reales!$C$42="PYG",IF(DE$10&gt;0,N(Reales!DE42)/DE$10,0),N(Reales!DE42)),DE$190+DE$193)</f>
        <v>30916.9183072693</v>
      </c>
      <c r="DF200" s="34" t="n">
        <f aca="false">IF(DF$8=1,IF(Reales!$C$42="PYG",IF(DF$10&gt;0,N(Reales!DF42)/DF$10,0),N(Reales!DF42)),DF$190+DF$193)</f>
        <v>30916.9183072693</v>
      </c>
      <c r="DG200" s="34" t="n">
        <f aca="false">IF(DG$8=1,IF(Reales!$C$42="PYG",IF(DG$10&gt;0,N(Reales!DG42)/DG$10,0),N(Reales!DG42)),DG$190+DG$193)</f>
        <v>30916.9183072693</v>
      </c>
      <c r="DH200" s="34" t="n">
        <f aca="false">IF(DH$8=1,IF(Reales!$C$42="PYG",IF(DH$10&gt;0,N(Reales!DH42)/DH$10,0),N(Reales!DH42)),DH$190+DH$193)</f>
        <v>30916.9183072693</v>
      </c>
      <c r="DI200" s="34" t="n">
        <f aca="false">IF(DI$8=1,IF(Reales!$C$42="PYG",IF(DI$10&gt;0,N(Reales!DI42)/DI$10,0),N(Reales!DI42)),DI$190+DI$193)</f>
        <v>30916.9183072693</v>
      </c>
      <c r="DJ200" s="34" t="n">
        <f aca="false">IF(DJ$8=1,IF(Reales!$C$42="PYG",IF(DJ$10&gt;0,N(Reales!DJ42)/DJ$10,0),N(Reales!DJ42)),DJ$190+DJ$193)</f>
        <v>31101.3800539588</v>
      </c>
      <c r="DK200" s="34" t="n">
        <f aca="false">IF(DK$8=1,IF(Reales!$C$42="PYG",IF(DK$10&gt;0,N(Reales!DK42)/DK$10,0),N(Reales!DK42)),DK$190+DK$193)</f>
        <v>31101.3800539588</v>
      </c>
      <c r="DL200" s="34" t="n">
        <f aca="false">IF(DL$8=1,IF(Reales!$C$42="PYG",IF(DL$10&gt;0,N(Reales!DL42)/DL$10,0),N(Reales!DL42)),DL$190+DL$193)</f>
        <v>31101.3800539588</v>
      </c>
      <c r="DM200" s="34" t="n">
        <f aca="false">IF(DM$8=1,IF(Reales!$C$42="PYG",IF(DM$10&gt;0,N(Reales!DM42)/DM$10,0),N(Reales!DM42)),DM$190+DM$193)</f>
        <v>31101.3800539588</v>
      </c>
      <c r="DN200" s="34" t="n">
        <f aca="false">IF(DN$8=1,IF(Reales!$C$42="PYG",IF(DN$10&gt;0,N(Reales!DN42)/DN$10,0),N(Reales!DN42)),DN$190+DN$193)</f>
        <v>31101.3800539588</v>
      </c>
      <c r="DO200" s="34" t="n">
        <f aca="false">IF(DO$8=1,IF(Reales!$C$42="PYG",IF(DO$10&gt;0,N(Reales!DO42)/DO$10,0),N(Reales!DO42)),DO$190+DO$193)</f>
        <v>31101.3800539588</v>
      </c>
      <c r="DP200" s="34" t="n">
        <f aca="false">IF(DP$8=1,IF(Reales!$C$42="PYG",IF(DP$10&gt;0,N(Reales!DP42)/DP$10,0),N(Reales!DP42)),DP$190+DP$193)</f>
        <v>31101.3800539588</v>
      </c>
      <c r="DQ200" s="34" t="n">
        <f aca="false">IF(DQ$8=1,IF(Reales!$C$42="PYG",IF(DQ$10&gt;0,N(Reales!DQ42)/DQ$10,0),N(Reales!DQ42)),DQ$190+DQ$193)</f>
        <v>31101.3800539588</v>
      </c>
      <c r="DR200" s="34" t="n">
        <f aca="false">IF(DR$8=1,IF(Reales!$C$42="PYG",IF(DR$10&gt;0,N(Reales!DR42)/DR$10,0),N(Reales!DR42)),DR$190+DR$193)</f>
        <v>31101.3800539588</v>
      </c>
      <c r="DS200" s="34" t="n">
        <f aca="false">IF(DS$8=1,IF(Reales!$C$42="PYG",IF(DS$10&gt;0,N(Reales!DS42)/DS$10,0),N(Reales!DS42)),DS$190+DS$193)</f>
        <v>31101.3800539588</v>
      </c>
      <c r="DT200" s="34" t="n">
        <f aca="false">IF(DT$8=1,IF(Reales!$C$42="PYG",IF(DT$10&gt;0,N(Reales!DT42)/DT$10,0),N(Reales!DT42)),DT$190+DT$193)</f>
        <v>31101.3800539588</v>
      </c>
      <c r="DU200" s="34" t="n">
        <f aca="false">IF(DU$8=1,IF(Reales!$C$42="PYG",IF(DU$10&gt;0,N(Reales!DU42)/DU$10,0),N(Reales!DU42)),DU$190+DU$193)</f>
        <v>31101.3800539588</v>
      </c>
      <c r="DV200" s="34" t="n">
        <f aca="false">IF(DV$8=1,IF(Reales!$C$42="PYG",IF(DV$10&gt;0,N(Reales!DV42)/DV$10,0),N(Reales!DV42)),DV$190+DV$193)</f>
        <v>0</v>
      </c>
      <c r="DW200" s="34" t="n">
        <f aca="false">IF(DW$8=1,IF(Reales!$C$42="PYG",IF(DW$10&gt;0,N(Reales!DW42)/DW$10,0),N(Reales!DW42)),DW$190+DW$193)</f>
        <v>0</v>
      </c>
      <c r="DX200" s="34" t="n">
        <f aca="false">IF(DX$8=1,IF(Reales!$C$42="PYG",IF(DX$10&gt;0,N(Reales!DX42)/DX$10,0),N(Reales!DX42)),DX$190+DX$193)</f>
        <v>0</v>
      </c>
      <c r="DY200" s="34" t="n">
        <f aca="false">IF(DY$8=1,IF(Reales!$C$42="PYG",IF(DY$10&gt;0,N(Reales!DY42)/DY$10,0),N(Reales!DY42)),DY$190+DY$193)</f>
        <v>0</v>
      </c>
      <c r="DZ200" s="34" t="n">
        <f aca="false">IF(DZ$8=1,IF(Reales!$C$42="PYG",IF(DZ$10&gt;0,N(Reales!DZ42)/DZ$10,0),N(Reales!DZ42)),DZ$190+DZ$193)</f>
        <v>0</v>
      </c>
      <c r="EA200" s="34" t="n">
        <f aca="false">IF(EA$8=1,IF(Reales!$C$42="PYG",IF(EA$10&gt;0,N(Reales!EA42)/EA$10,0),N(Reales!EA42)),EA$190+EA$193)</f>
        <v>0</v>
      </c>
      <c r="EB200" s="34" t="n">
        <f aca="false">IF(EB$8=1,IF(Reales!$C$42="PYG",IF(EB$10&gt;0,N(Reales!EB42)/EB$10,0),N(Reales!EB42)),EB$190+EB$193)</f>
        <v>0</v>
      </c>
      <c r="EC200" s="34" t="n">
        <f aca="false">IF(EC$8=1,IF(Reales!$C$42="PYG",IF(EC$10&gt;0,N(Reales!EC42)/EC$10,0),N(Reales!EC42)),EC$190+EC$193)</f>
        <v>0</v>
      </c>
      <c r="ED200" s="34" t="n">
        <f aca="false">IF(ED$8=1,IF(Reales!$C$42="PYG",IF(ED$10&gt;0,N(Reales!ED42)/ED$10,0),N(Reales!ED42)),ED$190+ED$193)</f>
        <v>0</v>
      </c>
      <c r="EE200" s="34" t="n">
        <f aca="false">IF(EE$8=1,IF(Reales!$C$42="PYG",IF(EE$10&gt;0,N(Reales!EE42)/EE$10,0),N(Reales!EE42)),EE$190+EE$193)</f>
        <v>0</v>
      </c>
      <c r="EF200" s="34" t="n">
        <f aca="false">IF(EF$8=1,IF(Reales!$C$42="PYG",IF(EF$10&gt;0,N(Reales!EF42)/EF$10,0),N(Reales!EF42)),EF$190+EF$193)</f>
        <v>0</v>
      </c>
      <c r="EG200" s="34" t="n">
        <f aca="false">IF(EG$8=1,IF(Reales!$C$42="PYG",IF(EG$10&gt;0,N(Reales!EG42)/EG$10,0),N(Reales!EG42)),EG$190+EG$193)</f>
        <v>0</v>
      </c>
      <c r="EH200" s="34" t="n">
        <f aca="false">IF(EH$8=1,IF(Reales!$C$42="PYG",IF(EH$10&gt;0,N(Reales!EH42)/EH$10,0),N(Reales!EH42)),EH$190+EH$193)</f>
        <v>0</v>
      </c>
      <c r="EI200" s="34" t="n">
        <f aca="false">IF(EI$8=1,IF(Reales!$C$42="PYG",IF(EI$10&gt;0,N(Reales!EI42)/EI$10,0),N(Reales!EI42)),EI$190+EI$193)</f>
        <v>0</v>
      </c>
      <c r="EJ200" s="34" t="n">
        <f aca="false">IF(EJ$8=1,IF(Reales!$C$42="PYG",IF(EJ$10&gt;0,N(Reales!EJ42)/EJ$10,0),N(Reales!EJ42)),EJ$190+EJ$193)</f>
        <v>0</v>
      </c>
      <c r="EK200" s="34" t="n">
        <f aca="false">IF(EK$8=1,IF(Reales!$C$42="PYG",IF(EK$10&gt;0,N(Reales!EK42)/EK$10,0),N(Reales!EK42)),EK$190+EK$193)</f>
        <v>0</v>
      </c>
      <c r="EL200" s="34" t="n">
        <f aca="false">IF(EL$8=1,IF(Reales!$C$42="PYG",IF(EL$10&gt;0,N(Reales!EL42)/EL$10,0),N(Reales!EL42)),EL$190+EL$193)</f>
        <v>0</v>
      </c>
      <c r="EM200" s="34" t="n">
        <f aca="false">IF(EM$8=1,IF(Reales!$C$42="PYG",IF(EM$10&gt;0,N(Reales!EM42)/EM$10,0),N(Reales!EM42)),EM$190+EM$193)</f>
        <v>0</v>
      </c>
      <c r="EN200" s="34" t="n">
        <f aca="false">IF(EN$8=1,IF(Reales!$C$42="PYG",IF(EN$10&gt;0,N(Reales!EN42)/EN$10,0),N(Reales!EN42)),EN$190+EN$193)</f>
        <v>0</v>
      </c>
      <c r="EO200" s="34" t="n">
        <f aca="false">IF(EO$8=1,IF(Reales!$C$42="PYG",IF(EO$10&gt;0,N(Reales!EO42)/EO$10,0),N(Reales!EO42)),EO$190+EO$193)</f>
        <v>0</v>
      </c>
      <c r="EP200" s="34" t="n">
        <f aca="false">IF(EP$8=1,IF(Reales!$C$42="PYG",IF(EP$10&gt;0,N(Reales!EP42)/EP$10,0),N(Reales!EP42)),EP$190+EP$193)</f>
        <v>0</v>
      </c>
      <c r="EQ200" s="34" t="n">
        <f aca="false">IF(EQ$8=1,IF(Reales!$C$42="PYG",IF(EQ$10&gt;0,N(Reales!EQ42)/EQ$10,0),N(Reales!EQ42)),EQ$190+EQ$193)</f>
        <v>0</v>
      </c>
      <c r="ER200" s="34" t="n">
        <f aca="false">IF(ER$8=1,IF(Reales!$C$42="PYG",IF(ER$10&gt;0,N(Reales!ER42)/ER$10,0),N(Reales!ER42)),ER$190+ER$193)</f>
        <v>0</v>
      </c>
      <c r="ES200" s="34" t="n">
        <f aca="false">IF(ES$8=1,IF(Reales!$C$42="PYG",IF(ES$10&gt;0,N(Reales!ES42)/ES$10,0),N(Reales!ES42)),ES$190+ES$193)</f>
        <v>0</v>
      </c>
    </row>
    <row r="201" customFormat="false" ht="15" hidden="false" customHeight="false" outlineLevel="0" collapsed="false">
      <c r="A201" s="2" t="s">
        <v>815</v>
      </c>
      <c r="B201" s="52" t="s">
        <v>633</v>
      </c>
      <c r="C201" s="6" t="s">
        <v>250</v>
      </c>
      <c r="E201" s="40" t="n">
        <f aca="false">SUM(F201:ES201)</f>
        <v>21340920.4743363</v>
      </c>
      <c r="F201" s="10" t="n">
        <f aca="false">F$175-F$197-F$198-F$199-F$200</f>
        <v>79096.469288216</v>
      </c>
      <c r="G201" s="10" t="n">
        <f aca="false">G$175-G$197-G$198-G$199-G$200</f>
        <v>79096.469288216</v>
      </c>
      <c r="H201" s="10" t="n">
        <f aca="false">H$175-H$197-H$198-H$199-H$200</f>
        <v>79096.469288216</v>
      </c>
      <c r="I201" s="10" t="n">
        <f aca="false">I$175-I$197-I$198-I$199-I$200</f>
        <v>79096.469288216</v>
      </c>
      <c r="J201" s="10" t="n">
        <f aca="false">J$175-J$197-J$198-J$199-J$200</f>
        <v>79096.469288216</v>
      </c>
      <c r="K201" s="10" t="n">
        <f aca="false">K$175-K$197-K$198-K$199-K$200</f>
        <v>79096.469288216</v>
      </c>
      <c r="L201" s="10" t="n">
        <f aca="false">L$175-L$197-L$198-L$199-L$200</f>
        <v>79096.469288216</v>
      </c>
      <c r="M201" s="10" t="n">
        <f aca="false">M$175-M$197-M$198-M$199-M$200</f>
        <v>79096.469288216</v>
      </c>
      <c r="N201" s="10" t="n">
        <f aca="false">N$175-N$197-N$198-N$199-N$200</f>
        <v>79096.469288216</v>
      </c>
      <c r="O201" s="10" t="n">
        <f aca="false">O$175-O$197-O$198-O$199-O$200</f>
        <v>79096.469288216</v>
      </c>
      <c r="P201" s="10" t="n">
        <f aca="false">P$175-P$197-P$198-P$199-P$200</f>
        <v>79096.469288216</v>
      </c>
      <c r="Q201" s="10" t="n">
        <f aca="false">Q$175-Q$197-Q$198-Q$199-Q$200</f>
        <v>79096.469288216</v>
      </c>
      <c r="R201" s="10" t="n">
        <f aca="false">R$175-R$197-R$198-R$199-R$200</f>
        <v>118738.075139924</v>
      </c>
      <c r="S201" s="10" t="n">
        <f aca="false">S$175-S$197-S$198-S$199-S$200</f>
        <v>118738.075139924</v>
      </c>
      <c r="T201" s="10" t="n">
        <f aca="false">T$175-T$197-T$198-T$199-T$200</f>
        <v>118738.075139924</v>
      </c>
      <c r="U201" s="10" t="n">
        <f aca="false">U$175-U$197-U$198-U$199-U$200</f>
        <v>118738.075139924</v>
      </c>
      <c r="V201" s="10" t="n">
        <f aca="false">V$175-V$197-V$198-V$199-V$200</f>
        <v>118738.075139924</v>
      </c>
      <c r="W201" s="10" t="n">
        <f aca="false">W$175-W$197-W$198-W$199-W$200</f>
        <v>118738.075139924</v>
      </c>
      <c r="X201" s="10" t="n">
        <f aca="false">X$175-X$197-X$198-X$199-X$200</f>
        <v>118738.075139924</v>
      </c>
      <c r="Y201" s="10" t="n">
        <f aca="false">Y$175-Y$197-Y$198-Y$199-Y$200</f>
        <v>118738.075139924</v>
      </c>
      <c r="Z201" s="10" t="n">
        <f aca="false">Z$175-Z$197-Z$198-Z$199-Z$200</f>
        <v>118738.075139924</v>
      </c>
      <c r="AA201" s="10" t="n">
        <f aca="false">AA$175-AA$197-AA$198-AA$199-AA$200</f>
        <v>118738.075139924</v>
      </c>
      <c r="AB201" s="10" t="n">
        <f aca="false">AB$175-AB$197-AB$198-AB$199-AB$200</f>
        <v>118738.075139924</v>
      </c>
      <c r="AC201" s="10" t="n">
        <f aca="false">AC$175-AC$197-AC$198-AC$199-AC$200</f>
        <v>118738.075139924</v>
      </c>
      <c r="AD201" s="10" t="n">
        <f aca="false">AD$175-AD$197-AD$198-AD$199-AD$200</f>
        <v>157007.189944418</v>
      </c>
      <c r="AE201" s="10" t="n">
        <f aca="false">AE$175-AE$197-AE$198-AE$199-AE$200</f>
        <v>157007.189944418</v>
      </c>
      <c r="AF201" s="10" t="n">
        <f aca="false">AF$175-AF$197-AF$198-AF$199-AF$200</f>
        <v>157007.189944418</v>
      </c>
      <c r="AG201" s="10" t="n">
        <f aca="false">AG$175-AG$197-AG$198-AG$199-AG$200</f>
        <v>157007.189944418</v>
      </c>
      <c r="AH201" s="10" t="n">
        <f aca="false">AH$175-AH$197-AH$198-AH$199-AH$200</f>
        <v>157007.189944418</v>
      </c>
      <c r="AI201" s="10" t="n">
        <f aca="false">AI$175-AI$197-AI$198-AI$199-AI$200</f>
        <v>157007.189944418</v>
      </c>
      <c r="AJ201" s="10" t="n">
        <f aca="false">AJ$175-AJ$197-AJ$198-AJ$199-AJ$200</f>
        <v>157007.189944418</v>
      </c>
      <c r="AK201" s="10" t="n">
        <f aca="false">AK$175-AK$197-AK$198-AK$199-AK$200</f>
        <v>157007.189944418</v>
      </c>
      <c r="AL201" s="10" t="n">
        <f aca="false">AL$175-AL$197-AL$198-AL$199-AL$200</f>
        <v>157007.189944418</v>
      </c>
      <c r="AM201" s="10" t="n">
        <f aca="false">AM$175-AM$197-AM$198-AM$199-AM$200</f>
        <v>157007.189944418</v>
      </c>
      <c r="AN201" s="10" t="n">
        <f aca="false">AN$175-AN$197-AN$198-AN$199-AN$200</f>
        <v>157007.189944418</v>
      </c>
      <c r="AO201" s="10" t="n">
        <f aca="false">AO$175-AO$197-AO$198-AO$199-AO$200</f>
        <v>157007.189944418</v>
      </c>
      <c r="AP201" s="10" t="n">
        <f aca="false">AP$175-AP$197-AP$198-AP$199-AP$200</f>
        <v>191337.339883818</v>
      </c>
      <c r="AQ201" s="10" t="n">
        <f aca="false">AQ$175-AQ$197-AQ$198-AQ$199-AQ$200</f>
        <v>191337.339883818</v>
      </c>
      <c r="AR201" s="10" t="n">
        <f aca="false">AR$175-AR$197-AR$198-AR$199-AR$200</f>
        <v>191337.339883818</v>
      </c>
      <c r="AS201" s="10" t="n">
        <f aca="false">AS$175-AS$197-AS$198-AS$199-AS$200</f>
        <v>191337.339883818</v>
      </c>
      <c r="AT201" s="10" t="n">
        <f aca="false">AT$175-AT$197-AT$198-AT$199-AT$200</f>
        <v>191337.339883818</v>
      </c>
      <c r="AU201" s="10" t="n">
        <f aca="false">AU$175-AU$197-AU$198-AU$199-AU$200</f>
        <v>191337.339883818</v>
      </c>
      <c r="AV201" s="10" t="n">
        <f aca="false">AV$175-AV$197-AV$198-AV$199-AV$200</f>
        <v>191337.339883818</v>
      </c>
      <c r="AW201" s="10" t="n">
        <f aca="false">AW$175-AW$197-AW$198-AW$199-AW$200</f>
        <v>191337.339883818</v>
      </c>
      <c r="AX201" s="10" t="n">
        <f aca="false">AX$175-AX$197-AX$198-AX$199-AX$200</f>
        <v>191337.339883818</v>
      </c>
      <c r="AY201" s="10" t="n">
        <f aca="false">AY$175-AY$197-AY$198-AY$199-AY$200</f>
        <v>191337.339883818</v>
      </c>
      <c r="AZ201" s="10" t="n">
        <f aca="false">AZ$175-AZ$197-AZ$198-AZ$199-AZ$200</f>
        <v>191337.339883818</v>
      </c>
      <c r="BA201" s="10" t="n">
        <f aca="false">BA$175-BA$197-BA$198-BA$199-BA$200</f>
        <v>191337.339883818</v>
      </c>
      <c r="BB201" s="10" t="n">
        <f aca="false">BB$175-BB$197-BB$198-BB$199-BB$200</f>
        <v>193312.131325573</v>
      </c>
      <c r="BC201" s="10" t="n">
        <f aca="false">BC$175-BC$197-BC$198-BC$199-BC$200</f>
        <v>193312.131325573</v>
      </c>
      <c r="BD201" s="10" t="n">
        <f aca="false">BD$175-BD$197-BD$198-BD$199-BD$200</f>
        <v>193312.131325573</v>
      </c>
      <c r="BE201" s="10" t="n">
        <f aca="false">BE$175-BE$197-BE$198-BE$199-BE$200</f>
        <v>193312.131325573</v>
      </c>
      <c r="BF201" s="10" t="n">
        <f aca="false">BF$175-BF$197-BF$198-BF$199-BF$200</f>
        <v>193312.131325573</v>
      </c>
      <c r="BG201" s="10" t="n">
        <f aca="false">BG$175-BG$197-BG$198-BG$199-BG$200</f>
        <v>193312.131325573</v>
      </c>
      <c r="BH201" s="10" t="n">
        <f aca="false">BH$175-BH$197-BH$198-BH$199-BH$200</f>
        <v>193312.131325573</v>
      </c>
      <c r="BI201" s="10" t="n">
        <f aca="false">BI$175-BI$197-BI$198-BI$199-BI$200</f>
        <v>193312.131325573</v>
      </c>
      <c r="BJ201" s="10" t="n">
        <f aca="false">BJ$175-BJ$197-BJ$198-BJ$199-BJ$200</f>
        <v>193312.131325573</v>
      </c>
      <c r="BK201" s="10" t="n">
        <f aca="false">BK$175-BK$197-BK$198-BK$199-BK$200</f>
        <v>193312.131325573</v>
      </c>
      <c r="BL201" s="10" t="n">
        <f aca="false">BL$175-BL$197-BL$198-BL$199-BL$200</f>
        <v>193312.131325573</v>
      </c>
      <c r="BM201" s="10" t="n">
        <f aca="false">BM$175-BM$197-BM$198-BM$199-BM$200</f>
        <v>193312.131325573</v>
      </c>
      <c r="BN201" s="10" t="n">
        <f aca="false">BN$175-BN$197-BN$198-BN$199-BN$200</f>
        <v>198072.823312718</v>
      </c>
      <c r="BO201" s="10" t="n">
        <f aca="false">BO$175-BO$197-BO$198-BO$199-BO$200</f>
        <v>198072.823312718</v>
      </c>
      <c r="BP201" s="10" t="n">
        <f aca="false">BP$175-BP$197-BP$198-BP$199-BP$200</f>
        <v>198072.823312718</v>
      </c>
      <c r="BQ201" s="10" t="n">
        <f aca="false">BQ$175-BQ$197-BQ$198-BQ$199-BQ$200</f>
        <v>198072.823312718</v>
      </c>
      <c r="BR201" s="10" t="n">
        <f aca="false">BR$175-BR$197-BR$198-BR$199-BR$200</f>
        <v>198072.823312718</v>
      </c>
      <c r="BS201" s="10" t="n">
        <f aca="false">BS$175-BS$197-BS$198-BS$199-BS$200</f>
        <v>198072.823312718</v>
      </c>
      <c r="BT201" s="10" t="n">
        <f aca="false">BT$175-BT$197-BT$198-BT$199-BT$200</f>
        <v>198072.823312718</v>
      </c>
      <c r="BU201" s="10" t="n">
        <f aca="false">BU$175-BU$197-BU$198-BU$199-BU$200</f>
        <v>198072.823312718</v>
      </c>
      <c r="BV201" s="10" t="n">
        <f aca="false">BV$175-BV$197-BV$198-BV$199-BV$200</f>
        <v>198072.823312718</v>
      </c>
      <c r="BW201" s="10" t="n">
        <f aca="false">BW$175-BW$197-BW$198-BW$199-BW$200</f>
        <v>198072.823312718</v>
      </c>
      <c r="BX201" s="10" t="n">
        <f aca="false">BX$175-BX$197-BX$198-BX$199-BX$200</f>
        <v>198072.823312718</v>
      </c>
      <c r="BY201" s="10" t="n">
        <f aca="false">BY$175-BY$197-BY$198-BY$199-BY$200</f>
        <v>198072.823312718</v>
      </c>
      <c r="BZ201" s="10" t="n">
        <f aca="false">BZ$175-BZ$197-BZ$198-BZ$199-BZ$200</f>
        <v>202880.55947332</v>
      </c>
      <c r="CA201" s="10" t="n">
        <f aca="false">CA$175-CA$197-CA$198-CA$199-CA$200</f>
        <v>202880.55947332</v>
      </c>
      <c r="CB201" s="10" t="n">
        <f aca="false">CB$175-CB$197-CB$198-CB$199-CB$200</f>
        <v>202880.55947332</v>
      </c>
      <c r="CC201" s="10" t="n">
        <f aca="false">CC$175-CC$197-CC$198-CC$199-CC$200</f>
        <v>202880.55947332</v>
      </c>
      <c r="CD201" s="10" t="n">
        <f aca="false">CD$175-CD$197-CD$198-CD$199-CD$200</f>
        <v>202880.55947332</v>
      </c>
      <c r="CE201" s="10" t="n">
        <f aca="false">CE$175-CE$197-CE$198-CE$199-CE$200</f>
        <v>202880.55947332</v>
      </c>
      <c r="CF201" s="10" t="n">
        <f aca="false">CF$175-CF$197-CF$198-CF$199-CF$200</f>
        <v>202880.55947332</v>
      </c>
      <c r="CG201" s="10" t="n">
        <f aca="false">CG$175-CG$197-CG$198-CG$199-CG$200</f>
        <v>202880.55947332</v>
      </c>
      <c r="CH201" s="10" t="n">
        <f aca="false">CH$175-CH$197-CH$198-CH$199-CH$200</f>
        <v>202880.55947332</v>
      </c>
      <c r="CI201" s="10" t="n">
        <f aca="false">CI$175-CI$197-CI$198-CI$199-CI$200</f>
        <v>202880.55947332</v>
      </c>
      <c r="CJ201" s="10" t="n">
        <f aca="false">CJ$175-CJ$197-CJ$198-CJ$199-CJ$200</f>
        <v>202880.55947332</v>
      </c>
      <c r="CK201" s="10" t="n">
        <f aca="false">CK$175-CK$197-CK$198-CK$199-CK$200</f>
        <v>202880.55947332</v>
      </c>
      <c r="CL201" s="10" t="n">
        <f aca="false">CL$175-CL$197-CL$198-CL$199-CL$200</f>
        <v>207735.798994188</v>
      </c>
      <c r="CM201" s="10" t="n">
        <f aca="false">CM$175-CM$197-CM$198-CM$199-CM$200</f>
        <v>207735.798994188</v>
      </c>
      <c r="CN201" s="10" t="n">
        <f aca="false">CN$175-CN$197-CN$198-CN$199-CN$200</f>
        <v>207735.798994188</v>
      </c>
      <c r="CO201" s="10" t="n">
        <f aca="false">CO$175-CO$197-CO$198-CO$199-CO$200</f>
        <v>207735.798994188</v>
      </c>
      <c r="CP201" s="10" t="n">
        <f aca="false">CP$175-CP$197-CP$198-CP$199-CP$200</f>
        <v>207735.798994188</v>
      </c>
      <c r="CQ201" s="10" t="n">
        <f aca="false">CQ$175-CQ$197-CQ$198-CQ$199-CQ$200</f>
        <v>207735.798994188</v>
      </c>
      <c r="CR201" s="10" t="n">
        <f aca="false">CR$175-CR$197-CR$198-CR$199-CR$200</f>
        <v>207735.798994188</v>
      </c>
      <c r="CS201" s="10" t="n">
        <f aca="false">CS$175-CS$197-CS$198-CS$199-CS$200</f>
        <v>207735.798994188</v>
      </c>
      <c r="CT201" s="10" t="n">
        <f aca="false">CT$175-CT$197-CT$198-CT$199-CT$200</f>
        <v>207735.798994188</v>
      </c>
      <c r="CU201" s="10" t="n">
        <f aca="false">CU$175-CU$197-CU$198-CU$199-CU$200</f>
        <v>207735.798994188</v>
      </c>
      <c r="CV201" s="10" t="n">
        <f aca="false">CV$175-CV$197-CV$198-CV$199-CV$200</f>
        <v>207735.798994188</v>
      </c>
      <c r="CW201" s="10" t="n">
        <f aca="false">CW$175-CW$197-CW$198-CW$199-CW$200</f>
        <v>207735.798994188</v>
      </c>
      <c r="CX201" s="10" t="n">
        <f aca="false">CX$175-CX$197-CX$198-CX$199-CX$200</f>
        <v>212639.005428895</v>
      </c>
      <c r="CY201" s="10" t="n">
        <f aca="false">CY$175-CY$197-CY$198-CY$199-CY$200</f>
        <v>212639.005428895</v>
      </c>
      <c r="CZ201" s="10" t="n">
        <f aca="false">CZ$175-CZ$197-CZ$198-CZ$199-CZ$200</f>
        <v>212639.005428895</v>
      </c>
      <c r="DA201" s="10" t="n">
        <f aca="false">DA$175-DA$197-DA$198-DA$199-DA$200</f>
        <v>212639.005428895</v>
      </c>
      <c r="DB201" s="10" t="n">
        <f aca="false">DB$175-DB$197-DB$198-DB$199-DB$200</f>
        <v>212639.005428895</v>
      </c>
      <c r="DC201" s="10" t="n">
        <f aca="false">DC$175-DC$197-DC$198-DC$199-DC$200</f>
        <v>212639.005428895</v>
      </c>
      <c r="DD201" s="10" t="n">
        <f aca="false">DD$175-DD$197-DD$198-DD$199-DD$200</f>
        <v>212639.005428895</v>
      </c>
      <c r="DE201" s="10" t="n">
        <f aca="false">DE$175-DE$197-DE$198-DE$199-DE$200</f>
        <v>212639.005428895</v>
      </c>
      <c r="DF201" s="10" t="n">
        <f aca="false">DF$175-DF$197-DF$198-DF$199-DF$200</f>
        <v>212639.005428895</v>
      </c>
      <c r="DG201" s="10" t="n">
        <f aca="false">DG$175-DG$197-DG$198-DG$199-DG$200</f>
        <v>212639.005428895</v>
      </c>
      <c r="DH201" s="10" t="n">
        <f aca="false">DH$175-DH$197-DH$198-DH$199-DH$200</f>
        <v>212639.005428895</v>
      </c>
      <c r="DI201" s="10" t="n">
        <f aca="false">DI$175-DI$197-DI$198-DI$199-DI$200</f>
        <v>212639.005428895</v>
      </c>
      <c r="DJ201" s="10" t="n">
        <f aca="false">DJ$175-DJ$197-DJ$198-DJ$199-DJ$200</f>
        <v>217590.646736953</v>
      </c>
      <c r="DK201" s="10" t="n">
        <f aca="false">DK$175-DK$197-DK$198-DK$199-DK$200</f>
        <v>217590.646736953</v>
      </c>
      <c r="DL201" s="10" t="n">
        <f aca="false">DL$175-DL$197-DL$198-DL$199-DL$200</f>
        <v>217590.646736953</v>
      </c>
      <c r="DM201" s="10" t="n">
        <f aca="false">DM$175-DM$197-DM$198-DM$199-DM$200</f>
        <v>217590.646736953</v>
      </c>
      <c r="DN201" s="10" t="n">
        <f aca="false">DN$175-DN$197-DN$198-DN$199-DN$200</f>
        <v>217590.646736953</v>
      </c>
      <c r="DO201" s="10" t="n">
        <f aca="false">DO$175-DO$197-DO$198-DO$199-DO$200</f>
        <v>217590.646736953</v>
      </c>
      <c r="DP201" s="10" t="n">
        <f aca="false">DP$175-DP$197-DP$198-DP$199-DP$200</f>
        <v>217590.646736953</v>
      </c>
      <c r="DQ201" s="10" t="n">
        <f aca="false">DQ$175-DQ$197-DQ$198-DQ$199-DQ$200</f>
        <v>217590.646736953</v>
      </c>
      <c r="DR201" s="10" t="n">
        <f aca="false">DR$175-DR$197-DR$198-DR$199-DR$200</f>
        <v>217590.646736953</v>
      </c>
      <c r="DS201" s="10" t="n">
        <f aca="false">DS$175-DS$197-DS$198-DS$199-DS$200</f>
        <v>217590.646736953</v>
      </c>
      <c r="DT201" s="10" t="n">
        <f aca="false">DT$175-DT$197-DT$198-DT$199-DT$200</f>
        <v>217590.646736953</v>
      </c>
      <c r="DU201" s="10" t="n">
        <f aca="false">DU$175-DU$197-DU$198-DU$199-DU$200</f>
        <v>217590.646736953</v>
      </c>
      <c r="DV201" s="10" t="n">
        <f aca="false">DV$175-DV$197-DV$198-DV$199-DV$200</f>
        <v>0</v>
      </c>
      <c r="DW201" s="10" t="n">
        <f aca="false">DW$175-DW$197-DW$198-DW$199-DW$200</f>
        <v>0</v>
      </c>
      <c r="DX201" s="10" t="n">
        <f aca="false">DX$175-DX$197-DX$198-DX$199-DX$200</f>
        <v>0</v>
      </c>
      <c r="DY201" s="10" t="n">
        <f aca="false">DY$175-DY$197-DY$198-DY$199-DY$200</f>
        <v>0</v>
      </c>
      <c r="DZ201" s="10" t="n">
        <f aca="false">DZ$175-DZ$197-DZ$198-DZ$199-DZ$200</f>
        <v>0</v>
      </c>
      <c r="EA201" s="10" t="n">
        <f aca="false">EA$175-EA$197-EA$198-EA$199-EA$200</f>
        <v>0</v>
      </c>
      <c r="EB201" s="10" t="n">
        <f aca="false">EB$175-EB$197-EB$198-EB$199-EB$200</f>
        <v>0</v>
      </c>
      <c r="EC201" s="10" t="n">
        <f aca="false">EC$175-EC$197-EC$198-EC$199-EC$200</f>
        <v>0</v>
      </c>
      <c r="ED201" s="10" t="n">
        <f aca="false">ED$175-ED$197-ED$198-ED$199-ED$200</f>
        <v>0</v>
      </c>
      <c r="EE201" s="10" t="n">
        <f aca="false">EE$175-EE$197-EE$198-EE$199-EE$200</f>
        <v>0</v>
      </c>
      <c r="EF201" s="10" t="n">
        <f aca="false">EF$175-EF$197-EF$198-EF$199-EF$200</f>
        <v>0</v>
      </c>
      <c r="EG201" s="10" t="n">
        <f aca="false">EG$175-EG$197-EG$198-EG$199-EG$200</f>
        <v>0</v>
      </c>
      <c r="EH201" s="10" t="n">
        <f aca="false">EH$175-EH$197-EH$198-EH$199-EH$200</f>
        <v>0</v>
      </c>
      <c r="EI201" s="10" t="n">
        <f aca="false">EI$175-EI$197-EI$198-EI$199-EI$200</f>
        <v>0</v>
      </c>
      <c r="EJ201" s="10" t="n">
        <f aca="false">EJ$175-EJ$197-EJ$198-EJ$199-EJ$200</f>
        <v>0</v>
      </c>
      <c r="EK201" s="10" t="n">
        <f aca="false">EK$175-EK$197-EK$198-EK$199-EK$200</f>
        <v>0</v>
      </c>
      <c r="EL201" s="10" t="n">
        <f aca="false">EL$175-EL$197-EL$198-EL$199-EL$200</f>
        <v>0</v>
      </c>
      <c r="EM201" s="10" t="n">
        <f aca="false">EM$175-EM$197-EM$198-EM$199-EM$200</f>
        <v>0</v>
      </c>
      <c r="EN201" s="10" t="n">
        <f aca="false">EN$175-EN$197-EN$198-EN$199-EN$200</f>
        <v>0</v>
      </c>
      <c r="EO201" s="10" t="n">
        <f aca="false">EO$175-EO$197-EO$198-EO$199-EO$200</f>
        <v>0</v>
      </c>
      <c r="EP201" s="10" t="n">
        <f aca="false">EP$175-EP$197-EP$198-EP$199-EP$200</f>
        <v>0</v>
      </c>
      <c r="EQ201" s="10" t="n">
        <f aca="false">EQ$175-EQ$197-EQ$198-EQ$199-EQ$200</f>
        <v>0</v>
      </c>
      <c r="ER201" s="10" t="n">
        <f aca="false">ER$175-ER$197-ER$198-ER$199-ER$200</f>
        <v>0</v>
      </c>
      <c r="ES201" s="10" t="n">
        <f aca="false">ES$175-ES$197-ES$198-ES$199-ES$200</f>
        <v>0</v>
      </c>
    </row>
    <row r="202" customFormat="false" ht="15" hidden="false" customHeight="false" outlineLevel="0" collapsed="false">
      <c r="A202" s="2" t="s">
        <v>816</v>
      </c>
      <c r="B202" s="6" t="s">
        <v>635</v>
      </c>
      <c r="C202" s="6" t="s">
        <v>250</v>
      </c>
      <c r="E202" s="40" t="n">
        <f aca="false">SUM(F202:ES202)</f>
        <v>1075198.52627014</v>
      </c>
      <c r="F202" s="34" t="n">
        <f aca="false">IF(F$8=1,IF(Reales!$C$41="PYG",IF(F$10&gt;0,N(Reales!F41)/F$10,0),N(Reales!F41)),F$186)</f>
        <v>8959.98771891781</v>
      </c>
      <c r="G202" s="34" t="n">
        <f aca="false">IF(G$8=1,IF(Reales!$C$41="PYG",IF(G$10&gt;0,N(Reales!G41)/G$10,0),N(Reales!G41)),G$186)</f>
        <v>8959.98771891781</v>
      </c>
      <c r="H202" s="34" t="n">
        <f aca="false">IF(H$8=1,IF(Reales!$C$41="PYG",IF(H$10&gt;0,N(Reales!H41)/H$10,0),N(Reales!H41)),H$186)</f>
        <v>8959.98771891781</v>
      </c>
      <c r="I202" s="34" t="n">
        <f aca="false">IF(I$8=1,IF(Reales!$C$41="PYG",IF(I$10&gt;0,N(Reales!I41)/I$10,0),N(Reales!I41)),I$186)</f>
        <v>8959.98771891781</v>
      </c>
      <c r="J202" s="34" t="n">
        <f aca="false">IF(J$8=1,IF(Reales!$C$41="PYG",IF(J$10&gt;0,N(Reales!J41)/J$10,0),N(Reales!J41)),J$186)</f>
        <v>8959.98771891781</v>
      </c>
      <c r="K202" s="34" t="n">
        <f aca="false">IF(K$8=1,IF(Reales!$C$41="PYG",IF(K$10&gt;0,N(Reales!K41)/K$10,0),N(Reales!K41)),K$186)</f>
        <v>8959.98771891781</v>
      </c>
      <c r="L202" s="34" t="n">
        <f aca="false">IF(L$8=1,IF(Reales!$C$41="PYG",IF(L$10&gt;0,N(Reales!L41)/L$10,0),N(Reales!L41)),L$186)</f>
        <v>8959.98771891781</v>
      </c>
      <c r="M202" s="34" t="n">
        <f aca="false">IF(M$8=1,IF(Reales!$C$41="PYG",IF(M$10&gt;0,N(Reales!M41)/M$10,0),N(Reales!M41)),M$186)</f>
        <v>8959.98771891781</v>
      </c>
      <c r="N202" s="34" t="n">
        <f aca="false">IF(N$8=1,IF(Reales!$C$41="PYG",IF(N$10&gt;0,N(Reales!N41)/N$10,0),N(Reales!N41)),N$186)</f>
        <v>8959.98771891781</v>
      </c>
      <c r="O202" s="34" t="n">
        <f aca="false">IF(O$8=1,IF(Reales!$C$41="PYG",IF(O$10&gt;0,N(Reales!O41)/O$10,0),N(Reales!O41)),O$186)</f>
        <v>8959.98771891781</v>
      </c>
      <c r="P202" s="34" t="n">
        <f aca="false">IF(P$8=1,IF(Reales!$C$41="PYG",IF(P$10&gt;0,N(Reales!P41)/P$10,0),N(Reales!P41)),P$186)</f>
        <v>8959.98771891781</v>
      </c>
      <c r="Q202" s="34" t="n">
        <f aca="false">IF(Q$8=1,IF(Reales!$C$41="PYG",IF(Q$10&gt;0,N(Reales!Q41)/Q$10,0),N(Reales!Q41)),Q$186)</f>
        <v>8959.98771891781</v>
      </c>
      <c r="R202" s="34" t="n">
        <f aca="false">IF(R$8=1,IF(Reales!$C$41="PYG",IF(R$10&gt;0,N(Reales!R41)/R$10,0),N(Reales!R41)),R$186)</f>
        <v>8959.98771891781</v>
      </c>
      <c r="S202" s="34" t="n">
        <f aca="false">IF(S$8=1,IF(Reales!$C$41="PYG",IF(S$10&gt;0,N(Reales!S41)/S$10,0),N(Reales!S41)),S$186)</f>
        <v>8959.98771891781</v>
      </c>
      <c r="T202" s="34" t="n">
        <f aca="false">IF(T$8=1,IF(Reales!$C$41="PYG",IF(T$10&gt;0,N(Reales!T41)/T$10,0),N(Reales!T41)),T$186)</f>
        <v>8959.98771891781</v>
      </c>
      <c r="U202" s="34" t="n">
        <f aca="false">IF(U$8=1,IF(Reales!$C$41="PYG",IF(U$10&gt;0,N(Reales!U41)/U$10,0),N(Reales!U41)),U$186)</f>
        <v>8959.98771891781</v>
      </c>
      <c r="V202" s="34" t="n">
        <f aca="false">IF(V$8=1,IF(Reales!$C$41="PYG",IF(V$10&gt;0,N(Reales!V41)/V$10,0),N(Reales!V41)),V$186)</f>
        <v>8959.98771891781</v>
      </c>
      <c r="W202" s="34" t="n">
        <f aca="false">IF(W$8=1,IF(Reales!$C$41="PYG",IF(W$10&gt;0,N(Reales!W41)/W$10,0),N(Reales!W41)),W$186)</f>
        <v>8959.98771891781</v>
      </c>
      <c r="X202" s="34" t="n">
        <f aca="false">IF(X$8=1,IF(Reales!$C$41="PYG",IF(X$10&gt;0,N(Reales!X41)/X$10,0),N(Reales!X41)),X$186)</f>
        <v>8959.98771891781</v>
      </c>
      <c r="Y202" s="34" t="n">
        <f aca="false">IF(Y$8=1,IF(Reales!$C$41="PYG",IF(Y$10&gt;0,N(Reales!Y41)/Y$10,0),N(Reales!Y41)),Y$186)</f>
        <v>8959.98771891781</v>
      </c>
      <c r="Z202" s="34" t="n">
        <f aca="false">IF(Z$8=1,IF(Reales!$C$41="PYG",IF(Z$10&gt;0,N(Reales!Z41)/Z$10,0),N(Reales!Z41)),Z$186)</f>
        <v>8959.98771891781</v>
      </c>
      <c r="AA202" s="34" t="n">
        <f aca="false">IF(AA$8=1,IF(Reales!$C$41="PYG",IF(AA$10&gt;0,N(Reales!AA41)/AA$10,0),N(Reales!AA41)),AA$186)</f>
        <v>8959.98771891781</v>
      </c>
      <c r="AB202" s="34" t="n">
        <f aca="false">IF(AB$8=1,IF(Reales!$C$41="PYG",IF(AB$10&gt;0,N(Reales!AB41)/AB$10,0),N(Reales!AB41)),AB$186)</f>
        <v>8959.98771891781</v>
      </c>
      <c r="AC202" s="34" t="n">
        <f aca="false">IF(AC$8=1,IF(Reales!$C$41="PYG",IF(AC$10&gt;0,N(Reales!AC41)/AC$10,0),N(Reales!AC41)),AC$186)</f>
        <v>8959.98771891781</v>
      </c>
      <c r="AD202" s="34" t="n">
        <f aca="false">IF(AD$8=1,IF(Reales!$C$41="PYG",IF(AD$10&gt;0,N(Reales!AD41)/AD$10,0),N(Reales!AD41)),AD$186)</f>
        <v>8959.98771891781</v>
      </c>
      <c r="AE202" s="34" t="n">
        <f aca="false">IF(AE$8=1,IF(Reales!$C$41="PYG",IF(AE$10&gt;0,N(Reales!AE41)/AE$10,0),N(Reales!AE41)),AE$186)</f>
        <v>8959.98771891781</v>
      </c>
      <c r="AF202" s="34" t="n">
        <f aca="false">IF(AF$8=1,IF(Reales!$C$41="PYG",IF(AF$10&gt;0,N(Reales!AF41)/AF$10,0),N(Reales!AF41)),AF$186)</f>
        <v>8959.98771891781</v>
      </c>
      <c r="AG202" s="34" t="n">
        <f aca="false">IF(AG$8=1,IF(Reales!$C$41="PYG",IF(AG$10&gt;0,N(Reales!AG41)/AG$10,0),N(Reales!AG41)),AG$186)</f>
        <v>8959.98771891781</v>
      </c>
      <c r="AH202" s="34" t="n">
        <f aca="false">IF(AH$8=1,IF(Reales!$C$41="PYG",IF(AH$10&gt;0,N(Reales!AH41)/AH$10,0),N(Reales!AH41)),AH$186)</f>
        <v>8959.98771891781</v>
      </c>
      <c r="AI202" s="34" t="n">
        <f aca="false">IF(AI$8=1,IF(Reales!$C$41="PYG",IF(AI$10&gt;0,N(Reales!AI41)/AI$10,0),N(Reales!AI41)),AI$186)</f>
        <v>8959.98771891781</v>
      </c>
      <c r="AJ202" s="34" t="n">
        <f aca="false">IF(AJ$8=1,IF(Reales!$C$41="PYG",IF(AJ$10&gt;0,N(Reales!AJ41)/AJ$10,0),N(Reales!AJ41)),AJ$186)</f>
        <v>8959.98771891781</v>
      </c>
      <c r="AK202" s="34" t="n">
        <f aca="false">IF(AK$8=1,IF(Reales!$C$41="PYG",IF(AK$10&gt;0,N(Reales!AK41)/AK$10,0),N(Reales!AK41)),AK$186)</f>
        <v>8959.98771891781</v>
      </c>
      <c r="AL202" s="34" t="n">
        <f aca="false">IF(AL$8=1,IF(Reales!$C$41="PYG",IF(AL$10&gt;0,N(Reales!AL41)/AL$10,0),N(Reales!AL41)),AL$186)</f>
        <v>8959.98771891781</v>
      </c>
      <c r="AM202" s="34" t="n">
        <f aca="false">IF(AM$8=1,IF(Reales!$C$41="PYG",IF(AM$10&gt;0,N(Reales!AM41)/AM$10,0),N(Reales!AM41)),AM$186)</f>
        <v>8959.98771891781</v>
      </c>
      <c r="AN202" s="34" t="n">
        <f aca="false">IF(AN$8=1,IF(Reales!$C$41="PYG",IF(AN$10&gt;0,N(Reales!AN41)/AN$10,0),N(Reales!AN41)),AN$186)</f>
        <v>8959.98771891781</v>
      </c>
      <c r="AO202" s="34" t="n">
        <f aca="false">IF(AO$8=1,IF(Reales!$C$41="PYG",IF(AO$10&gt;0,N(Reales!AO41)/AO$10,0),N(Reales!AO41)),AO$186)</f>
        <v>8959.98771891781</v>
      </c>
      <c r="AP202" s="34" t="n">
        <f aca="false">IF(AP$8=1,IF(Reales!$C$41="PYG",IF(AP$10&gt;0,N(Reales!AP41)/AP$10,0),N(Reales!AP41)),AP$186)</f>
        <v>8959.98771891781</v>
      </c>
      <c r="AQ202" s="34" t="n">
        <f aca="false">IF(AQ$8=1,IF(Reales!$C$41="PYG",IF(AQ$10&gt;0,N(Reales!AQ41)/AQ$10,0),N(Reales!AQ41)),AQ$186)</f>
        <v>8959.98771891781</v>
      </c>
      <c r="AR202" s="34" t="n">
        <f aca="false">IF(AR$8=1,IF(Reales!$C$41="PYG",IF(AR$10&gt;0,N(Reales!AR41)/AR$10,0),N(Reales!AR41)),AR$186)</f>
        <v>8959.98771891781</v>
      </c>
      <c r="AS202" s="34" t="n">
        <f aca="false">IF(AS$8=1,IF(Reales!$C$41="PYG",IF(AS$10&gt;0,N(Reales!AS41)/AS$10,0),N(Reales!AS41)),AS$186)</f>
        <v>8959.98771891781</v>
      </c>
      <c r="AT202" s="34" t="n">
        <f aca="false">IF(AT$8=1,IF(Reales!$C$41="PYG",IF(AT$10&gt;0,N(Reales!AT41)/AT$10,0),N(Reales!AT41)),AT$186)</f>
        <v>8959.98771891781</v>
      </c>
      <c r="AU202" s="34" t="n">
        <f aca="false">IF(AU$8=1,IF(Reales!$C$41="PYG",IF(AU$10&gt;0,N(Reales!AU41)/AU$10,0),N(Reales!AU41)),AU$186)</f>
        <v>8959.98771891781</v>
      </c>
      <c r="AV202" s="34" t="n">
        <f aca="false">IF(AV$8=1,IF(Reales!$C$41="PYG",IF(AV$10&gt;0,N(Reales!AV41)/AV$10,0),N(Reales!AV41)),AV$186)</f>
        <v>8959.98771891781</v>
      </c>
      <c r="AW202" s="34" t="n">
        <f aca="false">IF(AW$8=1,IF(Reales!$C$41="PYG",IF(AW$10&gt;0,N(Reales!AW41)/AW$10,0),N(Reales!AW41)),AW$186)</f>
        <v>8959.98771891781</v>
      </c>
      <c r="AX202" s="34" t="n">
        <f aca="false">IF(AX$8=1,IF(Reales!$C$41="PYG",IF(AX$10&gt;0,N(Reales!AX41)/AX$10,0),N(Reales!AX41)),AX$186)</f>
        <v>8959.98771891781</v>
      </c>
      <c r="AY202" s="34" t="n">
        <f aca="false">IF(AY$8=1,IF(Reales!$C$41="PYG",IF(AY$10&gt;0,N(Reales!AY41)/AY$10,0),N(Reales!AY41)),AY$186)</f>
        <v>8959.98771891781</v>
      </c>
      <c r="AZ202" s="34" t="n">
        <f aca="false">IF(AZ$8=1,IF(Reales!$C$41="PYG",IF(AZ$10&gt;0,N(Reales!AZ41)/AZ$10,0),N(Reales!AZ41)),AZ$186)</f>
        <v>8959.98771891781</v>
      </c>
      <c r="BA202" s="34" t="n">
        <f aca="false">IF(BA$8=1,IF(Reales!$C$41="PYG",IF(BA$10&gt;0,N(Reales!BA41)/BA$10,0),N(Reales!BA41)),BA$186)</f>
        <v>8959.98771891781</v>
      </c>
      <c r="BB202" s="34" t="n">
        <f aca="false">IF(BB$8=1,IF(Reales!$C$41="PYG",IF(BB$10&gt;0,N(Reales!BB41)/BB$10,0),N(Reales!BB41)),BB$186)</f>
        <v>8959.98771891781</v>
      </c>
      <c r="BC202" s="34" t="n">
        <f aca="false">IF(BC$8=1,IF(Reales!$C$41="PYG",IF(BC$10&gt;0,N(Reales!BC41)/BC$10,0),N(Reales!BC41)),BC$186)</f>
        <v>8959.98771891781</v>
      </c>
      <c r="BD202" s="34" t="n">
        <f aca="false">IF(BD$8=1,IF(Reales!$C$41="PYG",IF(BD$10&gt;0,N(Reales!BD41)/BD$10,0),N(Reales!BD41)),BD$186)</f>
        <v>8959.98771891781</v>
      </c>
      <c r="BE202" s="34" t="n">
        <f aca="false">IF(BE$8=1,IF(Reales!$C$41="PYG",IF(BE$10&gt;0,N(Reales!BE41)/BE$10,0),N(Reales!BE41)),BE$186)</f>
        <v>8959.98771891781</v>
      </c>
      <c r="BF202" s="34" t="n">
        <f aca="false">IF(BF$8=1,IF(Reales!$C$41="PYG",IF(BF$10&gt;0,N(Reales!BF41)/BF$10,0),N(Reales!BF41)),BF$186)</f>
        <v>8959.98771891781</v>
      </c>
      <c r="BG202" s="34" t="n">
        <f aca="false">IF(BG$8=1,IF(Reales!$C$41="PYG",IF(BG$10&gt;0,N(Reales!BG41)/BG$10,0),N(Reales!BG41)),BG$186)</f>
        <v>8959.98771891781</v>
      </c>
      <c r="BH202" s="34" t="n">
        <f aca="false">IF(BH$8=1,IF(Reales!$C$41="PYG",IF(BH$10&gt;0,N(Reales!BH41)/BH$10,0),N(Reales!BH41)),BH$186)</f>
        <v>8959.98771891781</v>
      </c>
      <c r="BI202" s="34" t="n">
        <f aca="false">IF(BI$8=1,IF(Reales!$C$41="PYG",IF(BI$10&gt;0,N(Reales!BI41)/BI$10,0),N(Reales!BI41)),BI$186)</f>
        <v>8959.98771891781</v>
      </c>
      <c r="BJ202" s="34" t="n">
        <f aca="false">IF(BJ$8=1,IF(Reales!$C$41="PYG",IF(BJ$10&gt;0,N(Reales!BJ41)/BJ$10,0),N(Reales!BJ41)),BJ$186)</f>
        <v>8959.98771891781</v>
      </c>
      <c r="BK202" s="34" t="n">
        <f aca="false">IF(BK$8=1,IF(Reales!$C$41="PYG",IF(BK$10&gt;0,N(Reales!BK41)/BK$10,0),N(Reales!BK41)),BK$186)</f>
        <v>8959.98771891781</v>
      </c>
      <c r="BL202" s="34" t="n">
        <f aca="false">IF(BL$8=1,IF(Reales!$C$41="PYG",IF(BL$10&gt;0,N(Reales!BL41)/BL$10,0),N(Reales!BL41)),BL$186)</f>
        <v>8959.98771891781</v>
      </c>
      <c r="BM202" s="34" t="n">
        <f aca="false">IF(BM$8=1,IF(Reales!$C$41="PYG",IF(BM$10&gt;0,N(Reales!BM41)/BM$10,0),N(Reales!BM41)),BM$186)</f>
        <v>8959.98771891781</v>
      </c>
      <c r="BN202" s="34" t="n">
        <f aca="false">IF(BN$8=1,IF(Reales!$C$41="PYG",IF(BN$10&gt;0,N(Reales!BN41)/BN$10,0),N(Reales!BN41)),BN$186)</f>
        <v>8959.98771891781</v>
      </c>
      <c r="BO202" s="34" t="n">
        <f aca="false">IF(BO$8=1,IF(Reales!$C$41="PYG",IF(BO$10&gt;0,N(Reales!BO41)/BO$10,0),N(Reales!BO41)),BO$186)</f>
        <v>8959.98771891781</v>
      </c>
      <c r="BP202" s="34" t="n">
        <f aca="false">IF(BP$8=1,IF(Reales!$C$41="PYG",IF(BP$10&gt;0,N(Reales!BP41)/BP$10,0),N(Reales!BP41)),BP$186)</f>
        <v>8959.98771891781</v>
      </c>
      <c r="BQ202" s="34" t="n">
        <f aca="false">IF(BQ$8=1,IF(Reales!$C$41="PYG",IF(BQ$10&gt;0,N(Reales!BQ41)/BQ$10,0),N(Reales!BQ41)),BQ$186)</f>
        <v>8959.98771891781</v>
      </c>
      <c r="BR202" s="34" t="n">
        <f aca="false">IF(BR$8=1,IF(Reales!$C$41="PYG",IF(BR$10&gt;0,N(Reales!BR41)/BR$10,0),N(Reales!BR41)),BR$186)</f>
        <v>8959.98771891781</v>
      </c>
      <c r="BS202" s="34" t="n">
        <f aca="false">IF(BS$8=1,IF(Reales!$C$41="PYG",IF(BS$10&gt;0,N(Reales!BS41)/BS$10,0),N(Reales!BS41)),BS$186)</f>
        <v>8959.98771891781</v>
      </c>
      <c r="BT202" s="34" t="n">
        <f aca="false">IF(BT$8=1,IF(Reales!$C$41="PYG",IF(BT$10&gt;0,N(Reales!BT41)/BT$10,0),N(Reales!BT41)),BT$186)</f>
        <v>8959.98771891781</v>
      </c>
      <c r="BU202" s="34" t="n">
        <f aca="false">IF(BU$8=1,IF(Reales!$C$41="PYG",IF(BU$10&gt;0,N(Reales!BU41)/BU$10,0),N(Reales!BU41)),BU$186)</f>
        <v>8959.98771891781</v>
      </c>
      <c r="BV202" s="34" t="n">
        <f aca="false">IF(BV$8=1,IF(Reales!$C$41="PYG",IF(BV$10&gt;0,N(Reales!BV41)/BV$10,0),N(Reales!BV41)),BV$186)</f>
        <v>8959.98771891781</v>
      </c>
      <c r="BW202" s="34" t="n">
        <f aca="false">IF(BW$8=1,IF(Reales!$C$41="PYG",IF(BW$10&gt;0,N(Reales!BW41)/BW$10,0),N(Reales!BW41)),BW$186)</f>
        <v>8959.98771891781</v>
      </c>
      <c r="BX202" s="34" t="n">
        <f aca="false">IF(BX$8=1,IF(Reales!$C$41="PYG",IF(BX$10&gt;0,N(Reales!BX41)/BX$10,0),N(Reales!BX41)),BX$186)</f>
        <v>8959.98771891781</v>
      </c>
      <c r="BY202" s="34" t="n">
        <f aca="false">IF(BY$8=1,IF(Reales!$C$41="PYG",IF(BY$10&gt;0,N(Reales!BY41)/BY$10,0),N(Reales!BY41)),BY$186)</f>
        <v>8959.98771891781</v>
      </c>
      <c r="BZ202" s="34" t="n">
        <f aca="false">IF(BZ$8=1,IF(Reales!$C$41="PYG",IF(BZ$10&gt;0,N(Reales!BZ41)/BZ$10,0),N(Reales!BZ41)),BZ$186)</f>
        <v>8959.98771891781</v>
      </c>
      <c r="CA202" s="34" t="n">
        <f aca="false">IF(CA$8=1,IF(Reales!$C$41="PYG",IF(CA$10&gt;0,N(Reales!CA41)/CA$10,0),N(Reales!CA41)),CA$186)</f>
        <v>8959.98771891781</v>
      </c>
      <c r="CB202" s="34" t="n">
        <f aca="false">IF(CB$8=1,IF(Reales!$C$41="PYG",IF(CB$10&gt;0,N(Reales!CB41)/CB$10,0),N(Reales!CB41)),CB$186)</f>
        <v>8959.98771891781</v>
      </c>
      <c r="CC202" s="34" t="n">
        <f aca="false">IF(CC$8=1,IF(Reales!$C$41="PYG",IF(CC$10&gt;0,N(Reales!CC41)/CC$10,0),N(Reales!CC41)),CC$186)</f>
        <v>8959.98771891781</v>
      </c>
      <c r="CD202" s="34" t="n">
        <f aca="false">IF(CD$8=1,IF(Reales!$C$41="PYG",IF(CD$10&gt;0,N(Reales!CD41)/CD$10,0),N(Reales!CD41)),CD$186)</f>
        <v>8959.98771891781</v>
      </c>
      <c r="CE202" s="34" t="n">
        <f aca="false">IF(CE$8=1,IF(Reales!$C$41="PYG",IF(CE$10&gt;0,N(Reales!CE41)/CE$10,0),N(Reales!CE41)),CE$186)</f>
        <v>8959.98771891781</v>
      </c>
      <c r="CF202" s="34" t="n">
        <f aca="false">IF(CF$8=1,IF(Reales!$C$41="PYG",IF(CF$10&gt;0,N(Reales!CF41)/CF$10,0),N(Reales!CF41)),CF$186)</f>
        <v>8959.98771891781</v>
      </c>
      <c r="CG202" s="34" t="n">
        <f aca="false">IF(CG$8=1,IF(Reales!$C$41="PYG",IF(CG$10&gt;0,N(Reales!CG41)/CG$10,0),N(Reales!CG41)),CG$186)</f>
        <v>8959.98771891781</v>
      </c>
      <c r="CH202" s="34" t="n">
        <f aca="false">IF(CH$8=1,IF(Reales!$C$41="PYG",IF(CH$10&gt;0,N(Reales!CH41)/CH$10,0),N(Reales!CH41)),CH$186)</f>
        <v>8959.98771891781</v>
      </c>
      <c r="CI202" s="34" t="n">
        <f aca="false">IF(CI$8=1,IF(Reales!$C$41="PYG",IF(CI$10&gt;0,N(Reales!CI41)/CI$10,0),N(Reales!CI41)),CI$186)</f>
        <v>8959.98771891781</v>
      </c>
      <c r="CJ202" s="34" t="n">
        <f aca="false">IF(CJ$8=1,IF(Reales!$C$41="PYG",IF(CJ$10&gt;0,N(Reales!CJ41)/CJ$10,0),N(Reales!CJ41)),CJ$186)</f>
        <v>8959.98771891781</v>
      </c>
      <c r="CK202" s="34" t="n">
        <f aca="false">IF(CK$8=1,IF(Reales!$C$41="PYG",IF(CK$10&gt;0,N(Reales!CK41)/CK$10,0),N(Reales!CK41)),CK$186)</f>
        <v>8959.98771891781</v>
      </c>
      <c r="CL202" s="34" t="n">
        <f aca="false">IF(CL$8=1,IF(Reales!$C$41="PYG",IF(CL$10&gt;0,N(Reales!CL41)/CL$10,0),N(Reales!CL41)),CL$186)</f>
        <v>8959.98771891781</v>
      </c>
      <c r="CM202" s="34" t="n">
        <f aca="false">IF(CM$8=1,IF(Reales!$C$41="PYG",IF(CM$10&gt;0,N(Reales!CM41)/CM$10,0),N(Reales!CM41)),CM$186)</f>
        <v>8959.98771891781</v>
      </c>
      <c r="CN202" s="34" t="n">
        <f aca="false">IF(CN$8=1,IF(Reales!$C$41="PYG",IF(CN$10&gt;0,N(Reales!CN41)/CN$10,0),N(Reales!CN41)),CN$186)</f>
        <v>8959.98771891781</v>
      </c>
      <c r="CO202" s="34" t="n">
        <f aca="false">IF(CO$8=1,IF(Reales!$C$41="PYG",IF(CO$10&gt;0,N(Reales!CO41)/CO$10,0),N(Reales!CO41)),CO$186)</f>
        <v>8959.98771891781</v>
      </c>
      <c r="CP202" s="34" t="n">
        <f aca="false">IF(CP$8=1,IF(Reales!$C$41="PYG",IF(CP$10&gt;0,N(Reales!CP41)/CP$10,0),N(Reales!CP41)),CP$186)</f>
        <v>8959.98771891781</v>
      </c>
      <c r="CQ202" s="34" t="n">
        <f aca="false">IF(CQ$8=1,IF(Reales!$C$41="PYG",IF(CQ$10&gt;0,N(Reales!CQ41)/CQ$10,0),N(Reales!CQ41)),CQ$186)</f>
        <v>8959.98771891781</v>
      </c>
      <c r="CR202" s="34" t="n">
        <f aca="false">IF(CR$8=1,IF(Reales!$C$41="PYG",IF(CR$10&gt;0,N(Reales!CR41)/CR$10,0),N(Reales!CR41)),CR$186)</f>
        <v>8959.98771891781</v>
      </c>
      <c r="CS202" s="34" t="n">
        <f aca="false">IF(CS$8=1,IF(Reales!$C$41="PYG",IF(CS$10&gt;0,N(Reales!CS41)/CS$10,0),N(Reales!CS41)),CS$186)</f>
        <v>8959.98771891781</v>
      </c>
      <c r="CT202" s="34" t="n">
        <f aca="false">IF(CT$8=1,IF(Reales!$C$41="PYG",IF(CT$10&gt;0,N(Reales!CT41)/CT$10,0),N(Reales!CT41)),CT$186)</f>
        <v>8959.98771891781</v>
      </c>
      <c r="CU202" s="34" t="n">
        <f aca="false">IF(CU$8=1,IF(Reales!$C$41="PYG",IF(CU$10&gt;0,N(Reales!CU41)/CU$10,0),N(Reales!CU41)),CU$186)</f>
        <v>8959.98771891781</v>
      </c>
      <c r="CV202" s="34" t="n">
        <f aca="false">IF(CV$8=1,IF(Reales!$C$41="PYG",IF(CV$10&gt;0,N(Reales!CV41)/CV$10,0),N(Reales!CV41)),CV$186)</f>
        <v>8959.98771891781</v>
      </c>
      <c r="CW202" s="34" t="n">
        <f aca="false">IF(CW$8=1,IF(Reales!$C$41="PYG",IF(CW$10&gt;0,N(Reales!CW41)/CW$10,0),N(Reales!CW41)),CW$186)</f>
        <v>8959.98771891781</v>
      </c>
      <c r="CX202" s="34" t="n">
        <f aca="false">IF(CX$8=1,IF(Reales!$C$41="PYG",IF(CX$10&gt;0,N(Reales!CX41)/CX$10,0),N(Reales!CX41)),CX$186)</f>
        <v>8959.98771891781</v>
      </c>
      <c r="CY202" s="34" t="n">
        <f aca="false">IF(CY$8=1,IF(Reales!$C$41="PYG",IF(CY$10&gt;0,N(Reales!CY41)/CY$10,0),N(Reales!CY41)),CY$186)</f>
        <v>8959.98771891781</v>
      </c>
      <c r="CZ202" s="34" t="n">
        <f aca="false">IF(CZ$8=1,IF(Reales!$C$41="PYG",IF(CZ$10&gt;0,N(Reales!CZ41)/CZ$10,0),N(Reales!CZ41)),CZ$186)</f>
        <v>8959.98771891781</v>
      </c>
      <c r="DA202" s="34" t="n">
        <f aca="false">IF(DA$8=1,IF(Reales!$C$41="PYG",IF(DA$10&gt;0,N(Reales!DA41)/DA$10,0),N(Reales!DA41)),DA$186)</f>
        <v>8959.98771891781</v>
      </c>
      <c r="DB202" s="34" t="n">
        <f aca="false">IF(DB$8=1,IF(Reales!$C$41="PYG",IF(DB$10&gt;0,N(Reales!DB41)/DB$10,0),N(Reales!DB41)),DB$186)</f>
        <v>8959.98771891781</v>
      </c>
      <c r="DC202" s="34" t="n">
        <f aca="false">IF(DC$8=1,IF(Reales!$C$41="PYG",IF(DC$10&gt;0,N(Reales!DC41)/DC$10,0),N(Reales!DC41)),DC$186)</f>
        <v>8959.98771891781</v>
      </c>
      <c r="DD202" s="34" t="n">
        <f aca="false">IF(DD$8=1,IF(Reales!$C$41="PYG",IF(DD$10&gt;0,N(Reales!DD41)/DD$10,0),N(Reales!DD41)),DD$186)</f>
        <v>8959.98771891781</v>
      </c>
      <c r="DE202" s="34" t="n">
        <f aca="false">IF(DE$8=1,IF(Reales!$C$41="PYG",IF(DE$10&gt;0,N(Reales!DE41)/DE$10,0),N(Reales!DE41)),DE$186)</f>
        <v>8959.98771891781</v>
      </c>
      <c r="DF202" s="34" t="n">
        <f aca="false">IF(DF$8=1,IF(Reales!$C$41="PYG",IF(DF$10&gt;0,N(Reales!DF41)/DF$10,0),N(Reales!DF41)),DF$186)</f>
        <v>8959.98771891781</v>
      </c>
      <c r="DG202" s="34" t="n">
        <f aca="false">IF(DG$8=1,IF(Reales!$C$41="PYG",IF(DG$10&gt;0,N(Reales!DG41)/DG$10,0),N(Reales!DG41)),DG$186)</f>
        <v>8959.98771891781</v>
      </c>
      <c r="DH202" s="34" t="n">
        <f aca="false">IF(DH$8=1,IF(Reales!$C$41="PYG",IF(DH$10&gt;0,N(Reales!DH41)/DH$10,0),N(Reales!DH41)),DH$186)</f>
        <v>8959.98771891781</v>
      </c>
      <c r="DI202" s="34" t="n">
        <f aca="false">IF(DI$8=1,IF(Reales!$C$41="PYG",IF(DI$10&gt;0,N(Reales!DI41)/DI$10,0),N(Reales!DI41)),DI$186)</f>
        <v>8959.98771891781</v>
      </c>
      <c r="DJ202" s="34" t="n">
        <f aca="false">IF(DJ$8=1,IF(Reales!$C$41="PYG",IF(DJ$10&gt;0,N(Reales!DJ41)/DJ$10,0),N(Reales!DJ41)),DJ$186)</f>
        <v>8959.98771891781</v>
      </c>
      <c r="DK202" s="34" t="n">
        <f aca="false">IF(DK$8=1,IF(Reales!$C$41="PYG",IF(DK$10&gt;0,N(Reales!DK41)/DK$10,0),N(Reales!DK41)),DK$186)</f>
        <v>8959.98771891781</v>
      </c>
      <c r="DL202" s="34" t="n">
        <f aca="false">IF(DL$8=1,IF(Reales!$C$41="PYG",IF(DL$10&gt;0,N(Reales!DL41)/DL$10,0),N(Reales!DL41)),DL$186)</f>
        <v>8959.98771891781</v>
      </c>
      <c r="DM202" s="34" t="n">
        <f aca="false">IF(DM$8=1,IF(Reales!$C$41="PYG",IF(DM$10&gt;0,N(Reales!DM41)/DM$10,0),N(Reales!DM41)),DM$186)</f>
        <v>8959.98771891781</v>
      </c>
      <c r="DN202" s="34" t="n">
        <f aca="false">IF(DN$8=1,IF(Reales!$C$41="PYG",IF(DN$10&gt;0,N(Reales!DN41)/DN$10,0),N(Reales!DN41)),DN$186)</f>
        <v>8959.98771891781</v>
      </c>
      <c r="DO202" s="34" t="n">
        <f aca="false">IF(DO$8=1,IF(Reales!$C$41="PYG",IF(DO$10&gt;0,N(Reales!DO41)/DO$10,0),N(Reales!DO41)),DO$186)</f>
        <v>8959.98771891781</v>
      </c>
      <c r="DP202" s="34" t="n">
        <f aca="false">IF(DP$8=1,IF(Reales!$C$41="PYG",IF(DP$10&gt;0,N(Reales!DP41)/DP$10,0),N(Reales!DP41)),DP$186)</f>
        <v>8959.98771891781</v>
      </c>
      <c r="DQ202" s="34" t="n">
        <f aca="false">IF(DQ$8=1,IF(Reales!$C$41="PYG",IF(DQ$10&gt;0,N(Reales!DQ41)/DQ$10,0),N(Reales!DQ41)),DQ$186)</f>
        <v>8959.98771891781</v>
      </c>
      <c r="DR202" s="34" t="n">
        <f aca="false">IF(DR$8=1,IF(Reales!$C$41="PYG",IF(DR$10&gt;0,N(Reales!DR41)/DR$10,0),N(Reales!DR41)),DR$186)</f>
        <v>8959.98771891781</v>
      </c>
      <c r="DS202" s="34" t="n">
        <f aca="false">IF(DS$8=1,IF(Reales!$C$41="PYG",IF(DS$10&gt;0,N(Reales!DS41)/DS$10,0),N(Reales!DS41)),DS$186)</f>
        <v>8959.98771891781</v>
      </c>
      <c r="DT202" s="34" t="n">
        <f aca="false">IF(DT$8=1,IF(Reales!$C$41="PYG",IF(DT$10&gt;0,N(Reales!DT41)/DT$10,0),N(Reales!DT41)),DT$186)</f>
        <v>8959.98771891781</v>
      </c>
      <c r="DU202" s="34" t="n">
        <f aca="false">IF(DU$8=1,IF(Reales!$C$41="PYG",IF(DU$10&gt;0,N(Reales!DU41)/DU$10,0),N(Reales!DU41)),DU$186)</f>
        <v>8959.98771891781</v>
      </c>
      <c r="DV202" s="34" t="n">
        <f aca="false">IF(DV$8=1,IF(Reales!$C$41="PYG",IF(DV$10&gt;0,N(Reales!DV41)/DV$10,0),N(Reales!DV41)),DV$186)</f>
        <v>0</v>
      </c>
      <c r="DW202" s="34" t="n">
        <f aca="false">IF(DW$8=1,IF(Reales!$C$41="PYG",IF(DW$10&gt;0,N(Reales!DW41)/DW$10,0),N(Reales!DW41)),DW$186)</f>
        <v>0</v>
      </c>
      <c r="DX202" s="34" t="n">
        <f aca="false">IF(DX$8=1,IF(Reales!$C$41="PYG",IF(DX$10&gt;0,N(Reales!DX41)/DX$10,0),N(Reales!DX41)),DX$186)</f>
        <v>0</v>
      </c>
      <c r="DY202" s="34" t="n">
        <f aca="false">IF(DY$8=1,IF(Reales!$C$41="PYG",IF(DY$10&gt;0,N(Reales!DY41)/DY$10,0),N(Reales!DY41)),DY$186)</f>
        <v>0</v>
      </c>
      <c r="DZ202" s="34" t="n">
        <f aca="false">IF(DZ$8=1,IF(Reales!$C$41="PYG",IF(DZ$10&gt;0,N(Reales!DZ41)/DZ$10,0),N(Reales!DZ41)),DZ$186)</f>
        <v>0</v>
      </c>
      <c r="EA202" s="34" t="n">
        <f aca="false">IF(EA$8=1,IF(Reales!$C$41="PYG",IF(EA$10&gt;0,N(Reales!EA41)/EA$10,0),N(Reales!EA41)),EA$186)</f>
        <v>0</v>
      </c>
      <c r="EB202" s="34" t="n">
        <f aca="false">IF(EB$8=1,IF(Reales!$C$41="PYG",IF(EB$10&gt;0,N(Reales!EB41)/EB$10,0),N(Reales!EB41)),EB$186)</f>
        <v>0</v>
      </c>
      <c r="EC202" s="34" t="n">
        <f aca="false">IF(EC$8=1,IF(Reales!$C$41="PYG",IF(EC$10&gt;0,N(Reales!EC41)/EC$10,0),N(Reales!EC41)),EC$186)</f>
        <v>0</v>
      </c>
      <c r="ED202" s="34" t="n">
        <f aca="false">IF(ED$8=1,IF(Reales!$C$41="PYG",IF(ED$10&gt;0,N(Reales!ED41)/ED$10,0),N(Reales!ED41)),ED$186)</f>
        <v>0</v>
      </c>
      <c r="EE202" s="34" t="n">
        <f aca="false">IF(EE$8=1,IF(Reales!$C$41="PYG",IF(EE$10&gt;0,N(Reales!EE41)/EE$10,0),N(Reales!EE41)),EE$186)</f>
        <v>0</v>
      </c>
      <c r="EF202" s="34" t="n">
        <f aca="false">IF(EF$8=1,IF(Reales!$C$41="PYG",IF(EF$10&gt;0,N(Reales!EF41)/EF$10,0),N(Reales!EF41)),EF$186)</f>
        <v>0</v>
      </c>
      <c r="EG202" s="34" t="n">
        <f aca="false">IF(EG$8=1,IF(Reales!$C$41="PYG",IF(EG$10&gt;0,N(Reales!EG41)/EG$10,0),N(Reales!EG41)),EG$186)</f>
        <v>0</v>
      </c>
      <c r="EH202" s="34" t="n">
        <f aca="false">IF(EH$8=1,IF(Reales!$C$41="PYG",IF(EH$10&gt;0,N(Reales!EH41)/EH$10,0),N(Reales!EH41)),EH$186)</f>
        <v>0</v>
      </c>
      <c r="EI202" s="34" t="n">
        <f aca="false">IF(EI$8=1,IF(Reales!$C$41="PYG",IF(EI$10&gt;0,N(Reales!EI41)/EI$10,0),N(Reales!EI41)),EI$186)</f>
        <v>0</v>
      </c>
      <c r="EJ202" s="34" t="n">
        <f aca="false">IF(EJ$8=1,IF(Reales!$C$41="PYG",IF(EJ$10&gt;0,N(Reales!EJ41)/EJ$10,0),N(Reales!EJ41)),EJ$186)</f>
        <v>0</v>
      </c>
      <c r="EK202" s="34" t="n">
        <f aca="false">IF(EK$8=1,IF(Reales!$C$41="PYG",IF(EK$10&gt;0,N(Reales!EK41)/EK$10,0),N(Reales!EK41)),EK$186)</f>
        <v>0</v>
      </c>
      <c r="EL202" s="34" t="n">
        <f aca="false">IF(EL$8=1,IF(Reales!$C$41="PYG",IF(EL$10&gt;0,N(Reales!EL41)/EL$10,0),N(Reales!EL41)),EL$186)</f>
        <v>0</v>
      </c>
      <c r="EM202" s="34" t="n">
        <f aca="false">IF(EM$8=1,IF(Reales!$C$41="PYG",IF(EM$10&gt;0,N(Reales!EM41)/EM$10,0),N(Reales!EM41)),EM$186)</f>
        <v>0</v>
      </c>
      <c r="EN202" s="34" t="n">
        <f aca="false">IF(EN$8=1,IF(Reales!$C$41="PYG",IF(EN$10&gt;0,N(Reales!EN41)/EN$10,0),N(Reales!EN41)),EN$186)</f>
        <v>0</v>
      </c>
      <c r="EO202" s="34" t="n">
        <f aca="false">IF(EO$8=1,IF(Reales!$C$41="PYG",IF(EO$10&gt;0,N(Reales!EO41)/EO$10,0),N(Reales!EO41)),EO$186)</f>
        <v>0</v>
      </c>
      <c r="EP202" s="34" t="n">
        <f aca="false">IF(EP$8=1,IF(Reales!$C$41="PYG",IF(EP$10&gt;0,N(Reales!EP41)/EP$10,0),N(Reales!EP41)),EP$186)</f>
        <v>0</v>
      </c>
      <c r="EQ202" s="34" t="n">
        <f aca="false">IF(EQ$8=1,IF(Reales!$C$41="PYG",IF(EQ$10&gt;0,N(Reales!EQ41)/EQ$10,0),N(Reales!EQ41)),EQ$186)</f>
        <v>0</v>
      </c>
      <c r="ER202" s="34" t="n">
        <f aca="false">IF(ER$8=1,IF(Reales!$C$41="PYG",IF(ER$10&gt;0,N(Reales!ER41)/ER$10,0),N(Reales!ER41)),ER$186)</f>
        <v>0</v>
      </c>
      <c r="ES202" s="34" t="n">
        <f aca="false">IF(ES$8=1,IF(Reales!$C$41="PYG",IF(ES$10&gt;0,N(Reales!ES41)/ES$10,0),N(Reales!ES41)),ES$186)</f>
        <v>0</v>
      </c>
    </row>
    <row r="203" customFormat="false" ht="15" hidden="false" customHeight="false" outlineLevel="0" collapsed="false">
      <c r="A203" s="2" t="s">
        <v>817</v>
      </c>
      <c r="B203" s="6" t="s">
        <v>637</v>
      </c>
      <c r="C203" s="6" t="s">
        <v>250</v>
      </c>
      <c r="E203" s="40" t="n">
        <f aca="false">SUM(F203:ES203)</f>
        <v>3143993.45458867</v>
      </c>
      <c r="F203" s="34" t="n">
        <f aca="false">IF(F$8=1,IF(Reales!$C$43="PYG",IF(F$10&gt;0,N(Reales!F43)/F$10,0),N(Reales!F43)),F$191+F$194)</f>
        <v>23597.3144270418</v>
      </c>
      <c r="G203" s="34" t="n">
        <f aca="false">IF(G$8=1,IF(Reales!$C$43="PYG",IF(G$10&gt;0,N(Reales!G43)/G$10,0),N(Reales!G43)),G$191+G$194)</f>
        <v>23597.3144270418</v>
      </c>
      <c r="H203" s="34" t="n">
        <f aca="false">IF(H$8=1,IF(Reales!$C$43="PYG",IF(H$10&gt;0,N(Reales!H43)/H$10,0),N(Reales!H43)),H$191+H$194)</f>
        <v>23597.3144270418</v>
      </c>
      <c r="I203" s="34" t="n">
        <f aca="false">IF(I$8=1,IF(Reales!$C$43="PYG",IF(I$10&gt;0,N(Reales!I43)/I$10,0),N(Reales!I43)),I$191+I$194)</f>
        <v>23597.3144270418</v>
      </c>
      <c r="J203" s="34" t="n">
        <f aca="false">IF(J$8=1,IF(Reales!$C$43="PYG",IF(J$10&gt;0,N(Reales!J43)/J$10,0),N(Reales!J43)),J$191+J$194)</f>
        <v>23597.3144270418</v>
      </c>
      <c r="K203" s="34" t="n">
        <f aca="false">IF(K$8=1,IF(Reales!$C$43="PYG",IF(K$10&gt;0,N(Reales!K43)/K$10,0),N(Reales!K43)),K$191+K$194)</f>
        <v>23597.3144270418</v>
      </c>
      <c r="L203" s="34" t="n">
        <f aca="false">IF(L$8=1,IF(Reales!$C$43="PYG",IF(L$10&gt;0,N(Reales!L43)/L$10,0),N(Reales!L43)),L$191+L$194)</f>
        <v>23597.3144270418</v>
      </c>
      <c r="M203" s="34" t="n">
        <f aca="false">IF(M$8=1,IF(Reales!$C$43="PYG",IF(M$10&gt;0,N(Reales!M43)/M$10,0),N(Reales!M43)),M$191+M$194)</f>
        <v>23597.3144270418</v>
      </c>
      <c r="N203" s="34" t="n">
        <f aca="false">IF(N$8=1,IF(Reales!$C$43="PYG",IF(N$10&gt;0,N(Reales!N43)/N$10,0),N(Reales!N43)),N$191+N$194)</f>
        <v>23597.3144270418</v>
      </c>
      <c r="O203" s="34" t="n">
        <f aca="false">IF(O$8=1,IF(Reales!$C$43="PYG",IF(O$10&gt;0,N(Reales!O43)/O$10,0),N(Reales!O43)),O$191+O$194)</f>
        <v>23597.3144270418</v>
      </c>
      <c r="P203" s="34" t="n">
        <f aca="false">IF(P$8=1,IF(Reales!$C$43="PYG",IF(P$10&gt;0,N(Reales!P43)/P$10,0),N(Reales!P43)),P$191+P$194)</f>
        <v>23597.3144270418</v>
      </c>
      <c r="Q203" s="34" t="n">
        <f aca="false">IF(Q$8=1,IF(Reales!$C$43="PYG",IF(Q$10&gt;0,N(Reales!Q43)/Q$10,0),N(Reales!Q43)),Q$191+Q$194)</f>
        <v>23597.3144270418</v>
      </c>
      <c r="R203" s="34" t="n">
        <f aca="false">IF(R$8=1,IF(Reales!$C$43="PYG",IF(R$10&gt;0,N(Reales!R43)/R$10,0),N(Reales!R43)),R$191+R$194)</f>
        <v>24130.6844270418</v>
      </c>
      <c r="S203" s="34" t="n">
        <f aca="false">IF(S$8=1,IF(Reales!$C$43="PYG",IF(S$10&gt;0,N(Reales!S43)/S$10,0),N(Reales!S43)),S$191+S$194)</f>
        <v>24130.6844270418</v>
      </c>
      <c r="T203" s="34" t="n">
        <f aca="false">IF(T$8=1,IF(Reales!$C$43="PYG",IF(T$10&gt;0,N(Reales!T43)/T$10,0),N(Reales!T43)),T$191+T$194)</f>
        <v>24130.6844270418</v>
      </c>
      <c r="U203" s="34" t="n">
        <f aca="false">IF(U$8=1,IF(Reales!$C$43="PYG",IF(U$10&gt;0,N(Reales!U43)/U$10,0),N(Reales!U43)),U$191+U$194)</f>
        <v>24130.6844270418</v>
      </c>
      <c r="V203" s="34" t="n">
        <f aca="false">IF(V$8=1,IF(Reales!$C$43="PYG",IF(V$10&gt;0,N(Reales!V43)/V$10,0),N(Reales!V43)),V$191+V$194)</f>
        <v>24130.6844270418</v>
      </c>
      <c r="W203" s="34" t="n">
        <f aca="false">IF(W$8=1,IF(Reales!$C$43="PYG",IF(W$10&gt;0,N(Reales!W43)/W$10,0),N(Reales!W43)),W$191+W$194)</f>
        <v>24130.6844270418</v>
      </c>
      <c r="X203" s="34" t="n">
        <f aca="false">IF(X$8=1,IF(Reales!$C$43="PYG",IF(X$10&gt;0,N(Reales!X43)/X$10,0),N(Reales!X43)),X$191+X$194)</f>
        <v>24130.6844270418</v>
      </c>
      <c r="Y203" s="34" t="n">
        <f aca="false">IF(Y$8=1,IF(Reales!$C$43="PYG",IF(Y$10&gt;0,N(Reales!Y43)/Y$10,0),N(Reales!Y43)),Y$191+Y$194)</f>
        <v>24130.6844270418</v>
      </c>
      <c r="Z203" s="34" t="n">
        <f aca="false">IF(Z$8=1,IF(Reales!$C$43="PYG",IF(Z$10&gt;0,N(Reales!Z43)/Z$10,0),N(Reales!Z43)),Z$191+Z$194)</f>
        <v>24130.6844270418</v>
      </c>
      <c r="AA203" s="34" t="n">
        <f aca="false">IF(AA$8=1,IF(Reales!$C$43="PYG",IF(AA$10&gt;0,N(Reales!AA43)/AA$10,0),N(Reales!AA43)),AA$191+AA$194)</f>
        <v>24130.6844270418</v>
      </c>
      <c r="AB203" s="34" t="n">
        <f aca="false">IF(AB$8=1,IF(Reales!$C$43="PYG",IF(AB$10&gt;0,N(Reales!AB43)/AB$10,0),N(Reales!AB43)),AB$191+AB$194)</f>
        <v>24130.6844270418</v>
      </c>
      <c r="AC203" s="34" t="n">
        <f aca="false">IF(AC$8=1,IF(Reales!$C$43="PYG",IF(AC$10&gt;0,N(Reales!AC43)/AC$10,0),N(Reales!AC43)),AC$191+AC$194)</f>
        <v>24130.6844270418</v>
      </c>
      <c r="AD203" s="34" t="n">
        <f aca="false">IF(AD$8=1,IF(Reales!$C$43="PYG",IF(AD$10&gt;0,N(Reales!AD43)/AD$10,0),N(Reales!AD43)),AD$191+AD$194)</f>
        <v>24680.0555270418</v>
      </c>
      <c r="AE203" s="34" t="n">
        <f aca="false">IF(AE$8=1,IF(Reales!$C$43="PYG",IF(AE$10&gt;0,N(Reales!AE43)/AE$10,0),N(Reales!AE43)),AE$191+AE$194)</f>
        <v>24680.0555270418</v>
      </c>
      <c r="AF203" s="34" t="n">
        <f aca="false">IF(AF$8=1,IF(Reales!$C$43="PYG",IF(AF$10&gt;0,N(Reales!AF43)/AF$10,0),N(Reales!AF43)),AF$191+AF$194)</f>
        <v>24680.0555270418</v>
      </c>
      <c r="AG203" s="34" t="n">
        <f aca="false">IF(AG$8=1,IF(Reales!$C$43="PYG",IF(AG$10&gt;0,N(Reales!AG43)/AG$10,0),N(Reales!AG43)),AG$191+AG$194)</f>
        <v>24680.0555270418</v>
      </c>
      <c r="AH203" s="34" t="n">
        <f aca="false">IF(AH$8=1,IF(Reales!$C$43="PYG",IF(AH$10&gt;0,N(Reales!AH43)/AH$10,0),N(Reales!AH43)),AH$191+AH$194)</f>
        <v>24680.0555270418</v>
      </c>
      <c r="AI203" s="34" t="n">
        <f aca="false">IF(AI$8=1,IF(Reales!$C$43="PYG",IF(AI$10&gt;0,N(Reales!AI43)/AI$10,0),N(Reales!AI43)),AI$191+AI$194)</f>
        <v>24680.0555270418</v>
      </c>
      <c r="AJ203" s="34" t="n">
        <f aca="false">IF(AJ$8=1,IF(Reales!$C$43="PYG",IF(AJ$10&gt;0,N(Reales!AJ43)/AJ$10,0),N(Reales!AJ43)),AJ$191+AJ$194)</f>
        <v>24680.0555270418</v>
      </c>
      <c r="AK203" s="34" t="n">
        <f aca="false">IF(AK$8=1,IF(Reales!$C$43="PYG",IF(AK$10&gt;0,N(Reales!AK43)/AK$10,0),N(Reales!AK43)),AK$191+AK$194)</f>
        <v>24680.0555270418</v>
      </c>
      <c r="AL203" s="34" t="n">
        <f aca="false">IF(AL$8=1,IF(Reales!$C$43="PYG",IF(AL$10&gt;0,N(Reales!AL43)/AL$10,0),N(Reales!AL43)),AL$191+AL$194)</f>
        <v>24680.0555270418</v>
      </c>
      <c r="AM203" s="34" t="n">
        <f aca="false">IF(AM$8=1,IF(Reales!$C$43="PYG",IF(AM$10&gt;0,N(Reales!AM43)/AM$10,0),N(Reales!AM43)),AM$191+AM$194)</f>
        <v>24680.0555270418</v>
      </c>
      <c r="AN203" s="34" t="n">
        <f aca="false">IF(AN$8=1,IF(Reales!$C$43="PYG",IF(AN$10&gt;0,N(Reales!AN43)/AN$10,0),N(Reales!AN43)),AN$191+AN$194)</f>
        <v>24680.0555270418</v>
      </c>
      <c r="AO203" s="34" t="n">
        <f aca="false">IF(AO$8=1,IF(Reales!$C$43="PYG",IF(AO$10&gt;0,N(Reales!AO43)/AO$10,0),N(Reales!AO43)),AO$191+AO$194)</f>
        <v>24680.0555270418</v>
      </c>
      <c r="AP203" s="34" t="n">
        <f aca="false">IF(AP$8=1,IF(Reales!$C$43="PYG",IF(AP$10&gt;0,N(Reales!AP43)/AP$10,0),N(Reales!AP43)),AP$191+AP$194)</f>
        <v>25245.9077600418</v>
      </c>
      <c r="AQ203" s="34" t="n">
        <f aca="false">IF(AQ$8=1,IF(Reales!$C$43="PYG",IF(AQ$10&gt;0,N(Reales!AQ43)/AQ$10,0),N(Reales!AQ43)),AQ$191+AQ$194)</f>
        <v>25245.9077600418</v>
      </c>
      <c r="AR203" s="34" t="n">
        <f aca="false">IF(AR$8=1,IF(Reales!$C$43="PYG",IF(AR$10&gt;0,N(Reales!AR43)/AR$10,0),N(Reales!AR43)),AR$191+AR$194)</f>
        <v>25245.9077600418</v>
      </c>
      <c r="AS203" s="34" t="n">
        <f aca="false">IF(AS$8=1,IF(Reales!$C$43="PYG",IF(AS$10&gt;0,N(Reales!AS43)/AS$10,0),N(Reales!AS43)),AS$191+AS$194)</f>
        <v>25245.9077600418</v>
      </c>
      <c r="AT203" s="34" t="n">
        <f aca="false">IF(AT$8=1,IF(Reales!$C$43="PYG",IF(AT$10&gt;0,N(Reales!AT43)/AT$10,0),N(Reales!AT43)),AT$191+AT$194)</f>
        <v>25245.9077600418</v>
      </c>
      <c r="AU203" s="34" t="n">
        <f aca="false">IF(AU$8=1,IF(Reales!$C$43="PYG",IF(AU$10&gt;0,N(Reales!AU43)/AU$10,0),N(Reales!AU43)),AU$191+AU$194)</f>
        <v>25245.9077600418</v>
      </c>
      <c r="AV203" s="34" t="n">
        <f aca="false">IF(AV$8=1,IF(Reales!$C$43="PYG",IF(AV$10&gt;0,N(Reales!AV43)/AV$10,0),N(Reales!AV43)),AV$191+AV$194)</f>
        <v>25245.9077600418</v>
      </c>
      <c r="AW203" s="34" t="n">
        <f aca="false">IF(AW$8=1,IF(Reales!$C$43="PYG",IF(AW$10&gt;0,N(Reales!AW43)/AW$10,0),N(Reales!AW43)),AW$191+AW$194)</f>
        <v>25245.9077600418</v>
      </c>
      <c r="AX203" s="34" t="n">
        <f aca="false">IF(AX$8=1,IF(Reales!$C$43="PYG",IF(AX$10&gt;0,N(Reales!AX43)/AX$10,0),N(Reales!AX43)),AX$191+AX$194)</f>
        <v>25245.9077600418</v>
      </c>
      <c r="AY203" s="34" t="n">
        <f aca="false">IF(AY$8=1,IF(Reales!$C$43="PYG",IF(AY$10&gt;0,N(Reales!AY43)/AY$10,0),N(Reales!AY43)),AY$191+AY$194)</f>
        <v>25245.9077600418</v>
      </c>
      <c r="AZ203" s="34" t="n">
        <f aca="false">IF(AZ$8=1,IF(Reales!$C$43="PYG",IF(AZ$10&gt;0,N(Reales!AZ43)/AZ$10,0),N(Reales!AZ43)),AZ$191+AZ$194)</f>
        <v>25245.9077600418</v>
      </c>
      <c r="BA203" s="34" t="n">
        <f aca="false">IF(BA$8=1,IF(Reales!$C$43="PYG",IF(BA$10&gt;0,N(Reales!BA43)/BA$10,0),N(Reales!BA43)),BA$191+BA$194)</f>
        <v>25245.9077600418</v>
      </c>
      <c r="BB203" s="34" t="n">
        <f aca="false">IF(BB$8=1,IF(Reales!$C$43="PYG",IF(BB$10&gt;0,N(Reales!BB43)/BB$10,0),N(Reales!BB43)),BB$191+BB$194)</f>
        <v>25828.7355600318</v>
      </c>
      <c r="BC203" s="34" t="n">
        <f aca="false">IF(BC$8=1,IF(Reales!$C$43="PYG",IF(BC$10&gt;0,N(Reales!BC43)/BC$10,0),N(Reales!BC43)),BC$191+BC$194)</f>
        <v>25828.7355600318</v>
      </c>
      <c r="BD203" s="34" t="n">
        <f aca="false">IF(BD$8=1,IF(Reales!$C$43="PYG",IF(BD$10&gt;0,N(Reales!BD43)/BD$10,0),N(Reales!BD43)),BD$191+BD$194)</f>
        <v>25828.7355600318</v>
      </c>
      <c r="BE203" s="34" t="n">
        <f aca="false">IF(BE$8=1,IF(Reales!$C$43="PYG",IF(BE$10&gt;0,N(Reales!BE43)/BE$10,0),N(Reales!BE43)),BE$191+BE$194)</f>
        <v>25828.7355600318</v>
      </c>
      <c r="BF203" s="34" t="n">
        <f aca="false">IF(BF$8=1,IF(Reales!$C$43="PYG",IF(BF$10&gt;0,N(Reales!BF43)/BF$10,0),N(Reales!BF43)),BF$191+BF$194)</f>
        <v>25828.7355600318</v>
      </c>
      <c r="BG203" s="34" t="n">
        <f aca="false">IF(BG$8=1,IF(Reales!$C$43="PYG",IF(BG$10&gt;0,N(Reales!BG43)/BG$10,0),N(Reales!BG43)),BG$191+BG$194)</f>
        <v>25828.7355600318</v>
      </c>
      <c r="BH203" s="34" t="n">
        <f aca="false">IF(BH$8=1,IF(Reales!$C$43="PYG",IF(BH$10&gt;0,N(Reales!BH43)/BH$10,0),N(Reales!BH43)),BH$191+BH$194)</f>
        <v>25828.7355600318</v>
      </c>
      <c r="BI203" s="34" t="n">
        <f aca="false">IF(BI$8=1,IF(Reales!$C$43="PYG",IF(BI$10&gt;0,N(Reales!BI43)/BI$10,0),N(Reales!BI43)),BI$191+BI$194)</f>
        <v>25828.7355600318</v>
      </c>
      <c r="BJ203" s="34" t="n">
        <f aca="false">IF(BJ$8=1,IF(Reales!$C$43="PYG",IF(BJ$10&gt;0,N(Reales!BJ43)/BJ$10,0),N(Reales!BJ43)),BJ$191+BJ$194)</f>
        <v>25828.7355600318</v>
      </c>
      <c r="BK203" s="34" t="n">
        <f aca="false">IF(BK$8=1,IF(Reales!$C$43="PYG",IF(BK$10&gt;0,N(Reales!BK43)/BK$10,0),N(Reales!BK43)),BK$191+BK$194)</f>
        <v>25828.7355600318</v>
      </c>
      <c r="BL203" s="34" t="n">
        <f aca="false">IF(BL$8=1,IF(Reales!$C$43="PYG",IF(BL$10&gt;0,N(Reales!BL43)/BL$10,0),N(Reales!BL43)),BL$191+BL$194)</f>
        <v>25828.7355600318</v>
      </c>
      <c r="BM203" s="34" t="n">
        <f aca="false">IF(BM$8=1,IF(Reales!$C$43="PYG",IF(BM$10&gt;0,N(Reales!BM43)/BM$10,0),N(Reales!BM43)),BM$191+BM$194)</f>
        <v>25828.7355600318</v>
      </c>
      <c r="BN203" s="34" t="n">
        <f aca="false">IF(BN$8=1,IF(Reales!$C$43="PYG",IF(BN$10&gt;0,N(Reales!BN43)/BN$10,0),N(Reales!BN43)),BN$191+BN$194)</f>
        <v>26429.0481940215</v>
      </c>
      <c r="BO203" s="34" t="n">
        <f aca="false">IF(BO$8=1,IF(Reales!$C$43="PYG",IF(BO$10&gt;0,N(Reales!BO43)/BO$10,0),N(Reales!BO43)),BO$191+BO$194)</f>
        <v>26429.0481940215</v>
      </c>
      <c r="BP203" s="34" t="n">
        <f aca="false">IF(BP$8=1,IF(Reales!$C$43="PYG",IF(BP$10&gt;0,N(Reales!BP43)/BP$10,0),N(Reales!BP43)),BP$191+BP$194)</f>
        <v>26429.0481940215</v>
      </c>
      <c r="BQ203" s="34" t="n">
        <f aca="false">IF(BQ$8=1,IF(Reales!$C$43="PYG",IF(BQ$10&gt;0,N(Reales!BQ43)/BQ$10,0),N(Reales!BQ43)),BQ$191+BQ$194)</f>
        <v>26429.0481940215</v>
      </c>
      <c r="BR203" s="34" t="n">
        <f aca="false">IF(BR$8=1,IF(Reales!$C$43="PYG",IF(BR$10&gt;0,N(Reales!BR43)/BR$10,0),N(Reales!BR43)),BR$191+BR$194)</f>
        <v>26429.0481940215</v>
      </c>
      <c r="BS203" s="34" t="n">
        <f aca="false">IF(BS$8=1,IF(Reales!$C$43="PYG",IF(BS$10&gt;0,N(Reales!BS43)/BS$10,0),N(Reales!BS43)),BS$191+BS$194)</f>
        <v>26429.0481940215</v>
      </c>
      <c r="BT203" s="34" t="n">
        <f aca="false">IF(BT$8=1,IF(Reales!$C$43="PYG",IF(BT$10&gt;0,N(Reales!BT43)/BT$10,0),N(Reales!BT43)),BT$191+BT$194)</f>
        <v>26429.0481940215</v>
      </c>
      <c r="BU203" s="34" t="n">
        <f aca="false">IF(BU$8=1,IF(Reales!$C$43="PYG",IF(BU$10&gt;0,N(Reales!BU43)/BU$10,0),N(Reales!BU43)),BU$191+BU$194)</f>
        <v>26429.0481940215</v>
      </c>
      <c r="BV203" s="34" t="n">
        <f aca="false">IF(BV$8=1,IF(Reales!$C$43="PYG",IF(BV$10&gt;0,N(Reales!BV43)/BV$10,0),N(Reales!BV43)),BV$191+BV$194)</f>
        <v>26429.0481940215</v>
      </c>
      <c r="BW203" s="34" t="n">
        <f aca="false">IF(BW$8=1,IF(Reales!$C$43="PYG",IF(BW$10&gt;0,N(Reales!BW43)/BW$10,0),N(Reales!BW43)),BW$191+BW$194)</f>
        <v>26429.0481940215</v>
      </c>
      <c r="BX203" s="34" t="n">
        <f aca="false">IF(BX$8=1,IF(Reales!$C$43="PYG",IF(BX$10&gt;0,N(Reales!BX43)/BX$10,0),N(Reales!BX43)),BX$191+BX$194)</f>
        <v>26429.0481940215</v>
      </c>
      <c r="BY203" s="34" t="n">
        <f aca="false">IF(BY$8=1,IF(Reales!$C$43="PYG",IF(BY$10&gt;0,N(Reales!BY43)/BY$10,0),N(Reales!BY43)),BY$191+BY$194)</f>
        <v>26429.0481940215</v>
      </c>
      <c r="BZ203" s="34" t="n">
        <f aca="false">IF(BZ$8=1,IF(Reales!$C$43="PYG",IF(BZ$10&gt;0,N(Reales!BZ43)/BZ$10,0),N(Reales!BZ43)),BZ$191+BZ$194)</f>
        <v>27047.3702070309</v>
      </c>
      <c r="CA203" s="34" t="n">
        <f aca="false">IF(CA$8=1,IF(Reales!$C$43="PYG",IF(CA$10&gt;0,N(Reales!CA43)/CA$10,0),N(Reales!CA43)),CA$191+CA$194)</f>
        <v>27047.3702070309</v>
      </c>
      <c r="CB203" s="34" t="n">
        <f aca="false">IF(CB$8=1,IF(Reales!$C$43="PYG",IF(CB$10&gt;0,N(Reales!CB43)/CB$10,0),N(Reales!CB43)),CB$191+CB$194)</f>
        <v>27047.3702070309</v>
      </c>
      <c r="CC203" s="34" t="n">
        <f aca="false">IF(CC$8=1,IF(Reales!$C$43="PYG",IF(CC$10&gt;0,N(Reales!CC43)/CC$10,0),N(Reales!CC43)),CC$191+CC$194)</f>
        <v>27047.3702070309</v>
      </c>
      <c r="CD203" s="34" t="n">
        <f aca="false">IF(CD$8=1,IF(Reales!$C$43="PYG",IF(CD$10&gt;0,N(Reales!CD43)/CD$10,0),N(Reales!CD43)),CD$191+CD$194)</f>
        <v>27047.3702070309</v>
      </c>
      <c r="CE203" s="34" t="n">
        <f aca="false">IF(CE$8=1,IF(Reales!$C$43="PYG",IF(CE$10&gt;0,N(Reales!CE43)/CE$10,0),N(Reales!CE43)),CE$191+CE$194)</f>
        <v>27047.3702070309</v>
      </c>
      <c r="CF203" s="34" t="n">
        <f aca="false">IF(CF$8=1,IF(Reales!$C$43="PYG",IF(CF$10&gt;0,N(Reales!CF43)/CF$10,0),N(Reales!CF43)),CF$191+CF$194)</f>
        <v>27047.3702070309</v>
      </c>
      <c r="CG203" s="34" t="n">
        <f aca="false">IF(CG$8=1,IF(Reales!$C$43="PYG",IF(CG$10&gt;0,N(Reales!CG43)/CG$10,0),N(Reales!CG43)),CG$191+CG$194)</f>
        <v>27047.3702070309</v>
      </c>
      <c r="CH203" s="34" t="n">
        <f aca="false">IF(CH$8=1,IF(Reales!$C$43="PYG",IF(CH$10&gt;0,N(Reales!CH43)/CH$10,0),N(Reales!CH43)),CH$191+CH$194)</f>
        <v>27047.3702070309</v>
      </c>
      <c r="CI203" s="34" t="n">
        <f aca="false">IF(CI$8=1,IF(Reales!$C$43="PYG",IF(CI$10&gt;0,N(Reales!CI43)/CI$10,0),N(Reales!CI43)),CI$191+CI$194)</f>
        <v>27047.3702070309</v>
      </c>
      <c r="CJ203" s="34" t="n">
        <f aca="false">IF(CJ$8=1,IF(Reales!$C$43="PYG",IF(CJ$10&gt;0,N(Reales!CJ43)/CJ$10,0),N(Reales!CJ43)),CJ$191+CJ$194)</f>
        <v>27047.3702070309</v>
      </c>
      <c r="CK203" s="34" t="n">
        <f aca="false">IF(CK$8=1,IF(Reales!$C$43="PYG",IF(CK$10&gt;0,N(Reales!CK43)/CK$10,0),N(Reales!CK43)),CK$191+CK$194)</f>
        <v>27047.3702070309</v>
      </c>
      <c r="CL203" s="34" t="n">
        <f aca="false">IF(CL$8=1,IF(Reales!$C$43="PYG",IF(CL$10&gt;0,N(Reales!CL43)/CL$10,0),N(Reales!CL43)),CL$191+CL$194)</f>
        <v>27684.2418804306</v>
      </c>
      <c r="CM203" s="34" t="n">
        <f aca="false">IF(CM$8=1,IF(Reales!$C$43="PYG",IF(CM$10&gt;0,N(Reales!CM43)/CM$10,0),N(Reales!CM43)),CM$191+CM$194)</f>
        <v>27684.2418804306</v>
      </c>
      <c r="CN203" s="34" t="n">
        <f aca="false">IF(CN$8=1,IF(Reales!$C$43="PYG",IF(CN$10&gt;0,N(Reales!CN43)/CN$10,0),N(Reales!CN43)),CN$191+CN$194)</f>
        <v>27684.2418804306</v>
      </c>
      <c r="CO203" s="34" t="n">
        <f aca="false">IF(CO$8=1,IF(Reales!$C$43="PYG",IF(CO$10&gt;0,N(Reales!CO43)/CO$10,0),N(Reales!CO43)),CO$191+CO$194)</f>
        <v>27684.2418804306</v>
      </c>
      <c r="CP203" s="34" t="n">
        <f aca="false">IF(CP$8=1,IF(Reales!$C$43="PYG",IF(CP$10&gt;0,N(Reales!CP43)/CP$10,0),N(Reales!CP43)),CP$191+CP$194)</f>
        <v>27684.2418804306</v>
      </c>
      <c r="CQ203" s="34" t="n">
        <f aca="false">IF(CQ$8=1,IF(Reales!$C$43="PYG",IF(CQ$10&gt;0,N(Reales!CQ43)/CQ$10,0),N(Reales!CQ43)),CQ$191+CQ$194)</f>
        <v>27684.2418804306</v>
      </c>
      <c r="CR203" s="34" t="n">
        <f aca="false">IF(CR$8=1,IF(Reales!$C$43="PYG",IF(CR$10&gt;0,N(Reales!CR43)/CR$10,0),N(Reales!CR43)),CR$191+CR$194)</f>
        <v>27684.2418804306</v>
      </c>
      <c r="CS203" s="34" t="n">
        <f aca="false">IF(CS$8=1,IF(Reales!$C$43="PYG",IF(CS$10&gt;0,N(Reales!CS43)/CS$10,0),N(Reales!CS43)),CS$191+CS$194)</f>
        <v>27684.2418804306</v>
      </c>
      <c r="CT203" s="34" t="n">
        <f aca="false">IF(CT$8=1,IF(Reales!$C$43="PYG",IF(CT$10&gt;0,N(Reales!CT43)/CT$10,0),N(Reales!CT43)),CT$191+CT$194)</f>
        <v>27684.2418804306</v>
      </c>
      <c r="CU203" s="34" t="n">
        <f aca="false">IF(CU$8=1,IF(Reales!$C$43="PYG",IF(CU$10&gt;0,N(Reales!CU43)/CU$10,0),N(Reales!CU43)),CU$191+CU$194)</f>
        <v>27684.2418804306</v>
      </c>
      <c r="CV203" s="34" t="n">
        <f aca="false">IF(CV$8=1,IF(Reales!$C$43="PYG",IF(CV$10&gt;0,N(Reales!CV43)/CV$10,0),N(Reales!CV43)),CV$191+CV$194)</f>
        <v>27684.2418804306</v>
      </c>
      <c r="CW203" s="34" t="n">
        <f aca="false">IF(CW$8=1,IF(Reales!$C$43="PYG",IF(CW$10&gt;0,N(Reales!CW43)/CW$10,0),N(Reales!CW43)),CW$191+CW$194)</f>
        <v>27684.2418804306</v>
      </c>
      <c r="CX203" s="34" t="n">
        <f aca="false">IF(CX$8=1,IF(Reales!$C$43="PYG",IF(CX$10&gt;0,N(Reales!CX43)/CX$10,0),N(Reales!CX43)),CX$191+CX$194)</f>
        <v>28340.2197040322</v>
      </c>
      <c r="CY203" s="34" t="n">
        <f aca="false">IF(CY$8=1,IF(Reales!$C$43="PYG",IF(CY$10&gt;0,N(Reales!CY43)/CY$10,0),N(Reales!CY43)),CY$191+CY$194)</f>
        <v>28340.2197040322</v>
      </c>
      <c r="CZ203" s="34" t="n">
        <f aca="false">IF(CZ$8=1,IF(Reales!$C$43="PYG",IF(CZ$10&gt;0,N(Reales!CZ43)/CZ$10,0),N(Reales!CZ43)),CZ$191+CZ$194)</f>
        <v>28340.2197040322</v>
      </c>
      <c r="DA203" s="34" t="n">
        <f aca="false">IF(DA$8=1,IF(Reales!$C$43="PYG",IF(DA$10&gt;0,N(Reales!DA43)/DA$10,0),N(Reales!DA43)),DA$191+DA$194)</f>
        <v>28340.2197040322</v>
      </c>
      <c r="DB203" s="34" t="n">
        <f aca="false">IF(DB$8=1,IF(Reales!$C$43="PYG",IF(DB$10&gt;0,N(Reales!DB43)/DB$10,0),N(Reales!DB43)),DB$191+DB$194)</f>
        <v>28340.2197040322</v>
      </c>
      <c r="DC203" s="34" t="n">
        <f aca="false">IF(DC$8=1,IF(Reales!$C$43="PYG",IF(DC$10&gt;0,N(Reales!DC43)/DC$10,0),N(Reales!DC43)),DC$191+DC$194)</f>
        <v>28340.2197040322</v>
      </c>
      <c r="DD203" s="34" t="n">
        <f aca="false">IF(DD$8=1,IF(Reales!$C$43="PYG",IF(DD$10&gt;0,N(Reales!DD43)/DD$10,0),N(Reales!DD43)),DD$191+DD$194)</f>
        <v>28340.2197040322</v>
      </c>
      <c r="DE203" s="34" t="n">
        <f aca="false">IF(DE$8=1,IF(Reales!$C$43="PYG",IF(DE$10&gt;0,N(Reales!DE43)/DE$10,0),N(Reales!DE43)),DE$191+DE$194)</f>
        <v>28340.2197040322</v>
      </c>
      <c r="DF203" s="34" t="n">
        <f aca="false">IF(DF$8=1,IF(Reales!$C$43="PYG",IF(DF$10&gt;0,N(Reales!DF43)/DF$10,0),N(Reales!DF43)),DF$191+DF$194)</f>
        <v>28340.2197040322</v>
      </c>
      <c r="DG203" s="34" t="n">
        <f aca="false">IF(DG$8=1,IF(Reales!$C$43="PYG",IF(DG$10&gt;0,N(Reales!DG43)/DG$10,0),N(Reales!DG43)),DG$191+DG$194)</f>
        <v>28340.2197040322</v>
      </c>
      <c r="DH203" s="34" t="n">
        <f aca="false">IF(DH$8=1,IF(Reales!$C$43="PYG",IF(DH$10&gt;0,N(Reales!DH43)/DH$10,0),N(Reales!DH43)),DH$191+DH$194)</f>
        <v>28340.2197040322</v>
      </c>
      <c r="DI203" s="34" t="n">
        <f aca="false">IF(DI$8=1,IF(Reales!$C$43="PYG",IF(DI$10&gt;0,N(Reales!DI43)/DI$10,0),N(Reales!DI43)),DI$191+DI$194)</f>
        <v>28340.2197040322</v>
      </c>
      <c r="DJ203" s="34" t="n">
        <f aca="false">IF(DJ$8=1,IF(Reales!$C$43="PYG",IF(DJ$10&gt;0,N(Reales!DJ43)/DJ$10,0),N(Reales!DJ43)),DJ$191+DJ$194)</f>
        <v>29015.8768623419</v>
      </c>
      <c r="DK203" s="34" t="n">
        <f aca="false">IF(DK$8=1,IF(Reales!$C$43="PYG",IF(DK$10&gt;0,N(Reales!DK43)/DK$10,0),N(Reales!DK43)),DK$191+DK$194)</f>
        <v>29015.8768623419</v>
      </c>
      <c r="DL203" s="34" t="n">
        <f aca="false">IF(DL$8=1,IF(Reales!$C$43="PYG",IF(DL$10&gt;0,N(Reales!DL43)/DL$10,0),N(Reales!DL43)),DL$191+DL$194)</f>
        <v>29015.8768623419</v>
      </c>
      <c r="DM203" s="34" t="n">
        <f aca="false">IF(DM$8=1,IF(Reales!$C$43="PYG",IF(DM$10&gt;0,N(Reales!DM43)/DM$10,0),N(Reales!DM43)),DM$191+DM$194)</f>
        <v>29015.8768623419</v>
      </c>
      <c r="DN203" s="34" t="n">
        <f aca="false">IF(DN$8=1,IF(Reales!$C$43="PYG",IF(DN$10&gt;0,N(Reales!DN43)/DN$10,0),N(Reales!DN43)),DN$191+DN$194)</f>
        <v>29015.8768623419</v>
      </c>
      <c r="DO203" s="34" t="n">
        <f aca="false">IF(DO$8=1,IF(Reales!$C$43="PYG",IF(DO$10&gt;0,N(Reales!DO43)/DO$10,0),N(Reales!DO43)),DO$191+DO$194)</f>
        <v>29015.8768623419</v>
      </c>
      <c r="DP203" s="34" t="n">
        <f aca="false">IF(DP$8=1,IF(Reales!$C$43="PYG",IF(DP$10&gt;0,N(Reales!DP43)/DP$10,0),N(Reales!DP43)),DP$191+DP$194)</f>
        <v>29015.8768623419</v>
      </c>
      <c r="DQ203" s="34" t="n">
        <f aca="false">IF(DQ$8=1,IF(Reales!$C$43="PYG",IF(DQ$10&gt;0,N(Reales!DQ43)/DQ$10,0),N(Reales!DQ43)),DQ$191+DQ$194)</f>
        <v>29015.8768623419</v>
      </c>
      <c r="DR203" s="34" t="n">
        <f aca="false">IF(DR$8=1,IF(Reales!$C$43="PYG",IF(DR$10&gt;0,N(Reales!DR43)/DR$10,0),N(Reales!DR43)),DR$191+DR$194)</f>
        <v>29015.8768623419</v>
      </c>
      <c r="DS203" s="34" t="n">
        <f aca="false">IF(DS$8=1,IF(Reales!$C$43="PYG",IF(DS$10&gt;0,N(Reales!DS43)/DS$10,0),N(Reales!DS43)),DS$191+DS$194)</f>
        <v>29015.8768623419</v>
      </c>
      <c r="DT203" s="34" t="n">
        <f aca="false">IF(DT$8=1,IF(Reales!$C$43="PYG",IF(DT$10&gt;0,N(Reales!DT43)/DT$10,0),N(Reales!DT43)),DT$191+DT$194)</f>
        <v>29015.8768623419</v>
      </c>
      <c r="DU203" s="34" t="n">
        <f aca="false">IF(DU$8=1,IF(Reales!$C$43="PYG",IF(DU$10&gt;0,N(Reales!DU43)/DU$10,0),N(Reales!DU43)),DU$191+DU$194)</f>
        <v>29015.8768623419</v>
      </c>
      <c r="DV203" s="34" t="n">
        <f aca="false">IF(DV$8=1,IF(Reales!$C$43="PYG",IF(DV$10&gt;0,N(Reales!DV43)/DV$10,0),N(Reales!DV43)),DV$191+DV$194)</f>
        <v>0</v>
      </c>
      <c r="DW203" s="34" t="n">
        <f aca="false">IF(DW$8=1,IF(Reales!$C$43="PYG",IF(DW$10&gt;0,N(Reales!DW43)/DW$10,0),N(Reales!DW43)),DW$191+DW$194)</f>
        <v>0</v>
      </c>
      <c r="DX203" s="34" t="n">
        <f aca="false">IF(DX$8=1,IF(Reales!$C$43="PYG",IF(DX$10&gt;0,N(Reales!DX43)/DX$10,0),N(Reales!DX43)),DX$191+DX$194)</f>
        <v>0</v>
      </c>
      <c r="DY203" s="34" t="n">
        <f aca="false">IF(DY$8=1,IF(Reales!$C$43="PYG",IF(DY$10&gt;0,N(Reales!DY43)/DY$10,0),N(Reales!DY43)),DY$191+DY$194)</f>
        <v>0</v>
      </c>
      <c r="DZ203" s="34" t="n">
        <f aca="false">IF(DZ$8=1,IF(Reales!$C$43="PYG",IF(DZ$10&gt;0,N(Reales!DZ43)/DZ$10,0),N(Reales!DZ43)),DZ$191+DZ$194)</f>
        <v>0</v>
      </c>
      <c r="EA203" s="34" t="n">
        <f aca="false">IF(EA$8=1,IF(Reales!$C$43="PYG",IF(EA$10&gt;0,N(Reales!EA43)/EA$10,0),N(Reales!EA43)),EA$191+EA$194)</f>
        <v>0</v>
      </c>
      <c r="EB203" s="34" t="n">
        <f aca="false">IF(EB$8=1,IF(Reales!$C$43="PYG",IF(EB$10&gt;0,N(Reales!EB43)/EB$10,0),N(Reales!EB43)),EB$191+EB$194)</f>
        <v>0</v>
      </c>
      <c r="EC203" s="34" t="n">
        <f aca="false">IF(EC$8=1,IF(Reales!$C$43="PYG",IF(EC$10&gt;0,N(Reales!EC43)/EC$10,0),N(Reales!EC43)),EC$191+EC$194)</f>
        <v>0</v>
      </c>
      <c r="ED203" s="34" t="n">
        <f aca="false">IF(ED$8=1,IF(Reales!$C$43="PYG",IF(ED$10&gt;0,N(Reales!ED43)/ED$10,0),N(Reales!ED43)),ED$191+ED$194)</f>
        <v>0</v>
      </c>
      <c r="EE203" s="34" t="n">
        <f aca="false">IF(EE$8=1,IF(Reales!$C$43="PYG",IF(EE$10&gt;0,N(Reales!EE43)/EE$10,0),N(Reales!EE43)),EE$191+EE$194)</f>
        <v>0</v>
      </c>
      <c r="EF203" s="34" t="n">
        <f aca="false">IF(EF$8=1,IF(Reales!$C$43="PYG",IF(EF$10&gt;0,N(Reales!EF43)/EF$10,0),N(Reales!EF43)),EF$191+EF$194)</f>
        <v>0</v>
      </c>
      <c r="EG203" s="34" t="n">
        <f aca="false">IF(EG$8=1,IF(Reales!$C$43="PYG",IF(EG$10&gt;0,N(Reales!EG43)/EG$10,0),N(Reales!EG43)),EG$191+EG$194)</f>
        <v>0</v>
      </c>
      <c r="EH203" s="34" t="n">
        <f aca="false">IF(EH$8=1,IF(Reales!$C$43="PYG",IF(EH$10&gt;0,N(Reales!EH43)/EH$10,0),N(Reales!EH43)),EH$191+EH$194)</f>
        <v>0</v>
      </c>
      <c r="EI203" s="34" t="n">
        <f aca="false">IF(EI$8=1,IF(Reales!$C$43="PYG",IF(EI$10&gt;0,N(Reales!EI43)/EI$10,0),N(Reales!EI43)),EI$191+EI$194)</f>
        <v>0</v>
      </c>
      <c r="EJ203" s="34" t="n">
        <f aca="false">IF(EJ$8=1,IF(Reales!$C$43="PYG",IF(EJ$10&gt;0,N(Reales!EJ43)/EJ$10,0),N(Reales!EJ43)),EJ$191+EJ$194)</f>
        <v>0</v>
      </c>
      <c r="EK203" s="34" t="n">
        <f aca="false">IF(EK$8=1,IF(Reales!$C$43="PYG",IF(EK$10&gt;0,N(Reales!EK43)/EK$10,0),N(Reales!EK43)),EK$191+EK$194)</f>
        <v>0</v>
      </c>
      <c r="EL203" s="34" t="n">
        <f aca="false">IF(EL$8=1,IF(Reales!$C$43="PYG",IF(EL$10&gt;0,N(Reales!EL43)/EL$10,0),N(Reales!EL43)),EL$191+EL$194)</f>
        <v>0</v>
      </c>
      <c r="EM203" s="34" t="n">
        <f aca="false">IF(EM$8=1,IF(Reales!$C$43="PYG",IF(EM$10&gt;0,N(Reales!EM43)/EM$10,0),N(Reales!EM43)),EM$191+EM$194)</f>
        <v>0</v>
      </c>
      <c r="EN203" s="34" t="n">
        <f aca="false">IF(EN$8=1,IF(Reales!$C$43="PYG",IF(EN$10&gt;0,N(Reales!EN43)/EN$10,0),N(Reales!EN43)),EN$191+EN$194)</f>
        <v>0</v>
      </c>
      <c r="EO203" s="34" t="n">
        <f aca="false">IF(EO$8=1,IF(Reales!$C$43="PYG",IF(EO$10&gt;0,N(Reales!EO43)/EO$10,0),N(Reales!EO43)),EO$191+EO$194)</f>
        <v>0</v>
      </c>
      <c r="EP203" s="34" t="n">
        <f aca="false">IF(EP$8=1,IF(Reales!$C$43="PYG",IF(EP$10&gt;0,N(Reales!EP43)/EP$10,0),N(Reales!EP43)),EP$191+EP$194)</f>
        <v>0</v>
      </c>
      <c r="EQ203" s="34" t="n">
        <f aca="false">IF(EQ$8=1,IF(Reales!$C$43="PYG",IF(EQ$10&gt;0,N(Reales!EQ43)/EQ$10,0),N(Reales!EQ43)),EQ$191+EQ$194)</f>
        <v>0</v>
      </c>
      <c r="ER203" s="34" t="n">
        <f aca="false">IF(ER$8=1,IF(Reales!$C$43="PYG",IF(ER$10&gt;0,N(Reales!ER43)/ER$10,0),N(Reales!ER43)),ER$191+ER$194)</f>
        <v>0</v>
      </c>
      <c r="ES203" s="34" t="n">
        <f aca="false">IF(ES$8=1,IF(Reales!$C$43="PYG",IF(ES$10&gt;0,N(Reales!ES43)/ES$10,0),N(Reales!ES43)),ES$191+ES$194)</f>
        <v>0</v>
      </c>
    </row>
    <row r="204" customFormat="false" ht="15" hidden="false" customHeight="false" outlineLevel="0" collapsed="false">
      <c r="A204" s="2" t="s">
        <v>818</v>
      </c>
      <c r="B204" s="6" t="s">
        <v>503</v>
      </c>
      <c r="C204" s="6" t="s">
        <v>250</v>
      </c>
      <c r="E204" s="40" t="n">
        <f aca="false">SUM(F204:ES204)</f>
        <v>812224.477216454</v>
      </c>
      <c r="F204" s="34" t="n">
        <f aca="false">IF(F$8=1,IF(Reales!$C$44="PYG",IF(F$10&gt;0,N(Reales!F44)/F$10,0),N(Reales!F44)),F$189)</f>
        <v>4041.66666666667</v>
      </c>
      <c r="G204" s="34" t="n">
        <f aca="false">IF(G$8=1,IF(Reales!$C$44="PYG",IF(G$10&gt;0,N(Reales!G44)/G$10,0),N(Reales!G44)),G$189)</f>
        <v>4041.66666666667</v>
      </c>
      <c r="H204" s="34" t="n">
        <f aca="false">IF(H$8=1,IF(Reales!$C$44="PYG",IF(H$10&gt;0,N(Reales!H44)/H$10,0),N(Reales!H44)),H$189)</f>
        <v>4041.66666666667</v>
      </c>
      <c r="I204" s="34" t="n">
        <f aca="false">IF(I$8=1,IF(Reales!$C$44="PYG",IF(I$10&gt;0,N(Reales!I44)/I$10,0),N(Reales!I44)),I$189)</f>
        <v>4041.66666666667</v>
      </c>
      <c r="J204" s="34" t="n">
        <f aca="false">IF(J$8=1,IF(Reales!$C$44="PYG",IF(J$10&gt;0,N(Reales!J44)/J$10,0),N(Reales!J44)),J$189)</f>
        <v>4041.66666666667</v>
      </c>
      <c r="K204" s="34" t="n">
        <f aca="false">IF(K$8=1,IF(Reales!$C$44="PYG",IF(K$10&gt;0,N(Reales!K44)/K$10,0),N(Reales!K44)),K$189)</f>
        <v>4041.66666666667</v>
      </c>
      <c r="L204" s="34" t="n">
        <f aca="false">IF(L$8=1,IF(Reales!$C$44="PYG",IF(L$10&gt;0,N(Reales!L44)/L$10,0),N(Reales!L44)),L$189)</f>
        <v>4041.66666666667</v>
      </c>
      <c r="M204" s="34" t="n">
        <f aca="false">IF(M$8=1,IF(Reales!$C$44="PYG",IF(M$10&gt;0,N(Reales!M44)/M$10,0),N(Reales!M44)),M$189)</f>
        <v>4041.66666666667</v>
      </c>
      <c r="N204" s="34" t="n">
        <f aca="false">IF(N$8=1,IF(Reales!$C$44="PYG",IF(N$10&gt;0,N(Reales!N44)/N$10,0),N(Reales!N44)),N$189)</f>
        <v>4041.66666666667</v>
      </c>
      <c r="O204" s="34" t="n">
        <f aca="false">IF(O$8=1,IF(Reales!$C$44="PYG",IF(O$10&gt;0,N(Reales!O44)/O$10,0),N(Reales!O44)),O$189)</f>
        <v>4041.66666666667</v>
      </c>
      <c r="P204" s="34" t="n">
        <f aca="false">IF(P$8=1,IF(Reales!$C$44="PYG",IF(P$10&gt;0,N(Reales!P44)/P$10,0),N(Reales!P44)),P$189)</f>
        <v>4041.66666666667</v>
      </c>
      <c r="Q204" s="34" t="n">
        <f aca="false">IF(Q$8=1,IF(Reales!$C$44="PYG",IF(Q$10&gt;0,N(Reales!Q44)/Q$10,0),N(Reales!Q44)),Q$189)</f>
        <v>4041.66666666667</v>
      </c>
      <c r="R204" s="34" t="n">
        <f aca="false">IF(R$8=1,IF(Reales!$C$44="PYG",IF(R$10&gt;0,N(Reales!R44)/R$10,0),N(Reales!R44)),R$189)</f>
        <v>5151</v>
      </c>
      <c r="S204" s="34" t="n">
        <f aca="false">IF(S$8=1,IF(Reales!$C$44="PYG",IF(S$10&gt;0,N(Reales!S44)/S$10,0),N(Reales!S44)),S$189)</f>
        <v>5151</v>
      </c>
      <c r="T204" s="34" t="n">
        <f aca="false">IF(T$8=1,IF(Reales!$C$44="PYG",IF(T$10&gt;0,N(Reales!T44)/T$10,0),N(Reales!T44)),T$189)</f>
        <v>5151</v>
      </c>
      <c r="U204" s="34" t="n">
        <f aca="false">IF(U$8=1,IF(Reales!$C$44="PYG",IF(U$10&gt;0,N(Reales!U44)/U$10,0),N(Reales!U44)),U$189)</f>
        <v>5151</v>
      </c>
      <c r="V204" s="34" t="n">
        <f aca="false">IF(V$8=1,IF(Reales!$C$44="PYG",IF(V$10&gt;0,N(Reales!V44)/V$10,0),N(Reales!V44)),V$189)</f>
        <v>5151</v>
      </c>
      <c r="W204" s="34" t="n">
        <f aca="false">IF(W$8=1,IF(Reales!$C$44="PYG",IF(W$10&gt;0,N(Reales!W44)/W$10,0),N(Reales!W44)),W$189)</f>
        <v>5151</v>
      </c>
      <c r="X204" s="34" t="n">
        <f aca="false">IF(X$8=1,IF(Reales!$C$44="PYG",IF(X$10&gt;0,N(Reales!X44)/X$10,0),N(Reales!X44)),X$189)</f>
        <v>5151</v>
      </c>
      <c r="Y204" s="34" t="n">
        <f aca="false">IF(Y$8=1,IF(Reales!$C$44="PYG",IF(Y$10&gt;0,N(Reales!Y44)/Y$10,0),N(Reales!Y44)),Y$189)</f>
        <v>5151</v>
      </c>
      <c r="Z204" s="34" t="n">
        <f aca="false">IF(Z$8=1,IF(Reales!$C$44="PYG",IF(Z$10&gt;0,N(Reales!Z44)/Z$10,0),N(Reales!Z44)),Z$189)</f>
        <v>5151</v>
      </c>
      <c r="AA204" s="34" t="n">
        <f aca="false">IF(AA$8=1,IF(Reales!$C$44="PYG",IF(AA$10&gt;0,N(Reales!AA44)/AA$10,0),N(Reales!AA44)),AA$189)</f>
        <v>5151</v>
      </c>
      <c r="AB204" s="34" t="n">
        <f aca="false">IF(AB$8=1,IF(Reales!$C$44="PYG",IF(AB$10&gt;0,N(Reales!AB44)/AB$10,0),N(Reales!AB44)),AB$189)</f>
        <v>5151</v>
      </c>
      <c r="AC204" s="34" t="n">
        <f aca="false">IF(AC$8=1,IF(Reales!$C$44="PYG",IF(AC$10&gt;0,N(Reales!AC44)/AC$10,0),N(Reales!AC44)),AC$189)</f>
        <v>5151</v>
      </c>
      <c r="AD204" s="34" t="n">
        <f aca="false">IF(AD$8=1,IF(Reales!$C$44="PYG",IF(AD$10&gt;0,N(Reales!AD44)/AD$10,0),N(Reales!AD44)),AD$189)</f>
        <v>6282.11583333333</v>
      </c>
      <c r="AE204" s="34" t="n">
        <f aca="false">IF(AE$8=1,IF(Reales!$C$44="PYG",IF(AE$10&gt;0,N(Reales!AE44)/AE$10,0),N(Reales!AE44)),AE$189)</f>
        <v>6282.11583333333</v>
      </c>
      <c r="AF204" s="34" t="n">
        <f aca="false">IF(AF$8=1,IF(Reales!$C$44="PYG",IF(AF$10&gt;0,N(Reales!AF44)/AF$10,0),N(Reales!AF44)),AF$189)</f>
        <v>6282.11583333333</v>
      </c>
      <c r="AG204" s="34" t="n">
        <f aca="false">IF(AG$8=1,IF(Reales!$C$44="PYG",IF(AG$10&gt;0,N(Reales!AG44)/AG$10,0),N(Reales!AG44)),AG$189)</f>
        <v>6282.11583333333</v>
      </c>
      <c r="AH204" s="34" t="n">
        <f aca="false">IF(AH$8=1,IF(Reales!$C$44="PYG",IF(AH$10&gt;0,N(Reales!AH44)/AH$10,0),N(Reales!AH44)),AH$189)</f>
        <v>6282.11583333333</v>
      </c>
      <c r="AI204" s="34" t="n">
        <f aca="false">IF(AI$8=1,IF(Reales!$C$44="PYG",IF(AI$10&gt;0,N(Reales!AI44)/AI$10,0),N(Reales!AI44)),AI$189)</f>
        <v>6282.11583333333</v>
      </c>
      <c r="AJ204" s="34" t="n">
        <f aca="false">IF(AJ$8=1,IF(Reales!$C$44="PYG",IF(AJ$10&gt;0,N(Reales!AJ44)/AJ$10,0),N(Reales!AJ44)),AJ$189)</f>
        <v>6282.11583333333</v>
      </c>
      <c r="AK204" s="34" t="n">
        <f aca="false">IF(AK$8=1,IF(Reales!$C$44="PYG",IF(AK$10&gt;0,N(Reales!AK44)/AK$10,0),N(Reales!AK44)),AK$189)</f>
        <v>6282.11583333333</v>
      </c>
      <c r="AL204" s="34" t="n">
        <f aca="false">IF(AL$8=1,IF(Reales!$C$44="PYG",IF(AL$10&gt;0,N(Reales!AL44)/AL$10,0),N(Reales!AL44)),AL$189)</f>
        <v>6282.11583333333</v>
      </c>
      <c r="AM204" s="34" t="n">
        <f aca="false">IF(AM$8=1,IF(Reales!$C$44="PYG",IF(AM$10&gt;0,N(Reales!AM44)/AM$10,0),N(Reales!AM44)),AM$189)</f>
        <v>6282.11583333333</v>
      </c>
      <c r="AN204" s="34" t="n">
        <f aca="false">IF(AN$8=1,IF(Reales!$C$44="PYG",IF(AN$10&gt;0,N(Reales!AN44)/AN$10,0),N(Reales!AN44)),AN$189)</f>
        <v>6282.11583333333</v>
      </c>
      <c r="AO204" s="34" t="n">
        <f aca="false">IF(AO$8=1,IF(Reales!$C$44="PYG",IF(AO$10&gt;0,N(Reales!AO44)/AO$10,0),N(Reales!AO44)),AO$189)</f>
        <v>6282.11583333333</v>
      </c>
      <c r="AP204" s="34" t="n">
        <f aca="false">IF(AP$8=1,IF(Reales!$C$44="PYG",IF(AP$10&gt;0,N(Reales!AP44)/AP$10,0),N(Reales!AP44)),AP$189)</f>
        <v>7237.864525</v>
      </c>
      <c r="AQ204" s="34" t="n">
        <f aca="false">IF(AQ$8=1,IF(Reales!$C$44="PYG",IF(AQ$10&gt;0,N(Reales!AQ44)/AQ$10,0),N(Reales!AQ44)),AQ$189)</f>
        <v>7237.864525</v>
      </c>
      <c r="AR204" s="34" t="n">
        <f aca="false">IF(AR$8=1,IF(Reales!$C$44="PYG",IF(AR$10&gt;0,N(Reales!AR44)/AR$10,0),N(Reales!AR44)),AR$189)</f>
        <v>7237.864525</v>
      </c>
      <c r="AS204" s="34" t="n">
        <f aca="false">IF(AS$8=1,IF(Reales!$C$44="PYG",IF(AS$10&gt;0,N(Reales!AS44)/AS$10,0),N(Reales!AS44)),AS$189)</f>
        <v>7237.864525</v>
      </c>
      <c r="AT204" s="34" t="n">
        <f aca="false">IF(AT$8=1,IF(Reales!$C$44="PYG",IF(AT$10&gt;0,N(Reales!AT44)/AT$10,0),N(Reales!AT44)),AT$189)</f>
        <v>7237.864525</v>
      </c>
      <c r="AU204" s="34" t="n">
        <f aca="false">IF(AU$8=1,IF(Reales!$C$44="PYG",IF(AU$10&gt;0,N(Reales!AU44)/AU$10,0),N(Reales!AU44)),AU$189)</f>
        <v>7237.864525</v>
      </c>
      <c r="AV204" s="34" t="n">
        <f aca="false">IF(AV$8=1,IF(Reales!$C$44="PYG",IF(AV$10&gt;0,N(Reales!AV44)/AV$10,0),N(Reales!AV44)),AV$189)</f>
        <v>7237.864525</v>
      </c>
      <c r="AW204" s="34" t="n">
        <f aca="false">IF(AW$8=1,IF(Reales!$C$44="PYG",IF(AW$10&gt;0,N(Reales!AW44)/AW$10,0),N(Reales!AW44)),AW$189)</f>
        <v>7237.864525</v>
      </c>
      <c r="AX204" s="34" t="n">
        <f aca="false">IF(AX$8=1,IF(Reales!$C$44="PYG",IF(AX$10&gt;0,N(Reales!AX44)/AX$10,0),N(Reales!AX44)),AX$189)</f>
        <v>7237.864525</v>
      </c>
      <c r="AY204" s="34" t="n">
        <f aca="false">IF(AY$8=1,IF(Reales!$C$44="PYG",IF(AY$10&gt;0,N(Reales!AY44)/AY$10,0),N(Reales!AY44)),AY$189)</f>
        <v>7237.864525</v>
      </c>
      <c r="AZ204" s="34" t="n">
        <f aca="false">IF(AZ$8=1,IF(Reales!$C$44="PYG",IF(AZ$10&gt;0,N(Reales!AZ44)/AZ$10,0),N(Reales!AZ44)),AZ$189)</f>
        <v>7237.864525</v>
      </c>
      <c r="BA204" s="34" t="n">
        <f aca="false">IF(BA$8=1,IF(Reales!$C$44="PYG",IF(BA$10&gt;0,N(Reales!BA44)/BA$10,0),N(Reales!BA44)),BA$189)</f>
        <v>7237.864525</v>
      </c>
      <c r="BB204" s="34" t="n">
        <f aca="false">IF(BB$8=1,IF(Reales!$C$44="PYG",IF(BB$10&gt;0,N(Reales!BB44)/BB$10,0),N(Reales!BB44)),BB$189)</f>
        <v>7310.24317025</v>
      </c>
      <c r="BC204" s="34" t="n">
        <f aca="false">IF(BC$8=1,IF(Reales!$C$44="PYG",IF(BC$10&gt;0,N(Reales!BC44)/BC$10,0),N(Reales!BC44)),BC$189)</f>
        <v>7310.24317025</v>
      </c>
      <c r="BD204" s="34" t="n">
        <f aca="false">IF(BD$8=1,IF(Reales!$C$44="PYG",IF(BD$10&gt;0,N(Reales!BD44)/BD$10,0),N(Reales!BD44)),BD$189)</f>
        <v>7310.24317025</v>
      </c>
      <c r="BE204" s="34" t="n">
        <f aca="false">IF(BE$8=1,IF(Reales!$C$44="PYG",IF(BE$10&gt;0,N(Reales!BE44)/BE$10,0),N(Reales!BE44)),BE$189)</f>
        <v>7310.24317025</v>
      </c>
      <c r="BF204" s="34" t="n">
        <f aca="false">IF(BF$8=1,IF(Reales!$C$44="PYG",IF(BF$10&gt;0,N(Reales!BF44)/BF$10,0),N(Reales!BF44)),BF$189)</f>
        <v>7310.24317025</v>
      </c>
      <c r="BG204" s="34" t="n">
        <f aca="false">IF(BG$8=1,IF(Reales!$C$44="PYG",IF(BG$10&gt;0,N(Reales!BG44)/BG$10,0),N(Reales!BG44)),BG$189)</f>
        <v>7310.24317025</v>
      </c>
      <c r="BH204" s="34" t="n">
        <f aca="false">IF(BH$8=1,IF(Reales!$C$44="PYG",IF(BH$10&gt;0,N(Reales!BH44)/BH$10,0),N(Reales!BH44)),BH$189)</f>
        <v>7310.24317025</v>
      </c>
      <c r="BI204" s="34" t="n">
        <f aca="false">IF(BI$8=1,IF(Reales!$C$44="PYG",IF(BI$10&gt;0,N(Reales!BI44)/BI$10,0),N(Reales!BI44)),BI$189)</f>
        <v>7310.24317025</v>
      </c>
      <c r="BJ204" s="34" t="n">
        <f aca="false">IF(BJ$8=1,IF(Reales!$C$44="PYG",IF(BJ$10&gt;0,N(Reales!BJ44)/BJ$10,0),N(Reales!BJ44)),BJ$189)</f>
        <v>7310.24317025</v>
      </c>
      <c r="BK204" s="34" t="n">
        <f aca="false">IF(BK$8=1,IF(Reales!$C$44="PYG",IF(BK$10&gt;0,N(Reales!BK44)/BK$10,0),N(Reales!BK44)),BK$189)</f>
        <v>7310.24317025</v>
      </c>
      <c r="BL204" s="34" t="n">
        <f aca="false">IF(BL$8=1,IF(Reales!$C$44="PYG",IF(BL$10&gt;0,N(Reales!BL44)/BL$10,0),N(Reales!BL44)),BL$189)</f>
        <v>7310.24317025</v>
      </c>
      <c r="BM204" s="34" t="n">
        <f aca="false">IF(BM$8=1,IF(Reales!$C$44="PYG",IF(BM$10&gt;0,N(Reales!BM44)/BM$10,0),N(Reales!BM44)),BM$189)</f>
        <v>7310.24317025</v>
      </c>
      <c r="BN204" s="34" t="n">
        <f aca="false">IF(BN$8=1,IF(Reales!$C$44="PYG",IF(BN$10&gt;0,N(Reales!BN44)/BN$10,0),N(Reales!BN44)),BN$189)</f>
        <v>7383.3456019525</v>
      </c>
      <c r="BO204" s="34" t="n">
        <f aca="false">IF(BO$8=1,IF(Reales!$C$44="PYG",IF(BO$10&gt;0,N(Reales!BO44)/BO$10,0),N(Reales!BO44)),BO$189)</f>
        <v>7383.3456019525</v>
      </c>
      <c r="BP204" s="34" t="n">
        <f aca="false">IF(BP$8=1,IF(Reales!$C$44="PYG",IF(BP$10&gt;0,N(Reales!BP44)/BP$10,0),N(Reales!BP44)),BP$189)</f>
        <v>7383.3456019525</v>
      </c>
      <c r="BQ204" s="34" t="n">
        <f aca="false">IF(BQ$8=1,IF(Reales!$C$44="PYG",IF(BQ$10&gt;0,N(Reales!BQ44)/BQ$10,0),N(Reales!BQ44)),BQ$189)</f>
        <v>7383.3456019525</v>
      </c>
      <c r="BR204" s="34" t="n">
        <f aca="false">IF(BR$8=1,IF(Reales!$C$44="PYG",IF(BR$10&gt;0,N(Reales!BR44)/BR$10,0),N(Reales!BR44)),BR$189)</f>
        <v>7383.3456019525</v>
      </c>
      <c r="BS204" s="34" t="n">
        <f aca="false">IF(BS$8=1,IF(Reales!$C$44="PYG",IF(BS$10&gt;0,N(Reales!BS44)/BS$10,0),N(Reales!BS44)),BS$189)</f>
        <v>7383.3456019525</v>
      </c>
      <c r="BT204" s="34" t="n">
        <f aca="false">IF(BT$8=1,IF(Reales!$C$44="PYG",IF(BT$10&gt;0,N(Reales!BT44)/BT$10,0),N(Reales!BT44)),BT$189)</f>
        <v>7383.3456019525</v>
      </c>
      <c r="BU204" s="34" t="n">
        <f aca="false">IF(BU$8=1,IF(Reales!$C$44="PYG",IF(BU$10&gt;0,N(Reales!BU44)/BU$10,0),N(Reales!BU44)),BU$189)</f>
        <v>7383.3456019525</v>
      </c>
      <c r="BV204" s="34" t="n">
        <f aca="false">IF(BV$8=1,IF(Reales!$C$44="PYG",IF(BV$10&gt;0,N(Reales!BV44)/BV$10,0),N(Reales!BV44)),BV$189)</f>
        <v>7383.3456019525</v>
      </c>
      <c r="BW204" s="34" t="n">
        <f aca="false">IF(BW$8=1,IF(Reales!$C$44="PYG",IF(BW$10&gt;0,N(Reales!BW44)/BW$10,0),N(Reales!BW44)),BW$189)</f>
        <v>7383.3456019525</v>
      </c>
      <c r="BX204" s="34" t="n">
        <f aca="false">IF(BX$8=1,IF(Reales!$C$44="PYG",IF(BX$10&gt;0,N(Reales!BX44)/BX$10,0),N(Reales!BX44)),BX$189)</f>
        <v>7383.3456019525</v>
      </c>
      <c r="BY204" s="34" t="n">
        <f aca="false">IF(BY$8=1,IF(Reales!$C$44="PYG",IF(BY$10&gt;0,N(Reales!BY44)/BY$10,0),N(Reales!BY44)),BY$189)</f>
        <v>7383.3456019525</v>
      </c>
      <c r="BZ204" s="34" t="n">
        <f aca="false">IF(BZ$8=1,IF(Reales!$C$44="PYG",IF(BZ$10&gt;0,N(Reales!BZ44)/BZ$10,0),N(Reales!BZ44)),BZ$189)</f>
        <v>7457.17905797202</v>
      </c>
      <c r="CA204" s="34" t="n">
        <f aca="false">IF(CA$8=1,IF(Reales!$C$44="PYG",IF(CA$10&gt;0,N(Reales!CA44)/CA$10,0),N(Reales!CA44)),CA$189)</f>
        <v>7457.17905797202</v>
      </c>
      <c r="CB204" s="34" t="n">
        <f aca="false">IF(CB$8=1,IF(Reales!$C$44="PYG",IF(CB$10&gt;0,N(Reales!CB44)/CB$10,0),N(Reales!CB44)),CB$189)</f>
        <v>7457.17905797202</v>
      </c>
      <c r="CC204" s="34" t="n">
        <f aca="false">IF(CC$8=1,IF(Reales!$C$44="PYG",IF(CC$10&gt;0,N(Reales!CC44)/CC$10,0),N(Reales!CC44)),CC$189)</f>
        <v>7457.17905797202</v>
      </c>
      <c r="CD204" s="34" t="n">
        <f aca="false">IF(CD$8=1,IF(Reales!$C$44="PYG",IF(CD$10&gt;0,N(Reales!CD44)/CD$10,0),N(Reales!CD44)),CD$189)</f>
        <v>7457.17905797202</v>
      </c>
      <c r="CE204" s="34" t="n">
        <f aca="false">IF(CE$8=1,IF(Reales!$C$44="PYG",IF(CE$10&gt;0,N(Reales!CE44)/CE$10,0),N(Reales!CE44)),CE$189)</f>
        <v>7457.17905797202</v>
      </c>
      <c r="CF204" s="34" t="n">
        <f aca="false">IF(CF$8=1,IF(Reales!$C$44="PYG",IF(CF$10&gt;0,N(Reales!CF44)/CF$10,0),N(Reales!CF44)),CF$189)</f>
        <v>7457.17905797202</v>
      </c>
      <c r="CG204" s="34" t="n">
        <f aca="false">IF(CG$8=1,IF(Reales!$C$44="PYG",IF(CG$10&gt;0,N(Reales!CG44)/CG$10,0),N(Reales!CG44)),CG$189)</f>
        <v>7457.17905797202</v>
      </c>
      <c r="CH204" s="34" t="n">
        <f aca="false">IF(CH$8=1,IF(Reales!$C$44="PYG",IF(CH$10&gt;0,N(Reales!CH44)/CH$10,0),N(Reales!CH44)),CH$189)</f>
        <v>7457.17905797202</v>
      </c>
      <c r="CI204" s="34" t="n">
        <f aca="false">IF(CI$8=1,IF(Reales!$C$44="PYG",IF(CI$10&gt;0,N(Reales!CI44)/CI$10,0),N(Reales!CI44)),CI$189)</f>
        <v>7457.17905797202</v>
      </c>
      <c r="CJ204" s="34" t="n">
        <f aca="false">IF(CJ$8=1,IF(Reales!$C$44="PYG",IF(CJ$10&gt;0,N(Reales!CJ44)/CJ$10,0),N(Reales!CJ44)),CJ$189)</f>
        <v>7457.17905797202</v>
      </c>
      <c r="CK204" s="34" t="n">
        <f aca="false">IF(CK$8=1,IF(Reales!$C$44="PYG",IF(CK$10&gt;0,N(Reales!CK44)/CK$10,0),N(Reales!CK44)),CK$189)</f>
        <v>7457.17905797202</v>
      </c>
      <c r="CL204" s="34" t="n">
        <f aca="false">IF(CL$8=1,IF(Reales!$C$44="PYG",IF(CL$10&gt;0,N(Reales!CL44)/CL$10,0),N(Reales!CL44)),CL$189)</f>
        <v>7531.75084855175</v>
      </c>
      <c r="CM204" s="34" t="n">
        <f aca="false">IF(CM$8=1,IF(Reales!$C$44="PYG",IF(CM$10&gt;0,N(Reales!CM44)/CM$10,0),N(Reales!CM44)),CM$189)</f>
        <v>7531.75084855175</v>
      </c>
      <c r="CN204" s="34" t="n">
        <f aca="false">IF(CN$8=1,IF(Reales!$C$44="PYG",IF(CN$10&gt;0,N(Reales!CN44)/CN$10,0),N(Reales!CN44)),CN$189)</f>
        <v>7531.75084855175</v>
      </c>
      <c r="CO204" s="34" t="n">
        <f aca="false">IF(CO$8=1,IF(Reales!$C$44="PYG",IF(CO$10&gt;0,N(Reales!CO44)/CO$10,0),N(Reales!CO44)),CO$189)</f>
        <v>7531.75084855175</v>
      </c>
      <c r="CP204" s="34" t="n">
        <f aca="false">IF(CP$8=1,IF(Reales!$C$44="PYG",IF(CP$10&gt;0,N(Reales!CP44)/CP$10,0),N(Reales!CP44)),CP$189)</f>
        <v>7531.75084855175</v>
      </c>
      <c r="CQ204" s="34" t="n">
        <f aca="false">IF(CQ$8=1,IF(Reales!$C$44="PYG",IF(CQ$10&gt;0,N(Reales!CQ44)/CQ$10,0),N(Reales!CQ44)),CQ$189)</f>
        <v>7531.75084855175</v>
      </c>
      <c r="CR204" s="34" t="n">
        <f aca="false">IF(CR$8=1,IF(Reales!$C$44="PYG",IF(CR$10&gt;0,N(Reales!CR44)/CR$10,0),N(Reales!CR44)),CR$189)</f>
        <v>7531.75084855175</v>
      </c>
      <c r="CS204" s="34" t="n">
        <f aca="false">IF(CS$8=1,IF(Reales!$C$44="PYG",IF(CS$10&gt;0,N(Reales!CS44)/CS$10,0),N(Reales!CS44)),CS$189)</f>
        <v>7531.75084855175</v>
      </c>
      <c r="CT204" s="34" t="n">
        <f aca="false">IF(CT$8=1,IF(Reales!$C$44="PYG",IF(CT$10&gt;0,N(Reales!CT44)/CT$10,0),N(Reales!CT44)),CT$189)</f>
        <v>7531.75084855175</v>
      </c>
      <c r="CU204" s="34" t="n">
        <f aca="false">IF(CU$8=1,IF(Reales!$C$44="PYG",IF(CU$10&gt;0,N(Reales!CU44)/CU$10,0),N(Reales!CU44)),CU$189)</f>
        <v>7531.75084855175</v>
      </c>
      <c r="CV204" s="34" t="n">
        <f aca="false">IF(CV$8=1,IF(Reales!$C$44="PYG",IF(CV$10&gt;0,N(Reales!CV44)/CV$10,0),N(Reales!CV44)),CV$189)</f>
        <v>7531.75084855175</v>
      </c>
      <c r="CW204" s="34" t="n">
        <f aca="false">IF(CW$8=1,IF(Reales!$C$44="PYG",IF(CW$10&gt;0,N(Reales!CW44)/CW$10,0),N(Reales!CW44)),CW$189)</f>
        <v>7531.75084855175</v>
      </c>
      <c r="CX204" s="34" t="n">
        <f aca="false">IF(CX$8=1,IF(Reales!$C$44="PYG",IF(CX$10&gt;0,N(Reales!CX44)/CX$10,0),N(Reales!CX44)),CX$189)</f>
        <v>7607.06835703726</v>
      </c>
      <c r="CY204" s="34" t="n">
        <f aca="false">IF(CY$8=1,IF(Reales!$C$44="PYG",IF(CY$10&gt;0,N(Reales!CY44)/CY$10,0),N(Reales!CY44)),CY$189)</f>
        <v>7607.06835703726</v>
      </c>
      <c r="CZ204" s="34" t="n">
        <f aca="false">IF(CZ$8=1,IF(Reales!$C$44="PYG",IF(CZ$10&gt;0,N(Reales!CZ44)/CZ$10,0),N(Reales!CZ44)),CZ$189)</f>
        <v>7607.06835703726</v>
      </c>
      <c r="DA204" s="34" t="n">
        <f aca="false">IF(DA$8=1,IF(Reales!$C$44="PYG",IF(DA$10&gt;0,N(Reales!DA44)/DA$10,0),N(Reales!DA44)),DA$189)</f>
        <v>7607.06835703726</v>
      </c>
      <c r="DB204" s="34" t="n">
        <f aca="false">IF(DB$8=1,IF(Reales!$C$44="PYG",IF(DB$10&gt;0,N(Reales!DB44)/DB$10,0),N(Reales!DB44)),DB$189)</f>
        <v>7607.06835703726</v>
      </c>
      <c r="DC204" s="34" t="n">
        <f aca="false">IF(DC$8=1,IF(Reales!$C$44="PYG",IF(DC$10&gt;0,N(Reales!DC44)/DC$10,0),N(Reales!DC44)),DC$189)</f>
        <v>7607.06835703726</v>
      </c>
      <c r="DD204" s="34" t="n">
        <f aca="false">IF(DD$8=1,IF(Reales!$C$44="PYG",IF(DD$10&gt;0,N(Reales!DD44)/DD$10,0),N(Reales!DD44)),DD$189)</f>
        <v>7607.06835703726</v>
      </c>
      <c r="DE204" s="34" t="n">
        <f aca="false">IF(DE$8=1,IF(Reales!$C$44="PYG",IF(DE$10&gt;0,N(Reales!DE44)/DE$10,0),N(Reales!DE44)),DE$189)</f>
        <v>7607.06835703726</v>
      </c>
      <c r="DF204" s="34" t="n">
        <f aca="false">IF(DF$8=1,IF(Reales!$C$44="PYG",IF(DF$10&gt;0,N(Reales!DF44)/DF$10,0),N(Reales!DF44)),DF$189)</f>
        <v>7607.06835703726</v>
      </c>
      <c r="DG204" s="34" t="n">
        <f aca="false">IF(DG$8=1,IF(Reales!$C$44="PYG",IF(DG$10&gt;0,N(Reales!DG44)/DG$10,0),N(Reales!DG44)),DG$189)</f>
        <v>7607.06835703726</v>
      </c>
      <c r="DH204" s="34" t="n">
        <f aca="false">IF(DH$8=1,IF(Reales!$C$44="PYG",IF(DH$10&gt;0,N(Reales!DH44)/DH$10,0),N(Reales!DH44)),DH$189)</f>
        <v>7607.06835703726</v>
      </c>
      <c r="DI204" s="34" t="n">
        <f aca="false">IF(DI$8=1,IF(Reales!$C$44="PYG",IF(DI$10&gt;0,N(Reales!DI44)/DI$10,0),N(Reales!DI44)),DI$189)</f>
        <v>7607.06835703726</v>
      </c>
      <c r="DJ204" s="34" t="n">
        <f aca="false">IF(DJ$8=1,IF(Reales!$C$44="PYG",IF(DJ$10&gt;0,N(Reales!DJ44)/DJ$10,0),N(Reales!DJ44)),DJ$189)</f>
        <v>7683.13904060764</v>
      </c>
      <c r="DK204" s="34" t="n">
        <f aca="false">IF(DK$8=1,IF(Reales!$C$44="PYG",IF(DK$10&gt;0,N(Reales!DK44)/DK$10,0),N(Reales!DK44)),DK$189)</f>
        <v>7683.13904060764</v>
      </c>
      <c r="DL204" s="34" t="n">
        <f aca="false">IF(DL$8=1,IF(Reales!$C$44="PYG",IF(DL$10&gt;0,N(Reales!DL44)/DL$10,0),N(Reales!DL44)),DL$189)</f>
        <v>7683.13904060764</v>
      </c>
      <c r="DM204" s="34" t="n">
        <f aca="false">IF(DM$8=1,IF(Reales!$C$44="PYG",IF(DM$10&gt;0,N(Reales!DM44)/DM$10,0),N(Reales!DM44)),DM$189)</f>
        <v>7683.13904060764</v>
      </c>
      <c r="DN204" s="34" t="n">
        <f aca="false">IF(DN$8=1,IF(Reales!$C$44="PYG",IF(DN$10&gt;0,N(Reales!DN44)/DN$10,0),N(Reales!DN44)),DN$189)</f>
        <v>7683.13904060764</v>
      </c>
      <c r="DO204" s="34" t="n">
        <f aca="false">IF(DO$8=1,IF(Reales!$C$44="PYG",IF(DO$10&gt;0,N(Reales!DO44)/DO$10,0),N(Reales!DO44)),DO$189)</f>
        <v>7683.13904060764</v>
      </c>
      <c r="DP204" s="34" t="n">
        <f aca="false">IF(DP$8=1,IF(Reales!$C$44="PYG",IF(DP$10&gt;0,N(Reales!DP44)/DP$10,0),N(Reales!DP44)),DP$189)</f>
        <v>7683.13904060764</v>
      </c>
      <c r="DQ204" s="34" t="n">
        <f aca="false">IF(DQ$8=1,IF(Reales!$C$44="PYG",IF(DQ$10&gt;0,N(Reales!DQ44)/DQ$10,0),N(Reales!DQ44)),DQ$189)</f>
        <v>7683.13904060764</v>
      </c>
      <c r="DR204" s="34" t="n">
        <f aca="false">IF(DR$8=1,IF(Reales!$C$44="PYG",IF(DR$10&gt;0,N(Reales!DR44)/DR$10,0),N(Reales!DR44)),DR$189)</f>
        <v>7683.13904060764</v>
      </c>
      <c r="DS204" s="34" t="n">
        <f aca="false">IF(DS$8=1,IF(Reales!$C$44="PYG",IF(DS$10&gt;0,N(Reales!DS44)/DS$10,0),N(Reales!DS44)),DS$189)</f>
        <v>7683.13904060764</v>
      </c>
      <c r="DT204" s="34" t="n">
        <f aca="false">IF(DT$8=1,IF(Reales!$C$44="PYG",IF(DT$10&gt;0,N(Reales!DT44)/DT$10,0),N(Reales!DT44)),DT$189)</f>
        <v>7683.13904060764</v>
      </c>
      <c r="DU204" s="34" t="n">
        <f aca="false">IF(DU$8=1,IF(Reales!$C$44="PYG",IF(DU$10&gt;0,N(Reales!DU44)/DU$10,0),N(Reales!DU44)),DU$189)</f>
        <v>7683.13904060764</v>
      </c>
      <c r="DV204" s="34" t="n">
        <f aca="false">IF(DV$8=1,IF(Reales!$C$44="PYG",IF(DV$10&gt;0,N(Reales!DV44)/DV$10,0),N(Reales!DV44)),DV$189)</f>
        <v>0</v>
      </c>
      <c r="DW204" s="34" t="n">
        <f aca="false">IF(DW$8=1,IF(Reales!$C$44="PYG",IF(DW$10&gt;0,N(Reales!DW44)/DW$10,0),N(Reales!DW44)),DW$189)</f>
        <v>0</v>
      </c>
      <c r="DX204" s="34" t="n">
        <f aca="false">IF(DX$8=1,IF(Reales!$C$44="PYG",IF(DX$10&gt;0,N(Reales!DX44)/DX$10,0),N(Reales!DX44)),DX$189)</f>
        <v>0</v>
      </c>
      <c r="DY204" s="34" t="n">
        <f aca="false">IF(DY$8=1,IF(Reales!$C$44="PYG",IF(DY$10&gt;0,N(Reales!DY44)/DY$10,0),N(Reales!DY44)),DY$189)</f>
        <v>0</v>
      </c>
      <c r="DZ204" s="34" t="n">
        <f aca="false">IF(DZ$8=1,IF(Reales!$C$44="PYG",IF(DZ$10&gt;0,N(Reales!DZ44)/DZ$10,0),N(Reales!DZ44)),DZ$189)</f>
        <v>0</v>
      </c>
      <c r="EA204" s="34" t="n">
        <f aca="false">IF(EA$8=1,IF(Reales!$C$44="PYG",IF(EA$10&gt;0,N(Reales!EA44)/EA$10,0),N(Reales!EA44)),EA$189)</f>
        <v>0</v>
      </c>
      <c r="EB204" s="34" t="n">
        <f aca="false">IF(EB$8=1,IF(Reales!$C$44="PYG",IF(EB$10&gt;0,N(Reales!EB44)/EB$10,0),N(Reales!EB44)),EB$189)</f>
        <v>0</v>
      </c>
      <c r="EC204" s="34" t="n">
        <f aca="false">IF(EC$8=1,IF(Reales!$C$44="PYG",IF(EC$10&gt;0,N(Reales!EC44)/EC$10,0),N(Reales!EC44)),EC$189)</f>
        <v>0</v>
      </c>
      <c r="ED204" s="34" t="n">
        <f aca="false">IF(ED$8=1,IF(Reales!$C$44="PYG",IF(ED$10&gt;0,N(Reales!ED44)/ED$10,0),N(Reales!ED44)),ED$189)</f>
        <v>0</v>
      </c>
      <c r="EE204" s="34" t="n">
        <f aca="false">IF(EE$8=1,IF(Reales!$C$44="PYG",IF(EE$10&gt;0,N(Reales!EE44)/EE$10,0),N(Reales!EE44)),EE$189)</f>
        <v>0</v>
      </c>
      <c r="EF204" s="34" t="n">
        <f aca="false">IF(EF$8=1,IF(Reales!$C$44="PYG",IF(EF$10&gt;0,N(Reales!EF44)/EF$10,0),N(Reales!EF44)),EF$189)</f>
        <v>0</v>
      </c>
      <c r="EG204" s="34" t="n">
        <f aca="false">IF(EG$8=1,IF(Reales!$C$44="PYG",IF(EG$10&gt;0,N(Reales!EG44)/EG$10,0),N(Reales!EG44)),EG$189)</f>
        <v>0</v>
      </c>
      <c r="EH204" s="34" t="n">
        <f aca="false">IF(EH$8=1,IF(Reales!$C$44="PYG",IF(EH$10&gt;0,N(Reales!EH44)/EH$10,0),N(Reales!EH44)),EH$189)</f>
        <v>0</v>
      </c>
      <c r="EI204" s="34" t="n">
        <f aca="false">IF(EI$8=1,IF(Reales!$C$44="PYG",IF(EI$10&gt;0,N(Reales!EI44)/EI$10,0),N(Reales!EI44)),EI$189)</f>
        <v>0</v>
      </c>
      <c r="EJ204" s="34" t="n">
        <f aca="false">IF(EJ$8=1,IF(Reales!$C$44="PYG",IF(EJ$10&gt;0,N(Reales!EJ44)/EJ$10,0),N(Reales!EJ44)),EJ$189)</f>
        <v>0</v>
      </c>
      <c r="EK204" s="34" t="n">
        <f aca="false">IF(EK$8=1,IF(Reales!$C$44="PYG",IF(EK$10&gt;0,N(Reales!EK44)/EK$10,0),N(Reales!EK44)),EK$189)</f>
        <v>0</v>
      </c>
      <c r="EL204" s="34" t="n">
        <f aca="false">IF(EL$8=1,IF(Reales!$C$44="PYG",IF(EL$10&gt;0,N(Reales!EL44)/EL$10,0),N(Reales!EL44)),EL$189)</f>
        <v>0</v>
      </c>
      <c r="EM204" s="34" t="n">
        <f aca="false">IF(EM$8=1,IF(Reales!$C$44="PYG",IF(EM$10&gt;0,N(Reales!EM44)/EM$10,0),N(Reales!EM44)),EM$189)</f>
        <v>0</v>
      </c>
      <c r="EN204" s="34" t="n">
        <f aca="false">IF(EN$8=1,IF(Reales!$C$44="PYG",IF(EN$10&gt;0,N(Reales!EN44)/EN$10,0),N(Reales!EN44)),EN$189)</f>
        <v>0</v>
      </c>
      <c r="EO204" s="34" t="n">
        <f aca="false">IF(EO$8=1,IF(Reales!$C$44="PYG",IF(EO$10&gt;0,N(Reales!EO44)/EO$10,0),N(Reales!EO44)),EO$189)</f>
        <v>0</v>
      </c>
      <c r="EP204" s="34" t="n">
        <f aca="false">IF(EP$8=1,IF(Reales!$C$44="PYG",IF(EP$10&gt;0,N(Reales!EP44)/EP$10,0),N(Reales!EP44)),EP$189)</f>
        <v>0</v>
      </c>
      <c r="EQ204" s="34" t="n">
        <f aca="false">IF(EQ$8=1,IF(Reales!$C$44="PYG",IF(EQ$10&gt;0,N(Reales!EQ44)/EQ$10,0),N(Reales!EQ44)),EQ$189)</f>
        <v>0</v>
      </c>
      <c r="ER204" s="34" t="n">
        <f aca="false">IF(ER$8=1,IF(Reales!$C$44="PYG",IF(ER$10&gt;0,N(Reales!ER44)/ER$10,0),N(Reales!ER44)),ER$189)</f>
        <v>0</v>
      </c>
      <c r="ES204" s="34" t="n">
        <f aca="false">IF(ES$8=1,IF(Reales!$C$44="PYG",IF(ES$10&gt;0,N(Reales!ES44)/ES$10,0),N(Reales!ES44)),ES$189)</f>
        <v>0</v>
      </c>
    </row>
    <row r="205" customFormat="false" ht="15" hidden="false" customHeight="false" outlineLevel="0" collapsed="false">
      <c r="A205" s="2" t="s">
        <v>819</v>
      </c>
      <c r="B205" s="6" t="s">
        <v>640</v>
      </c>
      <c r="C205" s="6" t="s">
        <v>250</v>
      </c>
      <c r="E205" s="40" t="n">
        <f aca="false">SUM(F205:ES205)</f>
        <v>0</v>
      </c>
      <c r="F205" s="34" t="n">
        <f aca="false">IF(F$8=1,0,F$195*V_IVArec)</f>
        <v>0</v>
      </c>
      <c r="G205" s="34" t="n">
        <f aca="false">IF(G$8=1,0,G$195*V_IVArec)</f>
        <v>0</v>
      </c>
      <c r="H205" s="34" t="n">
        <f aca="false">IF(H$8=1,0,H$195*V_IVArec)</f>
        <v>0</v>
      </c>
      <c r="I205" s="34" t="n">
        <f aca="false">IF(I$8=1,0,I$195*V_IVArec)</f>
        <v>0</v>
      </c>
      <c r="J205" s="34" t="n">
        <f aca="false">IF(J$8=1,0,J$195*V_IVArec)</f>
        <v>0</v>
      </c>
      <c r="K205" s="34" t="n">
        <f aca="false">IF(K$8=1,0,K$195*V_IVArec)</f>
        <v>0</v>
      </c>
      <c r="L205" s="34" t="n">
        <f aca="false">IF(L$8=1,0,L$195*V_IVArec)</f>
        <v>0</v>
      </c>
      <c r="M205" s="34" t="n">
        <f aca="false">IF(M$8=1,0,M$195*V_IVArec)</f>
        <v>0</v>
      </c>
      <c r="N205" s="34" t="n">
        <f aca="false">IF(N$8=1,0,N$195*V_IVArec)</f>
        <v>0</v>
      </c>
      <c r="O205" s="34" t="n">
        <f aca="false">IF(O$8=1,0,O$195*V_IVArec)</f>
        <v>0</v>
      </c>
      <c r="P205" s="34" t="n">
        <f aca="false">IF(P$8=1,0,P$195*V_IVArec)</f>
        <v>0</v>
      </c>
      <c r="Q205" s="34" t="n">
        <f aca="false">IF(Q$8=1,0,Q$195*V_IVArec)</f>
        <v>0</v>
      </c>
      <c r="R205" s="34" t="n">
        <f aca="false">IF(R$8=1,0,R$195*V_IVArec)</f>
        <v>0</v>
      </c>
      <c r="S205" s="34" t="n">
        <f aca="false">IF(S$8=1,0,S$195*V_IVArec)</f>
        <v>0</v>
      </c>
      <c r="T205" s="34" t="n">
        <f aca="false">IF(T$8=1,0,T$195*V_IVArec)</f>
        <v>0</v>
      </c>
      <c r="U205" s="34" t="n">
        <f aca="false">IF(U$8=1,0,U$195*V_IVArec)</f>
        <v>0</v>
      </c>
      <c r="V205" s="34" t="n">
        <f aca="false">IF(V$8=1,0,V$195*V_IVArec)</f>
        <v>0</v>
      </c>
      <c r="W205" s="34" t="n">
        <f aca="false">IF(W$8=1,0,W$195*V_IVArec)</f>
        <v>0</v>
      </c>
      <c r="X205" s="34" t="n">
        <f aca="false">IF(X$8=1,0,X$195*V_IVArec)</f>
        <v>0</v>
      </c>
      <c r="Y205" s="34" t="n">
        <f aca="false">IF(Y$8=1,0,Y$195*V_IVArec)</f>
        <v>0</v>
      </c>
      <c r="Z205" s="34" t="n">
        <f aca="false">IF(Z$8=1,0,Z$195*V_IVArec)</f>
        <v>0</v>
      </c>
      <c r="AA205" s="34" t="n">
        <f aca="false">IF(AA$8=1,0,AA$195*V_IVArec)</f>
        <v>0</v>
      </c>
      <c r="AB205" s="34" t="n">
        <f aca="false">IF(AB$8=1,0,AB$195*V_IVArec)</f>
        <v>0</v>
      </c>
      <c r="AC205" s="34" t="n">
        <f aca="false">IF(AC$8=1,0,AC$195*V_IVArec)</f>
        <v>0</v>
      </c>
      <c r="AD205" s="34" t="n">
        <f aca="false">IF(AD$8=1,0,AD$195*V_IVArec)</f>
        <v>0</v>
      </c>
      <c r="AE205" s="34" t="n">
        <f aca="false">IF(AE$8=1,0,AE$195*V_IVArec)</f>
        <v>0</v>
      </c>
      <c r="AF205" s="34" t="n">
        <f aca="false">IF(AF$8=1,0,AF$195*V_IVArec)</f>
        <v>0</v>
      </c>
      <c r="AG205" s="34" t="n">
        <f aca="false">IF(AG$8=1,0,AG$195*V_IVArec)</f>
        <v>0</v>
      </c>
      <c r="AH205" s="34" t="n">
        <f aca="false">IF(AH$8=1,0,AH$195*V_IVArec)</f>
        <v>0</v>
      </c>
      <c r="AI205" s="34" t="n">
        <f aca="false">IF(AI$8=1,0,AI$195*V_IVArec)</f>
        <v>0</v>
      </c>
      <c r="AJ205" s="34" t="n">
        <f aca="false">IF(AJ$8=1,0,AJ$195*V_IVArec)</f>
        <v>0</v>
      </c>
      <c r="AK205" s="34" t="n">
        <f aca="false">IF(AK$8=1,0,AK$195*V_IVArec)</f>
        <v>0</v>
      </c>
      <c r="AL205" s="34" t="n">
        <f aca="false">IF(AL$8=1,0,AL$195*V_IVArec)</f>
        <v>0</v>
      </c>
      <c r="AM205" s="34" t="n">
        <f aca="false">IF(AM$8=1,0,AM$195*V_IVArec)</f>
        <v>0</v>
      </c>
      <c r="AN205" s="34" t="n">
        <f aca="false">IF(AN$8=1,0,AN$195*V_IVArec)</f>
        <v>0</v>
      </c>
      <c r="AO205" s="34" t="n">
        <f aca="false">IF(AO$8=1,0,AO$195*V_IVArec)</f>
        <v>0</v>
      </c>
      <c r="AP205" s="34" t="n">
        <f aca="false">IF(AP$8=1,0,AP$195*V_IVArec)</f>
        <v>0</v>
      </c>
      <c r="AQ205" s="34" t="n">
        <f aca="false">IF(AQ$8=1,0,AQ$195*V_IVArec)</f>
        <v>0</v>
      </c>
      <c r="AR205" s="34" t="n">
        <f aca="false">IF(AR$8=1,0,AR$195*V_IVArec)</f>
        <v>0</v>
      </c>
      <c r="AS205" s="34" t="n">
        <f aca="false">IF(AS$8=1,0,AS$195*V_IVArec)</f>
        <v>0</v>
      </c>
      <c r="AT205" s="34" t="n">
        <f aca="false">IF(AT$8=1,0,AT$195*V_IVArec)</f>
        <v>0</v>
      </c>
      <c r="AU205" s="34" t="n">
        <f aca="false">IF(AU$8=1,0,AU$195*V_IVArec)</f>
        <v>0</v>
      </c>
      <c r="AV205" s="34" t="n">
        <f aca="false">IF(AV$8=1,0,AV$195*V_IVArec)</f>
        <v>0</v>
      </c>
      <c r="AW205" s="34" t="n">
        <f aca="false">IF(AW$8=1,0,AW$195*V_IVArec)</f>
        <v>0</v>
      </c>
      <c r="AX205" s="34" t="n">
        <f aca="false">IF(AX$8=1,0,AX$195*V_IVArec)</f>
        <v>0</v>
      </c>
      <c r="AY205" s="34" t="n">
        <f aca="false">IF(AY$8=1,0,AY$195*V_IVArec)</f>
        <v>0</v>
      </c>
      <c r="AZ205" s="34" t="n">
        <f aca="false">IF(AZ$8=1,0,AZ$195*V_IVArec)</f>
        <v>0</v>
      </c>
      <c r="BA205" s="34" t="n">
        <f aca="false">IF(BA$8=1,0,BA$195*V_IVArec)</f>
        <v>0</v>
      </c>
      <c r="BB205" s="34" t="n">
        <f aca="false">IF(BB$8=1,0,BB$195*V_IVArec)</f>
        <v>0</v>
      </c>
      <c r="BC205" s="34" t="n">
        <f aca="false">IF(BC$8=1,0,BC$195*V_IVArec)</f>
        <v>0</v>
      </c>
      <c r="BD205" s="34" t="n">
        <f aca="false">IF(BD$8=1,0,BD$195*V_IVArec)</f>
        <v>0</v>
      </c>
      <c r="BE205" s="34" t="n">
        <f aca="false">IF(BE$8=1,0,BE$195*V_IVArec)</f>
        <v>0</v>
      </c>
      <c r="BF205" s="34" t="n">
        <f aca="false">IF(BF$8=1,0,BF$195*V_IVArec)</f>
        <v>0</v>
      </c>
      <c r="BG205" s="34" t="n">
        <f aca="false">IF(BG$8=1,0,BG$195*V_IVArec)</f>
        <v>0</v>
      </c>
      <c r="BH205" s="34" t="n">
        <f aca="false">IF(BH$8=1,0,BH$195*V_IVArec)</f>
        <v>0</v>
      </c>
      <c r="BI205" s="34" t="n">
        <f aca="false">IF(BI$8=1,0,BI$195*V_IVArec)</f>
        <v>0</v>
      </c>
      <c r="BJ205" s="34" t="n">
        <f aca="false">IF(BJ$8=1,0,BJ$195*V_IVArec)</f>
        <v>0</v>
      </c>
      <c r="BK205" s="34" t="n">
        <f aca="false">IF(BK$8=1,0,BK$195*V_IVArec)</f>
        <v>0</v>
      </c>
      <c r="BL205" s="34" t="n">
        <f aca="false">IF(BL$8=1,0,BL$195*V_IVArec)</f>
        <v>0</v>
      </c>
      <c r="BM205" s="34" t="n">
        <f aca="false">IF(BM$8=1,0,BM$195*V_IVArec)</f>
        <v>0</v>
      </c>
      <c r="BN205" s="34" t="n">
        <f aca="false">IF(BN$8=1,0,BN$195*V_IVArec)</f>
        <v>0</v>
      </c>
      <c r="BO205" s="34" t="n">
        <f aca="false">IF(BO$8=1,0,BO$195*V_IVArec)</f>
        <v>0</v>
      </c>
      <c r="BP205" s="34" t="n">
        <f aca="false">IF(BP$8=1,0,BP$195*V_IVArec)</f>
        <v>0</v>
      </c>
      <c r="BQ205" s="34" t="n">
        <f aca="false">IF(BQ$8=1,0,BQ$195*V_IVArec)</f>
        <v>0</v>
      </c>
      <c r="BR205" s="34" t="n">
        <f aca="false">IF(BR$8=1,0,BR$195*V_IVArec)</f>
        <v>0</v>
      </c>
      <c r="BS205" s="34" t="n">
        <f aca="false">IF(BS$8=1,0,BS$195*V_IVArec)</f>
        <v>0</v>
      </c>
      <c r="BT205" s="34" t="n">
        <f aca="false">IF(BT$8=1,0,BT$195*V_IVArec)</f>
        <v>0</v>
      </c>
      <c r="BU205" s="34" t="n">
        <f aca="false">IF(BU$8=1,0,BU$195*V_IVArec)</f>
        <v>0</v>
      </c>
      <c r="BV205" s="34" t="n">
        <f aca="false">IF(BV$8=1,0,BV$195*V_IVArec)</f>
        <v>0</v>
      </c>
      <c r="BW205" s="34" t="n">
        <f aca="false">IF(BW$8=1,0,BW$195*V_IVArec)</f>
        <v>0</v>
      </c>
      <c r="BX205" s="34" t="n">
        <f aca="false">IF(BX$8=1,0,BX$195*V_IVArec)</f>
        <v>0</v>
      </c>
      <c r="BY205" s="34" t="n">
        <f aca="false">IF(BY$8=1,0,BY$195*V_IVArec)</f>
        <v>0</v>
      </c>
      <c r="BZ205" s="34" t="n">
        <f aca="false">IF(BZ$8=1,0,BZ$195*V_IVArec)</f>
        <v>0</v>
      </c>
      <c r="CA205" s="34" t="n">
        <f aca="false">IF(CA$8=1,0,CA$195*V_IVArec)</f>
        <v>0</v>
      </c>
      <c r="CB205" s="34" t="n">
        <f aca="false">IF(CB$8=1,0,CB$195*V_IVArec)</f>
        <v>0</v>
      </c>
      <c r="CC205" s="34" t="n">
        <f aca="false">IF(CC$8=1,0,CC$195*V_IVArec)</f>
        <v>0</v>
      </c>
      <c r="CD205" s="34" t="n">
        <f aca="false">IF(CD$8=1,0,CD$195*V_IVArec)</f>
        <v>0</v>
      </c>
      <c r="CE205" s="34" t="n">
        <f aca="false">IF(CE$8=1,0,CE$195*V_IVArec)</f>
        <v>0</v>
      </c>
      <c r="CF205" s="34" t="n">
        <f aca="false">IF(CF$8=1,0,CF$195*V_IVArec)</f>
        <v>0</v>
      </c>
      <c r="CG205" s="34" t="n">
        <f aca="false">IF(CG$8=1,0,CG$195*V_IVArec)</f>
        <v>0</v>
      </c>
      <c r="CH205" s="34" t="n">
        <f aca="false">IF(CH$8=1,0,CH$195*V_IVArec)</f>
        <v>0</v>
      </c>
      <c r="CI205" s="34" t="n">
        <f aca="false">IF(CI$8=1,0,CI$195*V_IVArec)</f>
        <v>0</v>
      </c>
      <c r="CJ205" s="34" t="n">
        <f aca="false">IF(CJ$8=1,0,CJ$195*V_IVArec)</f>
        <v>0</v>
      </c>
      <c r="CK205" s="34" t="n">
        <f aca="false">IF(CK$8=1,0,CK$195*V_IVArec)</f>
        <v>0</v>
      </c>
      <c r="CL205" s="34" t="n">
        <f aca="false">IF(CL$8=1,0,CL$195*V_IVArec)</f>
        <v>0</v>
      </c>
      <c r="CM205" s="34" t="n">
        <f aca="false">IF(CM$8=1,0,CM$195*V_IVArec)</f>
        <v>0</v>
      </c>
      <c r="CN205" s="34" t="n">
        <f aca="false">IF(CN$8=1,0,CN$195*V_IVArec)</f>
        <v>0</v>
      </c>
      <c r="CO205" s="34" t="n">
        <f aca="false">IF(CO$8=1,0,CO$195*V_IVArec)</f>
        <v>0</v>
      </c>
      <c r="CP205" s="34" t="n">
        <f aca="false">IF(CP$8=1,0,CP$195*V_IVArec)</f>
        <v>0</v>
      </c>
      <c r="CQ205" s="34" t="n">
        <f aca="false">IF(CQ$8=1,0,CQ$195*V_IVArec)</f>
        <v>0</v>
      </c>
      <c r="CR205" s="34" t="n">
        <f aca="false">IF(CR$8=1,0,CR$195*V_IVArec)</f>
        <v>0</v>
      </c>
      <c r="CS205" s="34" t="n">
        <f aca="false">IF(CS$8=1,0,CS$195*V_IVArec)</f>
        <v>0</v>
      </c>
      <c r="CT205" s="34" t="n">
        <f aca="false">IF(CT$8=1,0,CT$195*V_IVArec)</f>
        <v>0</v>
      </c>
      <c r="CU205" s="34" t="n">
        <f aca="false">IF(CU$8=1,0,CU$195*V_IVArec)</f>
        <v>0</v>
      </c>
      <c r="CV205" s="34" t="n">
        <f aca="false">IF(CV$8=1,0,CV$195*V_IVArec)</f>
        <v>0</v>
      </c>
      <c r="CW205" s="34" t="n">
        <f aca="false">IF(CW$8=1,0,CW$195*V_IVArec)</f>
        <v>0</v>
      </c>
      <c r="CX205" s="34" t="n">
        <f aca="false">IF(CX$8=1,0,CX$195*V_IVArec)</f>
        <v>0</v>
      </c>
      <c r="CY205" s="34" t="n">
        <f aca="false">IF(CY$8=1,0,CY$195*V_IVArec)</f>
        <v>0</v>
      </c>
      <c r="CZ205" s="34" t="n">
        <f aca="false">IF(CZ$8=1,0,CZ$195*V_IVArec)</f>
        <v>0</v>
      </c>
      <c r="DA205" s="34" t="n">
        <f aca="false">IF(DA$8=1,0,DA$195*V_IVArec)</f>
        <v>0</v>
      </c>
      <c r="DB205" s="34" t="n">
        <f aca="false">IF(DB$8=1,0,DB$195*V_IVArec)</f>
        <v>0</v>
      </c>
      <c r="DC205" s="34" t="n">
        <f aca="false">IF(DC$8=1,0,DC$195*V_IVArec)</f>
        <v>0</v>
      </c>
      <c r="DD205" s="34" t="n">
        <f aca="false">IF(DD$8=1,0,DD$195*V_IVArec)</f>
        <v>0</v>
      </c>
      <c r="DE205" s="34" t="n">
        <f aca="false">IF(DE$8=1,0,DE$195*V_IVArec)</f>
        <v>0</v>
      </c>
      <c r="DF205" s="34" t="n">
        <f aca="false">IF(DF$8=1,0,DF$195*V_IVArec)</f>
        <v>0</v>
      </c>
      <c r="DG205" s="34" t="n">
        <f aca="false">IF(DG$8=1,0,DG$195*V_IVArec)</f>
        <v>0</v>
      </c>
      <c r="DH205" s="34" t="n">
        <f aca="false">IF(DH$8=1,0,DH$195*V_IVArec)</f>
        <v>0</v>
      </c>
      <c r="DI205" s="34" t="n">
        <f aca="false">IF(DI$8=1,0,DI$195*V_IVArec)</f>
        <v>0</v>
      </c>
      <c r="DJ205" s="34" t="n">
        <f aca="false">IF(DJ$8=1,0,DJ$195*V_IVArec)</f>
        <v>0</v>
      </c>
      <c r="DK205" s="34" t="n">
        <f aca="false">IF(DK$8=1,0,DK$195*V_IVArec)</f>
        <v>0</v>
      </c>
      <c r="DL205" s="34" t="n">
        <f aca="false">IF(DL$8=1,0,DL$195*V_IVArec)</f>
        <v>0</v>
      </c>
      <c r="DM205" s="34" t="n">
        <f aca="false">IF(DM$8=1,0,DM$195*V_IVArec)</f>
        <v>0</v>
      </c>
      <c r="DN205" s="34" t="n">
        <f aca="false">IF(DN$8=1,0,DN$195*V_IVArec)</f>
        <v>0</v>
      </c>
      <c r="DO205" s="34" t="n">
        <f aca="false">IF(DO$8=1,0,DO$195*V_IVArec)</f>
        <v>0</v>
      </c>
      <c r="DP205" s="34" t="n">
        <f aca="false">IF(DP$8=1,0,DP$195*V_IVArec)</f>
        <v>0</v>
      </c>
      <c r="DQ205" s="34" t="n">
        <f aca="false">IF(DQ$8=1,0,DQ$195*V_IVArec)</f>
        <v>0</v>
      </c>
      <c r="DR205" s="34" t="n">
        <f aca="false">IF(DR$8=1,0,DR$195*V_IVArec)</f>
        <v>0</v>
      </c>
      <c r="DS205" s="34" t="n">
        <f aca="false">IF(DS$8=1,0,DS$195*V_IVArec)</f>
        <v>0</v>
      </c>
      <c r="DT205" s="34" t="n">
        <f aca="false">IF(DT$8=1,0,DT$195*V_IVArec)</f>
        <v>0</v>
      </c>
      <c r="DU205" s="34" t="n">
        <f aca="false">IF(DU$8=1,0,DU$195*V_IVArec)</f>
        <v>0</v>
      </c>
      <c r="DV205" s="34" t="n">
        <f aca="false">IF(DV$8=1,0,DV$195*V_IVArec)</f>
        <v>0</v>
      </c>
      <c r="DW205" s="34" t="n">
        <f aca="false">IF(DW$8=1,0,DW$195*V_IVArec)</f>
        <v>0</v>
      </c>
      <c r="DX205" s="34" t="n">
        <f aca="false">IF(DX$8=1,0,DX$195*V_IVArec)</f>
        <v>0</v>
      </c>
      <c r="DY205" s="34" t="n">
        <f aca="false">IF(DY$8=1,0,DY$195*V_IVArec)</f>
        <v>0</v>
      </c>
      <c r="DZ205" s="34" t="n">
        <f aca="false">IF(DZ$8=1,0,DZ$195*V_IVArec)</f>
        <v>0</v>
      </c>
      <c r="EA205" s="34" t="n">
        <f aca="false">IF(EA$8=1,0,EA$195*V_IVArec)</f>
        <v>0</v>
      </c>
      <c r="EB205" s="34" t="n">
        <f aca="false">IF(EB$8=1,0,EB$195*V_IVArec)</f>
        <v>0</v>
      </c>
      <c r="EC205" s="34" t="n">
        <f aca="false">IF(EC$8=1,0,EC$195*V_IVArec)</f>
        <v>0</v>
      </c>
      <c r="ED205" s="34" t="n">
        <f aca="false">IF(ED$8=1,0,ED$195*V_IVArec)</f>
        <v>0</v>
      </c>
      <c r="EE205" s="34" t="n">
        <f aca="false">IF(EE$8=1,0,EE$195*V_IVArec)</f>
        <v>0</v>
      </c>
      <c r="EF205" s="34" t="n">
        <f aca="false">IF(EF$8=1,0,EF$195*V_IVArec)</f>
        <v>0</v>
      </c>
      <c r="EG205" s="34" t="n">
        <f aca="false">IF(EG$8=1,0,EG$195*V_IVArec)</f>
        <v>0</v>
      </c>
      <c r="EH205" s="34" t="n">
        <f aca="false">IF(EH$8=1,0,EH$195*V_IVArec)</f>
        <v>0</v>
      </c>
      <c r="EI205" s="34" t="n">
        <f aca="false">IF(EI$8=1,0,EI$195*V_IVArec)</f>
        <v>0</v>
      </c>
      <c r="EJ205" s="34" t="n">
        <f aca="false">IF(EJ$8=1,0,EJ$195*V_IVArec)</f>
        <v>0</v>
      </c>
      <c r="EK205" s="34" t="n">
        <f aca="false">IF(EK$8=1,0,EK$195*V_IVArec)</f>
        <v>0</v>
      </c>
      <c r="EL205" s="34" t="n">
        <f aca="false">IF(EL$8=1,0,EL$195*V_IVArec)</f>
        <v>0</v>
      </c>
      <c r="EM205" s="34" t="n">
        <f aca="false">IF(EM$8=1,0,EM$195*V_IVArec)</f>
        <v>0</v>
      </c>
      <c r="EN205" s="34" t="n">
        <f aca="false">IF(EN$8=1,0,EN$195*V_IVArec)</f>
        <v>0</v>
      </c>
      <c r="EO205" s="34" t="n">
        <f aca="false">IF(EO$8=1,0,EO$195*V_IVArec)</f>
        <v>0</v>
      </c>
      <c r="EP205" s="34" t="n">
        <f aca="false">IF(EP$8=1,0,EP$195*V_IVArec)</f>
        <v>0</v>
      </c>
      <c r="EQ205" s="34" t="n">
        <f aca="false">IF(EQ$8=1,0,EQ$195*V_IVArec)</f>
        <v>0</v>
      </c>
      <c r="ER205" s="34" t="n">
        <f aca="false">IF(ER$8=1,0,ER$195*V_IVArec)</f>
        <v>0</v>
      </c>
      <c r="ES205" s="34" t="n">
        <f aca="false">IF(ES$8=1,0,ES$195*V_IVArec)</f>
        <v>0</v>
      </c>
    </row>
    <row r="206" customFormat="false" ht="15" hidden="false" customHeight="false" outlineLevel="0" collapsed="false">
      <c r="A206" s="2" t="s">
        <v>820</v>
      </c>
      <c r="B206" s="52" t="s">
        <v>251</v>
      </c>
      <c r="C206" s="6" t="s">
        <v>250</v>
      </c>
      <c r="E206" s="40" t="n">
        <f aca="false">SUM(F206:ES206)</f>
        <v>16309504.016261</v>
      </c>
      <c r="F206" s="10" t="n">
        <f aca="false">F$201-F$202-F$203-F$204+F$205</f>
        <v>42497.5004755897</v>
      </c>
      <c r="G206" s="10" t="n">
        <f aca="false">G$201-G$202-G$203-G$204+G$205</f>
        <v>42497.5004755897</v>
      </c>
      <c r="H206" s="10" t="n">
        <f aca="false">H$201-H$202-H$203-H$204+H$205</f>
        <v>42497.5004755897</v>
      </c>
      <c r="I206" s="10" t="n">
        <f aca="false">I$201-I$202-I$203-I$204+I$205</f>
        <v>42497.5004755897</v>
      </c>
      <c r="J206" s="10" t="n">
        <f aca="false">J$201-J$202-J$203-J$204+J$205</f>
        <v>42497.5004755897</v>
      </c>
      <c r="K206" s="10" t="n">
        <f aca="false">K$201-K$202-K$203-K$204+K$205</f>
        <v>42497.5004755897</v>
      </c>
      <c r="L206" s="10" t="n">
        <f aca="false">L$201-L$202-L$203-L$204+L$205</f>
        <v>42497.5004755897</v>
      </c>
      <c r="M206" s="10" t="n">
        <f aca="false">M$201-M$202-M$203-M$204+M$205</f>
        <v>42497.5004755897</v>
      </c>
      <c r="N206" s="10" t="n">
        <f aca="false">N$201-N$202-N$203-N$204+N$205</f>
        <v>42497.5004755897</v>
      </c>
      <c r="O206" s="10" t="n">
        <f aca="false">O$201-O$202-O$203-O$204+O$205</f>
        <v>42497.5004755897</v>
      </c>
      <c r="P206" s="10" t="n">
        <f aca="false">P$201-P$202-P$203-P$204+P$205</f>
        <v>42497.5004755897</v>
      </c>
      <c r="Q206" s="10" t="n">
        <f aca="false">Q$201-Q$202-Q$203-Q$204+Q$205</f>
        <v>42497.5004755897</v>
      </c>
      <c r="R206" s="10" t="n">
        <f aca="false">R$201-R$202-R$203-R$204+R$205</f>
        <v>80496.4029939648</v>
      </c>
      <c r="S206" s="10" t="n">
        <f aca="false">S$201-S$202-S$203-S$204+S$205</f>
        <v>80496.4029939648</v>
      </c>
      <c r="T206" s="10" t="n">
        <f aca="false">T$201-T$202-T$203-T$204+T$205</f>
        <v>80496.4029939648</v>
      </c>
      <c r="U206" s="10" t="n">
        <f aca="false">U$201-U$202-U$203-U$204+U$205</f>
        <v>80496.4029939648</v>
      </c>
      <c r="V206" s="10" t="n">
        <f aca="false">V$201-V$202-V$203-V$204+V$205</f>
        <v>80496.4029939648</v>
      </c>
      <c r="W206" s="10" t="n">
        <f aca="false">W$201-W$202-W$203-W$204+W$205</f>
        <v>80496.4029939648</v>
      </c>
      <c r="X206" s="10" t="n">
        <f aca="false">X$201-X$202-X$203-X$204+X$205</f>
        <v>80496.4029939648</v>
      </c>
      <c r="Y206" s="10" t="n">
        <f aca="false">Y$201-Y$202-Y$203-Y$204+Y$205</f>
        <v>80496.4029939648</v>
      </c>
      <c r="Z206" s="10" t="n">
        <f aca="false">Z$201-Z$202-Z$203-Z$204+Z$205</f>
        <v>80496.4029939648</v>
      </c>
      <c r="AA206" s="10" t="n">
        <f aca="false">AA$201-AA$202-AA$203-AA$204+AA$205</f>
        <v>80496.4029939648</v>
      </c>
      <c r="AB206" s="10" t="n">
        <f aca="false">AB$201-AB$202-AB$203-AB$204+AB$205</f>
        <v>80496.4029939648</v>
      </c>
      <c r="AC206" s="10" t="n">
        <f aca="false">AC$201-AC$202-AC$203-AC$204+AC$205</f>
        <v>80496.4029939648</v>
      </c>
      <c r="AD206" s="10" t="n">
        <f aca="false">AD$201-AD$202-AD$203-AD$204+AD$205</f>
        <v>117085.030865125</v>
      </c>
      <c r="AE206" s="10" t="n">
        <f aca="false">AE$201-AE$202-AE$203-AE$204+AE$205</f>
        <v>117085.030865125</v>
      </c>
      <c r="AF206" s="10" t="n">
        <f aca="false">AF$201-AF$202-AF$203-AF$204+AF$205</f>
        <v>117085.030865125</v>
      </c>
      <c r="AG206" s="10" t="n">
        <f aca="false">AG$201-AG$202-AG$203-AG$204+AG$205</f>
        <v>117085.030865125</v>
      </c>
      <c r="AH206" s="10" t="n">
        <f aca="false">AH$201-AH$202-AH$203-AH$204+AH$205</f>
        <v>117085.030865125</v>
      </c>
      <c r="AI206" s="10" t="n">
        <f aca="false">AI$201-AI$202-AI$203-AI$204+AI$205</f>
        <v>117085.030865125</v>
      </c>
      <c r="AJ206" s="10" t="n">
        <f aca="false">AJ$201-AJ$202-AJ$203-AJ$204+AJ$205</f>
        <v>117085.030865125</v>
      </c>
      <c r="AK206" s="10" t="n">
        <f aca="false">AK$201-AK$202-AK$203-AK$204+AK$205</f>
        <v>117085.030865125</v>
      </c>
      <c r="AL206" s="10" t="n">
        <f aca="false">AL$201-AL$202-AL$203-AL$204+AL$205</f>
        <v>117085.030865125</v>
      </c>
      <c r="AM206" s="10" t="n">
        <f aca="false">AM$201-AM$202-AM$203-AM$204+AM$205</f>
        <v>117085.030865125</v>
      </c>
      <c r="AN206" s="10" t="n">
        <f aca="false">AN$201-AN$202-AN$203-AN$204+AN$205</f>
        <v>117085.030865125</v>
      </c>
      <c r="AO206" s="10" t="n">
        <f aca="false">AO$201-AO$202-AO$203-AO$204+AO$205</f>
        <v>117085.030865125</v>
      </c>
      <c r="AP206" s="10" t="n">
        <f aca="false">AP$201-AP$202-AP$203-AP$204+AP$205</f>
        <v>149893.579879858</v>
      </c>
      <c r="AQ206" s="10" t="n">
        <f aca="false">AQ$201-AQ$202-AQ$203-AQ$204+AQ$205</f>
        <v>149893.579879858</v>
      </c>
      <c r="AR206" s="10" t="n">
        <f aca="false">AR$201-AR$202-AR$203-AR$204+AR$205</f>
        <v>149893.579879858</v>
      </c>
      <c r="AS206" s="10" t="n">
        <f aca="false">AS$201-AS$202-AS$203-AS$204+AS$205</f>
        <v>149893.579879858</v>
      </c>
      <c r="AT206" s="10" t="n">
        <f aca="false">AT$201-AT$202-AT$203-AT$204+AT$205</f>
        <v>149893.579879858</v>
      </c>
      <c r="AU206" s="10" t="n">
        <f aca="false">AU$201-AU$202-AU$203-AU$204+AU$205</f>
        <v>149893.579879858</v>
      </c>
      <c r="AV206" s="10" t="n">
        <f aca="false">AV$201-AV$202-AV$203-AV$204+AV$205</f>
        <v>149893.579879858</v>
      </c>
      <c r="AW206" s="10" t="n">
        <f aca="false">AW$201-AW$202-AW$203-AW$204+AW$205</f>
        <v>149893.579879858</v>
      </c>
      <c r="AX206" s="10" t="n">
        <f aca="false">AX$201-AX$202-AX$203-AX$204+AX$205</f>
        <v>149893.579879858</v>
      </c>
      <c r="AY206" s="10" t="n">
        <f aca="false">AY$201-AY$202-AY$203-AY$204+AY$205</f>
        <v>149893.579879858</v>
      </c>
      <c r="AZ206" s="10" t="n">
        <f aca="false">AZ$201-AZ$202-AZ$203-AZ$204+AZ$205</f>
        <v>149893.579879858</v>
      </c>
      <c r="BA206" s="10" t="n">
        <f aca="false">BA$201-BA$202-BA$203-BA$204+BA$205</f>
        <v>149893.579879858</v>
      </c>
      <c r="BB206" s="10" t="n">
        <f aca="false">BB$201-BB$202-BB$203-BB$204+BB$205</f>
        <v>151213.164876374</v>
      </c>
      <c r="BC206" s="10" t="n">
        <f aca="false">BC$201-BC$202-BC$203-BC$204+BC$205</f>
        <v>151213.164876374</v>
      </c>
      <c r="BD206" s="10" t="n">
        <f aca="false">BD$201-BD$202-BD$203-BD$204+BD$205</f>
        <v>151213.164876374</v>
      </c>
      <c r="BE206" s="10" t="n">
        <f aca="false">BE$201-BE$202-BE$203-BE$204+BE$205</f>
        <v>151213.164876374</v>
      </c>
      <c r="BF206" s="10" t="n">
        <f aca="false">BF$201-BF$202-BF$203-BF$204+BF$205</f>
        <v>151213.164876374</v>
      </c>
      <c r="BG206" s="10" t="n">
        <f aca="false">BG$201-BG$202-BG$203-BG$204+BG$205</f>
        <v>151213.164876374</v>
      </c>
      <c r="BH206" s="10" t="n">
        <f aca="false">BH$201-BH$202-BH$203-BH$204+BH$205</f>
        <v>151213.164876374</v>
      </c>
      <c r="BI206" s="10" t="n">
        <f aca="false">BI$201-BI$202-BI$203-BI$204+BI$205</f>
        <v>151213.164876374</v>
      </c>
      <c r="BJ206" s="10" t="n">
        <f aca="false">BJ$201-BJ$202-BJ$203-BJ$204+BJ$205</f>
        <v>151213.164876374</v>
      </c>
      <c r="BK206" s="10" t="n">
        <f aca="false">BK$201-BK$202-BK$203-BK$204+BK$205</f>
        <v>151213.164876374</v>
      </c>
      <c r="BL206" s="10" t="n">
        <f aca="false">BL$201-BL$202-BL$203-BL$204+BL$205</f>
        <v>151213.164876374</v>
      </c>
      <c r="BM206" s="10" t="n">
        <f aca="false">BM$201-BM$202-BM$203-BM$204+BM$205</f>
        <v>151213.164876374</v>
      </c>
      <c r="BN206" s="10" t="n">
        <f aca="false">BN$201-BN$202-BN$203-BN$204+BN$205</f>
        <v>155300.441797826</v>
      </c>
      <c r="BO206" s="10" t="n">
        <f aca="false">BO$201-BO$202-BO$203-BO$204+BO$205</f>
        <v>155300.441797826</v>
      </c>
      <c r="BP206" s="10" t="n">
        <f aca="false">BP$201-BP$202-BP$203-BP$204+BP$205</f>
        <v>155300.441797826</v>
      </c>
      <c r="BQ206" s="10" t="n">
        <f aca="false">BQ$201-BQ$202-BQ$203-BQ$204+BQ$205</f>
        <v>155300.441797826</v>
      </c>
      <c r="BR206" s="10" t="n">
        <f aca="false">BR$201-BR$202-BR$203-BR$204+BR$205</f>
        <v>155300.441797826</v>
      </c>
      <c r="BS206" s="10" t="n">
        <f aca="false">BS$201-BS$202-BS$203-BS$204+BS$205</f>
        <v>155300.441797826</v>
      </c>
      <c r="BT206" s="10" t="n">
        <f aca="false">BT$201-BT$202-BT$203-BT$204+BT$205</f>
        <v>155300.441797826</v>
      </c>
      <c r="BU206" s="10" t="n">
        <f aca="false">BU$201-BU$202-BU$203-BU$204+BU$205</f>
        <v>155300.441797826</v>
      </c>
      <c r="BV206" s="10" t="n">
        <f aca="false">BV$201-BV$202-BV$203-BV$204+BV$205</f>
        <v>155300.441797826</v>
      </c>
      <c r="BW206" s="10" t="n">
        <f aca="false">BW$201-BW$202-BW$203-BW$204+BW$205</f>
        <v>155300.441797826</v>
      </c>
      <c r="BX206" s="10" t="n">
        <f aca="false">BX$201-BX$202-BX$203-BX$204+BX$205</f>
        <v>155300.441797826</v>
      </c>
      <c r="BY206" s="10" t="n">
        <f aca="false">BY$201-BY$202-BY$203-BY$204+BY$205</f>
        <v>155300.441797826</v>
      </c>
      <c r="BZ206" s="10" t="n">
        <f aca="false">BZ$201-BZ$202-BZ$203-BZ$204+BZ$205</f>
        <v>159416.0224894</v>
      </c>
      <c r="CA206" s="10" t="n">
        <f aca="false">CA$201-CA$202-CA$203-CA$204+CA$205</f>
        <v>159416.0224894</v>
      </c>
      <c r="CB206" s="10" t="n">
        <f aca="false">CB$201-CB$202-CB$203-CB$204+CB$205</f>
        <v>159416.0224894</v>
      </c>
      <c r="CC206" s="10" t="n">
        <f aca="false">CC$201-CC$202-CC$203-CC$204+CC$205</f>
        <v>159416.0224894</v>
      </c>
      <c r="CD206" s="10" t="n">
        <f aca="false">CD$201-CD$202-CD$203-CD$204+CD$205</f>
        <v>159416.0224894</v>
      </c>
      <c r="CE206" s="10" t="n">
        <f aca="false">CE$201-CE$202-CE$203-CE$204+CE$205</f>
        <v>159416.0224894</v>
      </c>
      <c r="CF206" s="10" t="n">
        <f aca="false">CF$201-CF$202-CF$203-CF$204+CF$205</f>
        <v>159416.0224894</v>
      </c>
      <c r="CG206" s="10" t="n">
        <f aca="false">CG$201-CG$202-CG$203-CG$204+CG$205</f>
        <v>159416.0224894</v>
      </c>
      <c r="CH206" s="10" t="n">
        <f aca="false">CH$201-CH$202-CH$203-CH$204+CH$205</f>
        <v>159416.0224894</v>
      </c>
      <c r="CI206" s="10" t="n">
        <f aca="false">CI$201-CI$202-CI$203-CI$204+CI$205</f>
        <v>159416.0224894</v>
      </c>
      <c r="CJ206" s="10" t="n">
        <f aca="false">CJ$201-CJ$202-CJ$203-CJ$204+CJ$205</f>
        <v>159416.0224894</v>
      </c>
      <c r="CK206" s="10" t="n">
        <f aca="false">CK$201-CK$202-CK$203-CK$204+CK$205</f>
        <v>159416.0224894</v>
      </c>
      <c r="CL206" s="10" t="n">
        <f aca="false">CL$201-CL$202-CL$203-CL$204+CL$205</f>
        <v>163559.818546288</v>
      </c>
      <c r="CM206" s="10" t="n">
        <f aca="false">CM$201-CM$202-CM$203-CM$204+CM$205</f>
        <v>163559.818546288</v>
      </c>
      <c r="CN206" s="10" t="n">
        <f aca="false">CN$201-CN$202-CN$203-CN$204+CN$205</f>
        <v>163559.818546288</v>
      </c>
      <c r="CO206" s="10" t="n">
        <f aca="false">CO$201-CO$202-CO$203-CO$204+CO$205</f>
        <v>163559.818546288</v>
      </c>
      <c r="CP206" s="10" t="n">
        <f aca="false">CP$201-CP$202-CP$203-CP$204+CP$205</f>
        <v>163559.818546288</v>
      </c>
      <c r="CQ206" s="10" t="n">
        <f aca="false">CQ$201-CQ$202-CQ$203-CQ$204+CQ$205</f>
        <v>163559.818546288</v>
      </c>
      <c r="CR206" s="10" t="n">
        <f aca="false">CR$201-CR$202-CR$203-CR$204+CR$205</f>
        <v>163559.818546288</v>
      </c>
      <c r="CS206" s="10" t="n">
        <f aca="false">CS$201-CS$202-CS$203-CS$204+CS$205</f>
        <v>163559.818546288</v>
      </c>
      <c r="CT206" s="10" t="n">
        <f aca="false">CT$201-CT$202-CT$203-CT$204+CT$205</f>
        <v>163559.818546288</v>
      </c>
      <c r="CU206" s="10" t="n">
        <f aca="false">CU$201-CU$202-CU$203-CU$204+CU$205</f>
        <v>163559.818546288</v>
      </c>
      <c r="CV206" s="10" t="n">
        <f aca="false">CV$201-CV$202-CV$203-CV$204+CV$205</f>
        <v>163559.818546288</v>
      </c>
      <c r="CW206" s="10" t="n">
        <f aca="false">CW$201-CW$202-CW$203-CW$204+CW$205</f>
        <v>163559.818546288</v>
      </c>
      <c r="CX206" s="10" t="n">
        <f aca="false">CX$201-CX$202-CX$203-CX$204+CX$205</f>
        <v>167731.729648908</v>
      </c>
      <c r="CY206" s="10" t="n">
        <f aca="false">CY$201-CY$202-CY$203-CY$204+CY$205</f>
        <v>167731.729648908</v>
      </c>
      <c r="CZ206" s="10" t="n">
        <f aca="false">CZ$201-CZ$202-CZ$203-CZ$204+CZ$205</f>
        <v>167731.729648908</v>
      </c>
      <c r="DA206" s="10" t="n">
        <f aca="false">DA$201-DA$202-DA$203-DA$204+DA$205</f>
        <v>167731.729648908</v>
      </c>
      <c r="DB206" s="10" t="n">
        <f aca="false">DB$201-DB$202-DB$203-DB$204+DB$205</f>
        <v>167731.729648908</v>
      </c>
      <c r="DC206" s="10" t="n">
        <f aca="false">DC$201-DC$202-DC$203-DC$204+DC$205</f>
        <v>167731.729648908</v>
      </c>
      <c r="DD206" s="10" t="n">
        <f aca="false">DD$201-DD$202-DD$203-DD$204+DD$205</f>
        <v>167731.729648908</v>
      </c>
      <c r="DE206" s="10" t="n">
        <f aca="false">DE$201-DE$202-DE$203-DE$204+DE$205</f>
        <v>167731.729648908</v>
      </c>
      <c r="DF206" s="10" t="n">
        <f aca="false">DF$201-DF$202-DF$203-DF$204+DF$205</f>
        <v>167731.729648908</v>
      </c>
      <c r="DG206" s="10" t="n">
        <f aca="false">DG$201-DG$202-DG$203-DG$204+DG$205</f>
        <v>167731.729648908</v>
      </c>
      <c r="DH206" s="10" t="n">
        <f aca="false">DH$201-DH$202-DH$203-DH$204+DH$205</f>
        <v>167731.729648908</v>
      </c>
      <c r="DI206" s="10" t="n">
        <f aca="false">DI$201-DI$202-DI$203-DI$204+DI$205</f>
        <v>167731.729648908</v>
      </c>
      <c r="DJ206" s="10" t="n">
        <f aca="false">DJ$201-DJ$202-DJ$203-DJ$204+DJ$205</f>
        <v>171931.643115086</v>
      </c>
      <c r="DK206" s="10" t="n">
        <f aca="false">DK$201-DK$202-DK$203-DK$204+DK$205</f>
        <v>171931.643115086</v>
      </c>
      <c r="DL206" s="10" t="n">
        <f aca="false">DL$201-DL$202-DL$203-DL$204+DL$205</f>
        <v>171931.643115086</v>
      </c>
      <c r="DM206" s="10" t="n">
        <f aca="false">DM$201-DM$202-DM$203-DM$204+DM$205</f>
        <v>171931.643115086</v>
      </c>
      <c r="DN206" s="10" t="n">
        <f aca="false">DN$201-DN$202-DN$203-DN$204+DN$205</f>
        <v>171931.643115086</v>
      </c>
      <c r="DO206" s="10" t="n">
        <f aca="false">DO$201-DO$202-DO$203-DO$204+DO$205</f>
        <v>171931.643115086</v>
      </c>
      <c r="DP206" s="10" t="n">
        <f aca="false">DP$201-DP$202-DP$203-DP$204+DP$205</f>
        <v>171931.643115086</v>
      </c>
      <c r="DQ206" s="10" t="n">
        <f aca="false">DQ$201-DQ$202-DQ$203-DQ$204+DQ$205</f>
        <v>171931.643115086</v>
      </c>
      <c r="DR206" s="10" t="n">
        <f aca="false">DR$201-DR$202-DR$203-DR$204+DR$205</f>
        <v>171931.643115086</v>
      </c>
      <c r="DS206" s="10" t="n">
        <f aca="false">DS$201-DS$202-DS$203-DS$204+DS$205</f>
        <v>171931.643115086</v>
      </c>
      <c r="DT206" s="10" t="n">
        <f aca="false">DT$201-DT$202-DT$203-DT$204+DT$205</f>
        <v>171931.643115086</v>
      </c>
      <c r="DU206" s="10" t="n">
        <f aca="false">DU$201-DU$202-DU$203-DU$204+DU$205</f>
        <v>171931.643115086</v>
      </c>
      <c r="DV206" s="10" t="n">
        <f aca="false">DV$201-DV$202-DV$203-DV$204+DV$205</f>
        <v>0</v>
      </c>
      <c r="DW206" s="10" t="n">
        <f aca="false">DW$201-DW$202-DW$203-DW$204+DW$205</f>
        <v>0</v>
      </c>
      <c r="DX206" s="10" t="n">
        <f aca="false">DX$201-DX$202-DX$203-DX$204+DX$205</f>
        <v>0</v>
      </c>
      <c r="DY206" s="10" t="n">
        <f aca="false">DY$201-DY$202-DY$203-DY$204+DY$205</f>
        <v>0</v>
      </c>
      <c r="DZ206" s="10" t="n">
        <f aca="false">DZ$201-DZ$202-DZ$203-DZ$204+DZ$205</f>
        <v>0</v>
      </c>
      <c r="EA206" s="10" t="n">
        <f aca="false">EA$201-EA$202-EA$203-EA$204+EA$205</f>
        <v>0</v>
      </c>
      <c r="EB206" s="10" t="n">
        <f aca="false">EB$201-EB$202-EB$203-EB$204+EB$205</f>
        <v>0</v>
      </c>
      <c r="EC206" s="10" t="n">
        <f aca="false">EC$201-EC$202-EC$203-EC$204+EC$205</f>
        <v>0</v>
      </c>
      <c r="ED206" s="10" t="n">
        <f aca="false">ED$201-ED$202-ED$203-ED$204+ED$205</f>
        <v>0</v>
      </c>
      <c r="EE206" s="10" t="n">
        <f aca="false">EE$201-EE$202-EE$203-EE$204+EE$205</f>
        <v>0</v>
      </c>
      <c r="EF206" s="10" t="n">
        <f aca="false">EF$201-EF$202-EF$203-EF$204+EF$205</f>
        <v>0</v>
      </c>
      <c r="EG206" s="10" t="n">
        <f aca="false">EG$201-EG$202-EG$203-EG$204+EG$205</f>
        <v>0</v>
      </c>
      <c r="EH206" s="10" t="n">
        <f aca="false">EH$201-EH$202-EH$203-EH$204+EH$205</f>
        <v>0</v>
      </c>
      <c r="EI206" s="10" t="n">
        <f aca="false">EI$201-EI$202-EI$203-EI$204+EI$205</f>
        <v>0</v>
      </c>
      <c r="EJ206" s="10" t="n">
        <f aca="false">EJ$201-EJ$202-EJ$203-EJ$204+EJ$205</f>
        <v>0</v>
      </c>
      <c r="EK206" s="10" t="n">
        <f aca="false">EK$201-EK$202-EK$203-EK$204+EK$205</f>
        <v>0</v>
      </c>
      <c r="EL206" s="10" t="n">
        <f aca="false">EL$201-EL$202-EL$203-EL$204+EL$205</f>
        <v>0</v>
      </c>
      <c r="EM206" s="10" t="n">
        <f aca="false">EM$201-EM$202-EM$203-EM$204+EM$205</f>
        <v>0</v>
      </c>
      <c r="EN206" s="10" t="n">
        <f aca="false">EN$201-EN$202-EN$203-EN$204+EN$205</f>
        <v>0</v>
      </c>
      <c r="EO206" s="10" t="n">
        <f aca="false">EO$201-EO$202-EO$203-EO$204+EO$205</f>
        <v>0</v>
      </c>
      <c r="EP206" s="10" t="n">
        <f aca="false">EP$201-EP$202-EP$203-EP$204+EP$205</f>
        <v>0</v>
      </c>
      <c r="EQ206" s="10" t="n">
        <f aca="false">EQ$201-EQ$202-EQ$203-EQ$204+EQ$205</f>
        <v>0</v>
      </c>
      <c r="ER206" s="10" t="n">
        <f aca="false">ER$201-ER$202-ER$203-ER$204+ER$205</f>
        <v>0</v>
      </c>
      <c r="ES206" s="10" t="n">
        <f aca="false">ES$201-ES$202-ES$203-ES$204+ES$205</f>
        <v>0</v>
      </c>
    </row>
    <row r="207" customFormat="false" ht="15" hidden="false" customHeight="false" outlineLevel="0" collapsed="false">
      <c r="A207" s="2" t="s">
        <v>821</v>
      </c>
      <c r="B207" s="6" t="s">
        <v>643</v>
      </c>
      <c r="C207" s="6" t="s">
        <v>250</v>
      </c>
      <c r="E207" s="40" t="n">
        <f aca="false">SUM(F207:ES207)</f>
        <v>745044.09</v>
      </c>
      <c r="F207" s="34" t="n">
        <f aca="false">SUMPRODUCT((Inv_CF*F$8+Inv_BaseV*(1-F$8))*(Inv_F&gt;0)*(1&gt;=Inv_SvcV)*(1&lt;Inv_SvcV+Inv_F*12)/(Inv_F*12+(Inv_F=0)))*F$9</f>
        <v>5966.01741666667</v>
      </c>
      <c r="G207" s="34" t="n">
        <f aca="false">SUMPRODUCT((Inv_CF*G$8+Inv_BaseV*(1-G$8))*(Inv_F&gt;0)*(2&gt;=Inv_SvcV)*(2&lt;Inv_SvcV+Inv_F*12)/(Inv_F*12+(Inv_F=0)))*G$9</f>
        <v>5966.01741666667</v>
      </c>
      <c r="H207" s="34" t="n">
        <f aca="false">SUMPRODUCT((Inv_CF*H$8+Inv_BaseV*(1-H$8))*(Inv_F&gt;0)*(3&gt;=Inv_SvcV)*(3&lt;Inv_SvcV+Inv_F*12)/(Inv_F*12+(Inv_F=0)))*H$9</f>
        <v>5966.01741666667</v>
      </c>
      <c r="I207" s="34" t="n">
        <f aca="false">SUMPRODUCT((Inv_CF*I$8+Inv_BaseV*(1-I$8))*(Inv_F&gt;0)*(4&gt;=Inv_SvcV)*(4&lt;Inv_SvcV+Inv_F*12)/(Inv_F*12+(Inv_F=0)))*I$9</f>
        <v>5966.01741666667</v>
      </c>
      <c r="J207" s="34" t="n">
        <f aca="false">SUMPRODUCT((Inv_CF*J$8+Inv_BaseV*(1-J$8))*(Inv_F&gt;0)*(5&gt;=Inv_SvcV)*(5&lt;Inv_SvcV+Inv_F*12)/(Inv_F*12+(Inv_F=0)))*J$9</f>
        <v>5966.01741666667</v>
      </c>
      <c r="K207" s="34" t="n">
        <f aca="false">SUMPRODUCT((Inv_CF*K$8+Inv_BaseV*(1-K$8))*(Inv_F&gt;0)*(6&gt;=Inv_SvcV)*(6&lt;Inv_SvcV+Inv_F*12)/(Inv_F*12+(Inv_F=0)))*K$9</f>
        <v>5966.01741666667</v>
      </c>
      <c r="L207" s="34" t="n">
        <f aca="false">SUMPRODUCT((Inv_CF*L$8+Inv_BaseV*(1-L$8))*(Inv_F&gt;0)*(7&gt;=Inv_SvcV)*(7&lt;Inv_SvcV+Inv_F*12)/(Inv_F*12+(Inv_F=0)))*L$9</f>
        <v>5966.01741666667</v>
      </c>
      <c r="M207" s="34" t="n">
        <f aca="false">SUMPRODUCT((Inv_CF*M$8+Inv_BaseV*(1-M$8))*(Inv_F&gt;0)*(8&gt;=Inv_SvcV)*(8&lt;Inv_SvcV+Inv_F*12)/(Inv_F*12+(Inv_F=0)))*M$9</f>
        <v>5966.01741666667</v>
      </c>
      <c r="N207" s="34" t="n">
        <f aca="false">SUMPRODUCT((Inv_CF*N$8+Inv_BaseV*(1-N$8))*(Inv_F&gt;0)*(9&gt;=Inv_SvcV)*(9&lt;Inv_SvcV+Inv_F*12)/(Inv_F*12+(Inv_F=0)))*N$9</f>
        <v>5966.01741666667</v>
      </c>
      <c r="O207" s="34" t="n">
        <f aca="false">SUMPRODUCT((Inv_CF*O$8+Inv_BaseV*(1-O$8))*(Inv_F&gt;0)*(10&gt;=Inv_SvcV)*(10&lt;Inv_SvcV+Inv_F*12)/(Inv_F*12+(Inv_F=0)))*O$9</f>
        <v>5966.01741666667</v>
      </c>
      <c r="P207" s="34" t="n">
        <f aca="false">SUMPRODUCT((Inv_CF*P$8+Inv_BaseV*(1-P$8))*(Inv_F&gt;0)*(11&gt;=Inv_SvcV)*(11&lt;Inv_SvcV+Inv_F*12)/(Inv_F*12+(Inv_F=0)))*P$9</f>
        <v>5966.01741666667</v>
      </c>
      <c r="Q207" s="34" t="n">
        <f aca="false">SUMPRODUCT((Inv_CF*Q$8+Inv_BaseV*(1-Q$8))*(Inv_F&gt;0)*(12&gt;=Inv_SvcV)*(12&lt;Inv_SvcV+Inv_F*12)/(Inv_F*12+(Inv_F=0)))*Q$9</f>
        <v>5966.01741666667</v>
      </c>
      <c r="R207" s="34" t="n">
        <f aca="false">SUMPRODUCT((Inv_CF*R$8+Inv_BaseV*(1-R$8))*(Inv_F&gt;0)*(13&gt;=Inv_SvcV)*(13&lt;Inv_SvcV+Inv_F*12)/(Inv_F*12+(Inv_F=0)))*R$9</f>
        <v>6799.35075</v>
      </c>
      <c r="S207" s="34" t="n">
        <f aca="false">SUMPRODUCT((Inv_CF*S$8+Inv_BaseV*(1-S$8))*(Inv_F&gt;0)*(14&gt;=Inv_SvcV)*(14&lt;Inv_SvcV+Inv_F*12)/(Inv_F*12+(Inv_F=0)))*S$9</f>
        <v>6799.35075</v>
      </c>
      <c r="T207" s="34" t="n">
        <f aca="false">SUMPRODUCT((Inv_CF*T$8+Inv_BaseV*(1-T$8))*(Inv_F&gt;0)*(15&gt;=Inv_SvcV)*(15&lt;Inv_SvcV+Inv_F*12)/(Inv_F*12+(Inv_F=0)))*T$9</f>
        <v>6799.35075</v>
      </c>
      <c r="U207" s="34" t="n">
        <f aca="false">SUMPRODUCT((Inv_CF*U$8+Inv_BaseV*(1-U$8))*(Inv_F&gt;0)*(16&gt;=Inv_SvcV)*(16&lt;Inv_SvcV+Inv_F*12)/(Inv_F*12+(Inv_F=0)))*U$9</f>
        <v>6799.35075</v>
      </c>
      <c r="V207" s="34" t="n">
        <f aca="false">SUMPRODUCT((Inv_CF*V$8+Inv_BaseV*(1-V$8))*(Inv_F&gt;0)*(17&gt;=Inv_SvcV)*(17&lt;Inv_SvcV+Inv_F*12)/(Inv_F*12+(Inv_F=0)))*V$9</f>
        <v>6799.35075</v>
      </c>
      <c r="W207" s="34" t="n">
        <f aca="false">SUMPRODUCT((Inv_CF*W$8+Inv_BaseV*(1-W$8))*(Inv_F&gt;0)*(18&gt;=Inv_SvcV)*(18&lt;Inv_SvcV+Inv_F*12)/(Inv_F*12+(Inv_F=0)))*W$9</f>
        <v>6799.35075</v>
      </c>
      <c r="X207" s="34" t="n">
        <f aca="false">SUMPRODUCT((Inv_CF*X$8+Inv_BaseV*(1-X$8))*(Inv_F&gt;0)*(19&gt;=Inv_SvcV)*(19&lt;Inv_SvcV+Inv_F*12)/(Inv_F*12+(Inv_F=0)))*X$9</f>
        <v>6799.35075</v>
      </c>
      <c r="Y207" s="34" t="n">
        <f aca="false">SUMPRODUCT((Inv_CF*Y$8+Inv_BaseV*(1-Y$8))*(Inv_F&gt;0)*(20&gt;=Inv_SvcV)*(20&lt;Inv_SvcV+Inv_F*12)/(Inv_F*12+(Inv_F=0)))*Y$9</f>
        <v>6799.35075</v>
      </c>
      <c r="Z207" s="34" t="n">
        <f aca="false">SUMPRODUCT((Inv_CF*Z$8+Inv_BaseV*(1-Z$8))*(Inv_F&gt;0)*(21&gt;=Inv_SvcV)*(21&lt;Inv_SvcV+Inv_F*12)/(Inv_F*12+(Inv_F=0)))*Z$9</f>
        <v>6799.35075</v>
      </c>
      <c r="AA207" s="34" t="n">
        <f aca="false">SUMPRODUCT((Inv_CF*AA$8+Inv_BaseV*(1-AA$8))*(Inv_F&gt;0)*(22&gt;=Inv_SvcV)*(22&lt;Inv_SvcV+Inv_F*12)/(Inv_F*12+(Inv_F=0)))*AA$9</f>
        <v>6799.35075</v>
      </c>
      <c r="AB207" s="34" t="n">
        <f aca="false">SUMPRODUCT((Inv_CF*AB$8+Inv_BaseV*(1-AB$8))*(Inv_F&gt;0)*(23&gt;=Inv_SvcV)*(23&lt;Inv_SvcV+Inv_F*12)/(Inv_F*12+(Inv_F=0)))*AB$9</f>
        <v>6799.35075</v>
      </c>
      <c r="AC207" s="34" t="n">
        <f aca="false">SUMPRODUCT((Inv_CF*AC$8+Inv_BaseV*(1-AC$8))*(Inv_F&gt;0)*(24&gt;=Inv_SvcV)*(24&lt;Inv_SvcV+Inv_F*12)/(Inv_F*12+(Inv_F=0)))*AC$9</f>
        <v>6799.35075</v>
      </c>
      <c r="AD207" s="34" t="n">
        <f aca="false">SUMPRODUCT((Inv_CF*AD$8+Inv_BaseV*(1-AD$8))*(Inv_F&gt;0)*(25&gt;=Inv_SvcV)*(25&lt;Inv_SvcV+Inv_F*12)/(Inv_F*12+(Inv_F=0)))*AD$9</f>
        <v>6799.35075</v>
      </c>
      <c r="AE207" s="34" t="n">
        <f aca="false">SUMPRODUCT((Inv_CF*AE$8+Inv_BaseV*(1-AE$8))*(Inv_F&gt;0)*(26&gt;=Inv_SvcV)*(26&lt;Inv_SvcV+Inv_F*12)/(Inv_F*12+(Inv_F=0)))*AE$9</f>
        <v>6799.35075</v>
      </c>
      <c r="AF207" s="34" t="n">
        <f aca="false">SUMPRODUCT((Inv_CF*AF$8+Inv_BaseV*(1-AF$8))*(Inv_F&gt;0)*(27&gt;=Inv_SvcV)*(27&lt;Inv_SvcV+Inv_F*12)/(Inv_F*12+(Inv_F=0)))*AF$9</f>
        <v>6799.35075</v>
      </c>
      <c r="AG207" s="34" t="n">
        <f aca="false">SUMPRODUCT((Inv_CF*AG$8+Inv_BaseV*(1-AG$8))*(Inv_F&gt;0)*(28&gt;=Inv_SvcV)*(28&lt;Inv_SvcV+Inv_F*12)/(Inv_F*12+(Inv_F=0)))*AG$9</f>
        <v>6799.35075</v>
      </c>
      <c r="AH207" s="34" t="n">
        <f aca="false">SUMPRODUCT((Inv_CF*AH$8+Inv_BaseV*(1-AH$8))*(Inv_F&gt;0)*(29&gt;=Inv_SvcV)*(29&lt;Inv_SvcV+Inv_F*12)/(Inv_F*12+(Inv_F=0)))*AH$9</f>
        <v>6799.35075</v>
      </c>
      <c r="AI207" s="34" t="n">
        <f aca="false">SUMPRODUCT((Inv_CF*AI$8+Inv_BaseV*(1-AI$8))*(Inv_F&gt;0)*(30&gt;=Inv_SvcV)*(30&lt;Inv_SvcV+Inv_F*12)/(Inv_F*12+(Inv_F=0)))*AI$9</f>
        <v>6799.35075</v>
      </c>
      <c r="AJ207" s="34" t="n">
        <f aca="false">SUMPRODUCT((Inv_CF*AJ$8+Inv_BaseV*(1-AJ$8))*(Inv_F&gt;0)*(31&gt;=Inv_SvcV)*(31&lt;Inv_SvcV+Inv_F*12)/(Inv_F*12+(Inv_F=0)))*AJ$9</f>
        <v>6799.35075</v>
      </c>
      <c r="AK207" s="34" t="n">
        <f aca="false">SUMPRODUCT((Inv_CF*AK$8+Inv_BaseV*(1-AK$8))*(Inv_F&gt;0)*(32&gt;=Inv_SvcV)*(32&lt;Inv_SvcV+Inv_F*12)/(Inv_F*12+(Inv_F=0)))*AK$9</f>
        <v>6799.35075</v>
      </c>
      <c r="AL207" s="34" t="n">
        <f aca="false">SUMPRODUCT((Inv_CF*AL$8+Inv_BaseV*(1-AL$8))*(Inv_F&gt;0)*(33&gt;=Inv_SvcV)*(33&lt;Inv_SvcV+Inv_F*12)/(Inv_F*12+(Inv_F=0)))*AL$9</f>
        <v>6799.35075</v>
      </c>
      <c r="AM207" s="34" t="n">
        <f aca="false">SUMPRODUCT((Inv_CF*AM$8+Inv_BaseV*(1-AM$8))*(Inv_F&gt;0)*(34&gt;=Inv_SvcV)*(34&lt;Inv_SvcV+Inv_F*12)/(Inv_F*12+(Inv_F=0)))*AM$9</f>
        <v>6799.35075</v>
      </c>
      <c r="AN207" s="34" t="n">
        <f aca="false">SUMPRODUCT((Inv_CF*AN$8+Inv_BaseV*(1-AN$8))*(Inv_F&gt;0)*(35&gt;=Inv_SvcV)*(35&lt;Inv_SvcV+Inv_F*12)/(Inv_F*12+(Inv_F=0)))*AN$9</f>
        <v>6799.35075</v>
      </c>
      <c r="AO207" s="34" t="n">
        <f aca="false">SUMPRODUCT((Inv_CF*AO$8+Inv_BaseV*(1-AO$8))*(Inv_F&gt;0)*(36&gt;=Inv_SvcV)*(36&lt;Inv_SvcV+Inv_F*12)/(Inv_F*12+(Inv_F=0)))*AO$9</f>
        <v>6799.35075</v>
      </c>
      <c r="AP207" s="34" t="n">
        <f aca="false">SUMPRODUCT((Inv_CF*AP$8+Inv_BaseV*(1-AP$8))*(Inv_F&gt;0)*(37&gt;=Inv_SvcV)*(37&lt;Inv_SvcV+Inv_F*12)/(Inv_F*12+(Inv_F=0)))*AP$9</f>
        <v>6799.35075</v>
      </c>
      <c r="AQ207" s="34" t="n">
        <f aca="false">SUMPRODUCT((Inv_CF*AQ$8+Inv_BaseV*(1-AQ$8))*(Inv_F&gt;0)*(38&gt;=Inv_SvcV)*(38&lt;Inv_SvcV+Inv_F*12)/(Inv_F*12+(Inv_F=0)))*AQ$9</f>
        <v>6799.35075</v>
      </c>
      <c r="AR207" s="34" t="n">
        <f aca="false">SUMPRODUCT((Inv_CF*AR$8+Inv_BaseV*(1-AR$8))*(Inv_F&gt;0)*(39&gt;=Inv_SvcV)*(39&lt;Inv_SvcV+Inv_F*12)/(Inv_F*12+(Inv_F=0)))*AR$9</f>
        <v>6799.35075</v>
      </c>
      <c r="AS207" s="34" t="n">
        <f aca="false">SUMPRODUCT((Inv_CF*AS$8+Inv_BaseV*(1-AS$8))*(Inv_F&gt;0)*(40&gt;=Inv_SvcV)*(40&lt;Inv_SvcV+Inv_F*12)/(Inv_F*12+(Inv_F=0)))*AS$9</f>
        <v>6799.35075</v>
      </c>
      <c r="AT207" s="34" t="n">
        <f aca="false">SUMPRODUCT((Inv_CF*AT$8+Inv_BaseV*(1-AT$8))*(Inv_F&gt;0)*(41&gt;=Inv_SvcV)*(41&lt;Inv_SvcV+Inv_F*12)/(Inv_F*12+(Inv_F=0)))*AT$9</f>
        <v>6799.35075</v>
      </c>
      <c r="AU207" s="34" t="n">
        <f aca="false">SUMPRODUCT((Inv_CF*AU$8+Inv_BaseV*(1-AU$8))*(Inv_F&gt;0)*(42&gt;=Inv_SvcV)*(42&lt;Inv_SvcV+Inv_F*12)/(Inv_F*12+(Inv_F=0)))*AU$9</f>
        <v>6799.35075</v>
      </c>
      <c r="AV207" s="34" t="n">
        <f aca="false">SUMPRODUCT((Inv_CF*AV$8+Inv_BaseV*(1-AV$8))*(Inv_F&gt;0)*(43&gt;=Inv_SvcV)*(43&lt;Inv_SvcV+Inv_F*12)/(Inv_F*12+(Inv_F=0)))*AV$9</f>
        <v>6799.35075</v>
      </c>
      <c r="AW207" s="34" t="n">
        <f aca="false">SUMPRODUCT((Inv_CF*AW$8+Inv_BaseV*(1-AW$8))*(Inv_F&gt;0)*(44&gt;=Inv_SvcV)*(44&lt;Inv_SvcV+Inv_F*12)/(Inv_F*12+(Inv_F=0)))*AW$9</f>
        <v>6799.35075</v>
      </c>
      <c r="AX207" s="34" t="n">
        <f aca="false">SUMPRODUCT((Inv_CF*AX$8+Inv_BaseV*(1-AX$8))*(Inv_F&gt;0)*(45&gt;=Inv_SvcV)*(45&lt;Inv_SvcV+Inv_F*12)/(Inv_F*12+(Inv_F=0)))*AX$9</f>
        <v>6799.35075</v>
      </c>
      <c r="AY207" s="34" t="n">
        <f aca="false">SUMPRODUCT((Inv_CF*AY$8+Inv_BaseV*(1-AY$8))*(Inv_F&gt;0)*(46&gt;=Inv_SvcV)*(46&lt;Inv_SvcV+Inv_F*12)/(Inv_F*12+(Inv_F=0)))*AY$9</f>
        <v>6799.35075</v>
      </c>
      <c r="AZ207" s="34" t="n">
        <f aca="false">SUMPRODUCT((Inv_CF*AZ$8+Inv_BaseV*(1-AZ$8))*(Inv_F&gt;0)*(47&gt;=Inv_SvcV)*(47&lt;Inv_SvcV+Inv_F*12)/(Inv_F*12+(Inv_F=0)))*AZ$9</f>
        <v>6799.35075</v>
      </c>
      <c r="BA207" s="34" t="n">
        <f aca="false">SUMPRODUCT((Inv_CF*BA$8+Inv_BaseV*(1-BA$8))*(Inv_F&gt;0)*(48&gt;=Inv_SvcV)*(48&lt;Inv_SvcV+Inv_F*12)/(Inv_F*12+(Inv_F=0)))*BA$9</f>
        <v>6799.35075</v>
      </c>
      <c r="BB207" s="34" t="n">
        <f aca="false">SUMPRODUCT((Inv_CF*BB$8+Inv_BaseV*(1-BB$8))*(Inv_F&gt;0)*(49&gt;=Inv_SvcV)*(49&lt;Inv_SvcV+Inv_F*12)/(Inv_F*12+(Inv_F=0)))*BB$9</f>
        <v>6799.35075</v>
      </c>
      <c r="BC207" s="34" t="n">
        <f aca="false">SUMPRODUCT((Inv_CF*BC$8+Inv_BaseV*(1-BC$8))*(Inv_F&gt;0)*(50&gt;=Inv_SvcV)*(50&lt;Inv_SvcV+Inv_F*12)/(Inv_F*12+(Inv_F=0)))*BC$9</f>
        <v>6799.35075</v>
      </c>
      <c r="BD207" s="34" t="n">
        <f aca="false">SUMPRODUCT((Inv_CF*BD$8+Inv_BaseV*(1-BD$8))*(Inv_F&gt;0)*(51&gt;=Inv_SvcV)*(51&lt;Inv_SvcV+Inv_F*12)/(Inv_F*12+(Inv_F=0)))*BD$9</f>
        <v>6799.35075</v>
      </c>
      <c r="BE207" s="34" t="n">
        <f aca="false">SUMPRODUCT((Inv_CF*BE$8+Inv_BaseV*(1-BE$8))*(Inv_F&gt;0)*(52&gt;=Inv_SvcV)*(52&lt;Inv_SvcV+Inv_F*12)/(Inv_F*12+(Inv_F=0)))*BE$9</f>
        <v>6799.35075</v>
      </c>
      <c r="BF207" s="34" t="n">
        <f aca="false">SUMPRODUCT((Inv_CF*BF$8+Inv_BaseV*(1-BF$8))*(Inv_F&gt;0)*(53&gt;=Inv_SvcV)*(53&lt;Inv_SvcV+Inv_F*12)/(Inv_F*12+(Inv_F=0)))*BF$9</f>
        <v>6799.35075</v>
      </c>
      <c r="BG207" s="34" t="n">
        <f aca="false">SUMPRODUCT((Inv_CF*BG$8+Inv_BaseV*(1-BG$8))*(Inv_F&gt;0)*(54&gt;=Inv_SvcV)*(54&lt;Inv_SvcV+Inv_F*12)/(Inv_F*12+(Inv_F=0)))*BG$9</f>
        <v>6799.35075</v>
      </c>
      <c r="BH207" s="34" t="n">
        <f aca="false">SUMPRODUCT((Inv_CF*BH$8+Inv_BaseV*(1-BH$8))*(Inv_F&gt;0)*(55&gt;=Inv_SvcV)*(55&lt;Inv_SvcV+Inv_F*12)/(Inv_F*12+(Inv_F=0)))*BH$9</f>
        <v>6799.35075</v>
      </c>
      <c r="BI207" s="34" t="n">
        <f aca="false">SUMPRODUCT((Inv_CF*BI$8+Inv_BaseV*(1-BI$8))*(Inv_F&gt;0)*(56&gt;=Inv_SvcV)*(56&lt;Inv_SvcV+Inv_F*12)/(Inv_F*12+(Inv_F=0)))*BI$9</f>
        <v>6799.35075</v>
      </c>
      <c r="BJ207" s="34" t="n">
        <f aca="false">SUMPRODUCT((Inv_CF*BJ$8+Inv_BaseV*(1-BJ$8))*(Inv_F&gt;0)*(57&gt;=Inv_SvcV)*(57&lt;Inv_SvcV+Inv_F*12)/(Inv_F*12+(Inv_F=0)))*BJ$9</f>
        <v>6799.35075</v>
      </c>
      <c r="BK207" s="34" t="n">
        <f aca="false">SUMPRODUCT((Inv_CF*BK$8+Inv_BaseV*(1-BK$8))*(Inv_F&gt;0)*(58&gt;=Inv_SvcV)*(58&lt;Inv_SvcV+Inv_F*12)/(Inv_F*12+(Inv_F=0)))*BK$9</f>
        <v>6799.35075</v>
      </c>
      <c r="BL207" s="34" t="n">
        <f aca="false">SUMPRODUCT((Inv_CF*BL$8+Inv_BaseV*(1-BL$8))*(Inv_F&gt;0)*(59&gt;=Inv_SvcV)*(59&lt;Inv_SvcV+Inv_F*12)/(Inv_F*12+(Inv_F=0)))*BL$9</f>
        <v>6799.35075</v>
      </c>
      <c r="BM207" s="34" t="n">
        <f aca="false">SUMPRODUCT((Inv_CF*BM$8+Inv_BaseV*(1-BM$8))*(Inv_F&gt;0)*(60&gt;=Inv_SvcV)*(60&lt;Inv_SvcV+Inv_F*12)/(Inv_F*12+(Inv_F=0)))*BM$9</f>
        <v>6799.35075</v>
      </c>
      <c r="BN207" s="34" t="n">
        <f aca="false">SUMPRODUCT((Inv_CF*BN$8+Inv_BaseV*(1-BN$8))*(Inv_F&gt;0)*(61&gt;=Inv_SvcV)*(61&lt;Inv_SvcV+Inv_F*12)/(Inv_F*12+(Inv_F=0)))*BN$9</f>
        <v>5784.71741666667</v>
      </c>
      <c r="BO207" s="34" t="n">
        <f aca="false">SUMPRODUCT((Inv_CF*BO$8+Inv_BaseV*(1-BO$8))*(Inv_F&gt;0)*(62&gt;=Inv_SvcV)*(62&lt;Inv_SvcV+Inv_F*12)/(Inv_F*12+(Inv_F=0)))*BO$9</f>
        <v>5784.71741666667</v>
      </c>
      <c r="BP207" s="34" t="n">
        <f aca="false">SUMPRODUCT((Inv_CF*BP$8+Inv_BaseV*(1-BP$8))*(Inv_F&gt;0)*(63&gt;=Inv_SvcV)*(63&lt;Inv_SvcV+Inv_F*12)/(Inv_F*12+(Inv_F=0)))*BP$9</f>
        <v>5784.71741666667</v>
      </c>
      <c r="BQ207" s="34" t="n">
        <f aca="false">SUMPRODUCT((Inv_CF*BQ$8+Inv_BaseV*(1-BQ$8))*(Inv_F&gt;0)*(64&gt;=Inv_SvcV)*(64&lt;Inv_SvcV+Inv_F*12)/(Inv_F*12+(Inv_F=0)))*BQ$9</f>
        <v>5784.71741666667</v>
      </c>
      <c r="BR207" s="34" t="n">
        <f aca="false">SUMPRODUCT((Inv_CF*BR$8+Inv_BaseV*(1-BR$8))*(Inv_F&gt;0)*(65&gt;=Inv_SvcV)*(65&lt;Inv_SvcV+Inv_F*12)/(Inv_F*12+(Inv_F=0)))*BR$9</f>
        <v>5784.71741666667</v>
      </c>
      <c r="BS207" s="34" t="n">
        <f aca="false">SUMPRODUCT((Inv_CF*BS$8+Inv_BaseV*(1-BS$8))*(Inv_F&gt;0)*(66&gt;=Inv_SvcV)*(66&lt;Inv_SvcV+Inv_F*12)/(Inv_F*12+(Inv_F=0)))*BS$9</f>
        <v>5784.71741666667</v>
      </c>
      <c r="BT207" s="34" t="n">
        <f aca="false">SUMPRODUCT((Inv_CF*BT$8+Inv_BaseV*(1-BT$8))*(Inv_F&gt;0)*(67&gt;=Inv_SvcV)*(67&lt;Inv_SvcV+Inv_F*12)/(Inv_F*12+(Inv_F=0)))*BT$9</f>
        <v>5784.71741666667</v>
      </c>
      <c r="BU207" s="34" t="n">
        <f aca="false">SUMPRODUCT((Inv_CF*BU$8+Inv_BaseV*(1-BU$8))*(Inv_F&gt;0)*(68&gt;=Inv_SvcV)*(68&lt;Inv_SvcV+Inv_F*12)/(Inv_F*12+(Inv_F=0)))*BU$9</f>
        <v>5784.71741666667</v>
      </c>
      <c r="BV207" s="34" t="n">
        <f aca="false">SUMPRODUCT((Inv_CF*BV$8+Inv_BaseV*(1-BV$8))*(Inv_F&gt;0)*(69&gt;=Inv_SvcV)*(69&lt;Inv_SvcV+Inv_F*12)/(Inv_F*12+(Inv_F=0)))*BV$9</f>
        <v>5784.71741666667</v>
      </c>
      <c r="BW207" s="34" t="n">
        <f aca="false">SUMPRODUCT((Inv_CF*BW$8+Inv_BaseV*(1-BW$8))*(Inv_F&gt;0)*(70&gt;=Inv_SvcV)*(70&lt;Inv_SvcV+Inv_F*12)/(Inv_F*12+(Inv_F=0)))*BW$9</f>
        <v>5784.71741666667</v>
      </c>
      <c r="BX207" s="34" t="n">
        <f aca="false">SUMPRODUCT((Inv_CF*BX$8+Inv_BaseV*(1-BX$8))*(Inv_F&gt;0)*(71&gt;=Inv_SvcV)*(71&lt;Inv_SvcV+Inv_F*12)/(Inv_F*12+(Inv_F=0)))*BX$9</f>
        <v>5784.71741666667</v>
      </c>
      <c r="BY207" s="34" t="n">
        <f aca="false">SUMPRODUCT((Inv_CF*BY$8+Inv_BaseV*(1-BY$8))*(Inv_F&gt;0)*(72&gt;=Inv_SvcV)*(72&lt;Inv_SvcV+Inv_F*12)/(Inv_F*12+(Inv_F=0)))*BY$9</f>
        <v>5784.71741666667</v>
      </c>
      <c r="BZ207" s="34" t="n">
        <f aca="false">SUMPRODUCT((Inv_CF*BZ$8+Inv_BaseV*(1-BZ$8))*(Inv_F&gt;0)*(73&gt;=Inv_SvcV)*(73&lt;Inv_SvcV+Inv_F*12)/(Inv_F*12+(Inv_F=0)))*BZ$9</f>
        <v>5784.71741666667</v>
      </c>
      <c r="CA207" s="34" t="n">
        <f aca="false">SUMPRODUCT((Inv_CF*CA$8+Inv_BaseV*(1-CA$8))*(Inv_F&gt;0)*(74&gt;=Inv_SvcV)*(74&lt;Inv_SvcV+Inv_F*12)/(Inv_F*12+(Inv_F=0)))*CA$9</f>
        <v>5784.71741666667</v>
      </c>
      <c r="CB207" s="34" t="n">
        <f aca="false">SUMPRODUCT((Inv_CF*CB$8+Inv_BaseV*(1-CB$8))*(Inv_F&gt;0)*(75&gt;=Inv_SvcV)*(75&lt;Inv_SvcV+Inv_F*12)/(Inv_F*12+(Inv_F=0)))*CB$9</f>
        <v>5784.71741666667</v>
      </c>
      <c r="CC207" s="34" t="n">
        <f aca="false">SUMPRODUCT((Inv_CF*CC$8+Inv_BaseV*(1-CC$8))*(Inv_F&gt;0)*(76&gt;=Inv_SvcV)*(76&lt;Inv_SvcV+Inv_F*12)/(Inv_F*12+(Inv_F=0)))*CC$9</f>
        <v>5784.71741666667</v>
      </c>
      <c r="CD207" s="34" t="n">
        <f aca="false">SUMPRODUCT((Inv_CF*CD$8+Inv_BaseV*(1-CD$8))*(Inv_F&gt;0)*(77&gt;=Inv_SvcV)*(77&lt;Inv_SvcV+Inv_F*12)/(Inv_F*12+(Inv_F=0)))*CD$9</f>
        <v>5784.71741666667</v>
      </c>
      <c r="CE207" s="34" t="n">
        <f aca="false">SUMPRODUCT((Inv_CF*CE$8+Inv_BaseV*(1-CE$8))*(Inv_F&gt;0)*(78&gt;=Inv_SvcV)*(78&lt;Inv_SvcV+Inv_F*12)/(Inv_F*12+(Inv_F=0)))*CE$9</f>
        <v>5784.71741666667</v>
      </c>
      <c r="CF207" s="34" t="n">
        <f aca="false">SUMPRODUCT((Inv_CF*CF$8+Inv_BaseV*(1-CF$8))*(Inv_F&gt;0)*(79&gt;=Inv_SvcV)*(79&lt;Inv_SvcV+Inv_F*12)/(Inv_F*12+(Inv_F=0)))*CF$9</f>
        <v>5784.71741666667</v>
      </c>
      <c r="CG207" s="34" t="n">
        <f aca="false">SUMPRODUCT((Inv_CF*CG$8+Inv_BaseV*(1-CG$8))*(Inv_F&gt;0)*(80&gt;=Inv_SvcV)*(80&lt;Inv_SvcV+Inv_F*12)/(Inv_F*12+(Inv_F=0)))*CG$9</f>
        <v>5784.71741666667</v>
      </c>
      <c r="CH207" s="34" t="n">
        <f aca="false">SUMPRODUCT((Inv_CF*CH$8+Inv_BaseV*(1-CH$8))*(Inv_F&gt;0)*(81&gt;=Inv_SvcV)*(81&lt;Inv_SvcV+Inv_F*12)/(Inv_F*12+(Inv_F=0)))*CH$9</f>
        <v>5784.71741666667</v>
      </c>
      <c r="CI207" s="34" t="n">
        <f aca="false">SUMPRODUCT((Inv_CF*CI$8+Inv_BaseV*(1-CI$8))*(Inv_F&gt;0)*(82&gt;=Inv_SvcV)*(82&lt;Inv_SvcV+Inv_F*12)/(Inv_F*12+(Inv_F=0)))*CI$9</f>
        <v>5784.71741666667</v>
      </c>
      <c r="CJ207" s="34" t="n">
        <f aca="false">SUMPRODUCT((Inv_CF*CJ$8+Inv_BaseV*(1-CJ$8))*(Inv_F&gt;0)*(83&gt;=Inv_SvcV)*(83&lt;Inv_SvcV+Inv_F*12)/(Inv_F*12+(Inv_F=0)))*CJ$9</f>
        <v>5784.71741666667</v>
      </c>
      <c r="CK207" s="34" t="n">
        <f aca="false">SUMPRODUCT((Inv_CF*CK$8+Inv_BaseV*(1-CK$8))*(Inv_F&gt;0)*(84&gt;=Inv_SvcV)*(84&lt;Inv_SvcV+Inv_F*12)/(Inv_F*12+(Inv_F=0)))*CK$9</f>
        <v>5784.71741666667</v>
      </c>
      <c r="CL207" s="34" t="n">
        <f aca="false">SUMPRODUCT((Inv_CF*CL$8+Inv_BaseV*(1-CL$8))*(Inv_F&gt;0)*(85&gt;=Inv_SvcV)*(85&lt;Inv_SvcV+Inv_F*12)/(Inv_F*12+(Inv_F=0)))*CL$9</f>
        <v>5784.71741666667</v>
      </c>
      <c r="CM207" s="34" t="n">
        <f aca="false">SUMPRODUCT((Inv_CF*CM$8+Inv_BaseV*(1-CM$8))*(Inv_F&gt;0)*(86&gt;=Inv_SvcV)*(86&lt;Inv_SvcV+Inv_F*12)/(Inv_F*12+(Inv_F=0)))*CM$9</f>
        <v>5784.71741666667</v>
      </c>
      <c r="CN207" s="34" t="n">
        <f aca="false">SUMPRODUCT((Inv_CF*CN$8+Inv_BaseV*(1-CN$8))*(Inv_F&gt;0)*(87&gt;=Inv_SvcV)*(87&lt;Inv_SvcV+Inv_F*12)/(Inv_F*12+(Inv_F=0)))*CN$9</f>
        <v>5784.71741666667</v>
      </c>
      <c r="CO207" s="34" t="n">
        <f aca="false">SUMPRODUCT((Inv_CF*CO$8+Inv_BaseV*(1-CO$8))*(Inv_F&gt;0)*(88&gt;=Inv_SvcV)*(88&lt;Inv_SvcV+Inv_F*12)/(Inv_F*12+(Inv_F=0)))*CO$9</f>
        <v>5784.71741666667</v>
      </c>
      <c r="CP207" s="34" t="n">
        <f aca="false">SUMPRODUCT((Inv_CF*CP$8+Inv_BaseV*(1-CP$8))*(Inv_F&gt;0)*(89&gt;=Inv_SvcV)*(89&lt;Inv_SvcV+Inv_F*12)/(Inv_F*12+(Inv_F=0)))*CP$9</f>
        <v>5784.71741666667</v>
      </c>
      <c r="CQ207" s="34" t="n">
        <f aca="false">SUMPRODUCT((Inv_CF*CQ$8+Inv_BaseV*(1-CQ$8))*(Inv_F&gt;0)*(90&gt;=Inv_SvcV)*(90&lt;Inv_SvcV+Inv_F*12)/(Inv_F*12+(Inv_F=0)))*CQ$9</f>
        <v>5784.71741666667</v>
      </c>
      <c r="CR207" s="34" t="n">
        <f aca="false">SUMPRODUCT((Inv_CF*CR$8+Inv_BaseV*(1-CR$8))*(Inv_F&gt;0)*(91&gt;=Inv_SvcV)*(91&lt;Inv_SvcV+Inv_F*12)/(Inv_F*12+(Inv_F=0)))*CR$9</f>
        <v>5784.71741666667</v>
      </c>
      <c r="CS207" s="34" t="n">
        <f aca="false">SUMPRODUCT((Inv_CF*CS$8+Inv_BaseV*(1-CS$8))*(Inv_F&gt;0)*(92&gt;=Inv_SvcV)*(92&lt;Inv_SvcV+Inv_F*12)/(Inv_F*12+(Inv_F=0)))*CS$9</f>
        <v>5784.71741666667</v>
      </c>
      <c r="CT207" s="34" t="n">
        <f aca="false">SUMPRODUCT((Inv_CF*CT$8+Inv_BaseV*(1-CT$8))*(Inv_F&gt;0)*(93&gt;=Inv_SvcV)*(93&lt;Inv_SvcV+Inv_F*12)/(Inv_F*12+(Inv_F=0)))*CT$9</f>
        <v>5784.71741666667</v>
      </c>
      <c r="CU207" s="34" t="n">
        <f aca="false">SUMPRODUCT((Inv_CF*CU$8+Inv_BaseV*(1-CU$8))*(Inv_F&gt;0)*(94&gt;=Inv_SvcV)*(94&lt;Inv_SvcV+Inv_F*12)/(Inv_F*12+(Inv_F=0)))*CU$9</f>
        <v>5784.71741666667</v>
      </c>
      <c r="CV207" s="34" t="n">
        <f aca="false">SUMPRODUCT((Inv_CF*CV$8+Inv_BaseV*(1-CV$8))*(Inv_F&gt;0)*(95&gt;=Inv_SvcV)*(95&lt;Inv_SvcV+Inv_F*12)/(Inv_F*12+(Inv_F=0)))*CV$9</f>
        <v>5784.71741666667</v>
      </c>
      <c r="CW207" s="34" t="n">
        <f aca="false">SUMPRODUCT((Inv_CF*CW$8+Inv_BaseV*(1-CW$8))*(Inv_F&gt;0)*(96&gt;=Inv_SvcV)*(96&lt;Inv_SvcV+Inv_F*12)/(Inv_F*12+(Inv_F=0)))*CW$9</f>
        <v>5784.71741666667</v>
      </c>
      <c r="CX207" s="34" t="n">
        <f aca="false">SUMPRODUCT((Inv_CF*CX$8+Inv_BaseV*(1-CX$8))*(Inv_F&gt;0)*(97&gt;=Inv_SvcV)*(97&lt;Inv_SvcV+Inv_F*12)/(Inv_F*12+(Inv_F=0)))*CX$9</f>
        <v>5784.71741666667</v>
      </c>
      <c r="CY207" s="34" t="n">
        <f aca="false">SUMPRODUCT((Inv_CF*CY$8+Inv_BaseV*(1-CY$8))*(Inv_F&gt;0)*(98&gt;=Inv_SvcV)*(98&lt;Inv_SvcV+Inv_F*12)/(Inv_F*12+(Inv_F=0)))*CY$9</f>
        <v>5784.71741666667</v>
      </c>
      <c r="CZ207" s="34" t="n">
        <f aca="false">SUMPRODUCT((Inv_CF*CZ$8+Inv_BaseV*(1-CZ$8))*(Inv_F&gt;0)*(99&gt;=Inv_SvcV)*(99&lt;Inv_SvcV+Inv_F*12)/(Inv_F*12+(Inv_F=0)))*CZ$9</f>
        <v>5784.71741666667</v>
      </c>
      <c r="DA207" s="34" t="n">
        <f aca="false">SUMPRODUCT((Inv_CF*DA$8+Inv_BaseV*(1-DA$8))*(Inv_F&gt;0)*(100&gt;=Inv_SvcV)*(100&lt;Inv_SvcV+Inv_F*12)/(Inv_F*12+(Inv_F=0)))*DA$9</f>
        <v>5784.71741666667</v>
      </c>
      <c r="DB207" s="34" t="n">
        <f aca="false">SUMPRODUCT((Inv_CF*DB$8+Inv_BaseV*(1-DB$8))*(Inv_F&gt;0)*(101&gt;=Inv_SvcV)*(101&lt;Inv_SvcV+Inv_F*12)/(Inv_F*12+(Inv_F=0)))*DB$9</f>
        <v>5784.71741666667</v>
      </c>
      <c r="DC207" s="34" t="n">
        <f aca="false">SUMPRODUCT((Inv_CF*DC$8+Inv_BaseV*(1-DC$8))*(Inv_F&gt;0)*(102&gt;=Inv_SvcV)*(102&lt;Inv_SvcV+Inv_F*12)/(Inv_F*12+(Inv_F=0)))*DC$9</f>
        <v>5784.71741666667</v>
      </c>
      <c r="DD207" s="34" t="n">
        <f aca="false">SUMPRODUCT((Inv_CF*DD$8+Inv_BaseV*(1-DD$8))*(Inv_F&gt;0)*(103&gt;=Inv_SvcV)*(103&lt;Inv_SvcV+Inv_F*12)/(Inv_F*12+(Inv_F=0)))*DD$9</f>
        <v>5784.71741666667</v>
      </c>
      <c r="DE207" s="34" t="n">
        <f aca="false">SUMPRODUCT((Inv_CF*DE$8+Inv_BaseV*(1-DE$8))*(Inv_F&gt;0)*(104&gt;=Inv_SvcV)*(104&lt;Inv_SvcV+Inv_F*12)/(Inv_F*12+(Inv_F=0)))*DE$9</f>
        <v>5784.71741666667</v>
      </c>
      <c r="DF207" s="34" t="n">
        <f aca="false">SUMPRODUCT((Inv_CF*DF$8+Inv_BaseV*(1-DF$8))*(Inv_F&gt;0)*(105&gt;=Inv_SvcV)*(105&lt;Inv_SvcV+Inv_F*12)/(Inv_F*12+(Inv_F=0)))*DF$9</f>
        <v>5784.71741666667</v>
      </c>
      <c r="DG207" s="34" t="n">
        <f aca="false">SUMPRODUCT((Inv_CF*DG$8+Inv_BaseV*(1-DG$8))*(Inv_F&gt;0)*(106&gt;=Inv_SvcV)*(106&lt;Inv_SvcV+Inv_F*12)/(Inv_F*12+(Inv_F=0)))*DG$9</f>
        <v>5784.71741666667</v>
      </c>
      <c r="DH207" s="34" t="n">
        <f aca="false">SUMPRODUCT((Inv_CF*DH$8+Inv_BaseV*(1-DH$8))*(Inv_F&gt;0)*(107&gt;=Inv_SvcV)*(107&lt;Inv_SvcV+Inv_F*12)/(Inv_F*12+(Inv_F=0)))*DH$9</f>
        <v>5784.71741666667</v>
      </c>
      <c r="DI207" s="34" t="n">
        <f aca="false">SUMPRODUCT((Inv_CF*DI$8+Inv_BaseV*(1-DI$8))*(Inv_F&gt;0)*(108&gt;=Inv_SvcV)*(108&lt;Inv_SvcV+Inv_F*12)/(Inv_F*12+(Inv_F=0)))*DI$9</f>
        <v>5784.71741666667</v>
      </c>
      <c r="DJ207" s="34" t="n">
        <f aca="false">SUMPRODUCT((Inv_CF*DJ$8+Inv_BaseV*(1-DJ$8))*(Inv_F&gt;0)*(109&gt;=Inv_SvcV)*(109&lt;Inv_SvcV+Inv_F*12)/(Inv_F*12+(Inv_F=0)))*DJ$9</f>
        <v>5784.71741666667</v>
      </c>
      <c r="DK207" s="34" t="n">
        <f aca="false">SUMPRODUCT((Inv_CF*DK$8+Inv_BaseV*(1-DK$8))*(Inv_F&gt;0)*(110&gt;=Inv_SvcV)*(110&lt;Inv_SvcV+Inv_F*12)/(Inv_F*12+(Inv_F=0)))*DK$9</f>
        <v>5784.71741666667</v>
      </c>
      <c r="DL207" s="34" t="n">
        <f aca="false">SUMPRODUCT((Inv_CF*DL$8+Inv_BaseV*(1-DL$8))*(Inv_F&gt;0)*(111&gt;=Inv_SvcV)*(111&lt;Inv_SvcV+Inv_F*12)/(Inv_F*12+(Inv_F=0)))*DL$9</f>
        <v>5784.71741666667</v>
      </c>
      <c r="DM207" s="34" t="n">
        <f aca="false">SUMPRODUCT((Inv_CF*DM$8+Inv_BaseV*(1-DM$8))*(Inv_F&gt;0)*(112&gt;=Inv_SvcV)*(112&lt;Inv_SvcV+Inv_F*12)/(Inv_F*12+(Inv_F=0)))*DM$9</f>
        <v>5784.71741666667</v>
      </c>
      <c r="DN207" s="34" t="n">
        <f aca="false">SUMPRODUCT((Inv_CF*DN$8+Inv_BaseV*(1-DN$8))*(Inv_F&gt;0)*(113&gt;=Inv_SvcV)*(113&lt;Inv_SvcV+Inv_F*12)/(Inv_F*12+(Inv_F=0)))*DN$9</f>
        <v>5784.71741666667</v>
      </c>
      <c r="DO207" s="34" t="n">
        <f aca="false">SUMPRODUCT((Inv_CF*DO$8+Inv_BaseV*(1-DO$8))*(Inv_F&gt;0)*(114&gt;=Inv_SvcV)*(114&lt;Inv_SvcV+Inv_F*12)/(Inv_F*12+(Inv_F=0)))*DO$9</f>
        <v>5784.71741666667</v>
      </c>
      <c r="DP207" s="34" t="n">
        <f aca="false">SUMPRODUCT((Inv_CF*DP$8+Inv_BaseV*(1-DP$8))*(Inv_F&gt;0)*(115&gt;=Inv_SvcV)*(115&lt;Inv_SvcV+Inv_F*12)/(Inv_F*12+(Inv_F=0)))*DP$9</f>
        <v>5784.71741666667</v>
      </c>
      <c r="DQ207" s="34" t="n">
        <f aca="false">SUMPRODUCT((Inv_CF*DQ$8+Inv_BaseV*(1-DQ$8))*(Inv_F&gt;0)*(116&gt;=Inv_SvcV)*(116&lt;Inv_SvcV+Inv_F*12)/(Inv_F*12+(Inv_F=0)))*DQ$9</f>
        <v>5784.71741666667</v>
      </c>
      <c r="DR207" s="34" t="n">
        <f aca="false">SUMPRODUCT((Inv_CF*DR$8+Inv_BaseV*(1-DR$8))*(Inv_F&gt;0)*(117&gt;=Inv_SvcV)*(117&lt;Inv_SvcV+Inv_F*12)/(Inv_F*12+(Inv_F=0)))*DR$9</f>
        <v>5784.71741666667</v>
      </c>
      <c r="DS207" s="34" t="n">
        <f aca="false">SUMPRODUCT((Inv_CF*DS$8+Inv_BaseV*(1-DS$8))*(Inv_F&gt;0)*(118&gt;=Inv_SvcV)*(118&lt;Inv_SvcV+Inv_F*12)/(Inv_F*12+(Inv_F=0)))*DS$9</f>
        <v>5784.71741666667</v>
      </c>
      <c r="DT207" s="34" t="n">
        <f aca="false">SUMPRODUCT((Inv_CF*DT$8+Inv_BaseV*(1-DT$8))*(Inv_F&gt;0)*(119&gt;=Inv_SvcV)*(119&lt;Inv_SvcV+Inv_F*12)/(Inv_F*12+(Inv_F=0)))*DT$9</f>
        <v>5784.71741666667</v>
      </c>
      <c r="DU207" s="34" t="n">
        <f aca="false">SUMPRODUCT((Inv_CF*DU$8+Inv_BaseV*(1-DU$8))*(Inv_F&gt;0)*(120&gt;=Inv_SvcV)*(120&lt;Inv_SvcV+Inv_F*12)/(Inv_F*12+(Inv_F=0)))*DU$9</f>
        <v>5784.71741666667</v>
      </c>
      <c r="DV207" s="34" t="n">
        <f aca="false">SUMPRODUCT((Inv_CF*DV$8+Inv_BaseV*(1-DV$8))*(Inv_F&gt;0)*(121&gt;=Inv_SvcV)*(121&lt;Inv_SvcV+Inv_F*12)/(Inv_F*12+(Inv_F=0)))*DV$9</f>
        <v>0</v>
      </c>
      <c r="DW207" s="34" t="n">
        <f aca="false">SUMPRODUCT((Inv_CF*DW$8+Inv_BaseV*(1-DW$8))*(Inv_F&gt;0)*(122&gt;=Inv_SvcV)*(122&lt;Inv_SvcV+Inv_F*12)/(Inv_F*12+(Inv_F=0)))*DW$9</f>
        <v>0</v>
      </c>
      <c r="DX207" s="34" t="n">
        <f aca="false">SUMPRODUCT((Inv_CF*DX$8+Inv_BaseV*(1-DX$8))*(Inv_F&gt;0)*(123&gt;=Inv_SvcV)*(123&lt;Inv_SvcV+Inv_F*12)/(Inv_F*12+(Inv_F=0)))*DX$9</f>
        <v>0</v>
      </c>
      <c r="DY207" s="34" t="n">
        <f aca="false">SUMPRODUCT((Inv_CF*DY$8+Inv_BaseV*(1-DY$8))*(Inv_F&gt;0)*(124&gt;=Inv_SvcV)*(124&lt;Inv_SvcV+Inv_F*12)/(Inv_F*12+(Inv_F=0)))*DY$9</f>
        <v>0</v>
      </c>
      <c r="DZ207" s="34" t="n">
        <f aca="false">SUMPRODUCT((Inv_CF*DZ$8+Inv_BaseV*(1-DZ$8))*(Inv_F&gt;0)*(125&gt;=Inv_SvcV)*(125&lt;Inv_SvcV+Inv_F*12)/(Inv_F*12+(Inv_F=0)))*DZ$9</f>
        <v>0</v>
      </c>
      <c r="EA207" s="34" t="n">
        <f aca="false">SUMPRODUCT((Inv_CF*EA$8+Inv_BaseV*(1-EA$8))*(Inv_F&gt;0)*(126&gt;=Inv_SvcV)*(126&lt;Inv_SvcV+Inv_F*12)/(Inv_F*12+(Inv_F=0)))*EA$9</f>
        <v>0</v>
      </c>
      <c r="EB207" s="34" t="n">
        <f aca="false">SUMPRODUCT((Inv_CF*EB$8+Inv_BaseV*(1-EB$8))*(Inv_F&gt;0)*(127&gt;=Inv_SvcV)*(127&lt;Inv_SvcV+Inv_F*12)/(Inv_F*12+(Inv_F=0)))*EB$9</f>
        <v>0</v>
      </c>
      <c r="EC207" s="34" t="n">
        <f aca="false">SUMPRODUCT((Inv_CF*EC$8+Inv_BaseV*(1-EC$8))*(Inv_F&gt;0)*(128&gt;=Inv_SvcV)*(128&lt;Inv_SvcV+Inv_F*12)/(Inv_F*12+(Inv_F=0)))*EC$9</f>
        <v>0</v>
      </c>
      <c r="ED207" s="34" t="n">
        <f aca="false">SUMPRODUCT((Inv_CF*ED$8+Inv_BaseV*(1-ED$8))*(Inv_F&gt;0)*(129&gt;=Inv_SvcV)*(129&lt;Inv_SvcV+Inv_F*12)/(Inv_F*12+(Inv_F=0)))*ED$9</f>
        <v>0</v>
      </c>
      <c r="EE207" s="34" t="n">
        <f aca="false">SUMPRODUCT((Inv_CF*EE$8+Inv_BaseV*(1-EE$8))*(Inv_F&gt;0)*(130&gt;=Inv_SvcV)*(130&lt;Inv_SvcV+Inv_F*12)/(Inv_F*12+(Inv_F=0)))*EE$9</f>
        <v>0</v>
      </c>
      <c r="EF207" s="34" t="n">
        <f aca="false">SUMPRODUCT((Inv_CF*EF$8+Inv_BaseV*(1-EF$8))*(Inv_F&gt;0)*(131&gt;=Inv_SvcV)*(131&lt;Inv_SvcV+Inv_F*12)/(Inv_F*12+(Inv_F=0)))*EF$9</f>
        <v>0</v>
      </c>
      <c r="EG207" s="34" t="n">
        <f aca="false">SUMPRODUCT((Inv_CF*EG$8+Inv_BaseV*(1-EG$8))*(Inv_F&gt;0)*(132&gt;=Inv_SvcV)*(132&lt;Inv_SvcV+Inv_F*12)/(Inv_F*12+(Inv_F=0)))*EG$9</f>
        <v>0</v>
      </c>
      <c r="EH207" s="34" t="n">
        <f aca="false">SUMPRODUCT((Inv_CF*EH$8+Inv_BaseV*(1-EH$8))*(Inv_F&gt;0)*(133&gt;=Inv_SvcV)*(133&lt;Inv_SvcV+Inv_F*12)/(Inv_F*12+(Inv_F=0)))*EH$9</f>
        <v>0</v>
      </c>
      <c r="EI207" s="34" t="n">
        <f aca="false">SUMPRODUCT((Inv_CF*EI$8+Inv_BaseV*(1-EI$8))*(Inv_F&gt;0)*(134&gt;=Inv_SvcV)*(134&lt;Inv_SvcV+Inv_F*12)/(Inv_F*12+(Inv_F=0)))*EI$9</f>
        <v>0</v>
      </c>
      <c r="EJ207" s="34" t="n">
        <f aca="false">SUMPRODUCT((Inv_CF*EJ$8+Inv_BaseV*(1-EJ$8))*(Inv_F&gt;0)*(135&gt;=Inv_SvcV)*(135&lt;Inv_SvcV+Inv_F*12)/(Inv_F*12+(Inv_F=0)))*EJ$9</f>
        <v>0</v>
      </c>
      <c r="EK207" s="34" t="n">
        <f aca="false">SUMPRODUCT((Inv_CF*EK$8+Inv_BaseV*(1-EK$8))*(Inv_F&gt;0)*(136&gt;=Inv_SvcV)*(136&lt;Inv_SvcV+Inv_F*12)/(Inv_F*12+(Inv_F=0)))*EK$9</f>
        <v>0</v>
      </c>
      <c r="EL207" s="34" t="n">
        <f aca="false">SUMPRODUCT((Inv_CF*EL$8+Inv_BaseV*(1-EL$8))*(Inv_F&gt;0)*(137&gt;=Inv_SvcV)*(137&lt;Inv_SvcV+Inv_F*12)/(Inv_F*12+(Inv_F=0)))*EL$9</f>
        <v>0</v>
      </c>
      <c r="EM207" s="34" t="n">
        <f aca="false">SUMPRODUCT((Inv_CF*EM$8+Inv_BaseV*(1-EM$8))*(Inv_F&gt;0)*(138&gt;=Inv_SvcV)*(138&lt;Inv_SvcV+Inv_F*12)/(Inv_F*12+(Inv_F=0)))*EM$9</f>
        <v>0</v>
      </c>
      <c r="EN207" s="34" t="n">
        <f aca="false">SUMPRODUCT((Inv_CF*EN$8+Inv_BaseV*(1-EN$8))*(Inv_F&gt;0)*(139&gt;=Inv_SvcV)*(139&lt;Inv_SvcV+Inv_F*12)/(Inv_F*12+(Inv_F=0)))*EN$9</f>
        <v>0</v>
      </c>
      <c r="EO207" s="34" t="n">
        <f aca="false">SUMPRODUCT((Inv_CF*EO$8+Inv_BaseV*(1-EO$8))*(Inv_F&gt;0)*(140&gt;=Inv_SvcV)*(140&lt;Inv_SvcV+Inv_F*12)/(Inv_F*12+(Inv_F=0)))*EO$9</f>
        <v>0</v>
      </c>
      <c r="EP207" s="34" t="n">
        <f aca="false">SUMPRODUCT((Inv_CF*EP$8+Inv_BaseV*(1-EP$8))*(Inv_F&gt;0)*(141&gt;=Inv_SvcV)*(141&lt;Inv_SvcV+Inv_F*12)/(Inv_F*12+(Inv_F=0)))*EP$9</f>
        <v>0</v>
      </c>
      <c r="EQ207" s="34" t="n">
        <f aca="false">SUMPRODUCT((Inv_CF*EQ$8+Inv_BaseV*(1-EQ$8))*(Inv_F&gt;0)*(142&gt;=Inv_SvcV)*(142&lt;Inv_SvcV+Inv_F*12)/(Inv_F*12+(Inv_F=0)))*EQ$9</f>
        <v>0</v>
      </c>
      <c r="ER207" s="34" t="n">
        <f aca="false">SUMPRODUCT((Inv_CF*ER$8+Inv_BaseV*(1-ER$8))*(Inv_F&gt;0)*(143&gt;=Inv_SvcV)*(143&lt;Inv_SvcV+Inv_F*12)/(Inv_F*12+(Inv_F=0)))*ER$9</f>
        <v>0</v>
      </c>
      <c r="ES207" s="34" t="n">
        <f aca="false">SUMPRODUCT((Inv_CF*ES$8+Inv_BaseV*(1-ES$8))*(Inv_F&gt;0)*(144&gt;=Inv_SvcV)*(144&lt;Inv_SvcV+Inv_F*12)/(Inv_F*12+(Inv_F=0)))*ES$9</f>
        <v>0</v>
      </c>
    </row>
    <row r="208" customFormat="false" ht="15" hidden="false" customHeight="false" outlineLevel="0" collapsed="false">
      <c r="A208" s="2" t="s">
        <v>822</v>
      </c>
      <c r="B208" s="6" t="s">
        <v>645</v>
      </c>
      <c r="C208" s="6" t="s">
        <v>250</v>
      </c>
      <c r="E208" s="40" t="n">
        <f aca="false">SUM(F208:ES208)</f>
        <v>15564459.926261</v>
      </c>
      <c r="F208" s="34" t="n">
        <f aca="false">F$206-F$207</f>
        <v>36531.4830589231</v>
      </c>
      <c r="G208" s="34" t="n">
        <f aca="false">G$206-G$207</f>
        <v>36531.4830589231</v>
      </c>
      <c r="H208" s="34" t="n">
        <f aca="false">H$206-H$207</f>
        <v>36531.4830589231</v>
      </c>
      <c r="I208" s="34" t="n">
        <f aca="false">I$206-I$207</f>
        <v>36531.4830589231</v>
      </c>
      <c r="J208" s="34" t="n">
        <f aca="false">J$206-J$207</f>
        <v>36531.4830589231</v>
      </c>
      <c r="K208" s="34" t="n">
        <f aca="false">K$206-K$207</f>
        <v>36531.4830589231</v>
      </c>
      <c r="L208" s="34" t="n">
        <f aca="false">L$206-L$207</f>
        <v>36531.4830589231</v>
      </c>
      <c r="M208" s="34" t="n">
        <f aca="false">M$206-M$207</f>
        <v>36531.4830589231</v>
      </c>
      <c r="N208" s="34" t="n">
        <f aca="false">N$206-N$207</f>
        <v>36531.4830589231</v>
      </c>
      <c r="O208" s="34" t="n">
        <f aca="false">O$206-O$207</f>
        <v>36531.4830589231</v>
      </c>
      <c r="P208" s="34" t="n">
        <f aca="false">P$206-P$207</f>
        <v>36531.4830589231</v>
      </c>
      <c r="Q208" s="34" t="n">
        <f aca="false">Q$206-Q$207</f>
        <v>36531.4830589231</v>
      </c>
      <c r="R208" s="34" t="n">
        <f aca="false">R$206-R$207</f>
        <v>73697.0522439648</v>
      </c>
      <c r="S208" s="34" t="n">
        <f aca="false">S$206-S$207</f>
        <v>73697.0522439648</v>
      </c>
      <c r="T208" s="34" t="n">
        <f aca="false">T$206-T$207</f>
        <v>73697.0522439648</v>
      </c>
      <c r="U208" s="34" t="n">
        <f aca="false">U$206-U$207</f>
        <v>73697.0522439648</v>
      </c>
      <c r="V208" s="34" t="n">
        <f aca="false">V$206-V$207</f>
        <v>73697.0522439648</v>
      </c>
      <c r="W208" s="34" t="n">
        <f aca="false">W$206-W$207</f>
        <v>73697.0522439648</v>
      </c>
      <c r="X208" s="34" t="n">
        <f aca="false">X$206-X$207</f>
        <v>73697.0522439648</v>
      </c>
      <c r="Y208" s="34" t="n">
        <f aca="false">Y$206-Y$207</f>
        <v>73697.0522439648</v>
      </c>
      <c r="Z208" s="34" t="n">
        <f aca="false">Z$206-Z$207</f>
        <v>73697.0522439648</v>
      </c>
      <c r="AA208" s="34" t="n">
        <f aca="false">AA$206-AA$207</f>
        <v>73697.0522439648</v>
      </c>
      <c r="AB208" s="34" t="n">
        <f aca="false">AB$206-AB$207</f>
        <v>73697.0522439648</v>
      </c>
      <c r="AC208" s="34" t="n">
        <f aca="false">AC$206-AC$207</f>
        <v>73697.0522439648</v>
      </c>
      <c r="AD208" s="34" t="n">
        <f aca="false">AD$206-AD$207</f>
        <v>110285.680115125</v>
      </c>
      <c r="AE208" s="34" t="n">
        <f aca="false">AE$206-AE$207</f>
        <v>110285.680115125</v>
      </c>
      <c r="AF208" s="34" t="n">
        <f aca="false">AF$206-AF$207</f>
        <v>110285.680115125</v>
      </c>
      <c r="AG208" s="34" t="n">
        <f aca="false">AG$206-AG$207</f>
        <v>110285.680115125</v>
      </c>
      <c r="AH208" s="34" t="n">
        <f aca="false">AH$206-AH$207</f>
        <v>110285.680115125</v>
      </c>
      <c r="AI208" s="34" t="n">
        <f aca="false">AI$206-AI$207</f>
        <v>110285.680115125</v>
      </c>
      <c r="AJ208" s="34" t="n">
        <f aca="false">AJ$206-AJ$207</f>
        <v>110285.680115125</v>
      </c>
      <c r="AK208" s="34" t="n">
        <f aca="false">AK$206-AK$207</f>
        <v>110285.680115125</v>
      </c>
      <c r="AL208" s="34" t="n">
        <f aca="false">AL$206-AL$207</f>
        <v>110285.680115125</v>
      </c>
      <c r="AM208" s="34" t="n">
        <f aca="false">AM$206-AM$207</f>
        <v>110285.680115125</v>
      </c>
      <c r="AN208" s="34" t="n">
        <f aca="false">AN$206-AN$207</f>
        <v>110285.680115125</v>
      </c>
      <c r="AO208" s="34" t="n">
        <f aca="false">AO$206-AO$207</f>
        <v>110285.680115125</v>
      </c>
      <c r="AP208" s="34" t="n">
        <f aca="false">AP$206-AP$207</f>
        <v>143094.229129858</v>
      </c>
      <c r="AQ208" s="34" t="n">
        <f aca="false">AQ$206-AQ$207</f>
        <v>143094.229129858</v>
      </c>
      <c r="AR208" s="34" t="n">
        <f aca="false">AR$206-AR$207</f>
        <v>143094.229129858</v>
      </c>
      <c r="AS208" s="34" t="n">
        <f aca="false">AS$206-AS$207</f>
        <v>143094.229129858</v>
      </c>
      <c r="AT208" s="34" t="n">
        <f aca="false">AT$206-AT$207</f>
        <v>143094.229129858</v>
      </c>
      <c r="AU208" s="34" t="n">
        <f aca="false">AU$206-AU$207</f>
        <v>143094.229129858</v>
      </c>
      <c r="AV208" s="34" t="n">
        <f aca="false">AV$206-AV$207</f>
        <v>143094.229129858</v>
      </c>
      <c r="AW208" s="34" t="n">
        <f aca="false">AW$206-AW$207</f>
        <v>143094.229129858</v>
      </c>
      <c r="AX208" s="34" t="n">
        <f aca="false">AX$206-AX$207</f>
        <v>143094.229129858</v>
      </c>
      <c r="AY208" s="34" t="n">
        <f aca="false">AY$206-AY$207</f>
        <v>143094.229129858</v>
      </c>
      <c r="AZ208" s="34" t="n">
        <f aca="false">AZ$206-AZ$207</f>
        <v>143094.229129858</v>
      </c>
      <c r="BA208" s="34" t="n">
        <f aca="false">BA$206-BA$207</f>
        <v>143094.229129858</v>
      </c>
      <c r="BB208" s="34" t="n">
        <f aca="false">BB$206-BB$207</f>
        <v>144413.814126374</v>
      </c>
      <c r="BC208" s="34" t="n">
        <f aca="false">BC$206-BC$207</f>
        <v>144413.814126374</v>
      </c>
      <c r="BD208" s="34" t="n">
        <f aca="false">BD$206-BD$207</f>
        <v>144413.814126374</v>
      </c>
      <c r="BE208" s="34" t="n">
        <f aca="false">BE$206-BE$207</f>
        <v>144413.814126374</v>
      </c>
      <c r="BF208" s="34" t="n">
        <f aca="false">BF$206-BF$207</f>
        <v>144413.814126374</v>
      </c>
      <c r="BG208" s="34" t="n">
        <f aca="false">BG$206-BG$207</f>
        <v>144413.814126374</v>
      </c>
      <c r="BH208" s="34" t="n">
        <f aca="false">BH$206-BH$207</f>
        <v>144413.814126374</v>
      </c>
      <c r="BI208" s="34" t="n">
        <f aca="false">BI$206-BI$207</f>
        <v>144413.814126374</v>
      </c>
      <c r="BJ208" s="34" t="n">
        <f aca="false">BJ$206-BJ$207</f>
        <v>144413.814126374</v>
      </c>
      <c r="BK208" s="34" t="n">
        <f aca="false">BK$206-BK$207</f>
        <v>144413.814126374</v>
      </c>
      <c r="BL208" s="34" t="n">
        <f aca="false">BL$206-BL$207</f>
        <v>144413.814126374</v>
      </c>
      <c r="BM208" s="34" t="n">
        <f aca="false">BM$206-BM$207</f>
        <v>144413.814126374</v>
      </c>
      <c r="BN208" s="34" t="n">
        <f aca="false">BN$206-BN$207</f>
        <v>149515.724381159</v>
      </c>
      <c r="BO208" s="34" t="n">
        <f aca="false">BO$206-BO$207</f>
        <v>149515.724381159</v>
      </c>
      <c r="BP208" s="34" t="n">
        <f aca="false">BP$206-BP$207</f>
        <v>149515.724381159</v>
      </c>
      <c r="BQ208" s="34" t="n">
        <f aca="false">BQ$206-BQ$207</f>
        <v>149515.724381159</v>
      </c>
      <c r="BR208" s="34" t="n">
        <f aca="false">BR$206-BR$207</f>
        <v>149515.724381159</v>
      </c>
      <c r="BS208" s="34" t="n">
        <f aca="false">BS$206-BS$207</f>
        <v>149515.724381159</v>
      </c>
      <c r="BT208" s="34" t="n">
        <f aca="false">BT$206-BT$207</f>
        <v>149515.724381159</v>
      </c>
      <c r="BU208" s="34" t="n">
        <f aca="false">BU$206-BU$207</f>
        <v>149515.724381159</v>
      </c>
      <c r="BV208" s="34" t="n">
        <f aca="false">BV$206-BV$207</f>
        <v>149515.724381159</v>
      </c>
      <c r="BW208" s="34" t="n">
        <f aca="false">BW$206-BW$207</f>
        <v>149515.724381159</v>
      </c>
      <c r="BX208" s="34" t="n">
        <f aca="false">BX$206-BX$207</f>
        <v>149515.724381159</v>
      </c>
      <c r="BY208" s="34" t="n">
        <f aca="false">BY$206-BY$207</f>
        <v>149515.724381159</v>
      </c>
      <c r="BZ208" s="34" t="n">
        <f aca="false">BZ$206-BZ$207</f>
        <v>153631.305072733</v>
      </c>
      <c r="CA208" s="34" t="n">
        <f aca="false">CA$206-CA$207</f>
        <v>153631.305072733</v>
      </c>
      <c r="CB208" s="34" t="n">
        <f aca="false">CB$206-CB$207</f>
        <v>153631.305072733</v>
      </c>
      <c r="CC208" s="34" t="n">
        <f aca="false">CC$206-CC$207</f>
        <v>153631.305072733</v>
      </c>
      <c r="CD208" s="34" t="n">
        <f aca="false">CD$206-CD$207</f>
        <v>153631.305072733</v>
      </c>
      <c r="CE208" s="34" t="n">
        <f aca="false">CE$206-CE$207</f>
        <v>153631.305072733</v>
      </c>
      <c r="CF208" s="34" t="n">
        <f aca="false">CF$206-CF$207</f>
        <v>153631.305072733</v>
      </c>
      <c r="CG208" s="34" t="n">
        <f aca="false">CG$206-CG$207</f>
        <v>153631.305072733</v>
      </c>
      <c r="CH208" s="34" t="n">
        <f aca="false">CH$206-CH$207</f>
        <v>153631.305072733</v>
      </c>
      <c r="CI208" s="34" t="n">
        <f aca="false">CI$206-CI$207</f>
        <v>153631.305072733</v>
      </c>
      <c r="CJ208" s="34" t="n">
        <f aca="false">CJ$206-CJ$207</f>
        <v>153631.305072733</v>
      </c>
      <c r="CK208" s="34" t="n">
        <f aca="false">CK$206-CK$207</f>
        <v>153631.305072733</v>
      </c>
      <c r="CL208" s="34" t="n">
        <f aca="false">CL$206-CL$207</f>
        <v>157775.101129621</v>
      </c>
      <c r="CM208" s="34" t="n">
        <f aca="false">CM$206-CM$207</f>
        <v>157775.101129621</v>
      </c>
      <c r="CN208" s="34" t="n">
        <f aca="false">CN$206-CN$207</f>
        <v>157775.101129621</v>
      </c>
      <c r="CO208" s="34" t="n">
        <f aca="false">CO$206-CO$207</f>
        <v>157775.101129621</v>
      </c>
      <c r="CP208" s="34" t="n">
        <f aca="false">CP$206-CP$207</f>
        <v>157775.101129621</v>
      </c>
      <c r="CQ208" s="34" t="n">
        <f aca="false">CQ$206-CQ$207</f>
        <v>157775.101129621</v>
      </c>
      <c r="CR208" s="34" t="n">
        <f aca="false">CR$206-CR$207</f>
        <v>157775.101129621</v>
      </c>
      <c r="CS208" s="34" t="n">
        <f aca="false">CS$206-CS$207</f>
        <v>157775.101129621</v>
      </c>
      <c r="CT208" s="34" t="n">
        <f aca="false">CT$206-CT$207</f>
        <v>157775.101129621</v>
      </c>
      <c r="CU208" s="34" t="n">
        <f aca="false">CU$206-CU$207</f>
        <v>157775.101129621</v>
      </c>
      <c r="CV208" s="34" t="n">
        <f aca="false">CV$206-CV$207</f>
        <v>157775.101129621</v>
      </c>
      <c r="CW208" s="34" t="n">
        <f aca="false">CW$206-CW$207</f>
        <v>157775.101129621</v>
      </c>
      <c r="CX208" s="34" t="n">
        <f aca="false">CX$206-CX$207</f>
        <v>161947.012232241</v>
      </c>
      <c r="CY208" s="34" t="n">
        <f aca="false">CY$206-CY$207</f>
        <v>161947.012232241</v>
      </c>
      <c r="CZ208" s="34" t="n">
        <f aca="false">CZ$206-CZ$207</f>
        <v>161947.012232241</v>
      </c>
      <c r="DA208" s="34" t="n">
        <f aca="false">DA$206-DA$207</f>
        <v>161947.012232241</v>
      </c>
      <c r="DB208" s="34" t="n">
        <f aca="false">DB$206-DB$207</f>
        <v>161947.012232241</v>
      </c>
      <c r="DC208" s="34" t="n">
        <f aca="false">DC$206-DC$207</f>
        <v>161947.012232241</v>
      </c>
      <c r="DD208" s="34" t="n">
        <f aca="false">DD$206-DD$207</f>
        <v>161947.012232241</v>
      </c>
      <c r="DE208" s="34" t="n">
        <f aca="false">DE$206-DE$207</f>
        <v>161947.012232241</v>
      </c>
      <c r="DF208" s="34" t="n">
        <f aca="false">DF$206-DF$207</f>
        <v>161947.012232241</v>
      </c>
      <c r="DG208" s="34" t="n">
        <f aca="false">DG$206-DG$207</f>
        <v>161947.012232241</v>
      </c>
      <c r="DH208" s="34" t="n">
        <f aca="false">DH$206-DH$207</f>
        <v>161947.012232241</v>
      </c>
      <c r="DI208" s="34" t="n">
        <f aca="false">DI$206-DI$207</f>
        <v>161947.012232241</v>
      </c>
      <c r="DJ208" s="34" t="n">
        <f aca="false">DJ$206-DJ$207</f>
        <v>166146.925698419</v>
      </c>
      <c r="DK208" s="34" t="n">
        <f aca="false">DK$206-DK$207</f>
        <v>166146.925698419</v>
      </c>
      <c r="DL208" s="34" t="n">
        <f aca="false">DL$206-DL$207</f>
        <v>166146.925698419</v>
      </c>
      <c r="DM208" s="34" t="n">
        <f aca="false">DM$206-DM$207</f>
        <v>166146.925698419</v>
      </c>
      <c r="DN208" s="34" t="n">
        <f aca="false">DN$206-DN$207</f>
        <v>166146.925698419</v>
      </c>
      <c r="DO208" s="34" t="n">
        <f aca="false">DO$206-DO$207</f>
        <v>166146.925698419</v>
      </c>
      <c r="DP208" s="34" t="n">
        <f aca="false">DP$206-DP$207</f>
        <v>166146.925698419</v>
      </c>
      <c r="DQ208" s="34" t="n">
        <f aca="false">DQ$206-DQ$207</f>
        <v>166146.925698419</v>
      </c>
      <c r="DR208" s="34" t="n">
        <f aca="false">DR$206-DR$207</f>
        <v>166146.925698419</v>
      </c>
      <c r="DS208" s="34" t="n">
        <f aca="false">DS$206-DS$207</f>
        <v>166146.925698419</v>
      </c>
      <c r="DT208" s="34" t="n">
        <f aca="false">DT$206-DT$207</f>
        <v>166146.925698419</v>
      </c>
      <c r="DU208" s="34" t="n">
        <f aca="false">DU$206-DU$207</f>
        <v>166146.925698419</v>
      </c>
      <c r="DV208" s="34" t="n">
        <f aca="false">DV$206-DV$207</f>
        <v>0</v>
      </c>
      <c r="DW208" s="34" t="n">
        <f aca="false">DW$206-DW$207</f>
        <v>0</v>
      </c>
      <c r="DX208" s="34" t="n">
        <f aca="false">DX$206-DX$207</f>
        <v>0</v>
      </c>
      <c r="DY208" s="34" t="n">
        <f aca="false">DY$206-DY$207</f>
        <v>0</v>
      </c>
      <c r="DZ208" s="34" t="n">
        <f aca="false">DZ$206-DZ$207</f>
        <v>0</v>
      </c>
      <c r="EA208" s="34" t="n">
        <f aca="false">EA$206-EA$207</f>
        <v>0</v>
      </c>
      <c r="EB208" s="34" t="n">
        <f aca="false">EB$206-EB$207</f>
        <v>0</v>
      </c>
      <c r="EC208" s="34" t="n">
        <f aca="false">EC$206-EC$207</f>
        <v>0</v>
      </c>
      <c r="ED208" s="34" t="n">
        <f aca="false">ED$206-ED$207</f>
        <v>0</v>
      </c>
      <c r="EE208" s="34" t="n">
        <f aca="false">EE$206-EE$207</f>
        <v>0</v>
      </c>
      <c r="EF208" s="34" t="n">
        <f aca="false">EF$206-EF$207</f>
        <v>0</v>
      </c>
      <c r="EG208" s="34" t="n">
        <f aca="false">EG$206-EG$207</f>
        <v>0</v>
      </c>
      <c r="EH208" s="34" t="n">
        <f aca="false">EH$206-EH$207</f>
        <v>0</v>
      </c>
      <c r="EI208" s="34" t="n">
        <f aca="false">EI$206-EI$207</f>
        <v>0</v>
      </c>
      <c r="EJ208" s="34" t="n">
        <f aca="false">EJ$206-EJ$207</f>
        <v>0</v>
      </c>
      <c r="EK208" s="34" t="n">
        <f aca="false">EK$206-EK$207</f>
        <v>0</v>
      </c>
      <c r="EL208" s="34" t="n">
        <f aca="false">EL$206-EL$207</f>
        <v>0</v>
      </c>
      <c r="EM208" s="34" t="n">
        <f aca="false">EM$206-EM$207</f>
        <v>0</v>
      </c>
      <c r="EN208" s="34" t="n">
        <f aca="false">EN$206-EN$207</f>
        <v>0</v>
      </c>
      <c r="EO208" s="34" t="n">
        <f aca="false">EO$206-EO$207</f>
        <v>0</v>
      </c>
      <c r="EP208" s="34" t="n">
        <f aca="false">EP$206-EP$207</f>
        <v>0</v>
      </c>
      <c r="EQ208" s="34" t="n">
        <f aca="false">EQ$206-EQ$207</f>
        <v>0</v>
      </c>
      <c r="ER208" s="34" t="n">
        <f aca="false">ER$206-ER$207</f>
        <v>0</v>
      </c>
      <c r="ES208" s="34" t="n">
        <f aca="false">ES$206-ES$207</f>
        <v>0</v>
      </c>
    </row>
    <row r="209" customFormat="false" ht="15" hidden="false" customHeight="false" outlineLevel="0" collapsed="false">
      <c r="A209" s="2" t="s">
        <v>823</v>
      </c>
      <c r="B209" s="6" t="s">
        <v>647</v>
      </c>
      <c r="C209" s="6" t="s">
        <v>250</v>
      </c>
      <c r="E209" s="40" t="n">
        <f aca="false">SUM(F209:ES209)</f>
        <v>813214.128224454</v>
      </c>
      <c r="F209" s="34" t="n">
        <f aca="false">IF(F$8=1,IF(Reales!$C$48="PYG",IF(F$10&gt;0,N(Reales!F48)/F$10,0),N(Reales!F48)),(F$228+F$232+F$236+F$244)*(1+V_IVAint))</f>
        <v>23030.59275</v>
      </c>
      <c r="G209" s="34" t="n">
        <f aca="false">IF(G$8=1,IF(Reales!$C$48="PYG",IF(G$10&gt;0,N(Reales!G48)/G$10,0),N(Reales!G48)),(G$228+G$232+G$236+G$244)*(1+V_IVAint))</f>
        <v>23030.59275</v>
      </c>
      <c r="H209" s="34" t="n">
        <f aca="false">IF(H$8=1,IF(Reales!$C$48="PYG",IF(H$10&gt;0,N(Reales!H48)/H$10,0),N(Reales!H48)),(H$228+H$232+H$236+H$244)*(1+V_IVAint))</f>
        <v>23030.59275</v>
      </c>
      <c r="I209" s="34" t="n">
        <f aca="false">IF(I$8=1,IF(Reales!$C$48="PYG",IF(I$10&gt;0,N(Reales!I48)/I$10,0),N(Reales!I48)),(I$228+I$232+I$236+I$244)*(1+V_IVAint))</f>
        <v>23030.59275</v>
      </c>
      <c r="J209" s="34" t="n">
        <f aca="false">IF(J$8=1,IF(Reales!$C$48="PYG",IF(J$10&gt;0,N(Reales!J48)/J$10,0),N(Reales!J48)),(J$228+J$232+J$236+J$244)*(1+V_IVAint))</f>
        <v>23030.59275</v>
      </c>
      <c r="K209" s="34" t="n">
        <f aca="false">IF(K$8=1,IF(Reales!$C$48="PYG",IF(K$10&gt;0,N(Reales!K48)/K$10,0),N(Reales!K48)),(K$228+K$232+K$236+K$244)*(1+V_IVAint))</f>
        <v>23030.59275</v>
      </c>
      <c r="L209" s="34" t="n">
        <f aca="false">IF(L$8=1,IF(Reales!$C$48="PYG",IF(L$10&gt;0,N(Reales!L48)/L$10,0),N(Reales!L48)),(L$228+L$232+L$236+L$244)*(1+V_IVAint))</f>
        <v>23030.59275</v>
      </c>
      <c r="M209" s="34" t="n">
        <f aca="false">IF(M$8=1,IF(Reales!$C$48="PYG",IF(M$10&gt;0,N(Reales!M48)/M$10,0),N(Reales!M48)),(M$228+M$232+M$236+M$244)*(1+V_IVAint))</f>
        <v>22683.0754912188</v>
      </c>
      <c r="N209" s="34" t="n">
        <f aca="false">IF(N$8=1,IF(Reales!$C$48="PYG",IF(N$10&gt;0,N(Reales!N48)/N$10,0),N(Reales!N48)),(N$228+N$232+N$236+N$244)*(1+V_IVAint))</f>
        <v>22332.9518529968</v>
      </c>
      <c r="O209" s="34" t="n">
        <f aca="false">IF(O$8=1,IF(Reales!$C$48="PYG",IF(O$10&gt;0,N(Reales!O48)/O$10,0),N(Reales!O48)),(O$228+O$232+O$236+O$244)*(1+V_IVAint))</f>
        <v>21980.2022874881</v>
      </c>
      <c r="P209" s="34" t="n">
        <f aca="false">IF(P$8=1,IF(Reales!$C$48="PYG",IF(P$10&gt;0,N(Reales!P48)/P$10,0),N(Reales!P48)),(P$228+P$232+P$236+P$244)*(1+V_IVAint))</f>
        <v>21624.8071002381</v>
      </c>
      <c r="Q209" s="34" t="n">
        <f aca="false">IF(Q$8=1,IF(Reales!$C$48="PYG",IF(Q$10&gt;0,N(Reales!Q48)/Q$10,0),N(Reales!Q48)),(Q$228+Q$232+Q$236+Q$244)*(1+V_IVAint))</f>
        <v>21266.7464490837</v>
      </c>
      <c r="R209" s="34" t="n">
        <f aca="false">IF(R$8=1,IF(Reales!$C$48="PYG",IF(R$10&gt;0,N(Reales!R48)/R$10,0),N(Reales!R48)),(R$228+R$232+R$236+R$244)*(1+V_IVAint))</f>
        <v>20906.0003430457</v>
      </c>
      <c r="S209" s="34" t="n">
        <f aca="false">IF(S$8=1,IF(Reales!$C$48="PYG",IF(S$10&gt;0,N(Reales!S48)/S$10,0),N(Reales!S48)),(S$228+S$232+S$236+S$244)*(1+V_IVAint))</f>
        <v>20542.5486412123</v>
      </c>
      <c r="T209" s="34" t="n">
        <f aca="false">IF(T$8=1,IF(Reales!$C$48="PYG",IF(T$10&gt;0,N(Reales!T48)/T$10,0),N(Reales!T48)),(T$228+T$232+T$236+T$244)*(1+V_IVAint))</f>
        <v>20176.3710516152</v>
      </c>
      <c r="U209" s="34" t="n">
        <f aca="false">IF(U$8=1,IF(Reales!$C$48="PYG",IF(U$10&gt;0,N(Reales!U48)/U$10,0),N(Reales!U48)),(U$228+U$232+U$236+U$244)*(1+V_IVAint))</f>
        <v>19807.4471300962</v>
      </c>
      <c r="V209" s="34" t="n">
        <f aca="false">IF(V$8=1,IF(Reales!$C$48="PYG",IF(V$10&gt;0,N(Reales!V48)/V$10,0),N(Reales!V48)),(V$228+V$232+V$236+V$244)*(1+V_IVAint))</f>
        <v>19435.7562791657</v>
      </c>
      <c r="W209" s="34" t="n">
        <f aca="false">IF(W$8=1,IF(Reales!$C$48="PYG",IF(W$10&gt;0,N(Reales!W48)/W$10,0),N(Reales!W48)),(W$228+W$232+W$236+W$244)*(1+V_IVAint))</f>
        <v>19061.2777468533</v>
      </c>
      <c r="X209" s="34" t="n">
        <f aca="false">IF(X$8=1,IF(Reales!$C$48="PYG",IF(X$10&gt;0,N(Reales!X48)/X$10,0),N(Reales!X48)),(X$228+X$232+X$236+X$244)*(1+V_IVAint))</f>
        <v>18683.9906255485</v>
      </c>
      <c r="Y209" s="34" t="n">
        <f aca="false">IF(Y$8=1,IF(Reales!$C$48="PYG",IF(Y$10&gt;0,N(Reales!Y48)/Y$10,0),N(Reales!Y48)),(Y$228+Y$232+Y$236+Y$244)*(1+V_IVAint))</f>
        <v>18303.873850834</v>
      </c>
      <c r="Z209" s="34" t="n">
        <f aca="false">IF(Z$8=1,IF(Reales!$C$48="PYG",IF(Z$10&gt;0,N(Reales!Z48)/Z$10,0),N(Reales!Z48)),(Z$228+Z$232+Z$236+Z$244)*(1+V_IVAint))</f>
        <v>17920.906200309</v>
      </c>
      <c r="AA209" s="34" t="n">
        <f aca="false">IF(AA$8=1,IF(Reales!$C$48="PYG",IF(AA$10&gt;0,N(Reales!AA48)/AA$10,0),N(Reales!AA48)),(AA$228+AA$232+AA$236+AA$244)*(1+V_IVAint))</f>
        <v>17535.0662924052</v>
      </c>
      <c r="AB209" s="34" t="n">
        <f aca="false">IF(AB$8=1,IF(Reales!$C$48="PYG",IF(AB$10&gt;0,N(Reales!AB48)/AB$10,0),N(Reales!AB48)),(AB$228+AB$232+AB$236+AB$244)*(1+V_IVAint))</f>
        <v>17146.3325851921</v>
      </c>
      <c r="AC209" s="34" t="n">
        <f aca="false">IF(AC$8=1,IF(Reales!$C$48="PYG",IF(AC$10&gt;0,N(Reales!AC48)/AC$10,0),N(Reales!AC48)),(AC$228+AC$232+AC$236+AC$244)*(1+V_IVAint))</f>
        <v>16754.6833751748</v>
      </c>
      <c r="AD209" s="34" t="n">
        <f aca="false">IF(AD$8=1,IF(Reales!$C$48="PYG",IF(AD$10&gt;0,N(Reales!AD48)/AD$10,0),N(Reales!AD48)),(AD$228+AD$232+AD$236+AD$244)*(1+V_IVAint))</f>
        <v>16360.0967960825</v>
      </c>
      <c r="AE209" s="34" t="n">
        <f aca="false">IF(AE$8=1,IF(Reales!$C$48="PYG",IF(AE$10&gt;0,N(Reales!AE48)/AE$10,0),N(Reales!AE48)),(AE$228+AE$232+AE$236+AE$244)*(1+V_IVAint))</f>
        <v>15962.5508176469</v>
      </c>
      <c r="AF209" s="34" t="n">
        <f aca="false">IF(AF$8=1,IF(Reales!$C$48="PYG",IF(AF$10&gt;0,N(Reales!AF48)/AF$10,0),N(Reales!AF48)),(AF$228+AF$232+AF$236+AF$244)*(1+V_IVAint))</f>
        <v>15562.0232443731</v>
      </c>
      <c r="AG209" s="34" t="n">
        <f aca="false">IF(AG$8=1,IF(Reales!$C$48="PYG",IF(AG$10&gt;0,N(Reales!AG48)/AG$10,0),N(Reales!AG48)),(AG$228+AG$232+AG$236+AG$244)*(1+V_IVAint))</f>
        <v>15158.4917142997</v>
      </c>
      <c r="AH209" s="34" t="n">
        <f aca="false">IF(AH$8=1,IF(Reales!$C$48="PYG",IF(AH$10&gt;0,N(Reales!AH48)/AH$10,0),N(Reales!AH48)),(AH$228+AH$232+AH$236+AH$244)*(1+V_IVAint))</f>
        <v>14751.9336977508</v>
      </c>
      <c r="AI209" s="34" t="n">
        <f aca="false">IF(AI$8=1,IF(Reales!$C$48="PYG",IF(AI$10&gt;0,N(Reales!AI48)/AI$10,0),N(Reales!AI48)),(AI$228+AI$232+AI$236+AI$244)*(1+V_IVAint))</f>
        <v>14342.3264960777</v>
      </c>
      <c r="AJ209" s="34" t="n">
        <f aca="false">IF(AJ$8=1,IF(Reales!$C$48="PYG",IF(AJ$10&gt;0,N(Reales!AJ48)/AJ$10,0),N(Reales!AJ48)),(AJ$228+AJ$232+AJ$236+AJ$244)*(1+V_IVAint))</f>
        <v>13929.6472403921</v>
      </c>
      <c r="AK209" s="34" t="n">
        <f aca="false">IF(AK$8=1,IF(Reales!$C$48="PYG",IF(AK$10&gt;0,N(Reales!AK48)/AK$10,0),N(Reales!AK48)),(AK$228+AK$232+AK$236+AK$244)*(1+V_IVAint))</f>
        <v>13513.8728902889</v>
      </c>
      <c r="AL209" s="34" t="n">
        <f aca="false">IF(AL$8=1,IF(Reales!$C$48="PYG",IF(AL$10&gt;0,N(Reales!AL48)/AL$10,0),N(Reales!AL48)),(AL$228+AL$232+AL$236+AL$244)*(1+V_IVAint))</f>
        <v>13094.9802325599</v>
      </c>
      <c r="AM209" s="34" t="n">
        <f aca="false">IF(AM$8=1,IF(Reales!$C$48="PYG",IF(AM$10&gt;0,N(Reales!AM48)/AM$10,0),N(Reales!AM48)),(AM$228+AM$232+AM$236+AM$244)*(1+V_IVAint))</f>
        <v>12672.9458798979</v>
      </c>
      <c r="AN209" s="34" t="n">
        <f aca="false">IF(AN$8=1,IF(Reales!$C$48="PYG",IF(AN$10&gt;0,N(Reales!AN48)/AN$10,0),N(Reales!AN48)),(AN$228+AN$232+AN$236+AN$244)*(1+V_IVAint))</f>
        <v>12247.746269591</v>
      </c>
      <c r="AO209" s="34" t="n">
        <f aca="false">IF(AO$8=1,IF(Reales!$C$48="PYG",IF(AO$10&gt;0,N(Reales!AO48)/AO$10,0),N(Reales!AO48)),(AO$228+AO$232+AO$236+AO$244)*(1+V_IVAint))</f>
        <v>11819.3576622067</v>
      </c>
      <c r="AP209" s="34" t="n">
        <f aca="false">IF(AP$8=1,IF(Reales!$C$48="PYG",IF(AP$10&gt;0,N(Reales!AP48)/AP$10,0),N(Reales!AP48)),(AP$228+AP$232+AP$236+AP$244)*(1+V_IVAint))</f>
        <v>11387.7561402671</v>
      </c>
      <c r="AQ209" s="34" t="n">
        <f aca="false">IF(AQ$8=1,IF(Reales!$C$48="PYG",IF(AQ$10&gt;0,N(Reales!AQ48)/AQ$10,0),N(Reales!AQ48)),(AQ$228+AQ$232+AQ$236+AQ$244)*(1+V_IVAint))</f>
        <v>10952.917606913</v>
      </c>
      <c r="AR209" s="34" t="n">
        <f aca="false">IF(AR$8=1,IF(Reales!$C$48="PYG",IF(AR$10&gt;0,N(Reales!AR48)/AR$10,0),N(Reales!AR48)),(AR$228+AR$232+AR$236+AR$244)*(1+V_IVAint))</f>
        <v>10514.8177845586</v>
      </c>
      <c r="AS209" s="34" t="n">
        <f aca="false">IF(AS$8=1,IF(Reales!$C$48="PYG",IF(AS$10&gt;0,N(Reales!AS48)/AS$10,0),N(Reales!AS48)),(AS$228+AS$232+AS$236+AS$244)*(1+V_IVAint))</f>
        <v>10073.4322135366</v>
      </c>
      <c r="AT209" s="34" t="n">
        <f aca="false">IF(AT$8=1,IF(Reales!$C$48="PYG",IF(AT$10&gt;0,N(Reales!AT48)/AT$10,0),N(Reales!AT48)),(AT$228+AT$232+AT$236+AT$244)*(1+V_IVAint))</f>
        <v>9628.736250732</v>
      </c>
      <c r="AU209" s="34" t="n">
        <f aca="false">IF(AU$8=1,IF(Reales!$C$48="PYG",IF(AU$10&gt;0,N(Reales!AU48)/AU$10,0),N(Reales!AU48)),(AU$228+AU$232+AU$236+AU$244)*(1+V_IVAint))</f>
        <v>9180.70506820631</v>
      </c>
      <c r="AV209" s="34" t="n">
        <f aca="false">IF(AV$8=1,IF(Reales!$C$48="PYG",IF(AV$10&gt;0,N(Reales!AV48)/AV$10,0),N(Reales!AV48)),(AV$228+AV$232+AV$236+AV$244)*(1+V_IVAint))</f>
        <v>8729.31365181168</v>
      </c>
      <c r="AW209" s="34" t="n">
        <f aca="false">IF(AW$8=1,IF(Reales!$C$48="PYG",IF(AW$10&gt;0,N(Reales!AW48)/AW$10,0),N(Reales!AW48)),(AW$228+AW$232+AW$236+AW$244)*(1+V_IVAint))</f>
        <v>8274.5367997941</v>
      </c>
      <c r="AX209" s="34" t="n">
        <f aca="false">IF(AX$8=1,IF(Reales!$C$48="PYG",IF(AX$10&gt;0,N(Reales!AX48)/AX$10,0),N(Reales!AX48)),(AX$228+AX$232+AX$236+AX$244)*(1+V_IVAint))</f>
        <v>7816.34912138638</v>
      </c>
      <c r="AY209" s="34" t="n">
        <f aca="false">IF(AY$8=1,IF(Reales!$C$48="PYG",IF(AY$10&gt;0,N(Reales!AY48)/AY$10,0),N(Reales!AY48)),(AY$228+AY$232+AY$236+AY$244)*(1+V_IVAint))</f>
        <v>7354.7250353906</v>
      </c>
      <c r="AZ209" s="34" t="n">
        <f aca="false">IF(AZ$8=1,IF(Reales!$C$48="PYG",IF(AZ$10&gt;0,N(Reales!AZ48)/AZ$10,0),N(Reales!AZ48)),(AZ$228+AZ$232+AZ$236+AZ$244)*(1+V_IVAint))</f>
        <v>6889.63876874986</v>
      </c>
      <c r="BA209" s="34" t="n">
        <f aca="false">IF(BA$8=1,IF(Reales!$C$48="PYG",IF(BA$10&gt;0,N(Reales!BA48)/BA$10,0),N(Reales!BA48)),(BA$228+BA$232+BA$236+BA$244)*(1+V_IVAint))</f>
        <v>6421.06435510931</v>
      </c>
      <c r="BB209" s="34" t="n">
        <f aca="false">IF(BB$8=1,IF(Reales!$C$48="PYG",IF(BB$10&gt;0,N(Reales!BB48)/BB$10,0),N(Reales!BB48)),(BB$228+BB$232+BB$236+BB$244)*(1+V_IVAint))</f>
        <v>5948.97563336646</v>
      </c>
      <c r="BC209" s="34" t="n">
        <f aca="false">IF(BC$8=1,IF(Reales!$C$48="PYG",IF(BC$10&gt;0,N(Reales!BC48)/BC$10,0),N(Reales!BC48)),(BC$228+BC$232+BC$236+BC$244)*(1+V_IVAint))</f>
        <v>5473.34624621053</v>
      </c>
      <c r="BD209" s="34" t="n">
        <f aca="false">IF(BD$8=1,IF(Reales!$C$48="PYG",IF(BD$10&gt;0,N(Reales!BD48)/BD$10,0),N(Reales!BD48)),(BD$228+BD$232+BD$236+BD$244)*(1+V_IVAint))</f>
        <v>4994.14963865093</v>
      </c>
      <c r="BE209" s="34" t="n">
        <f aca="false">IF(BE$8=1,IF(Reales!$C$48="PYG",IF(BE$10&gt;0,N(Reales!BE48)/BE$10,0),N(Reales!BE48)),(BE$228+BE$232+BE$236+BE$244)*(1+V_IVAint))</f>
        <v>4511.35905653464</v>
      </c>
      <c r="BF209" s="34" t="n">
        <f aca="false">IF(BF$8=1,IF(Reales!$C$48="PYG",IF(BF$10&gt;0,N(Reales!BF48)/BF$10,0),N(Reales!BF48)),(BF$228+BF$232+BF$236+BF$244)*(1+V_IVAint))</f>
        <v>4024.94754505248</v>
      </c>
      <c r="BG209" s="34" t="n">
        <f aca="false">IF(BG$8=1,IF(Reales!$C$48="PYG",IF(BG$10&gt;0,N(Reales!BG48)/BG$10,0),N(Reales!BG48)),(BG$228+BG$232+BG$236+BG$244)*(1+V_IVAint))</f>
        <v>3534.8879472342</v>
      </c>
      <c r="BH209" s="34" t="n">
        <f aca="false">IF(BH$8=1,IF(Reales!$C$48="PYG",IF(BH$10&gt;0,N(Reales!BH48)/BH$10,0),N(Reales!BH48)),(BH$228+BH$232+BH$236+BH$244)*(1+V_IVAint))</f>
        <v>3041.15290243228</v>
      </c>
      <c r="BI209" s="34" t="n">
        <f aca="false">IF(BI$8=1,IF(Reales!$C$48="PYG",IF(BI$10&gt;0,N(Reales!BI48)/BI$10,0),N(Reales!BI48)),(BI$228+BI$232+BI$236+BI$244)*(1+V_IVAint))</f>
        <v>2543.71484479435</v>
      </c>
      <c r="BJ209" s="34" t="n">
        <f aca="false">IF(BJ$8=1,IF(Reales!$C$48="PYG",IF(BJ$10&gt;0,N(Reales!BJ48)/BJ$10,0),N(Reales!BJ48)),(BJ$228+BJ$232+BJ$236+BJ$244)*(1+V_IVAint))</f>
        <v>2042.54600172413</v>
      </c>
      <c r="BK209" s="34" t="n">
        <f aca="false">IF(BK$8=1,IF(Reales!$C$48="PYG",IF(BK$10&gt;0,N(Reales!BK48)/BK$10,0),N(Reales!BK48)),(BK$228+BK$232+BK$236+BK$244)*(1+V_IVAint))</f>
        <v>1537.61839233089</v>
      </c>
      <c r="BL209" s="34" t="n">
        <f aca="false">IF(BL$8=1,IF(Reales!$C$48="PYG",IF(BL$10&gt;0,N(Reales!BL48)/BL$10,0),N(Reales!BL48)),(BL$228+BL$232+BL$236+BL$244)*(1+V_IVAint))</f>
        <v>1028.9038258672</v>
      </c>
      <c r="BM209" s="34" t="n">
        <f aca="false">IF(BM$8=1,IF(Reales!$C$48="PYG",IF(BM$10&gt;0,N(Reales!BM48)/BM$10,0),N(Reales!BM48)),(BM$228+BM$232+BM$236+BM$244)*(1+V_IVAint))</f>
        <v>516.373900155025</v>
      </c>
      <c r="BN209" s="34" t="n">
        <f aca="false">IF(BN$8=1,IF(Reales!$C$48="PYG",IF(BN$10&gt;0,N(Reales!BN48)/BN$10,0),N(Reales!BN48)),(BN$228+BN$232+BN$236+BN$244)*(1+V_IVAint))</f>
        <v>0</v>
      </c>
      <c r="BO209" s="34" t="n">
        <f aca="false">IF(BO$8=1,IF(Reales!$C$48="PYG",IF(BO$10&gt;0,N(Reales!BO48)/BO$10,0),N(Reales!BO48)),(BO$228+BO$232+BO$236+BO$244)*(1+V_IVAint))</f>
        <v>0</v>
      </c>
      <c r="BP209" s="34" t="n">
        <f aca="false">IF(BP$8=1,IF(Reales!$C$48="PYG",IF(BP$10&gt;0,N(Reales!BP48)/BP$10,0),N(Reales!BP48)),(BP$228+BP$232+BP$236+BP$244)*(1+V_IVAint))</f>
        <v>0</v>
      </c>
      <c r="BQ209" s="34" t="n">
        <f aca="false">IF(BQ$8=1,IF(Reales!$C$48="PYG",IF(BQ$10&gt;0,N(Reales!BQ48)/BQ$10,0),N(Reales!BQ48)),(BQ$228+BQ$232+BQ$236+BQ$244)*(1+V_IVAint))</f>
        <v>0</v>
      </c>
      <c r="BR209" s="34" t="n">
        <f aca="false">IF(BR$8=1,IF(Reales!$C$48="PYG",IF(BR$10&gt;0,N(Reales!BR48)/BR$10,0),N(Reales!BR48)),(BR$228+BR$232+BR$236+BR$244)*(1+V_IVAint))</f>
        <v>0</v>
      </c>
      <c r="BS209" s="34" t="n">
        <f aca="false">IF(BS$8=1,IF(Reales!$C$48="PYG",IF(BS$10&gt;0,N(Reales!BS48)/BS$10,0),N(Reales!BS48)),(BS$228+BS$232+BS$236+BS$244)*(1+V_IVAint))</f>
        <v>0</v>
      </c>
      <c r="BT209" s="34" t="n">
        <f aca="false">IF(BT$8=1,IF(Reales!$C$48="PYG",IF(BT$10&gt;0,N(Reales!BT48)/BT$10,0),N(Reales!BT48)),(BT$228+BT$232+BT$236+BT$244)*(1+V_IVAint))</f>
        <v>0</v>
      </c>
      <c r="BU209" s="34" t="n">
        <f aca="false">IF(BU$8=1,IF(Reales!$C$48="PYG",IF(BU$10&gt;0,N(Reales!BU48)/BU$10,0),N(Reales!BU48)),(BU$228+BU$232+BU$236+BU$244)*(1+V_IVAint))</f>
        <v>0</v>
      </c>
      <c r="BV209" s="34" t="n">
        <f aca="false">IF(BV$8=1,IF(Reales!$C$48="PYG",IF(BV$10&gt;0,N(Reales!BV48)/BV$10,0),N(Reales!BV48)),(BV$228+BV$232+BV$236+BV$244)*(1+V_IVAint))</f>
        <v>0</v>
      </c>
      <c r="BW209" s="34" t="n">
        <f aca="false">IF(BW$8=1,IF(Reales!$C$48="PYG",IF(BW$10&gt;0,N(Reales!BW48)/BW$10,0),N(Reales!BW48)),(BW$228+BW$232+BW$236+BW$244)*(1+V_IVAint))</f>
        <v>0</v>
      </c>
      <c r="BX209" s="34" t="n">
        <f aca="false">IF(BX$8=1,IF(Reales!$C$48="PYG",IF(BX$10&gt;0,N(Reales!BX48)/BX$10,0),N(Reales!BX48)),(BX$228+BX$232+BX$236+BX$244)*(1+V_IVAint))</f>
        <v>0</v>
      </c>
      <c r="BY209" s="34" t="n">
        <f aca="false">IF(BY$8=1,IF(Reales!$C$48="PYG",IF(BY$10&gt;0,N(Reales!BY48)/BY$10,0),N(Reales!BY48)),(BY$228+BY$232+BY$236+BY$244)*(1+V_IVAint))</f>
        <v>0</v>
      </c>
      <c r="BZ209" s="34" t="n">
        <f aca="false">IF(BZ$8=1,IF(Reales!$C$48="PYG",IF(BZ$10&gt;0,N(Reales!BZ48)/BZ$10,0),N(Reales!BZ48)),(BZ$228+BZ$232+BZ$236+BZ$244)*(1+V_IVAint))</f>
        <v>0</v>
      </c>
      <c r="CA209" s="34" t="n">
        <f aca="false">IF(CA$8=1,IF(Reales!$C$48="PYG",IF(CA$10&gt;0,N(Reales!CA48)/CA$10,0),N(Reales!CA48)),(CA$228+CA$232+CA$236+CA$244)*(1+V_IVAint))</f>
        <v>0</v>
      </c>
      <c r="CB209" s="34" t="n">
        <f aca="false">IF(CB$8=1,IF(Reales!$C$48="PYG",IF(CB$10&gt;0,N(Reales!CB48)/CB$10,0),N(Reales!CB48)),(CB$228+CB$232+CB$236+CB$244)*(1+V_IVAint))</f>
        <v>0</v>
      </c>
      <c r="CC209" s="34" t="n">
        <f aca="false">IF(CC$8=1,IF(Reales!$C$48="PYG",IF(CC$10&gt;0,N(Reales!CC48)/CC$10,0),N(Reales!CC48)),(CC$228+CC$232+CC$236+CC$244)*(1+V_IVAint))</f>
        <v>0</v>
      </c>
      <c r="CD209" s="34" t="n">
        <f aca="false">IF(CD$8=1,IF(Reales!$C$48="PYG",IF(CD$10&gt;0,N(Reales!CD48)/CD$10,0),N(Reales!CD48)),(CD$228+CD$232+CD$236+CD$244)*(1+V_IVAint))</f>
        <v>0</v>
      </c>
      <c r="CE209" s="34" t="n">
        <f aca="false">IF(CE$8=1,IF(Reales!$C$48="PYG",IF(CE$10&gt;0,N(Reales!CE48)/CE$10,0),N(Reales!CE48)),(CE$228+CE$232+CE$236+CE$244)*(1+V_IVAint))</f>
        <v>0</v>
      </c>
      <c r="CF209" s="34" t="n">
        <f aca="false">IF(CF$8=1,IF(Reales!$C$48="PYG",IF(CF$10&gt;0,N(Reales!CF48)/CF$10,0),N(Reales!CF48)),(CF$228+CF$232+CF$236+CF$244)*(1+V_IVAint))</f>
        <v>0</v>
      </c>
      <c r="CG209" s="34" t="n">
        <f aca="false">IF(CG$8=1,IF(Reales!$C$48="PYG",IF(CG$10&gt;0,N(Reales!CG48)/CG$10,0),N(Reales!CG48)),(CG$228+CG$232+CG$236+CG$244)*(1+V_IVAint))</f>
        <v>0</v>
      </c>
      <c r="CH209" s="34" t="n">
        <f aca="false">IF(CH$8=1,IF(Reales!$C$48="PYG",IF(CH$10&gt;0,N(Reales!CH48)/CH$10,0),N(Reales!CH48)),(CH$228+CH$232+CH$236+CH$244)*(1+V_IVAint))</f>
        <v>0</v>
      </c>
      <c r="CI209" s="34" t="n">
        <f aca="false">IF(CI$8=1,IF(Reales!$C$48="PYG",IF(CI$10&gt;0,N(Reales!CI48)/CI$10,0),N(Reales!CI48)),(CI$228+CI$232+CI$236+CI$244)*(1+V_IVAint))</f>
        <v>0</v>
      </c>
      <c r="CJ209" s="34" t="n">
        <f aca="false">IF(CJ$8=1,IF(Reales!$C$48="PYG",IF(CJ$10&gt;0,N(Reales!CJ48)/CJ$10,0),N(Reales!CJ48)),(CJ$228+CJ$232+CJ$236+CJ$244)*(1+V_IVAint))</f>
        <v>0</v>
      </c>
      <c r="CK209" s="34" t="n">
        <f aca="false">IF(CK$8=1,IF(Reales!$C$48="PYG",IF(CK$10&gt;0,N(Reales!CK48)/CK$10,0),N(Reales!CK48)),(CK$228+CK$232+CK$236+CK$244)*(1+V_IVAint))</f>
        <v>0</v>
      </c>
      <c r="CL209" s="34" t="n">
        <f aca="false">IF(CL$8=1,IF(Reales!$C$48="PYG",IF(CL$10&gt;0,N(Reales!CL48)/CL$10,0),N(Reales!CL48)),(CL$228+CL$232+CL$236+CL$244)*(1+V_IVAint))</f>
        <v>0</v>
      </c>
      <c r="CM209" s="34" t="n">
        <f aca="false">IF(CM$8=1,IF(Reales!$C$48="PYG",IF(CM$10&gt;0,N(Reales!CM48)/CM$10,0),N(Reales!CM48)),(CM$228+CM$232+CM$236+CM$244)*(1+V_IVAint))</f>
        <v>0</v>
      </c>
      <c r="CN209" s="34" t="n">
        <f aca="false">IF(CN$8=1,IF(Reales!$C$48="PYG",IF(CN$10&gt;0,N(Reales!CN48)/CN$10,0),N(Reales!CN48)),(CN$228+CN$232+CN$236+CN$244)*(1+V_IVAint))</f>
        <v>0</v>
      </c>
      <c r="CO209" s="34" t="n">
        <f aca="false">IF(CO$8=1,IF(Reales!$C$48="PYG",IF(CO$10&gt;0,N(Reales!CO48)/CO$10,0),N(Reales!CO48)),(CO$228+CO$232+CO$236+CO$244)*(1+V_IVAint))</f>
        <v>0</v>
      </c>
      <c r="CP209" s="34" t="n">
        <f aca="false">IF(CP$8=1,IF(Reales!$C$48="PYG",IF(CP$10&gt;0,N(Reales!CP48)/CP$10,0),N(Reales!CP48)),(CP$228+CP$232+CP$236+CP$244)*(1+V_IVAint))</f>
        <v>0</v>
      </c>
      <c r="CQ209" s="34" t="n">
        <f aca="false">IF(CQ$8=1,IF(Reales!$C$48="PYG",IF(CQ$10&gt;0,N(Reales!CQ48)/CQ$10,0),N(Reales!CQ48)),(CQ$228+CQ$232+CQ$236+CQ$244)*(1+V_IVAint))</f>
        <v>0</v>
      </c>
      <c r="CR209" s="34" t="n">
        <f aca="false">IF(CR$8=1,IF(Reales!$C$48="PYG",IF(CR$10&gt;0,N(Reales!CR48)/CR$10,0),N(Reales!CR48)),(CR$228+CR$232+CR$236+CR$244)*(1+V_IVAint))</f>
        <v>0</v>
      </c>
      <c r="CS209" s="34" t="n">
        <f aca="false">IF(CS$8=1,IF(Reales!$C$48="PYG",IF(CS$10&gt;0,N(Reales!CS48)/CS$10,0),N(Reales!CS48)),(CS$228+CS$232+CS$236+CS$244)*(1+V_IVAint))</f>
        <v>0</v>
      </c>
      <c r="CT209" s="34" t="n">
        <f aca="false">IF(CT$8=1,IF(Reales!$C$48="PYG",IF(CT$10&gt;0,N(Reales!CT48)/CT$10,0),N(Reales!CT48)),(CT$228+CT$232+CT$236+CT$244)*(1+V_IVAint))</f>
        <v>0</v>
      </c>
      <c r="CU209" s="34" t="n">
        <f aca="false">IF(CU$8=1,IF(Reales!$C$48="PYG",IF(CU$10&gt;0,N(Reales!CU48)/CU$10,0),N(Reales!CU48)),(CU$228+CU$232+CU$236+CU$244)*(1+V_IVAint))</f>
        <v>0</v>
      </c>
      <c r="CV209" s="34" t="n">
        <f aca="false">IF(CV$8=1,IF(Reales!$C$48="PYG",IF(CV$10&gt;0,N(Reales!CV48)/CV$10,0),N(Reales!CV48)),(CV$228+CV$232+CV$236+CV$244)*(1+V_IVAint))</f>
        <v>0</v>
      </c>
      <c r="CW209" s="34" t="n">
        <f aca="false">IF(CW$8=1,IF(Reales!$C$48="PYG",IF(CW$10&gt;0,N(Reales!CW48)/CW$10,0),N(Reales!CW48)),(CW$228+CW$232+CW$236+CW$244)*(1+V_IVAint))</f>
        <v>0</v>
      </c>
      <c r="CX209" s="34" t="n">
        <f aca="false">IF(CX$8=1,IF(Reales!$C$48="PYG",IF(CX$10&gt;0,N(Reales!CX48)/CX$10,0),N(Reales!CX48)),(CX$228+CX$232+CX$236+CX$244)*(1+V_IVAint))</f>
        <v>0</v>
      </c>
      <c r="CY209" s="34" t="n">
        <f aca="false">IF(CY$8=1,IF(Reales!$C$48="PYG",IF(CY$10&gt;0,N(Reales!CY48)/CY$10,0),N(Reales!CY48)),(CY$228+CY$232+CY$236+CY$244)*(1+V_IVAint))</f>
        <v>0</v>
      </c>
      <c r="CZ209" s="34" t="n">
        <f aca="false">IF(CZ$8=1,IF(Reales!$C$48="PYG",IF(CZ$10&gt;0,N(Reales!CZ48)/CZ$10,0),N(Reales!CZ48)),(CZ$228+CZ$232+CZ$236+CZ$244)*(1+V_IVAint))</f>
        <v>0</v>
      </c>
      <c r="DA209" s="34" t="n">
        <f aca="false">IF(DA$8=1,IF(Reales!$C$48="PYG",IF(DA$10&gt;0,N(Reales!DA48)/DA$10,0),N(Reales!DA48)),(DA$228+DA$232+DA$236+DA$244)*(1+V_IVAint))</f>
        <v>0</v>
      </c>
      <c r="DB209" s="34" t="n">
        <f aca="false">IF(DB$8=1,IF(Reales!$C$48="PYG",IF(DB$10&gt;0,N(Reales!DB48)/DB$10,0),N(Reales!DB48)),(DB$228+DB$232+DB$236+DB$244)*(1+V_IVAint))</f>
        <v>0</v>
      </c>
      <c r="DC209" s="34" t="n">
        <f aca="false">IF(DC$8=1,IF(Reales!$C$48="PYG",IF(DC$10&gt;0,N(Reales!DC48)/DC$10,0),N(Reales!DC48)),(DC$228+DC$232+DC$236+DC$244)*(1+V_IVAint))</f>
        <v>0</v>
      </c>
      <c r="DD209" s="34" t="n">
        <f aca="false">IF(DD$8=1,IF(Reales!$C$48="PYG",IF(DD$10&gt;0,N(Reales!DD48)/DD$10,0),N(Reales!DD48)),(DD$228+DD$232+DD$236+DD$244)*(1+V_IVAint))</f>
        <v>0</v>
      </c>
      <c r="DE209" s="34" t="n">
        <f aca="false">IF(DE$8=1,IF(Reales!$C$48="PYG",IF(DE$10&gt;0,N(Reales!DE48)/DE$10,0),N(Reales!DE48)),(DE$228+DE$232+DE$236+DE$244)*(1+V_IVAint))</f>
        <v>0</v>
      </c>
      <c r="DF209" s="34" t="n">
        <f aca="false">IF(DF$8=1,IF(Reales!$C$48="PYG",IF(DF$10&gt;0,N(Reales!DF48)/DF$10,0),N(Reales!DF48)),(DF$228+DF$232+DF$236+DF$244)*(1+V_IVAint))</f>
        <v>0</v>
      </c>
      <c r="DG209" s="34" t="n">
        <f aca="false">IF(DG$8=1,IF(Reales!$C$48="PYG",IF(DG$10&gt;0,N(Reales!DG48)/DG$10,0),N(Reales!DG48)),(DG$228+DG$232+DG$236+DG$244)*(1+V_IVAint))</f>
        <v>0</v>
      </c>
      <c r="DH209" s="34" t="n">
        <f aca="false">IF(DH$8=1,IF(Reales!$C$48="PYG",IF(DH$10&gt;0,N(Reales!DH48)/DH$10,0),N(Reales!DH48)),(DH$228+DH$232+DH$236+DH$244)*(1+V_IVAint))</f>
        <v>0</v>
      </c>
      <c r="DI209" s="34" t="n">
        <f aca="false">IF(DI$8=1,IF(Reales!$C$48="PYG",IF(DI$10&gt;0,N(Reales!DI48)/DI$10,0),N(Reales!DI48)),(DI$228+DI$232+DI$236+DI$244)*(1+V_IVAint))</f>
        <v>0</v>
      </c>
      <c r="DJ209" s="34" t="n">
        <f aca="false">IF(DJ$8=1,IF(Reales!$C$48="PYG",IF(DJ$10&gt;0,N(Reales!DJ48)/DJ$10,0),N(Reales!DJ48)),(DJ$228+DJ$232+DJ$236+DJ$244)*(1+V_IVAint))</f>
        <v>0</v>
      </c>
      <c r="DK209" s="34" t="n">
        <f aca="false">IF(DK$8=1,IF(Reales!$C$48="PYG",IF(DK$10&gt;0,N(Reales!DK48)/DK$10,0),N(Reales!DK48)),(DK$228+DK$232+DK$236+DK$244)*(1+V_IVAint))</f>
        <v>0</v>
      </c>
      <c r="DL209" s="34" t="n">
        <f aca="false">IF(DL$8=1,IF(Reales!$C$48="PYG",IF(DL$10&gt;0,N(Reales!DL48)/DL$10,0),N(Reales!DL48)),(DL$228+DL$232+DL$236+DL$244)*(1+V_IVAint))</f>
        <v>0</v>
      </c>
      <c r="DM209" s="34" t="n">
        <f aca="false">IF(DM$8=1,IF(Reales!$C$48="PYG",IF(DM$10&gt;0,N(Reales!DM48)/DM$10,0),N(Reales!DM48)),(DM$228+DM$232+DM$236+DM$244)*(1+V_IVAint))</f>
        <v>0</v>
      </c>
      <c r="DN209" s="34" t="n">
        <f aca="false">IF(DN$8=1,IF(Reales!$C$48="PYG",IF(DN$10&gt;0,N(Reales!DN48)/DN$10,0),N(Reales!DN48)),(DN$228+DN$232+DN$236+DN$244)*(1+V_IVAint))</f>
        <v>0</v>
      </c>
      <c r="DO209" s="34" t="n">
        <f aca="false">IF(DO$8=1,IF(Reales!$C$48="PYG",IF(DO$10&gt;0,N(Reales!DO48)/DO$10,0),N(Reales!DO48)),(DO$228+DO$232+DO$236+DO$244)*(1+V_IVAint))</f>
        <v>0</v>
      </c>
      <c r="DP209" s="34" t="n">
        <f aca="false">IF(DP$8=1,IF(Reales!$C$48="PYG",IF(DP$10&gt;0,N(Reales!DP48)/DP$10,0),N(Reales!DP48)),(DP$228+DP$232+DP$236+DP$244)*(1+V_IVAint))</f>
        <v>0</v>
      </c>
      <c r="DQ209" s="34" t="n">
        <f aca="false">IF(DQ$8=1,IF(Reales!$C$48="PYG",IF(DQ$10&gt;0,N(Reales!DQ48)/DQ$10,0),N(Reales!DQ48)),(DQ$228+DQ$232+DQ$236+DQ$244)*(1+V_IVAint))</f>
        <v>0</v>
      </c>
      <c r="DR209" s="34" t="n">
        <f aca="false">IF(DR$8=1,IF(Reales!$C$48="PYG",IF(DR$10&gt;0,N(Reales!DR48)/DR$10,0),N(Reales!DR48)),(DR$228+DR$232+DR$236+DR$244)*(1+V_IVAint))</f>
        <v>0</v>
      </c>
      <c r="DS209" s="34" t="n">
        <f aca="false">IF(DS$8=1,IF(Reales!$C$48="PYG",IF(DS$10&gt;0,N(Reales!DS48)/DS$10,0),N(Reales!DS48)),(DS$228+DS$232+DS$236+DS$244)*(1+V_IVAint))</f>
        <v>0</v>
      </c>
      <c r="DT209" s="34" t="n">
        <f aca="false">IF(DT$8=1,IF(Reales!$C$48="PYG",IF(DT$10&gt;0,N(Reales!DT48)/DT$10,0),N(Reales!DT48)),(DT$228+DT$232+DT$236+DT$244)*(1+V_IVAint))</f>
        <v>0</v>
      </c>
      <c r="DU209" s="34" t="n">
        <f aca="false">IF(DU$8=1,IF(Reales!$C$48="PYG",IF(DU$10&gt;0,N(Reales!DU48)/DU$10,0),N(Reales!DU48)),(DU$228+DU$232+DU$236+DU$244)*(1+V_IVAint))</f>
        <v>0</v>
      </c>
      <c r="DV209" s="34" t="n">
        <f aca="false">IF(DV$8=1,IF(Reales!$C$48="PYG",IF(DV$10&gt;0,N(Reales!DV48)/DV$10,0),N(Reales!DV48)),(DV$228+DV$232+DV$236+DV$244)*(1+V_IVAint))</f>
        <v>0</v>
      </c>
      <c r="DW209" s="34" t="n">
        <f aca="false">IF(DW$8=1,IF(Reales!$C$48="PYG",IF(DW$10&gt;0,N(Reales!DW48)/DW$10,0),N(Reales!DW48)),(DW$228+DW$232+DW$236+DW$244)*(1+V_IVAint))</f>
        <v>0</v>
      </c>
      <c r="DX209" s="34" t="n">
        <f aca="false">IF(DX$8=1,IF(Reales!$C$48="PYG",IF(DX$10&gt;0,N(Reales!DX48)/DX$10,0),N(Reales!DX48)),(DX$228+DX$232+DX$236+DX$244)*(1+V_IVAint))</f>
        <v>0</v>
      </c>
      <c r="DY209" s="34" t="n">
        <f aca="false">IF(DY$8=1,IF(Reales!$C$48="PYG",IF(DY$10&gt;0,N(Reales!DY48)/DY$10,0),N(Reales!DY48)),(DY$228+DY$232+DY$236+DY$244)*(1+V_IVAint))</f>
        <v>0</v>
      </c>
      <c r="DZ209" s="34" t="n">
        <f aca="false">IF(DZ$8=1,IF(Reales!$C$48="PYG",IF(DZ$10&gt;0,N(Reales!DZ48)/DZ$10,0),N(Reales!DZ48)),(DZ$228+DZ$232+DZ$236+DZ$244)*(1+V_IVAint))</f>
        <v>0</v>
      </c>
      <c r="EA209" s="34" t="n">
        <f aca="false">IF(EA$8=1,IF(Reales!$C$48="PYG",IF(EA$10&gt;0,N(Reales!EA48)/EA$10,0),N(Reales!EA48)),(EA$228+EA$232+EA$236+EA$244)*(1+V_IVAint))</f>
        <v>0</v>
      </c>
      <c r="EB209" s="34" t="n">
        <f aca="false">IF(EB$8=1,IF(Reales!$C$48="PYG",IF(EB$10&gt;0,N(Reales!EB48)/EB$10,0),N(Reales!EB48)),(EB$228+EB$232+EB$236+EB$244)*(1+V_IVAint))</f>
        <v>0</v>
      </c>
      <c r="EC209" s="34" t="n">
        <f aca="false">IF(EC$8=1,IF(Reales!$C$48="PYG",IF(EC$10&gt;0,N(Reales!EC48)/EC$10,0),N(Reales!EC48)),(EC$228+EC$232+EC$236+EC$244)*(1+V_IVAint))</f>
        <v>0</v>
      </c>
      <c r="ED209" s="34" t="n">
        <f aca="false">IF(ED$8=1,IF(Reales!$C$48="PYG",IF(ED$10&gt;0,N(Reales!ED48)/ED$10,0),N(Reales!ED48)),(ED$228+ED$232+ED$236+ED$244)*(1+V_IVAint))</f>
        <v>0</v>
      </c>
      <c r="EE209" s="34" t="n">
        <f aca="false">IF(EE$8=1,IF(Reales!$C$48="PYG",IF(EE$10&gt;0,N(Reales!EE48)/EE$10,0),N(Reales!EE48)),(EE$228+EE$232+EE$236+EE$244)*(1+V_IVAint))</f>
        <v>0</v>
      </c>
      <c r="EF209" s="34" t="n">
        <f aca="false">IF(EF$8=1,IF(Reales!$C$48="PYG",IF(EF$10&gt;0,N(Reales!EF48)/EF$10,0),N(Reales!EF48)),(EF$228+EF$232+EF$236+EF$244)*(1+V_IVAint))</f>
        <v>0</v>
      </c>
      <c r="EG209" s="34" t="n">
        <f aca="false">IF(EG$8=1,IF(Reales!$C$48="PYG",IF(EG$10&gt;0,N(Reales!EG48)/EG$10,0),N(Reales!EG48)),(EG$228+EG$232+EG$236+EG$244)*(1+V_IVAint))</f>
        <v>0</v>
      </c>
      <c r="EH209" s="34" t="n">
        <f aca="false">IF(EH$8=1,IF(Reales!$C$48="PYG",IF(EH$10&gt;0,N(Reales!EH48)/EH$10,0),N(Reales!EH48)),(EH$228+EH$232+EH$236+EH$244)*(1+V_IVAint))</f>
        <v>0</v>
      </c>
      <c r="EI209" s="34" t="n">
        <f aca="false">IF(EI$8=1,IF(Reales!$C$48="PYG",IF(EI$10&gt;0,N(Reales!EI48)/EI$10,0),N(Reales!EI48)),(EI$228+EI$232+EI$236+EI$244)*(1+V_IVAint))</f>
        <v>0</v>
      </c>
      <c r="EJ209" s="34" t="n">
        <f aca="false">IF(EJ$8=1,IF(Reales!$C$48="PYG",IF(EJ$10&gt;0,N(Reales!EJ48)/EJ$10,0),N(Reales!EJ48)),(EJ$228+EJ$232+EJ$236+EJ$244)*(1+V_IVAint))</f>
        <v>0</v>
      </c>
      <c r="EK209" s="34" t="n">
        <f aca="false">IF(EK$8=1,IF(Reales!$C$48="PYG",IF(EK$10&gt;0,N(Reales!EK48)/EK$10,0),N(Reales!EK48)),(EK$228+EK$232+EK$236+EK$244)*(1+V_IVAint))</f>
        <v>0</v>
      </c>
      <c r="EL209" s="34" t="n">
        <f aca="false">IF(EL$8=1,IF(Reales!$C$48="PYG",IF(EL$10&gt;0,N(Reales!EL48)/EL$10,0),N(Reales!EL48)),(EL$228+EL$232+EL$236+EL$244)*(1+V_IVAint))</f>
        <v>0</v>
      </c>
      <c r="EM209" s="34" t="n">
        <f aca="false">IF(EM$8=1,IF(Reales!$C$48="PYG",IF(EM$10&gt;0,N(Reales!EM48)/EM$10,0),N(Reales!EM48)),(EM$228+EM$232+EM$236+EM$244)*(1+V_IVAint))</f>
        <v>0</v>
      </c>
      <c r="EN209" s="34" t="n">
        <f aca="false">IF(EN$8=1,IF(Reales!$C$48="PYG",IF(EN$10&gt;0,N(Reales!EN48)/EN$10,0),N(Reales!EN48)),(EN$228+EN$232+EN$236+EN$244)*(1+V_IVAint))</f>
        <v>0</v>
      </c>
      <c r="EO209" s="34" t="n">
        <f aca="false">IF(EO$8=1,IF(Reales!$C$48="PYG",IF(EO$10&gt;0,N(Reales!EO48)/EO$10,0),N(Reales!EO48)),(EO$228+EO$232+EO$236+EO$244)*(1+V_IVAint))</f>
        <v>0</v>
      </c>
      <c r="EP209" s="34" t="n">
        <f aca="false">IF(EP$8=1,IF(Reales!$C$48="PYG",IF(EP$10&gt;0,N(Reales!EP48)/EP$10,0),N(Reales!EP48)),(EP$228+EP$232+EP$236+EP$244)*(1+V_IVAint))</f>
        <v>0</v>
      </c>
      <c r="EQ209" s="34" t="n">
        <f aca="false">IF(EQ$8=1,IF(Reales!$C$48="PYG",IF(EQ$10&gt;0,N(Reales!EQ48)/EQ$10,0),N(Reales!EQ48)),(EQ$228+EQ$232+EQ$236+EQ$244)*(1+V_IVAint))</f>
        <v>0</v>
      </c>
      <c r="ER209" s="34" t="n">
        <f aca="false">IF(ER$8=1,IF(Reales!$C$48="PYG",IF(ER$10&gt;0,N(Reales!ER48)/ER$10,0),N(Reales!ER48)),(ER$228+ER$232+ER$236+ER$244)*(1+V_IVAint))</f>
        <v>0</v>
      </c>
      <c r="ES209" s="34" t="n">
        <f aca="false">IF(ES$8=1,IF(Reales!$C$48="PYG",IF(ES$10&gt;0,N(Reales!ES48)/ES$10,0),N(Reales!ES48)),(ES$228+ES$232+ES$236+ES$244)*(1+V_IVAint))</f>
        <v>0</v>
      </c>
    </row>
    <row r="210" customFormat="false" ht="15" hidden="false" customHeight="false" outlineLevel="0" collapsed="false">
      <c r="A210" s="2" t="s">
        <v>824</v>
      </c>
      <c r="B210" s="6" t="s">
        <v>649</v>
      </c>
      <c r="C210" s="6" t="s">
        <v>250</v>
      </c>
      <c r="E210" s="40" t="n">
        <f aca="false">SUM(F210:ES210)</f>
        <v>0</v>
      </c>
      <c r="F210" s="34" t="n">
        <f aca="false">V_IRE*(F$208-F$209)</f>
        <v>0</v>
      </c>
      <c r="G210" s="34" t="n">
        <f aca="false">V_IRE*(G$208-G$209)</f>
        <v>0</v>
      </c>
      <c r="H210" s="34" t="n">
        <f aca="false">V_IRE*(H$208-H$209)</f>
        <v>0</v>
      </c>
      <c r="I210" s="34" t="n">
        <f aca="false">V_IRE*(I$208-I$209)</f>
        <v>0</v>
      </c>
      <c r="J210" s="34" t="n">
        <f aca="false">V_IRE*(J$208-J$209)</f>
        <v>0</v>
      </c>
      <c r="K210" s="34" t="n">
        <f aca="false">V_IRE*(K$208-K$209)</f>
        <v>0</v>
      </c>
      <c r="L210" s="34" t="n">
        <f aca="false">V_IRE*(L$208-L$209)</f>
        <v>0</v>
      </c>
      <c r="M210" s="34" t="n">
        <f aca="false">V_IRE*(M$208-M$209)</f>
        <v>0</v>
      </c>
      <c r="N210" s="34" t="n">
        <f aca="false">V_IRE*(N$208-N$209)</f>
        <v>0</v>
      </c>
      <c r="O210" s="34" t="n">
        <f aca="false">V_IRE*(O$208-O$209)</f>
        <v>0</v>
      </c>
      <c r="P210" s="34" t="n">
        <f aca="false">V_IRE*(P$208-P$209)</f>
        <v>0</v>
      </c>
      <c r="Q210" s="34" t="n">
        <f aca="false">V_IRE*(Q$208-Q$209)</f>
        <v>0</v>
      </c>
      <c r="R210" s="34" t="n">
        <f aca="false">V_IRE*(R$208-R$209)</f>
        <v>0</v>
      </c>
      <c r="S210" s="34" t="n">
        <f aca="false">V_IRE*(S$208-S$209)</f>
        <v>0</v>
      </c>
      <c r="T210" s="34" t="n">
        <f aca="false">V_IRE*(T$208-T$209)</f>
        <v>0</v>
      </c>
      <c r="U210" s="34" t="n">
        <f aca="false">V_IRE*(U$208-U$209)</f>
        <v>0</v>
      </c>
      <c r="V210" s="34" t="n">
        <f aca="false">V_IRE*(V$208-V$209)</f>
        <v>0</v>
      </c>
      <c r="W210" s="34" t="n">
        <f aca="false">V_IRE*(W$208-W$209)</f>
        <v>0</v>
      </c>
      <c r="X210" s="34" t="n">
        <f aca="false">V_IRE*(X$208-X$209)</f>
        <v>0</v>
      </c>
      <c r="Y210" s="34" t="n">
        <f aca="false">V_IRE*(Y$208-Y$209)</f>
        <v>0</v>
      </c>
      <c r="Z210" s="34" t="n">
        <f aca="false">V_IRE*(Z$208-Z$209)</f>
        <v>0</v>
      </c>
      <c r="AA210" s="34" t="n">
        <f aca="false">V_IRE*(AA$208-AA$209)</f>
        <v>0</v>
      </c>
      <c r="AB210" s="34" t="n">
        <f aca="false">V_IRE*(AB$208-AB$209)</f>
        <v>0</v>
      </c>
      <c r="AC210" s="34" t="n">
        <f aca="false">V_IRE*(AC$208-AC$209)</f>
        <v>0</v>
      </c>
      <c r="AD210" s="34" t="n">
        <f aca="false">V_IRE*(AD$208-AD$209)</f>
        <v>0</v>
      </c>
      <c r="AE210" s="34" t="n">
        <f aca="false">V_IRE*(AE$208-AE$209)</f>
        <v>0</v>
      </c>
      <c r="AF210" s="34" t="n">
        <f aca="false">V_IRE*(AF$208-AF$209)</f>
        <v>0</v>
      </c>
      <c r="AG210" s="34" t="n">
        <f aca="false">V_IRE*(AG$208-AG$209)</f>
        <v>0</v>
      </c>
      <c r="AH210" s="34" t="n">
        <f aca="false">V_IRE*(AH$208-AH$209)</f>
        <v>0</v>
      </c>
      <c r="AI210" s="34" t="n">
        <f aca="false">V_IRE*(AI$208-AI$209)</f>
        <v>0</v>
      </c>
      <c r="AJ210" s="34" t="n">
        <f aca="false">V_IRE*(AJ$208-AJ$209)</f>
        <v>0</v>
      </c>
      <c r="AK210" s="34" t="n">
        <f aca="false">V_IRE*(AK$208-AK$209)</f>
        <v>0</v>
      </c>
      <c r="AL210" s="34" t="n">
        <f aca="false">V_IRE*(AL$208-AL$209)</f>
        <v>0</v>
      </c>
      <c r="AM210" s="34" t="n">
        <f aca="false">V_IRE*(AM$208-AM$209)</f>
        <v>0</v>
      </c>
      <c r="AN210" s="34" t="n">
        <f aca="false">V_IRE*(AN$208-AN$209)</f>
        <v>0</v>
      </c>
      <c r="AO210" s="34" t="n">
        <f aca="false">V_IRE*(AO$208-AO$209)</f>
        <v>0</v>
      </c>
      <c r="AP210" s="34" t="n">
        <f aca="false">V_IRE*(AP$208-AP$209)</f>
        <v>0</v>
      </c>
      <c r="AQ210" s="34" t="n">
        <f aca="false">V_IRE*(AQ$208-AQ$209)</f>
        <v>0</v>
      </c>
      <c r="AR210" s="34" t="n">
        <f aca="false">V_IRE*(AR$208-AR$209)</f>
        <v>0</v>
      </c>
      <c r="AS210" s="34" t="n">
        <f aca="false">V_IRE*(AS$208-AS$209)</f>
        <v>0</v>
      </c>
      <c r="AT210" s="34" t="n">
        <f aca="false">V_IRE*(AT$208-AT$209)</f>
        <v>0</v>
      </c>
      <c r="AU210" s="34" t="n">
        <f aca="false">V_IRE*(AU$208-AU$209)</f>
        <v>0</v>
      </c>
      <c r="AV210" s="34" t="n">
        <f aca="false">V_IRE*(AV$208-AV$209)</f>
        <v>0</v>
      </c>
      <c r="AW210" s="34" t="n">
        <f aca="false">V_IRE*(AW$208-AW$209)</f>
        <v>0</v>
      </c>
      <c r="AX210" s="34" t="n">
        <f aca="false">V_IRE*(AX$208-AX$209)</f>
        <v>0</v>
      </c>
      <c r="AY210" s="34" t="n">
        <f aca="false">V_IRE*(AY$208-AY$209)</f>
        <v>0</v>
      </c>
      <c r="AZ210" s="34" t="n">
        <f aca="false">V_IRE*(AZ$208-AZ$209)</f>
        <v>0</v>
      </c>
      <c r="BA210" s="34" t="n">
        <f aca="false">V_IRE*(BA$208-BA$209)</f>
        <v>0</v>
      </c>
      <c r="BB210" s="34" t="n">
        <f aca="false">V_IRE*(BB$208-BB$209)</f>
        <v>0</v>
      </c>
      <c r="BC210" s="34" t="n">
        <f aca="false">V_IRE*(BC$208-BC$209)</f>
        <v>0</v>
      </c>
      <c r="BD210" s="34" t="n">
        <f aca="false">V_IRE*(BD$208-BD$209)</f>
        <v>0</v>
      </c>
      <c r="BE210" s="34" t="n">
        <f aca="false">V_IRE*(BE$208-BE$209)</f>
        <v>0</v>
      </c>
      <c r="BF210" s="34" t="n">
        <f aca="false">V_IRE*(BF$208-BF$209)</f>
        <v>0</v>
      </c>
      <c r="BG210" s="34" t="n">
        <f aca="false">V_IRE*(BG$208-BG$209)</f>
        <v>0</v>
      </c>
      <c r="BH210" s="34" t="n">
        <f aca="false">V_IRE*(BH$208-BH$209)</f>
        <v>0</v>
      </c>
      <c r="BI210" s="34" t="n">
        <f aca="false">V_IRE*(BI$208-BI$209)</f>
        <v>0</v>
      </c>
      <c r="BJ210" s="34" t="n">
        <f aca="false">V_IRE*(BJ$208-BJ$209)</f>
        <v>0</v>
      </c>
      <c r="BK210" s="34" t="n">
        <f aca="false">V_IRE*(BK$208-BK$209)</f>
        <v>0</v>
      </c>
      <c r="BL210" s="34" t="n">
        <f aca="false">V_IRE*(BL$208-BL$209)</f>
        <v>0</v>
      </c>
      <c r="BM210" s="34" t="n">
        <f aca="false">V_IRE*(BM$208-BM$209)</f>
        <v>0</v>
      </c>
      <c r="BN210" s="34" t="n">
        <f aca="false">V_IRE*(BN$208-BN$209)</f>
        <v>0</v>
      </c>
      <c r="BO210" s="34" t="n">
        <f aca="false">V_IRE*(BO$208-BO$209)</f>
        <v>0</v>
      </c>
      <c r="BP210" s="34" t="n">
        <f aca="false">V_IRE*(BP$208-BP$209)</f>
        <v>0</v>
      </c>
      <c r="BQ210" s="34" t="n">
        <f aca="false">V_IRE*(BQ$208-BQ$209)</f>
        <v>0</v>
      </c>
      <c r="BR210" s="34" t="n">
        <f aca="false">V_IRE*(BR$208-BR$209)</f>
        <v>0</v>
      </c>
      <c r="BS210" s="34" t="n">
        <f aca="false">V_IRE*(BS$208-BS$209)</f>
        <v>0</v>
      </c>
      <c r="BT210" s="34" t="n">
        <f aca="false">V_IRE*(BT$208-BT$209)</f>
        <v>0</v>
      </c>
      <c r="BU210" s="34" t="n">
        <f aca="false">V_IRE*(BU$208-BU$209)</f>
        <v>0</v>
      </c>
      <c r="BV210" s="34" t="n">
        <f aca="false">V_IRE*(BV$208-BV$209)</f>
        <v>0</v>
      </c>
      <c r="BW210" s="34" t="n">
        <f aca="false">V_IRE*(BW$208-BW$209)</f>
        <v>0</v>
      </c>
      <c r="BX210" s="34" t="n">
        <f aca="false">V_IRE*(BX$208-BX$209)</f>
        <v>0</v>
      </c>
      <c r="BY210" s="34" t="n">
        <f aca="false">V_IRE*(BY$208-BY$209)</f>
        <v>0</v>
      </c>
      <c r="BZ210" s="34" t="n">
        <f aca="false">V_IRE*(BZ$208-BZ$209)</f>
        <v>0</v>
      </c>
      <c r="CA210" s="34" t="n">
        <f aca="false">V_IRE*(CA$208-CA$209)</f>
        <v>0</v>
      </c>
      <c r="CB210" s="34" t="n">
        <f aca="false">V_IRE*(CB$208-CB$209)</f>
        <v>0</v>
      </c>
      <c r="CC210" s="34" t="n">
        <f aca="false">V_IRE*(CC$208-CC$209)</f>
        <v>0</v>
      </c>
      <c r="CD210" s="34" t="n">
        <f aca="false">V_IRE*(CD$208-CD$209)</f>
        <v>0</v>
      </c>
      <c r="CE210" s="34" t="n">
        <f aca="false">V_IRE*(CE$208-CE$209)</f>
        <v>0</v>
      </c>
      <c r="CF210" s="34" t="n">
        <f aca="false">V_IRE*(CF$208-CF$209)</f>
        <v>0</v>
      </c>
      <c r="CG210" s="34" t="n">
        <f aca="false">V_IRE*(CG$208-CG$209)</f>
        <v>0</v>
      </c>
      <c r="CH210" s="34" t="n">
        <f aca="false">V_IRE*(CH$208-CH$209)</f>
        <v>0</v>
      </c>
      <c r="CI210" s="34" t="n">
        <f aca="false">V_IRE*(CI$208-CI$209)</f>
        <v>0</v>
      </c>
      <c r="CJ210" s="34" t="n">
        <f aca="false">V_IRE*(CJ$208-CJ$209)</f>
        <v>0</v>
      </c>
      <c r="CK210" s="34" t="n">
        <f aca="false">V_IRE*(CK$208-CK$209)</f>
        <v>0</v>
      </c>
      <c r="CL210" s="34" t="n">
        <f aca="false">V_IRE*(CL$208-CL$209)</f>
        <v>0</v>
      </c>
      <c r="CM210" s="34" t="n">
        <f aca="false">V_IRE*(CM$208-CM$209)</f>
        <v>0</v>
      </c>
      <c r="CN210" s="34" t="n">
        <f aca="false">V_IRE*(CN$208-CN$209)</f>
        <v>0</v>
      </c>
      <c r="CO210" s="34" t="n">
        <f aca="false">V_IRE*(CO$208-CO$209)</f>
        <v>0</v>
      </c>
      <c r="CP210" s="34" t="n">
        <f aca="false">V_IRE*(CP$208-CP$209)</f>
        <v>0</v>
      </c>
      <c r="CQ210" s="34" t="n">
        <f aca="false">V_IRE*(CQ$208-CQ$209)</f>
        <v>0</v>
      </c>
      <c r="CR210" s="34" t="n">
        <f aca="false">V_IRE*(CR$208-CR$209)</f>
        <v>0</v>
      </c>
      <c r="CS210" s="34" t="n">
        <f aca="false">V_IRE*(CS$208-CS$209)</f>
        <v>0</v>
      </c>
      <c r="CT210" s="34" t="n">
        <f aca="false">V_IRE*(CT$208-CT$209)</f>
        <v>0</v>
      </c>
      <c r="CU210" s="34" t="n">
        <f aca="false">V_IRE*(CU$208-CU$209)</f>
        <v>0</v>
      </c>
      <c r="CV210" s="34" t="n">
        <f aca="false">V_IRE*(CV$208-CV$209)</f>
        <v>0</v>
      </c>
      <c r="CW210" s="34" t="n">
        <f aca="false">V_IRE*(CW$208-CW$209)</f>
        <v>0</v>
      </c>
      <c r="CX210" s="34" t="n">
        <f aca="false">V_IRE*(CX$208-CX$209)</f>
        <v>0</v>
      </c>
      <c r="CY210" s="34" t="n">
        <f aca="false">V_IRE*(CY$208-CY$209)</f>
        <v>0</v>
      </c>
      <c r="CZ210" s="34" t="n">
        <f aca="false">V_IRE*(CZ$208-CZ$209)</f>
        <v>0</v>
      </c>
      <c r="DA210" s="34" t="n">
        <f aca="false">V_IRE*(DA$208-DA$209)</f>
        <v>0</v>
      </c>
      <c r="DB210" s="34" t="n">
        <f aca="false">V_IRE*(DB$208-DB$209)</f>
        <v>0</v>
      </c>
      <c r="DC210" s="34" t="n">
        <f aca="false">V_IRE*(DC$208-DC$209)</f>
        <v>0</v>
      </c>
      <c r="DD210" s="34" t="n">
        <f aca="false">V_IRE*(DD$208-DD$209)</f>
        <v>0</v>
      </c>
      <c r="DE210" s="34" t="n">
        <f aca="false">V_IRE*(DE$208-DE$209)</f>
        <v>0</v>
      </c>
      <c r="DF210" s="34" t="n">
        <f aca="false">V_IRE*(DF$208-DF$209)</f>
        <v>0</v>
      </c>
      <c r="DG210" s="34" t="n">
        <f aca="false">V_IRE*(DG$208-DG$209)</f>
        <v>0</v>
      </c>
      <c r="DH210" s="34" t="n">
        <f aca="false">V_IRE*(DH$208-DH$209)</f>
        <v>0</v>
      </c>
      <c r="DI210" s="34" t="n">
        <f aca="false">V_IRE*(DI$208-DI$209)</f>
        <v>0</v>
      </c>
      <c r="DJ210" s="34" t="n">
        <f aca="false">V_IRE*(DJ$208-DJ$209)</f>
        <v>0</v>
      </c>
      <c r="DK210" s="34" t="n">
        <f aca="false">V_IRE*(DK$208-DK$209)</f>
        <v>0</v>
      </c>
      <c r="DL210" s="34" t="n">
        <f aca="false">V_IRE*(DL$208-DL$209)</f>
        <v>0</v>
      </c>
      <c r="DM210" s="34" t="n">
        <f aca="false">V_IRE*(DM$208-DM$209)</f>
        <v>0</v>
      </c>
      <c r="DN210" s="34" t="n">
        <f aca="false">V_IRE*(DN$208-DN$209)</f>
        <v>0</v>
      </c>
      <c r="DO210" s="34" t="n">
        <f aca="false">V_IRE*(DO$208-DO$209)</f>
        <v>0</v>
      </c>
      <c r="DP210" s="34" t="n">
        <f aca="false">V_IRE*(DP$208-DP$209)</f>
        <v>0</v>
      </c>
      <c r="DQ210" s="34" t="n">
        <f aca="false">V_IRE*(DQ$208-DQ$209)</f>
        <v>0</v>
      </c>
      <c r="DR210" s="34" t="n">
        <f aca="false">V_IRE*(DR$208-DR$209)</f>
        <v>0</v>
      </c>
      <c r="DS210" s="34" t="n">
        <f aca="false">V_IRE*(DS$208-DS$209)</f>
        <v>0</v>
      </c>
      <c r="DT210" s="34" t="n">
        <f aca="false">V_IRE*(DT$208-DT$209)</f>
        <v>0</v>
      </c>
      <c r="DU210" s="34" t="n">
        <f aca="false">V_IRE*(DU$208-DU$209)</f>
        <v>0</v>
      </c>
      <c r="DV210" s="34" t="n">
        <f aca="false">V_IRE*(DV$208-DV$209)</f>
        <v>0</v>
      </c>
      <c r="DW210" s="34" t="n">
        <f aca="false">V_IRE*(DW$208-DW$209)</f>
        <v>0</v>
      </c>
      <c r="DX210" s="34" t="n">
        <f aca="false">V_IRE*(DX$208-DX$209)</f>
        <v>0</v>
      </c>
      <c r="DY210" s="34" t="n">
        <f aca="false">V_IRE*(DY$208-DY$209)</f>
        <v>0</v>
      </c>
      <c r="DZ210" s="34" t="n">
        <f aca="false">V_IRE*(DZ$208-DZ$209)</f>
        <v>0</v>
      </c>
      <c r="EA210" s="34" t="n">
        <f aca="false">V_IRE*(EA$208-EA$209)</f>
        <v>0</v>
      </c>
      <c r="EB210" s="34" t="n">
        <f aca="false">V_IRE*(EB$208-EB$209)</f>
        <v>0</v>
      </c>
      <c r="EC210" s="34" t="n">
        <f aca="false">V_IRE*(EC$208-EC$209)</f>
        <v>0</v>
      </c>
      <c r="ED210" s="34" t="n">
        <f aca="false">V_IRE*(ED$208-ED$209)</f>
        <v>0</v>
      </c>
      <c r="EE210" s="34" t="n">
        <f aca="false">V_IRE*(EE$208-EE$209)</f>
        <v>0</v>
      </c>
      <c r="EF210" s="34" t="n">
        <f aca="false">V_IRE*(EF$208-EF$209)</f>
        <v>0</v>
      </c>
      <c r="EG210" s="34" t="n">
        <f aca="false">V_IRE*(EG$208-EG$209)</f>
        <v>0</v>
      </c>
      <c r="EH210" s="34" t="n">
        <f aca="false">V_IRE*(EH$208-EH$209)</f>
        <v>0</v>
      </c>
      <c r="EI210" s="34" t="n">
        <f aca="false">V_IRE*(EI$208-EI$209)</f>
        <v>0</v>
      </c>
      <c r="EJ210" s="34" t="n">
        <f aca="false">V_IRE*(EJ$208-EJ$209)</f>
        <v>0</v>
      </c>
      <c r="EK210" s="34" t="n">
        <f aca="false">V_IRE*(EK$208-EK$209)</f>
        <v>0</v>
      </c>
      <c r="EL210" s="34" t="n">
        <f aca="false">V_IRE*(EL$208-EL$209)</f>
        <v>0</v>
      </c>
      <c r="EM210" s="34" t="n">
        <f aca="false">V_IRE*(EM$208-EM$209)</f>
        <v>0</v>
      </c>
      <c r="EN210" s="34" t="n">
        <f aca="false">V_IRE*(EN$208-EN$209)</f>
        <v>0</v>
      </c>
      <c r="EO210" s="34" t="n">
        <f aca="false">V_IRE*(EO$208-EO$209)</f>
        <v>0</v>
      </c>
      <c r="EP210" s="34" t="n">
        <f aca="false">V_IRE*(EP$208-EP$209)</f>
        <v>0</v>
      </c>
      <c r="EQ210" s="34" t="n">
        <f aca="false">V_IRE*(EQ$208-EQ$209)</f>
        <v>0</v>
      </c>
      <c r="ER210" s="34" t="n">
        <f aca="false">V_IRE*(ER$208-ER$209)</f>
        <v>0</v>
      </c>
      <c r="ES210" s="34" t="n">
        <f aca="false">V_IRE*(ES$208-ES$209)</f>
        <v>0</v>
      </c>
    </row>
    <row r="211" customFormat="false" ht="15" hidden="false" customHeight="false" outlineLevel="0" collapsed="false">
      <c r="A211" s="2" t="s">
        <v>825</v>
      </c>
      <c r="B211" s="52" t="s">
        <v>651</v>
      </c>
      <c r="C211" s="6" t="s">
        <v>250</v>
      </c>
      <c r="E211" s="40" t="n">
        <f aca="false">SUM(F211:ES211)</f>
        <v>14751245.7980366</v>
      </c>
      <c r="F211" s="10" t="n">
        <f aca="false">F$208-F$209-F$210</f>
        <v>13500.8903089231</v>
      </c>
      <c r="G211" s="10" t="n">
        <f aca="false">G$208-G$209-G$210</f>
        <v>13500.8903089231</v>
      </c>
      <c r="H211" s="10" t="n">
        <f aca="false">H$208-H$209-H$210</f>
        <v>13500.8903089231</v>
      </c>
      <c r="I211" s="10" t="n">
        <f aca="false">I$208-I$209-I$210</f>
        <v>13500.8903089231</v>
      </c>
      <c r="J211" s="10" t="n">
        <f aca="false">J$208-J$209-J$210</f>
        <v>13500.8903089231</v>
      </c>
      <c r="K211" s="10" t="n">
        <f aca="false">K$208-K$209-K$210</f>
        <v>13500.8903089231</v>
      </c>
      <c r="L211" s="10" t="n">
        <f aca="false">L$208-L$209-L$210</f>
        <v>13500.8903089231</v>
      </c>
      <c r="M211" s="10" t="n">
        <f aca="false">M$208-M$209-M$210</f>
        <v>13848.4075677042</v>
      </c>
      <c r="N211" s="10" t="n">
        <f aca="false">N$208-N$209-N$210</f>
        <v>14198.5312059263</v>
      </c>
      <c r="O211" s="10" t="n">
        <f aca="false">O$208-O$209-O$210</f>
        <v>14551.280771435</v>
      </c>
      <c r="P211" s="10" t="n">
        <f aca="false">P$208-P$209-P$210</f>
        <v>14906.675958685</v>
      </c>
      <c r="Q211" s="10" t="n">
        <f aca="false">Q$208-Q$209-Q$210</f>
        <v>15264.7366098394</v>
      </c>
      <c r="R211" s="10" t="n">
        <f aca="false">R$208-R$209-R$210</f>
        <v>52791.0519009191</v>
      </c>
      <c r="S211" s="10" t="n">
        <f aca="false">S$208-S$209-S$210</f>
        <v>53154.5036027525</v>
      </c>
      <c r="T211" s="10" t="n">
        <f aca="false">T$208-T$209-T$210</f>
        <v>53520.6811923496</v>
      </c>
      <c r="U211" s="10" t="n">
        <f aca="false">U$208-U$209-U$210</f>
        <v>53889.6051138686</v>
      </c>
      <c r="V211" s="10" t="n">
        <f aca="false">V$208-V$209-V$210</f>
        <v>54261.2959647991</v>
      </c>
      <c r="W211" s="10" t="n">
        <f aca="false">W$208-W$209-W$210</f>
        <v>54635.7744971115</v>
      </c>
      <c r="X211" s="10" t="n">
        <f aca="false">X$208-X$209-X$210</f>
        <v>55013.0616184163</v>
      </c>
      <c r="Y211" s="10" t="n">
        <f aca="false">Y$208-Y$209-Y$210</f>
        <v>55393.1783931308</v>
      </c>
      <c r="Z211" s="10" t="n">
        <f aca="false">Z$208-Z$209-Z$210</f>
        <v>55776.1460436557</v>
      </c>
      <c r="AA211" s="10" t="n">
        <f aca="false">AA$208-AA$209-AA$210</f>
        <v>56161.9859515596</v>
      </c>
      <c r="AB211" s="10" t="n">
        <f aca="false">AB$208-AB$209-AB$210</f>
        <v>56550.7196587727</v>
      </c>
      <c r="AC211" s="10" t="n">
        <f aca="false">AC$208-AC$209-AC$210</f>
        <v>56942.36886879</v>
      </c>
      <c r="AD211" s="10" t="n">
        <f aca="false">AD$208-AD$209-AD$210</f>
        <v>93925.5833190422</v>
      </c>
      <c r="AE211" s="10" t="n">
        <f aca="false">AE$208-AE$209-AE$210</f>
        <v>94323.1292974778</v>
      </c>
      <c r="AF211" s="10" t="n">
        <f aca="false">AF$208-AF$209-AF$210</f>
        <v>94723.6568707516</v>
      </c>
      <c r="AG211" s="10" t="n">
        <f aca="false">AG$208-AG$209-AG$210</f>
        <v>95127.188400825</v>
      </c>
      <c r="AH211" s="10" t="n">
        <f aca="false">AH$208-AH$209-AH$210</f>
        <v>95533.7464173739</v>
      </c>
      <c r="AI211" s="10" t="n">
        <f aca="false">AI$208-AI$209-AI$210</f>
        <v>95943.353619047</v>
      </c>
      <c r="AJ211" s="10" t="n">
        <f aca="false">AJ$208-AJ$209-AJ$210</f>
        <v>96356.0328747325</v>
      </c>
      <c r="AK211" s="10" t="n">
        <f aca="false">AK$208-AK$209-AK$210</f>
        <v>96771.8072248358</v>
      </c>
      <c r="AL211" s="10" t="n">
        <f aca="false">AL$208-AL$209-AL$210</f>
        <v>97190.6998825648</v>
      </c>
      <c r="AM211" s="10" t="n">
        <f aca="false">AM$208-AM$209-AM$210</f>
        <v>97612.7342352267</v>
      </c>
      <c r="AN211" s="10" t="n">
        <f aca="false">AN$208-AN$209-AN$210</f>
        <v>98037.9338455337</v>
      </c>
      <c r="AO211" s="10" t="n">
        <f aca="false">AO$208-AO$209-AO$210</f>
        <v>98466.3224529179</v>
      </c>
      <c r="AP211" s="10" t="n">
        <f aca="false">AP$208-AP$209-AP$210</f>
        <v>131706.472989591</v>
      </c>
      <c r="AQ211" s="10" t="n">
        <f aca="false">AQ$208-AQ$209-AQ$210</f>
        <v>132141.311522945</v>
      </c>
      <c r="AR211" s="10" t="n">
        <f aca="false">AR$208-AR$209-AR$210</f>
        <v>132579.4113453</v>
      </c>
      <c r="AS211" s="10" t="n">
        <f aca="false">AS$208-AS$209-AS$210</f>
        <v>133020.796916322</v>
      </c>
      <c r="AT211" s="10" t="n">
        <f aca="false">AT$208-AT$209-AT$210</f>
        <v>133465.492879126</v>
      </c>
      <c r="AU211" s="10" t="n">
        <f aca="false">AU$208-AU$209-AU$210</f>
        <v>133913.524061652</v>
      </c>
      <c r="AV211" s="10" t="n">
        <f aca="false">AV$208-AV$209-AV$210</f>
        <v>134364.915478047</v>
      </c>
      <c r="AW211" s="10" t="n">
        <f aca="false">AW$208-AW$209-AW$210</f>
        <v>134819.692330064</v>
      </c>
      <c r="AX211" s="10" t="n">
        <f aca="false">AX$208-AX$209-AX$210</f>
        <v>135277.880008472</v>
      </c>
      <c r="AY211" s="10" t="n">
        <f aca="false">AY$208-AY$209-AY$210</f>
        <v>135739.504094468</v>
      </c>
      <c r="AZ211" s="10" t="n">
        <f aca="false">AZ$208-AZ$209-AZ$210</f>
        <v>136204.590361108</v>
      </c>
      <c r="BA211" s="10" t="n">
        <f aca="false">BA$208-BA$209-BA$210</f>
        <v>136673.164774749</v>
      </c>
      <c r="BB211" s="10" t="n">
        <f aca="false">BB$208-BB$209-BB$210</f>
        <v>138464.838493007</v>
      </c>
      <c r="BC211" s="10" t="n">
        <f aca="false">BC$208-BC$209-BC$210</f>
        <v>138940.467880163</v>
      </c>
      <c r="BD211" s="10" t="n">
        <f aca="false">BD$208-BD$209-BD$210</f>
        <v>139419.664487723</v>
      </c>
      <c r="BE211" s="10" t="n">
        <f aca="false">BE$208-BE$209-BE$210</f>
        <v>139902.455069839</v>
      </c>
      <c r="BF211" s="10" t="n">
        <f aca="false">BF$208-BF$209-BF$210</f>
        <v>140388.866581321</v>
      </c>
      <c r="BG211" s="10" t="n">
        <f aca="false">BG$208-BG$209-BG$210</f>
        <v>140878.926179139</v>
      </c>
      <c r="BH211" s="10" t="n">
        <f aca="false">BH$208-BH$209-BH$210</f>
        <v>141372.661223941</v>
      </c>
      <c r="BI211" s="10" t="n">
        <f aca="false">BI$208-BI$209-BI$210</f>
        <v>141870.099281579</v>
      </c>
      <c r="BJ211" s="10" t="n">
        <f aca="false">BJ$208-BJ$209-BJ$210</f>
        <v>142371.26812465</v>
      </c>
      <c r="BK211" s="10" t="n">
        <f aca="false">BK$208-BK$209-BK$210</f>
        <v>142876.195734043</v>
      </c>
      <c r="BL211" s="10" t="n">
        <f aca="false">BL$208-BL$209-BL$210</f>
        <v>143384.910300506</v>
      </c>
      <c r="BM211" s="10" t="n">
        <f aca="false">BM$208-BM$209-BM$210</f>
        <v>143897.440226219</v>
      </c>
      <c r="BN211" s="10" t="n">
        <f aca="false">BN$208-BN$209-BN$210</f>
        <v>149515.724381159</v>
      </c>
      <c r="BO211" s="10" t="n">
        <f aca="false">BO$208-BO$209-BO$210</f>
        <v>149515.724381159</v>
      </c>
      <c r="BP211" s="10" t="n">
        <f aca="false">BP$208-BP$209-BP$210</f>
        <v>149515.724381159</v>
      </c>
      <c r="BQ211" s="10" t="n">
        <f aca="false">BQ$208-BQ$209-BQ$210</f>
        <v>149515.724381159</v>
      </c>
      <c r="BR211" s="10" t="n">
        <f aca="false">BR$208-BR$209-BR$210</f>
        <v>149515.724381159</v>
      </c>
      <c r="BS211" s="10" t="n">
        <f aca="false">BS$208-BS$209-BS$210</f>
        <v>149515.724381159</v>
      </c>
      <c r="BT211" s="10" t="n">
        <f aca="false">BT$208-BT$209-BT$210</f>
        <v>149515.724381159</v>
      </c>
      <c r="BU211" s="10" t="n">
        <f aca="false">BU$208-BU$209-BU$210</f>
        <v>149515.724381159</v>
      </c>
      <c r="BV211" s="10" t="n">
        <f aca="false">BV$208-BV$209-BV$210</f>
        <v>149515.724381159</v>
      </c>
      <c r="BW211" s="10" t="n">
        <f aca="false">BW$208-BW$209-BW$210</f>
        <v>149515.724381159</v>
      </c>
      <c r="BX211" s="10" t="n">
        <f aca="false">BX$208-BX$209-BX$210</f>
        <v>149515.724381159</v>
      </c>
      <c r="BY211" s="10" t="n">
        <f aca="false">BY$208-BY$209-BY$210</f>
        <v>149515.724381159</v>
      </c>
      <c r="BZ211" s="10" t="n">
        <f aca="false">BZ$208-BZ$209-BZ$210</f>
        <v>153631.305072733</v>
      </c>
      <c r="CA211" s="10" t="n">
        <f aca="false">CA$208-CA$209-CA$210</f>
        <v>153631.305072733</v>
      </c>
      <c r="CB211" s="10" t="n">
        <f aca="false">CB$208-CB$209-CB$210</f>
        <v>153631.305072733</v>
      </c>
      <c r="CC211" s="10" t="n">
        <f aca="false">CC$208-CC$209-CC$210</f>
        <v>153631.305072733</v>
      </c>
      <c r="CD211" s="10" t="n">
        <f aca="false">CD$208-CD$209-CD$210</f>
        <v>153631.305072733</v>
      </c>
      <c r="CE211" s="10" t="n">
        <f aca="false">CE$208-CE$209-CE$210</f>
        <v>153631.305072733</v>
      </c>
      <c r="CF211" s="10" t="n">
        <f aca="false">CF$208-CF$209-CF$210</f>
        <v>153631.305072733</v>
      </c>
      <c r="CG211" s="10" t="n">
        <f aca="false">CG$208-CG$209-CG$210</f>
        <v>153631.305072733</v>
      </c>
      <c r="CH211" s="10" t="n">
        <f aca="false">CH$208-CH$209-CH$210</f>
        <v>153631.305072733</v>
      </c>
      <c r="CI211" s="10" t="n">
        <f aca="false">CI$208-CI$209-CI$210</f>
        <v>153631.305072733</v>
      </c>
      <c r="CJ211" s="10" t="n">
        <f aca="false">CJ$208-CJ$209-CJ$210</f>
        <v>153631.305072733</v>
      </c>
      <c r="CK211" s="10" t="n">
        <f aca="false">CK$208-CK$209-CK$210</f>
        <v>153631.305072733</v>
      </c>
      <c r="CL211" s="10" t="n">
        <f aca="false">CL$208-CL$209-CL$210</f>
        <v>157775.101129621</v>
      </c>
      <c r="CM211" s="10" t="n">
        <f aca="false">CM$208-CM$209-CM$210</f>
        <v>157775.101129621</v>
      </c>
      <c r="CN211" s="10" t="n">
        <f aca="false">CN$208-CN$209-CN$210</f>
        <v>157775.101129621</v>
      </c>
      <c r="CO211" s="10" t="n">
        <f aca="false">CO$208-CO$209-CO$210</f>
        <v>157775.101129621</v>
      </c>
      <c r="CP211" s="10" t="n">
        <f aca="false">CP$208-CP$209-CP$210</f>
        <v>157775.101129621</v>
      </c>
      <c r="CQ211" s="10" t="n">
        <f aca="false">CQ$208-CQ$209-CQ$210</f>
        <v>157775.101129621</v>
      </c>
      <c r="CR211" s="10" t="n">
        <f aca="false">CR$208-CR$209-CR$210</f>
        <v>157775.101129621</v>
      </c>
      <c r="CS211" s="10" t="n">
        <f aca="false">CS$208-CS$209-CS$210</f>
        <v>157775.101129621</v>
      </c>
      <c r="CT211" s="10" t="n">
        <f aca="false">CT$208-CT$209-CT$210</f>
        <v>157775.101129621</v>
      </c>
      <c r="CU211" s="10" t="n">
        <f aca="false">CU$208-CU$209-CU$210</f>
        <v>157775.101129621</v>
      </c>
      <c r="CV211" s="10" t="n">
        <f aca="false">CV$208-CV$209-CV$210</f>
        <v>157775.101129621</v>
      </c>
      <c r="CW211" s="10" t="n">
        <f aca="false">CW$208-CW$209-CW$210</f>
        <v>157775.101129621</v>
      </c>
      <c r="CX211" s="10" t="n">
        <f aca="false">CX$208-CX$209-CX$210</f>
        <v>161947.012232241</v>
      </c>
      <c r="CY211" s="10" t="n">
        <f aca="false">CY$208-CY$209-CY$210</f>
        <v>161947.012232241</v>
      </c>
      <c r="CZ211" s="10" t="n">
        <f aca="false">CZ$208-CZ$209-CZ$210</f>
        <v>161947.012232241</v>
      </c>
      <c r="DA211" s="10" t="n">
        <f aca="false">DA$208-DA$209-DA$210</f>
        <v>161947.012232241</v>
      </c>
      <c r="DB211" s="10" t="n">
        <f aca="false">DB$208-DB$209-DB$210</f>
        <v>161947.012232241</v>
      </c>
      <c r="DC211" s="10" t="n">
        <f aca="false">DC$208-DC$209-DC$210</f>
        <v>161947.012232241</v>
      </c>
      <c r="DD211" s="10" t="n">
        <f aca="false">DD$208-DD$209-DD$210</f>
        <v>161947.012232241</v>
      </c>
      <c r="DE211" s="10" t="n">
        <f aca="false">DE$208-DE$209-DE$210</f>
        <v>161947.012232241</v>
      </c>
      <c r="DF211" s="10" t="n">
        <f aca="false">DF$208-DF$209-DF$210</f>
        <v>161947.012232241</v>
      </c>
      <c r="DG211" s="10" t="n">
        <f aca="false">DG$208-DG$209-DG$210</f>
        <v>161947.012232241</v>
      </c>
      <c r="DH211" s="10" t="n">
        <f aca="false">DH$208-DH$209-DH$210</f>
        <v>161947.012232241</v>
      </c>
      <c r="DI211" s="10" t="n">
        <f aca="false">DI$208-DI$209-DI$210</f>
        <v>161947.012232241</v>
      </c>
      <c r="DJ211" s="10" t="n">
        <f aca="false">DJ$208-DJ$209-DJ$210</f>
        <v>166146.925698419</v>
      </c>
      <c r="DK211" s="10" t="n">
        <f aca="false">DK$208-DK$209-DK$210</f>
        <v>166146.925698419</v>
      </c>
      <c r="DL211" s="10" t="n">
        <f aca="false">DL$208-DL$209-DL$210</f>
        <v>166146.925698419</v>
      </c>
      <c r="DM211" s="10" t="n">
        <f aca="false">DM$208-DM$209-DM$210</f>
        <v>166146.925698419</v>
      </c>
      <c r="DN211" s="10" t="n">
        <f aca="false">DN$208-DN$209-DN$210</f>
        <v>166146.925698419</v>
      </c>
      <c r="DO211" s="10" t="n">
        <f aca="false">DO$208-DO$209-DO$210</f>
        <v>166146.925698419</v>
      </c>
      <c r="DP211" s="10" t="n">
        <f aca="false">DP$208-DP$209-DP$210</f>
        <v>166146.925698419</v>
      </c>
      <c r="DQ211" s="10" t="n">
        <f aca="false">DQ$208-DQ$209-DQ$210</f>
        <v>166146.925698419</v>
      </c>
      <c r="DR211" s="10" t="n">
        <f aca="false">DR$208-DR$209-DR$210</f>
        <v>166146.925698419</v>
      </c>
      <c r="DS211" s="10" t="n">
        <f aca="false">DS$208-DS$209-DS$210</f>
        <v>166146.925698419</v>
      </c>
      <c r="DT211" s="10" t="n">
        <f aca="false">DT$208-DT$209-DT$210</f>
        <v>166146.925698419</v>
      </c>
      <c r="DU211" s="10" t="n">
        <f aca="false">DU$208-DU$209-DU$210</f>
        <v>166146.925698419</v>
      </c>
      <c r="DV211" s="10" t="n">
        <f aca="false">DV$208-DV$209-DV$210</f>
        <v>0</v>
      </c>
      <c r="DW211" s="10" t="n">
        <f aca="false">DW$208-DW$209-DW$210</f>
        <v>0</v>
      </c>
      <c r="DX211" s="10" t="n">
        <f aca="false">DX$208-DX$209-DX$210</f>
        <v>0</v>
      </c>
      <c r="DY211" s="10" t="n">
        <f aca="false">DY$208-DY$209-DY$210</f>
        <v>0</v>
      </c>
      <c r="DZ211" s="10" t="n">
        <f aca="false">DZ$208-DZ$209-DZ$210</f>
        <v>0</v>
      </c>
      <c r="EA211" s="10" t="n">
        <f aca="false">EA$208-EA$209-EA$210</f>
        <v>0</v>
      </c>
      <c r="EB211" s="10" t="n">
        <f aca="false">EB$208-EB$209-EB$210</f>
        <v>0</v>
      </c>
      <c r="EC211" s="10" t="n">
        <f aca="false">EC$208-EC$209-EC$210</f>
        <v>0</v>
      </c>
      <c r="ED211" s="10" t="n">
        <f aca="false">ED$208-ED$209-ED$210</f>
        <v>0</v>
      </c>
      <c r="EE211" s="10" t="n">
        <f aca="false">EE$208-EE$209-EE$210</f>
        <v>0</v>
      </c>
      <c r="EF211" s="10" t="n">
        <f aca="false">EF$208-EF$209-EF$210</f>
        <v>0</v>
      </c>
      <c r="EG211" s="10" t="n">
        <f aca="false">EG$208-EG$209-EG$210</f>
        <v>0</v>
      </c>
      <c r="EH211" s="10" t="n">
        <f aca="false">EH$208-EH$209-EH$210</f>
        <v>0</v>
      </c>
      <c r="EI211" s="10" t="n">
        <f aca="false">EI$208-EI$209-EI$210</f>
        <v>0</v>
      </c>
      <c r="EJ211" s="10" t="n">
        <f aca="false">EJ$208-EJ$209-EJ$210</f>
        <v>0</v>
      </c>
      <c r="EK211" s="10" t="n">
        <f aca="false">EK$208-EK$209-EK$210</f>
        <v>0</v>
      </c>
      <c r="EL211" s="10" t="n">
        <f aca="false">EL$208-EL$209-EL$210</f>
        <v>0</v>
      </c>
      <c r="EM211" s="10" t="n">
        <f aca="false">EM$208-EM$209-EM$210</f>
        <v>0</v>
      </c>
      <c r="EN211" s="10" t="n">
        <f aca="false">EN$208-EN$209-EN$210</f>
        <v>0</v>
      </c>
      <c r="EO211" s="10" t="n">
        <f aca="false">EO$208-EO$209-EO$210</f>
        <v>0</v>
      </c>
      <c r="EP211" s="10" t="n">
        <f aca="false">EP$208-EP$209-EP$210</f>
        <v>0</v>
      </c>
      <c r="EQ211" s="10" t="n">
        <f aca="false">EQ$208-EQ$209-EQ$210</f>
        <v>0</v>
      </c>
      <c r="ER211" s="10" t="n">
        <f aca="false">ER$208-ER$209-ER$210</f>
        <v>0</v>
      </c>
      <c r="ES211" s="10" t="n">
        <f aca="false">ES$208-ES$209-ES$210</f>
        <v>0</v>
      </c>
    </row>
    <row r="212" customFormat="false" ht="15" hidden="false" customHeight="false" outlineLevel="0" collapsed="false">
      <c r="A212" s="4"/>
      <c r="B212" s="3" t="s">
        <v>652</v>
      </c>
      <c r="C212" s="4"/>
      <c r="D212" s="4"/>
      <c r="E212" s="4"/>
    </row>
    <row r="213" customFormat="false" ht="15" hidden="false" customHeight="false" outlineLevel="0" collapsed="false">
      <c r="A213" s="2" t="s">
        <v>826</v>
      </c>
      <c r="B213" s="6" t="s">
        <v>654</v>
      </c>
      <c r="C213" s="6" t="s">
        <v>250</v>
      </c>
      <c r="E213" s="40" t="n">
        <f aca="false">INDEX(F213:ES213,1,MIN(144,Fin))</f>
        <v>3031156.22423972</v>
      </c>
      <c r="F213" s="34" t="n">
        <f aca="false">IF(1&gt;Fin,0,IF(AND(F$8=1,ISNUMBER(Reales!F54)),IF(Reales!$C$54="PYG",IF(F$10&gt;0,N(Reales!F54)/F$10,0),N(Reales!F54)),F$175*IF(F$8=1,N(vg_DSO),V_DSO)/DiasMes))</f>
        <v>1594520.54794521</v>
      </c>
      <c r="G213" s="34" t="n">
        <f aca="false">IF(2&gt;Fin,F$213,IF(AND(G$8=1,ISNUMBER(Reales!G54)),IF(Reales!$C$54="PYG",IF(G$10&gt;0,N(Reales!G54)/G$10,0),N(Reales!G54)),G$175*IF(G$8=1,N(vg_DSO),V_DSO)/DiasMes))</f>
        <v>1594520.54794521</v>
      </c>
      <c r="H213" s="34" t="n">
        <f aca="false">IF(3&gt;Fin,G$213,IF(AND(H$8=1,ISNUMBER(Reales!H54)),IF(Reales!$C$54="PYG",IF(H$10&gt;0,N(Reales!H54)/H$10,0),N(Reales!H54)),H$175*IF(H$8=1,N(vg_DSO),V_DSO)/DiasMes))</f>
        <v>1594520.54794521</v>
      </c>
      <c r="I213" s="34" t="n">
        <f aca="false">IF(4&gt;Fin,H$213,IF(AND(I$8=1,ISNUMBER(Reales!I54)),IF(Reales!$C$54="PYG",IF(I$10&gt;0,N(Reales!I54)/I$10,0),N(Reales!I54)),I$175*IF(I$8=1,N(vg_DSO),V_DSO)/DiasMes))</f>
        <v>1594520.54794521</v>
      </c>
      <c r="J213" s="34" t="n">
        <f aca="false">IF(5&gt;Fin,I$213,IF(AND(J$8=1,ISNUMBER(Reales!J54)),IF(Reales!$C$54="PYG",IF(J$10&gt;0,N(Reales!J54)/J$10,0),N(Reales!J54)),J$175*IF(J$8=1,N(vg_DSO),V_DSO)/DiasMes))</f>
        <v>1594520.54794521</v>
      </c>
      <c r="K213" s="34" t="n">
        <f aca="false">IF(6&gt;Fin,J$213,IF(AND(K$8=1,ISNUMBER(Reales!K54)),IF(Reales!$C$54="PYG",IF(K$10&gt;0,N(Reales!K54)/K$10,0),N(Reales!K54)),K$175*IF(K$8=1,N(vg_DSO),V_DSO)/DiasMes))</f>
        <v>1594520.54794521</v>
      </c>
      <c r="L213" s="34" t="n">
        <f aca="false">IF(7&gt;Fin,K$213,IF(AND(L$8=1,ISNUMBER(Reales!L54)),IF(Reales!$C$54="PYG",IF(L$10&gt;0,N(Reales!L54)/L$10,0),N(Reales!L54)),L$175*IF(L$8=1,N(vg_DSO),V_DSO)/DiasMes))</f>
        <v>1594520.54794521</v>
      </c>
      <c r="M213" s="34" t="n">
        <f aca="false">IF(8&gt;Fin,L$213,IF(AND(M$8=1,ISNUMBER(Reales!M54)),IF(Reales!$C$54="PYG",IF(M$10&gt;0,N(Reales!M54)/M$10,0),N(Reales!M54)),M$175*IF(M$8=1,N(vg_DSO),V_DSO)/DiasMes))</f>
        <v>1594520.54794521</v>
      </c>
      <c r="N213" s="34" t="n">
        <f aca="false">IF(9&gt;Fin,M$213,IF(AND(N$8=1,ISNUMBER(Reales!N54)),IF(Reales!$C$54="PYG",IF(N$10&gt;0,N(Reales!N54)/N$10,0),N(Reales!N54)),N$175*IF(N$8=1,N(vg_DSO),V_DSO)/DiasMes))</f>
        <v>1594520.54794521</v>
      </c>
      <c r="O213" s="34" t="n">
        <f aca="false">IF(10&gt;Fin,N$213,IF(AND(O$8=1,ISNUMBER(Reales!O54)),IF(Reales!$C$54="PYG",IF(O$10&gt;0,N(Reales!O54)/O$10,0),N(Reales!O54)),O$175*IF(O$8=1,N(vg_DSO),V_DSO)/DiasMes))</f>
        <v>1594520.54794521</v>
      </c>
      <c r="P213" s="34" t="n">
        <f aca="false">IF(11&gt;Fin,O$213,IF(AND(P$8=1,ISNUMBER(Reales!P54)),IF(Reales!$C$54="PYG",IF(P$10&gt;0,N(Reales!P54)/P$10,0),N(Reales!P54)),P$175*IF(P$8=1,N(vg_DSO),V_DSO)/DiasMes))</f>
        <v>1594520.54794521</v>
      </c>
      <c r="Q213" s="34" t="n">
        <f aca="false">IF(12&gt;Fin,P$213,IF(AND(Q$8=1,ISNUMBER(Reales!Q54)),IF(Reales!$C$54="PYG",IF(Q$10&gt;0,N(Reales!Q54)/Q$10,0),N(Reales!Q54)),Q$175*IF(Q$8=1,N(vg_DSO),V_DSO)/DiasMes))</f>
        <v>1594520.54794521</v>
      </c>
      <c r="R213" s="34" t="n">
        <f aca="false">IF(13&gt;Fin,Q$213,IF(AND(R$8=1,ISNUMBER(Reales!R54)),IF(Reales!$C$54="PYG",IF(R$10&gt;0,N(Reales!R54)/R$10,0),N(Reales!R54)),R$175*IF(R$8=1,N(vg_DSO),V_DSO)/DiasMes))</f>
        <v>2032175.34246575</v>
      </c>
      <c r="S213" s="34" t="n">
        <f aca="false">IF(14&gt;Fin,R$213,IF(AND(S$8=1,ISNUMBER(Reales!S54)),IF(Reales!$C$54="PYG",IF(S$10&gt;0,N(Reales!S54)/S$10,0),N(Reales!S54)),S$175*IF(S$8=1,N(vg_DSO),V_DSO)/DiasMes))</f>
        <v>2032175.34246575</v>
      </c>
      <c r="T213" s="34" t="n">
        <f aca="false">IF(15&gt;Fin,S$213,IF(AND(T$8=1,ISNUMBER(Reales!T54)),IF(Reales!$C$54="PYG",IF(T$10&gt;0,N(Reales!T54)/T$10,0),N(Reales!T54)),T$175*IF(T$8=1,N(vg_DSO),V_DSO)/DiasMes))</f>
        <v>2032175.34246575</v>
      </c>
      <c r="U213" s="34" t="n">
        <f aca="false">IF(16&gt;Fin,T$213,IF(AND(U$8=1,ISNUMBER(Reales!U54)),IF(Reales!$C$54="PYG",IF(U$10&gt;0,N(Reales!U54)/U$10,0),N(Reales!U54)),U$175*IF(U$8=1,N(vg_DSO),V_DSO)/DiasMes))</f>
        <v>2032175.34246575</v>
      </c>
      <c r="V213" s="34" t="n">
        <f aca="false">IF(17&gt;Fin,U$213,IF(AND(V$8=1,ISNUMBER(Reales!V54)),IF(Reales!$C$54="PYG",IF(V$10&gt;0,N(Reales!V54)/V$10,0),N(Reales!V54)),V$175*IF(V$8=1,N(vg_DSO),V_DSO)/DiasMes))</f>
        <v>2032175.34246575</v>
      </c>
      <c r="W213" s="34" t="n">
        <f aca="false">IF(18&gt;Fin,V$213,IF(AND(W$8=1,ISNUMBER(Reales!W54)),IF(Reales!$C$54="PYG",IF(W$10&gt;0,N(Reales!W54)/W$10,0),N(Reales!W54)),W$175*IF(W$8=1,N(vg_DSO),V_DSO)/DiasMes))</f>
        <v>2032175.34246575</v>
      </c>
      <c r="X213" s="34" t="n">
        <f aca="false">IF(19&gt;Fin,W$213,IF(AND(X$8=1,ISNUMBER(Reales!X54)),IF(Reales!$C$54="PYG",IF(X$10&gt;0,N(Reales!X54)/X$10,0),N(Reales!X54)),X$175*IF(X$8=1,N(vg_DSO),V_DSO)/DiasMes))</f>
        <v>2032175.34246575</v>
      </c>
      <c r="Y213" s="34" t="n">
        <f aca="false">IF(20&gt;Fin,X$213,IF(AND(Y$8=1,ISNUMBER(Reales!Y54)),IF(Reales!$C$54="PYG",IF(Y$10&gt;0,N(Reales!Y54)/Y$10,0),N(Reales!Y54)),Y$175*IF(Y$8=1,N(vg_DSO),V_DSO)/DiasMes))</f>
        <v>2032175.34246575</v>
      </c>
      <c r="Z213" s="34" t="n">
        <f aca="false">IF(21&gt;Fin,Y$213,IF(AND(Z$8=1,ISNUMBER(Reales!Z54)),IF(Reales!$C$54="PYG",IF(Z$10&gt;0,N(Reales!Z54)/Z$10,0),N(Reales!Z54)),Z$175*IF(Z$8=1,N(vg_DSO),V_DSO)/DiasMes))</f>
        <v>2032175.34246575</v>
      </c>
      <c r="AA213" s="34" t="n">
        <f aca="false">IF(22&gt;Fin,Z$213,IF(AND(AA$8=1,ISNUMBER(Reales!AA54)),IF(Reales!$C$54="PYG",IF(AA$10&gt;0,N(Reales!AA54)/AA$10,0),N(Reales!AA54)),AA$175*IF(AA$8=1,N(vg_DSO),V_DSO)/DiasMes))</f>
        <v>2032175.34246575</v>
      </c>
      <c r="AB213" s="34" t="n">
        <f aca="false">IF(23&gt;Fin,AA$213,IF(AND(AB$8=1,ISNUMBER(Reales!AB54)),IF(Reales!$C$54="PYG",IF(AB$10&gt;0,N(Reales!AB54)/AB$10,0),N(Reales!AB54)),AB$175*IF(AB$8=1,N(vg_DSO),V_DSO)/DiasMes))</f>
        <v>2032175.34246575</v>
      </c>
      <c r="AC213" s="34" t="n">
        <f aca="false">IF(24&gt;Fin,AB$213,IF(AND(AC$8=1,ISNUMBER(Reales!AC54)),IF(Reales!$C$54="PYG",IF(AC$10&gt;0,N(Reales!AC54)/AC$10,0),N(Reales!AC54)),AC$175*IF(AC$8=1,N(vg_DSO),V_DSO)/DiasMes))</f>
        <v>2032175.34246575</v>
      </c>
      <c r="AD213" s="34" t="n">
        <f aca="false">IF(25&gt;Fin,AC$213,IF(AND(AD$8=1,ISNUMBER(Reales!AD54)),IF(Reales!$C$54="PYG",IF(AD$10&gt;0,N(Reales!AD54)/AD$10,0),N(Reales!AD54)),AD$175*IF(AD$8=1,N(vg_DSO),V_DSO)/DiasMes))</f>
        <v>2478423.78082192</v>
      </c>
      <c r="AE213" s="34" t="n">
        <f aca="false">IF(26&gt;Fin,AD$213,IF(AND(AE$8=1,ISNUMBER(Reales!AE54)),IF(Reales!$C$54="PYG",IF(AE$10&gt;0,N(Reales!AE54)/AE$10,0),N(Reales!AE54)),AE$175*IF(AE$8=1,N(vg_DSO),V_DSO)/DiasMes))</f>
        <v>2478423.78082192</v>
      </c>
      <c r="AF213" s="34" t="n">
        <f aca="false">IF(27&gt;Fin,AE$213,IF(AND(AF$8=1,ISNUMBER(Reales!AF54)),IF(Reales!$C$54="PYG",IF(AF$10&gt;0,N(Reales!AF54)/AF$10,0),N(Reales!AF54)),AF$175*IF(AF$8=1,N(vg_DSO),V_DSO)/DiasMes))</f>
        <v>2478423.78082192</v>
      </c>
      <c r="AG213" s="34" t="n">
        <f aca="false">IF(28&gt;Fin,AF$213,IF(AND(AG$8=1,ISNUMBER(Reales!AG54)),IF(Reales!$C$54="PYG",IF(AG$10&gt;0,N(Reales!AG54)/AG$10,0),N(Reales!AG54)),AG$175*IF(AG$8=1,N(vg_DSO),V_DSO)/DiasMes))</f>
        <v>2478423.78082192</v>
      </c>
      <c r="AH213" s="34" t="n">
        <f aca="false">IF(29&gt;Fin,AG$213,IF(AND(AH$8=1,ISNUMBER(Reales!AH54)),IF(Reales!$C$54="PYG",IF(AH$10&gt;0,N(Reales!AH54)/AH$10,0),N(Reales!AH54)),AH$175*IF(AH$8=1,N(vg_DSO),V_DSO)/DiasMes))</f>
        <v>2478423.78082192</v>
      </c>
      <c r="AI213" s="34" t="n">
        <f aca="false">IF(30&gt;Fin,AH$213,IF(AND(AI$8=1,ISNUMBER(Reales!AI54)),IF(Reales!$C$54="PYG",IF(AI$10&gt;0,N(Reales!AI54)/AI$10,0),N(Reales!AI54)),AI$175*IF(AI$8=1,N(vg_DSO),V_DSO)/DiasMes))</f>
        <v>2478423.78082192</v>
      </c>
      <c r="AJ213" s="34" t="n">
        <f aca="false">IF(31&gt;Fin,AI$213,IF(AND(AJ$8=1,ISNUMBER(Reales!AJ54)),IF(Reales!$C$54="PYG",IF(AJ$10&gt;0,N(Reales!AJ54)/AJ$10,0),N(Reales!AJ54)),AJ$175*IF(AJ$8=1,N(vg_DSO),V_DSO)/DiasMes))</f>
        <v>2478423.78082192</v>
      </c>
      <c r="AK213" s="34" t="n">
        <f aca="false">IF(32&gt;Fin,AJ$213,IF(AND(AK$8=1,ISNUMBER(Reales!AK54)),IF(Reales!$C$54="PYG",IF(AK$10&gt;0,N(Reales!AK54)/AK$10,0),N(Reales!AK54)),AK$175*IF(AK$8=1,N(vg_DSO),V_DSO)/DiasMes))</f>
        <v>2478423.78082192</v>
      </c>
      <c r="AL213" s="34" t="n">
        <f aca="false">IF(33&gt;Fin,AK$213,IF(AND(AL$8=1,ISNUMBER(Reales!AL54)),IF(Reales!$C$54="PYG",IF(AL$10&gt;0,N(Reales!AL54)/AL$10,0),N(Reales!AL54)),AL$175*IF(AL$8=1,N(vg_DSO),V_DSO)/DiasMes))</f>
        <v>2478423.78082192</v>
      </c>
      <c r="AM213" s="34" t="n">
        <f aca="false">IF(34&gt;Fin,AL$213,IF(AND(AM$8=1,ISNUMBER(Reales!AM54)),IF(Reales!$C$54="PYG",IF(AM$10&gt;0,N(Reales!AM54)/AM$10,0),N(Reales!AM54)),AM$175*IF(AM$8=1,N(vg_DSO),V_DSO)/DiasMes))</f>
        <v>2478423.78082192</v>
      </c>
      <c r="AN213" s="34" t="n">
        <f aca="false">IF(35&gt;Fin,AM$213,IF(AND(AN$8=1,ISNUMBER(Reales!AN54)),IF(Reales!$C$54="PYG",IF(AN$10&gt;0,N(Reales!AN54)/AN$10,0),N(Reales!AN54)),AN$175*IF(AN$8=1,N(vg_DSO),V_DSO)/DiasMes))</f>
        <v>2478423.78082192</v>
      </c>
      <c r="AO213" s="34" t="n">
        <f aca="false">IF(36&gt;Fin,AN$213,IF(AND(AO$8=1,ISNUMBER(Reales!AO54)),IF(Reales!$C$54="PYG",IF(AO$10&gt;0,N(Reales!AO54)/AO$10,0),N(Reales!AO54)),AO$175*IF(AO$8=1,N(vg_DSO),V_DSO)/DiasMes))</f>
        <v>2478423.78082192</v>
      </c>
      <c r="AP213" s="34" t="n">
        <f aca="false">IF(37&gt;Fin,AO$213,IF(AND(AP$8=1,ISNUMBER(Reales!AP54)),IF(Reales!$C$54="PYG",IF(AP$10&gt;0,N(Reales!AP54)/AP$10,0),N(Reales!AP54)),AP$175*IF(AP$8=1,N(vg_DSO),V_DSO)/DiasMes))</f>
        <v>2855486.27835616</v>
      </c>
      <c r="AQ213" s="34" t="n">
        <f aca="false">IF(38&gt;Fin,AP$213,IF(AND(AQ$8=1,ISNUMBER(Reales!AQ54)),IF(Reales!$C$54="PYG",IF(AQ$10&gt;0,N(Reales!AQ54)/AQ$10,0),N(Reales!AQ54)),AQ$175*IF(AQ$8=1,N(vg_DSO),V_DSO)/DiasMes))</f>
        <v>2855486.27835616</v>
      </c>
      <c r="AR213" s="34" t="n">
        <f aca="false">IF(39&gt;Fin,AQ$213,IF(AND(AR$8=1,ISNUMBER(Reales!AR54)),IF(Reales!$C$54="PYG",IF(AR$10&gt;0,N(Reales!AR54)/AR$10,0),N(Reales!AR54)),AR$175*IF(AR$8=1,N(vg_DSO),V_DSO)/DiasMes))</f>
        <v>2855486.27835616</v>
      </c>
      <c r="AS213" s="34" t="n">
        <f aca="false">IF(40&gt;Fin,AR$213,IF(AND(AS$8=1,ISNUMBER(Reales!AS54)),IF(Reales!$C$54="PYG",IF(AS$10&gt;0,N(Reales!AS54)/AS$10,0),N(Reales!AS54)),AS$175*IF(AS$8=1,N(vg_DSO),V_DSO)/DiasMes))</f>
        <v>2855486.27835616</v>
      </c>
      <c r="AT213" s="34" t="n">
        <f aca="false">IF(41&gt;Fin,AS$213,IF(AND(AT$8=1,ISNUMBER(Reales!AT54)),IF(Reales!$C$54="PYG",IF(AT$10&gt;0,N(Reales!AT54)/AT$10,0),N(Reales!AT54)),AT$175*IF(AT$8=1,N(vg_DSO),V_DSO)/DiasMes))</f>
        <v>2855486.27835616</v>
      </c>
      <c r="AU213" s="34" t="n">
        <f aca="false">IF(42&gt;Fin,AT$213,IF(AND(AU$8=1,ISNUMBER(Reales!AU54)),IF(Reales!$C$54="PYG",IF(AU$10&gt;0,N(Reales!AU54)/AU$10,0),N(Reales!AU54)),AU$175*IF(AU$8=1,N(vg_DSO),V_DSO)/DiasMes))</f>
        <v>2855486.27835616</v>
      </c>
      <c r="AV213" s="34" t="n">
        <f aca="false">IF(43&gt;Fin,AU$213,IF(AND(AV$8=1,ISNUMBER(Reales!AV54)),IF(Reales!$C$54="PYG",IF(AV$10&gt;0,N(Reales!AV54)/AV$10,0),N(Reales!AV54)),AV$175*IF(AV$8=1,N(vg_DSO),V_DSO)/DiasMes))</f>
        <v>2855486.27835616</v>
      </c>
      <c r="AW213" s="34" t="n">
        <f aca="false">IF(44&gt;Fin,AV$213,IF(AND(AW$8=1,ISNUMBER(Reales!AW54)),IF(Reales!$C$54="PYG",IF(AW$10&gt;0,N(Reales!AW54)/AW$10,0),N(Reales!AW54)),AW$175*IF(AW$8=1,N(vg_DSO),V_DSO)/DiasMes))</f>
        <v>2855486.27835616</v>
      </c>
      <c r="AX213" s="34" t="n">
        <f aca="false">IF(45&gt;Fin,AW$213,IF(AND(AX$8=1,ISNUMBER(Reales!AX54)),IF(Reales!$C$54="PYG",IF(AX$10&gt;0,N(Reales!AX54)/AX$10,0),N(Reales!AX54)),AX$175*IF(AX$8=1,N(vg_DSO),V_DSO)/DiasMes))</f>
        <v>2855486.27835616</v>
      </c>
      <c r="AY213" s="34" t="n">
        <f aca="false">IF(46&gt;Fin,AX$213,IF(AND(AY$8=1,ISNUMBER(Reales!AY54)),IF(Reales!$C$54="PYG",IF(AY$10&gt;0,N(Reales!AY54)/AY$10,0),N(Reales!AY54)),AY$175*IF(AY$8=1,N(vg_DSO),V_DSO)/DiasMes))</f>
        <v>2855486.27835616</v>
      </c>
      <c r="AZ213" s="34" t="n">
        <f aca="false">IF(47&gt;Fin,AY$213,IF(AND(AZ$8=1,ISNUMBER(Reales!AZ54)),IF(Reales!$C$54="PYG",IF(AZ$10&gt;0,N(Reales!AZ54)/AZ$10,0),N(Reales!AZ54)),AZ$175*IF(AZ$8=1,N(vg_DSO),V_DSO)/DiasMes))</f>
        <v>2855486.27835616</v>
      </c>
      <c r="BA213" s="34" t="n">
        <f aca="false">IF(48&gt;Fin,AZ$213,IF(AND(BA$8=1,ISNUMBER(Reales!BA54)),IF(Reales!$C$54="PYG",IF(BA$10&gt;0,N(Reales!BA54)/BA$10,0),N(Reales!BA54)),BA$175*IF(BA$8=1,N(vg_DSO),V_DSO)/DiasMes))</f>
        <v>2855486.27835616</v>
      </c>
      <c r="BB213" s="34" t="n">
        <f aca="false">IF(49&gt;Fin,BA$213,IF(AND(BB$8=1,ISNUMBER(Reales!BB54)),IF(Reales!$C$54="PYG",IF(BB$10&gt;0,N(Reales!BB54)/BB$10,0),N(Reales!BB54)),BB$175*IF(BB$8=1,N(vg_DSO),V_DSO)/DiasMes))</f>
        <v>2884041.14113973</v>
      </c>
      <c r="BC213" s="34" t="n">
        <f aca="false">IF(50&gt;Fin,BB$213,IF(AND(BC$8=1,ISNUMBER(Reales!BC54)),IF(Reales!$C$54="PYG",IF(BC$10&gt;0,N(Reales!BC54)/BC$10,0),N(Reales!BC54)),BC$175*IF(BC$8=1,N(vg_DSO),V_DSO)/DiasMes))</f>
        <v>2884041.14113973</v>
      </c>
      <c r="BD213" s="34" t="n">
        <f aca="false">IF(51&gt;Fin,BC$213,IF(AND(BD$8=1,ISNUMBER(Reales!BD54)),IF(Reales!$C$54="PYG",IF(BD$10&gt;0,N(Reales!BD54)/BD$10,0),N(Reales!BD54)),BD$175*IF(BD$8=1,N(vg_DSO),V_DSO)/DiasMes))</f>
        <v>2884041.14113973</v>
      </c>
      <c r="BE213" s="34" t="n">
        <f aca="false">IF(52&gt;Fin,BD$213,IF(AND(BE$8=1,ISNUMBER(Reales!BE54)),IF(Reales!$C$54="PYG",IF(BE$10&gt;0,N(Reales!BE54)/BE$10,0),N(Reales!BE54)),BE$175*IF(BE$8=1,N(vg_DSO),V_DSO)/DiasMes))</f>
        <v>2884041.14113973</v>
      </c>
      <c r="BF213" s="34" t="n">
        <f aca="false">IF(53&gt;Fin,BE$213,IF(AND(BF$8=1,ISNUMBER(Reales!BF54)),IF(Reales!$C$54="PYG",IF(BF$10&gt;0,N(Reales!BF54)/BF$10,0),N(Reales!BF54)),BF$175*IF(BF$8=1,N(vg_DSO),V_DSO)/DiasMes))</f>
        <v>2884041.14113973</v>
      </c>
      <c r="BG213" s="34" t="n">
        <f aca="false">IF(54&gt;Fin,BF$213,IF(AND(BG$8=1,ISNUMBER(Reales!BG54)),IF(Reales!$C$54="PYG",IF(BG$10&gt;0,N(Reales!BG54)/BG$10,0),N(Reales!BG54)),BG$175*IF(BG$8=1,N(vg_DSO),V_DSO)/DiasMes))</f>
        <v>2884041.14113973</v>
      </c>
      <c r="BH213" s="34" t="n">
        <f aca="false">IF(55&gt;Fin,BG$213,IF(AND(BH$8=1,ISNUMBER(Reales!BH54)),IF(Reales!$C$54="PYG",IF(BH$10&gt;0,N(Reales!BH54)/BH$10,0),N(Reales!BH54)),BH$175*IF(BH$8=1,N(vg_DSO),V_DSO)/DiasMes))</f>
        <v>2884041.14113973</v>
      </c>
      <c r="BI213" s="34" t="n">
        <f aca="false">IF(56&gt;Fin,BH$213,IF(AND(BI$8=1,ISNUMBER(Reales!BI54)),IF(Reales!$C$54="PYG",IF(BI$10&gt;0,N(Reales!BI54)/BI$10,0),N(Reales!BI54)),BI$175*IF(BI$8=1,N(vg_DSO),V_DSO)/DiasMes))</f>
        <v>2884041.14113973</v>
      </c>
      <c r="BJ213" s="34" t="n">
        <f aca="false">IF(57&gt;Fin,BI$213,IF(AND(BJ$8=1,ISNUMBER(Reales!BJ54)),IF(Reales!$C$54="PYG",IF(BJ$10&gt;0,N(Reales!BJ54)/BJ$10,0),N(Reales!BJ54)),BJ$175*IF(BJ$8=1,N(vg_DSO),V_DSO)/DiasMes))</f>
        <v>2884041.14113973</v>
      </c>
      <c r="BK213" s="34" t="n">
        <f aca="false">IF(58&gt;Fin,BJ$213,IF(AND(BK$8=1,ISNUMBER(Reales!BK54)),IF(Reales!$C$54="PYG",IF(BK$10&gt;0,N(Reales!BK54)/BK$10,0),N(Reales!BK54)),BK$175*IF(BK$8=1,N(vg_DSO),V_DSO)/DiasMes))</f>
        <v>2884041.14113973</v>
      </c>
      <c r="BL213" s="34" t="n">
        <f aca="false">IF(59&gt;Fin,BK$213,IF(AND(BL$8=1,ISNUMBER(Reales!BL54)),IF(Reales!$C$54="PYG",IF(BL$10&gt;0,N(Reales!BL54)/BL$10,0),N(Reales!BL54)),BL$175*IF(BL$8=1,N(vg_DSO),V_DSO)/DiasMes))</f>
        <v>2884041.14113973</v>
      </c>
      <c r="BM213" s="34" t="n">
        <f aca="false">IF(60&gt;Fin,BL$213,IF(AND(BM$8=1,ISNUMBER(Reales!BM54)),IF(Reales!$C$54="PYG",IF(BM$10&gt;0,N(Reales!BM54)/BM$10,0),N(Reales!BM54)),BM$175*IF(BM$8=1,N(vg_DSO),V_DSO)/DiasMes))</f>
        <v>2884041.14113973</v>
      </c>
      <c r="BN213" s="34" t="n">
        <f aca="false">IF(61&gt;Fin,BM$213,IF(AND(BN$8=1,ISNUMBER(Reales!BN54)),IF(Reales!$C$54="PYG",IF(BN$10&gt;0,N(Reales!BN54)/BN$10,0),N(Reales!BN54)),BN$175*IF(BN$8=1,N(vg_DSO),V_DSO)/DiasMes))</f>
        <v>2912881.55255112</v>
      </c>
      <c r="BO213" s="34" t="n">
        <f aca="false">IF(62&gt;Fin,BN$213,IF(AND(BO$8=1,ISNUMBER(Reales!BO54)),IF(Reales!$C$54="PYG",IF(BO$10&gt;0,N(Reales!BO54)/BO$10,0),N(Reales!BO54)),BO$175*IF(BO$8=1,N(vg_DSO),V_DSO)/DiasMes))</f>
        <v>2912881.55255112</v>
      </c>
      <c r="BP213" s="34" t="n">
        <f aca="false">IF(63&gt;Fin,BO$213,IF(AND(BP$8=1,ISNUMBER(Reales!BP54)),IF(Reales!$C$54="PYG",IF(BP$10&gt;0,N(Reales!BP54)/BP$10,0),N(Reales!BP54)),BP$175*IF(BP$8=1,N(vg_DSO),V_DSO)/DiasMes))</f>
        <v>2912881.55255112</v>
      </c>
      <c r="BQ213" s="34" t="n">
        <f aca="false">IF(64&gt;Fin,BP$213,IF(AND(BQ$8=1,ISNUMBER(Reales!BQ54)),IF(Reales!$C$54="PYG",IF(BQ$10&gt;0,N(Reales!BQ54)/BQ$10,0),N(Reales!BQ54)),BQ$175*IF(BQ$8=1,N(vg_DSO),V_DSO)/DiasMes))</f>
        <v>2912881.55255112</v>
      </c>
      <c r="BR213" s="34" t="n">
        <f aca="false">IF(65&gt;Fin,BQ$213,IF(AND(BR$8=1,ISNUMBER(Reales!BR54)),IF(Reales!$C$54="PYG",IF(BR$10&gt;0,N(Reales!BR54)/BR$10,0),N(Reales!BR54)),BR$175*IF(BR$8=1,N(vg_DSO),V_DSO)/DiasMes))</f>
        <v>2912881.55255112</v>
      </c>
      <c r="BS213" s="34" t="n">
        <f aca="false">IF(66&gt;Fin,BR$213,IF(AND(BS$8=1,ISNUMBER(Reales!BS54)),IF(Reales!$C$54="PYG",IF(BS$10&gt;0,N(Reales!BS54)/BS$10,0),N(Reales!BS54)),BS$175*IF(BS$8=1,N(vg_DSO),V_DSO)/DiasMes))</f>
        <v>2912881.55255112</v>
      </c>
      <c r="BT213" s="34" t="n">
        <f aca="false">IF(67&gt;Fin,BS$213,IF(AND(BT$8=1,ISNUMBER(Reales!BT54)),IF(Reales!$C$54="PYG",IF(BT$10&gt;0,N(Reales!BT54)/BT$10,0),N(Reales!BT54)),BT$175*IF(BT$8=1,N(vg_DSO),V_DSO)/DiasMes))</f>
        <v>2912881.55255112</v>
      </c>
      <c r="BU213" s="34" t="n">
        <f aca="false">IF(68&gt;Fin,BT$213,IF(AND(BU$8=1,ISNUMBER(Reales!BU54)),IF(Reales!$C$54="PYG",IF(BU$10&gt;0,N(Reales!BU54)/BU$10,0),N(Reales!BU54)),BU$175*IF(BU$8=1,N(vg_DSO),V_DSO)/DiasMes))</f>
        <v>2912881.55255112</v>
      </c>
      <c r="BV213" s="34" t="n">
        <f aca="false">IF(69&gt;Fin,BU$213,IF(AND(BV$8=1,ISNUMBER(Reales!BV54)),IF(Reales!$C$54="PYG",IF(BV$10&gt;0,N(Reales!BV54)/BV$10,0),N(Reales!BV54)),BV$175*IF(BV$8=1,N(vg_DSO),V_DSO)/DiasMes))</f>
        <v>2912881.55255112</v>
      </c>
      <c r="BW213" s="34" t="n">
        <f aca="false">IF(70&gt;Fin,BV$213,IF(AND(BW$8=1,ISNUMBER(Reales!BW54)),IF(Reales!$C$54="PYG",IF(BW$10&gt;0,N(Reales!BW54)/BW$10,0),N(Reales!BW54)),BW$175*IF(BW$8=1,N(vg_DSO),V_DSO)/DiasMes))</f>
        <v>2912881.55255112</v>
      </c>
      <c r="BX213" s="34" t="n">
        <f aca="false">IF(71&gt;Fin,BW$213,IF(AND(BX$8=1,ISNUMBER(Reales!BX54)),IF(Reales!$C$54="PYG",IF(BX$10&gt;0,N(Reales!BX54)/BX$10,0),N(Reales!BX54)),BX$175*IF(BX$8=1,N(vg_DSO),V_DSO)/DiasMes))</f>
        <v>2912881.55255112</v>
      </c>
      <c r="BY213" s="34" t="n">
        <f aca="false">IF(72&gt;Fin,BX$213,IF(AND(BY$8=1,ISNUMBER(Reales!BY54)),IF(Reales!$C$54="PYG",IF(BY$10&gt;0,N(Reales!BY54)/BY$10,0),N(Reales!BY54)),BY$175*IF(BY$8=1,N(vg_DSO),V_DSO)/DiasMes))</f>
        <v>2912881.55255112</v>
      </c>
      <c r="BZ213" s="34" t="n">
        <f aca="false">IF(73&gt;Fin,BY$213,IF(AND(BZ$8=1,ISNUMBER(Reales!BZ54)),IF(Reales!$C$54="PYG",IF(BZ$10&gt;0,N(Reales!BZ54)/BZ$10,0),N(Reales!BZ54)),BZ$175*IF(BZ$8=1,N(vg_DSO),V_DSO)/DiasMes))</f>
        <v>2942010.36807663</v>
      </c>
      <c r="CA213" s="34" t="n">
        <f aca="false">IF(74&gt;Fin,BZ$213,IF(AND(CA$8=1,ISNUMBER(Reales!CA54)),IF(Reales!$C$54="PYG",IF(CA$10&gt;0,N(Reales!CA54)/CA$10,0),N(Reales!CA54)),CA$175*IF(CA$8=1,N(vg_DSO),V_DSO)/DiasMes))</f>
        <v>2942010.36807663</v>
      </c>
      <c r="CB213" s="34" t="n">
        <f aca="false">IF(75&gt;Fin,CA$213,IF(AND(CB$8=1,ISNUMBER(Reales!CB54)),IF(Reales!$C$54="PYG",IF(CB$10&gt;0,N(Reales!CB54)/CB$10,0),N(Reales!CB54)),CB$175*IF(CB$8=1,N(vg_DSO),V_DSO)/DiasMes))</f>
        <v>2942010.36807663</v>
      </c>
      <c r="CC213" s="34" t="n">
        <f aca="false">IF(76&gt;Fin,CB$213,IF(AND(CC$8=1,ISNUMBER(Reales!CC54)),IF(Reales!$C$54="PYG",IF(CC$10&gt;0,N(Reales!CC54)/CC$10,0),N(Reales!CC54)),CC$175*IF(CC$8=1,N(vg_DSO),V_DSO)/DiasMes))</f>
        <v>2942010.36807663</v>
      </c>
      <c r="CD213" s="34" t="n">
        <f aca="false">IF(77&gt;Fin,CC$213,IF(AND(CD$8=1,ISNUMBER(Reales!CD54)),IF(Reales!$C$54="PYG",IF(CD$10&gt;0,N(Reales!CD54)/CD$10,0),N(Reales!CD54)),CD$175*IF(CD$8=1,N(vg_DSO),V_DSO)/DiasMes))</f>
        <v>2942010.36807663</v>
      </c>
      <c r="CE213" s="34" t="n">
        <f aca="false">IF(78&gt;Fin,CD$213,IF(AND(CE$8=1,ISNUMBER(Reales!CE54)),IF(Reales!$C$54="PYG",IF(CE$10&gt;0,N(Reales!CE54)/CE$10,0),N(Reales!CE54)),CE$175*IF(CE$8=1,N(vg_DSO),V_DSO)/DiasMes))</f>
        <v>2942010.36807663</v>
      </c>
      <c r="CF213" s="34" t="n">
        <f aca="false">IF(79&gt;Fin,CE$213,IF(AND(CF$8=1,ISNUMBER(Reales!CF54)),IF(Reales!$C$54="PYG",IF(CF$10&gt;0,N(Reales!CF54)/CF$10,0),N(Reales!CF54)),CF$175*IF(CF$8=1,N(vg_DSO),V_DSO)/DiasMes))</f>
        <v>2942010.36807663</v>
      </c>
      <c r="CG213" s="34" t="n">
        <f aca="false">IF(80&gt;Fin,CF$213,IF(AND(CG$8=1,ISNUMBER(Reales!CG54)),IF(Reales!$C$54="PYG",IF(CG$10&gt;0,N(Reales!CG54)/CG$10,0),N(Reales!CG54)),CG$175*IF(CG$8=1,N(vg_DSO),V_DSO)/DiasMes))</f>
        <v>2942010.36807663</v>
      </c>
      <c r="CH213" s="34" t="n">
        <f aca="false">IF(81&gt;Fin,CG$213,IF(AND(CH$8=1,ISNUMBER(Reales!CH54)),IF(Reales!$C$54="PYG",IF(CH$10&gt;0,N(Reales!CH54)/CH$10,0),N(Reales!CH54)),CH$175*IF(CH$8=1,N(vg_DSO),V_DSO)/DiasMes))</f>
        <v>2942010.36807663</v>
      </c>
      <c r="CI213" s="34" t="n">
        <f aca="false">IF(82&gt;Fin,CH$213,IF(AND(CI$8=1,ISNUMBER(Reales!CI54)),IF(Reales!$C$54="PYG",IF(CI$10&gt;0,N(Reales!CI54)/CI$10,0),N(Reales!CI54)),CI$175*IF(CI$8=1,N(vg_DSO),V_DSO)/DiasMes))</f>
        <v>2942010.36807663</v>
      </c>
      <c r="CJ213" s="34" t="n">
        <f aca="false">IF(83&gt;Fin,CI$213,IF(AND(CJ$8=1,ISNUMBER(Reales!CJ54)),IF(Reales!$C$54="PYG",IF(CJ$10&gt;0,N(Reales!CJ54)/CJ$10,0),N(Reales!CJ54)),CJ$175*IF(CJ$8=1,N(vg_DSO),V_DSO)/DiasMes))</f>
        <v>2942010.36807663</v>
      </c>
      <c r="CK213" s="34" t="n">
        <f aca="false">IF(84&gt;Fin,CJ$213,IF(AND(CK$8=1,ISNUMBER(Reales!CK54)),IF(Reales!$C$54="PYG",IF(CK$10&gt;0,N(Reales!CK54)/CK$10,0),N(Reales!CK54)),CK$175*IF(CK$8=1,N(vg_DSO),V_DSO)/DiasMes))</f>
        <v>2942010.36807663</v>
      </c>
      <c r="CL213" s="34" t="n">
        <f aca="false">IF(85&gt;Fin,CK$213,IF(AND(CL$8=1,ISNUMBER(Reales!CL54)),IF(Reales!$C$54="PYG",IF(CL$10&gt;0,N(Reales!CL54)/CL$10,0),N(Reales!CL54)),CL$175*IF(CL$8=1,N(vg_DSO),V_DSO)/DiasMes))</f>
        <v>2971430.4717574</v>
      </c>
      <c r="CM213" s="34" t="n">
        <f aca="false">IF(86&gt;Fin,CL$213,IF(AND(CM$8=1,ISNUMBER(Reales!CM54)),IF(Reales!$C$54="PYG",IF(CM$10&gt;0,N(Reales!CM54)/CM$10,0),N(Reales!CM54)),CM$175*IF(CM$8=1,N(vg_DSO),V_DSO)/DiasMes))</f>
        <v>2971430.4717574</v>
      </c>
      <c r="CN213" s="34" t="n">
        <f aca="false">IF(87&gt;Fin,CM$213,IF(AND(CN$8=1,ISNUMBER(Reales!CN54)),IF(Reales!$C$54="PYG",IF(CN$10&gt;0,N(Reales!CN54)/CN$10,0),N(Reales!CN54)),CN$175*IF(CN$8=1,N(vg_DSO),V_DSO)/DiasMes))</f>
        <v>2971430.4717574</v>
      </c>
      <c r="CO213" s="34" t="n">
        <f aca="false">IF(88&gt;Fin,CN$213,IF(AND(CO$8=1,ISNUMBER(Reales!CO54)),IF(Reales!$C$54="PYG",IF(CO$10&gt;0,N(Reales!CO54)/CO$10,0),N(Reales!CO54)),CO$175*IF(CO$8=1,N(vg_DSO),V_DSO)/DiasMes))</f>
        <v>2971430.4717574</v>
      </c>
      <c r="CP213" s="34" t="n">
        <f aca="false">IF(89&gt;Fin,CO$213,IF(AND(CP$8=1,ISNUMBER(Reales!CP54)),IF(Reales!$C$54="PYG",IF(CP$10&gt;0,N(Reales!CP54)/CP$10,0),N(Reales!CP54)),CP$175*IF(CP$8=1,N(vg_DSO),V_DSO)/DiasMes))</f>
        <v>2971430.4717574</v>
      </c>
      <c r="CQ213" s="34" t="n">
        <f aca="false">IF(90&gt;Fin,CP$213,IF(AND(CQ$8=1,ISNUMBER(Reales!CQ54)),IF(Reales!$C$54="PYG",IF(CQ$10&gt;0,N(Reales!CQ54)/CQ$10,0),N(Reales!CQ54)),CQ$175*IF(CQ$8=1,N(vg_DSO),V_DSO)/DiasMes))</f>
        <v>2971430.4717574</v>
      </c>
      <c r="CR213" s="34" t="n">
        <f aca="false">IF(91&gt;Fin,CQ$213,IF(AND(CR$8=1,ISNUMBER(Reales!CR54)),IF(Reales!$C$54="PYG",IF(CR$10&gt;0,N(Reales!CR54)/CR$10,0),N(Reales!CR54)),CR$175*IF(CR$8=1,N(vg_DSO),V_DSO)/DiasMes))</f>
        <v>2971430.4717574</v>
      </c>
      <c r="CS213" s="34" t="n">
        <f aca="false">IF(92&gt;Fin,CR$213,IF(AND(CS$8=1,ISNUMBER(Reales!CS54)),IF(Reales!$C$54="PYG",IF(CS$10&gt;0,N(Reales!CS54)/CS$10,0),N(Reales!CS54)),CS$175*IF(CS$8=1,N(vg_DSO),V_DSO)/DiasMes))</f>
        <v>2971430.4717574</v>
      </c>
      <c r="CT213" s="34" t="n">
        <f aca="false">IF(93&gt;Fin,CS$213,IF(AND(CT$8=1,ISNUMBER(Reales!CT54)),IF(Reales!$C$54="PYG",IF(CT$10&gt;0,N(Reales!CT54)/CT$10,0),N(Reales!CT54)),CT$175*IF(CT$8=1,N(vg_DSO),V_DSO)/DiasMes))</f>
        <v>2971430.4717574</v>
      </c>
      <c r="CU213" s="34" t="n">
        <f aca="false">IF(94&gt;Fin,CT$213,IF(AND(CU$8=1,ISNUMBER(Reales!CU54)),IF(Reales!$C$54="PYG",IF(CU$10&gt;0,N(Reales!CU54)/CU$10,0),N(Reales!CU54)),CU$175*IF(CU$8=1,N(vg_DSO),V_DSO)/DiasMes))</f>
        <v>2971430.4717574</v>
      </c>
      <c r="CV213" s="34" t="n">
        <f aca="false">IF(95&gt;Fin,CU$213,IF(AND(CV$8=1,ISNUMBER(Reales!CV54)),IF(Reales!$C$54="PYG",IF(CV$10&gt;0,N(Reales!CV54)/CV$10,0),N(Reales!CV54)),CV$175*IF(CV$8=1,N(vg_DSO),V_DSO)/DiasMes))</f>
        <v>2971430.4717574</v>
      </c>
      <c r="CW213" s="34" t="n">
        <f aca="false">IF(96&gt;Fin,CV$213,IF(AND(CW$8=1,ISNUMBER(Reales!CW54)),IF(Reales!$C$54="PYG",IF(CW$10&gt;0,N(Reales!CW54)/CW$10,0),N(Reales!CW54)),CW$175*IF(CW$8=1,N(vg_DSO),V_DSO)/DiasMes))</f>
        <v>2971430.4717574</v>
      </c>
      <c r="CX213" s="34" t="n">
        <f aca="false">IF(97&gt;Fin,CW$213,IF(AND(CX$8=1,ISNUMBER(Reales!CX54)),IF(Reales!$C$54="PYG",IF(CX$10&gt;0,N(Reales!CX54)/CX$10,0),N(Reales!CX54)),CX$175*IF(CX$8=1,N(vg_DSO),V_DSO)/DiasMes))</f>
        <v>3001144.77647497</v>
      </c>
      <c r="CY213" s="34" t="n">
        <f aca="false">IF(98&gt;Fin,CX$213,IF(AND(CY$8=1,ISNUMBER(Reales!CY54)),IF(Reales!$C$54="PYG",IF(CY$10&gt;0,N(Reales!CY54)/CY$10,0),N(Reales!CY54)),CY$175*IF(CY$8=1,N(vg_DSO),V_DSO)/DiasMes))</f>
        <v>3001144.77647497</v>
      </c>
      <c r="CZ213" s="34" t="n">
        <f aca="false">IF(99&gt;Fin,CY$213,IF(AND(CZ$8=1,ISNUMBER(Reales!CZ54)),IF(Reales!$C$54="PYG",IF(CZ$10&gt;0,N(Reales!CZ54)/CZ$10,0),N(Reales!CZ54)),CZ$175*IF(CZ$8=1,N(vg_DSO),V_DSO)/DiasMes))</f>
        <v>3001144.77647497</v>
      </c>
      <c r="DA213" s="34" t="n">
        <f aca="false">IF(100&gt;Fin,CZ$213,IF(AND(DA$8=1,ISNUMBER(Reales!DA54)),IF(Reales!$C$54="PYG",IF(DA$10&gt;0,N(Reales!DA54)/DA$10,0),N(Reales!DA54)),DA$175*IF(DA$8=1,N(vg_DSO),V_DSO)/DiasMes))</f>
        <v>3001144.77647497</v>
      </c>
      <c r="DB213" s="34" t="n">
        <f aca="false">IF(101&gt;Fin,DA$213,IF(AND(DB$8=1,ISNUMBER(Reales!DB54)),IF(Reales!$C$54="PYG",IF(DB$10&gt;0,N(Reales!DB54)/DB$10,0),N(Reales!DB54)),DB$175*IF(DB$8=1,N(vg_DSO),V_DSO)/DiasMes))</f>
        <v>3001144.77647497</v>
      </c>
      <c r="DC213" s="34" t="n">
        <f aca="false">IF(102&gt;Fin,DB$213,IF(AND(DC$8=1,ISNUMBER(Reales!DC54)),IF(Reales!$C$54="PYG",IF(DC$10&gt;0,N(Reales!DC54)/DC$10,0),N(Reales!DC54)),DC$175*IF(DC$8=1,N(vg_DSO),V_DSO)/DiasMes))</f>
        <v>3001144.77647497</v>
      </c>
      <c r="DD213" s="34" t="n">
        <f aca="false">IF(103&gt;Fin,DC$213,IF(AND(DD$8=1,ISNUMBER(Reales!DD54)),IF(Reales!$C$54="PYG",IF(DD$10&gt;0,N(Reales!DD54)/DD$10,0),N(Reales!DD54)),DD$175*IF(DD$8=1,N(vg_DSO),V_DSO)/DiasMes))</f>
        <v>3001144.77647497</v>
      </c>
      <c r="DE213" s="34" t="n">
        <f aca="false">IF(104&gt;Fin,DD$213,IF(AND(DE$8=1,ISNUMBER(Reales!DE54)),IF(Reales!$C$54="PYG",IF(DE$10&gt;0,N(Reales!DE54)/DE$10,0),N(Reales!DE54)),DE$175*IF(DE$8=1,N(vg_DSO),V_DSO)/DiasMes))</f>
        <v>3001144.77647497</v>
      </c>
      <c r="DF213" s="34" t="n">
        <f aca="false">IF(105&gt;Fin,DE$213,IF(AND(DF$8=1,ISNUMBER(Reales!DF54)),IF(Reales!$C$54="PYG",IF(DF$10&gt;0,N(Reales!DF54)/DF$10,0),N(Reales!DF54)),DF$175*IF(DF$8=1,N(vg_DSO),V_DSO)/DiasMes))</f>
        <v>3001144.77647497</v>
      </c>
      <c r="DG213" s="34" t="n">
        <f aca="false">IF(106&gt;Fin,DF$213,IF(AND(DG$8=1,ISNUMBER(Reales!DG54)),IF(Reales!$C$54="PYG",IF(DG$10&gt;0,N(Reales!DG54)/DG$10,0),N(Reales!DG54)),DG$175*IF(DG$8=1,N(vg_DSO),V_DSO)/DiasMes))</f>
        <v>3001144.77647497</v>
      </c>
      <c r="DH213" s="34" t="n">
        <f aca="false">IF(107&gt;Fin,DG$213,IF(AND(DH$8=1,ISNUMBER(Reales!DH54)),IF(Reales!$C$54="PYG",IF(DH$10&gt;0,N(Reales!DH54)/DH$10,0),N(Reales!DH54)),DH$175*IF(DH$8=1,N(vg_DSO),V_DSO)/DiasMes))</f>
        <v>3001144.77647497</v>
      </c>
      <c r="DI213" s="34" t="n">
        <f aca="false">IF(108&gt;Fin,DH$213,IF(AND(DI$8=1,ISNUMBER(Reales!DI54)),IF(Reales!$C$54="PYG",IF(DI$10&gt;0,N(Reales!DI54)/DI$10,0),N(Reales!DI54)),DI$175*IF(DI$8=1,N(vg_DSO),V_DSO)/DiasMes))</f>
        <v>3001144.77647497</v>
      </c>
      <c r="DJ213" s="34" t="n">
        <f aca="false">IF(109&gt;Fin,DI$213,IF(AND(DJ$8=1,ISNUMBER(Reales!DJ54)),IF(Reales!$C$54="PYG",IF(DJ$10&gt;0,N(Reales!DJ54)/DJ$10,0),N(Reales!DJ54)),DJ$175*IF(DJ$8=1,N(vg_DSO),V_DSO)/DiasMes))</f>
        <v>3031156.22423972</v>
      </c>
      <c r="DK213" s="34" t="n">
        <f aca="false">IF(110&gt;Fin,DJ$213,IF(AND(DK$8=1,ISNUMBER(Reales!DK54)),IF(Reales!$C$54="PYG",IF(DK$10&gt;0,N(Reales!DK54)/DK$10,0),N(Reales!DK54)),DK$175*IF(DK$8=1,N(vg_DSO),V_DSO)/DiasMes))</f>
        <v>3031156.22423972</v>
      </c>
      <c r="DL213" s="34" t="n">
        <f aca="false">IF(111&gt;Fin,DK$213,IF(AND(DL$8=1,ISNUMBER(Reales!DL54)),IF(Reales!$C$54="PYG",IF(DL$10&gt;0,N(Reales!DL54)/DL$10,0),N(Reales!DL54)),DL$175*IF(DL$8=1,N(vg_DSO),V_DSO)/DiasMes))</f>
        <v>3031156.22423972</v>
      </c>
      <c r="DM213" s="34" t="n">
        <f aca="false">IF(112&gt;Fin,DL$213,IF(AND(DM$8=1,ISNUMBER(Reales!DM54)),IF(Reales!$C$54="PYG",IF(DM$10&gt;0,N(Reales!DM54)/DM$10,0),N(Reales!DM54)),DM$175*IF(DM$8=1,N(vg_DSO),V_DSO)/DiasMes))</f>
        <v>3031156.22423972</v>
      </c>
      <c r="DN213" s="34" t="n">
        <f aca="false">IF(113&gt;Fin,DM$213,IF(AND(DN$8=1,ISNUMBER(Reales!DN54)),IF(Reales!$C$54="PYG",IF(DN$10&gt;0,N(Reales!DN54)/DN$10,0),N(Reales!DN54)),DN$175*IF(DN$8=1,N(vg_DSO),V_DSO)/DiasMes))</f>
        <v>3031156.22423972</v>
      </c>
      <c r="DO213" s="34" t="n">
        <f aca="false">IF(114&gt;Fin,DN$213,IF(AND(DO$8=1,ISNUMBER(Reales!DO54)),IF(Reales!$C$54="PYG",IF(DO$10&gt;0,N(Reales!DO54)/DO$10,0),N(Reales!DO54)),DO$175*IF(DO$8=1,N(vg_DSO),V_DSO)/DiasMes))</f>
        <v>3031156.22423972</v>
      </c>
      <c r="DP213" s="34" t="n">
        <f aca="false">IF(115&gt;Fin,DO$213,IF(AND(DP$8=1,ISNUMBER(Reales!DP54)),IF(Reales!$C$54="PYG",IF(DP$10&gt;0,N(Reales!DP54)/DP$10,0),N(Reales!DP54)),DP$175*IF(DP$8=1,N(vg_DSO),V_DSO)/DiasMes))</f>
        <v>3031156.22423972</v>
      </c>
      <c r="DQ213" s="34" t="n">
        <f aca="false">IF(116&gt;Fin,DP$213,IF(AND(DQ$8=1,ISNUMBER(Reales!DQ54)),IF(Reales!$C$54="PYG",IF(DQ$10&gt;0,N(Reales!DQ54)/DQ$10,0),N(Reales!DQ54)),DQ$175*IF(DQ$8=1,N(vg_DSO),V_DSO)/DiasMes))</f>
        <v>3031156.22423972</v>
      </c>
      <c r="DR213" s="34" t="n">
        <f aca="false">IF(117&gt;Fin,DQ$213,IF(AND(DR$8=1,ISNUMBER(Reales!DR54)),IF(Reales!$C$54="PYG",IF(DR$10&gt;0,N(Reales!DR54)/DR$10,0),N(Reales!DR54)),DR$175*IF(DR$8=1,N(vg_DSO),V_DSO)/DiasMes))</f>
        <v>3031156.22423972</v>
      </c>
      <c r="DS213" s="34" t="n">
        <f aca="false">IF(118&gt;Fin,DR$213,IF(AND(DS$8=1,ISNUMBER(Reales!DS54)),IF(Reales!$C$54="PYG",IF(DS$10&gt;0,N(Reales!DS54)/DS$10,0),N(Reales!DS54)),DS$175*IF(DS$8=1,N(vg_DSO),V_DSO)/DiasMes))</f>
        <v>3031156.22423972</v>
      </c>
      <c r="DT213" s="34" t="n">
        <f aca="false">IF(119&gt;Fin,DS$213,IF(AND(DT$8=1,ISNUMBER(Reales!DT54)),IF(Reales!$C$54="PYG",IF(DT$10&gt;0,N(Reales!DT54)/DT$10,0),N(Reales!DT54)),DT$175*IF(DT$8=1,N(vg_DSO),V_DSO)/DiasMes))</f>
        <v>3031156.22423972</v>
      </c>
      <c r="DU213" s="34" t="n">
        <f aca="false">IF(120&gt;Fin,DT$213,IF(AND(DU$8=1,ISNUMBER(Reales!DU54)),IF(Reales!$C$54="PYG",IF(DU$10&gt;0,N(Reales!DU54)/DU$10,0),N(Reales!DU54)),DU$175*IF(DU$8=1,N(vg_DSO),V_DSO)/DiasMes))</f>
        <v>3031156.22423972</v>
      </c>
      <c r="DV213" s="34" t="n">
        <f aca="false">IF(121&gt;Fin,DU$213,IF(AND(DV$8=1,ISNUMBER(Reales!DV54)),IF(Reales!$C$54="PYG",IF(DV$10&gt;0,N(Reales!DV54)/DV$10,0),N(Reales!DV54)),DV$175*IF(DV$8=1,N(vg_DSO),V_DSO)/DiasMes))</f>
        <v>3031156.22423972</v>
      </c>
      <c r="DW213" s="34" t="n">
        <f aca="false">IF(122&gt;Fin,DV$213,IF(AND(DW$8=1,ISNUMBER(Reales!DW54)),IF(Reales!$C$54="PYG",IF(DW$10&gt;0,N(Reales!DW54)/DW$10,0),N(Reales!DW54)),DW$175*IF(DW$8=1,N(vg_DSO),V_DSO)/DiasMes))</f>
        <v>3031156.22423972</v>
      </c>
      <c r="DX213" s="34" t="n">
        <f aca="false">IF(123&gt;Fin,DW$213,IF(AND(DX$8=1,ISNUMBER(Reales!DX54)),IF(Reales!$C$54="PYG",IF(DX$10&gt;0,N(Reales!DX54)/DX$10,0),N(Reales!DX54)),DX$175*IF(DX$8=1,N(vg_DSO),V_DSO)/DiasMes))</f>
        <v>3031156.22423972</v>
      </c>
      <c r="DY213" s="34" t="n">
        <f aca="false">IF(124&gt;Fin,DX$213,IF(AND(DY$8=1,ISNUMBER(Reales!DY54)),IF(Reales!$C$54="PYG",IF(DY$10&gt;0,N(Reales!DY54)/DY$10,0),N(Reales!DY54)),DY$175*IF(DY$8=1,N(vg_DSO),V_DSO)/DiasMes))</f>
        <v>3031156.22423972</v>
      </c>
      <c r="DZ213" s="34" t="n">
        <f aca="false">IF(125&gt;Fin,DY$213,IF(AND(DZ$8=1,ISNUMBER(Reales!DZ54)),IF(Reales!$C$54="PYG",IF(DZ$10&gt;0,N(Reales!DZ54)/DZ$10,0),N(Reales!DZ54)),DZ$175*IF(DZ$8=1,N(vg_DSO),V_DSO)/DiasMes))</f>
        <v>3031156.22423972</v>
      </c>
      <c r="EA213" s="34" t="n">
        <f aca="false">IF(126&gt;Fin,DZ$213,IF(AND(EA$8=1,ISNUMBER(Reales!EA54)),IF(Reales!$C$54="PYG",IF(EA$10&gt;0,N(Reales!EA54)/EA$10,0),N(Reales!EA54)),EA$175*IF(EA$8=1,N(vg_DSO),V_DSO)/DiasMes))</f>
        <v>3031156.22423972</v>
      </c>
      <c r="EB213" s="34" t="n">
        <f aca="false">IF(127&gt;Fin,EA$213,IF(AND(EB$8=1,ISNUMBER(Reales!EB54)),IF(Reales!$C$54="PYG",IF(EB$10&gt;0,N(Reales!EB54)/EB$10,0),N(Reales!EB54)),EB$175*IF(EB$8=1,N(vg_DSO),V_DSO)/DiasMes))</f>
        <v>3031156.22423972</v>
      </c>
      <c r="EC213" s="34" t="n">
        <f aca="false">IF(128&gt;Fin,EB$213,IF(AND(EC$8=1,ISNUMBER(Reales!EC54)),IF(Reales!$C$54="PYG",IF(EC$10&gt;0,N(Reales!EC54)/EC$10,0),N(Reales!EC54)),EC$175*IF(EC$8=1,N(vg_DSO),V_DSO)/DiasMes))</f>
        <v>3031156.22423972</v>
      </c>
      <c r="ED213" s="34" t="n">
        <f aca="false">IF(129&gt;Fin,EC$213,IF(AND(ED$8=1,ISNUMBER(Reales!ED54)),IF(Reales!$C$54="PYG",IF(ED$10&gt;0,N(Reales!ED54)/ED$10,0),N(Reales!ED54)),ED$175*IF(ED$8=1,N(vg_DSO),V_DSO)/DiasMes))</f>
        <v>3031156.22423972</v>
      </c>
      <c r="EE213" s="34" t="n">
        <f aca="false">IF(130&gt;Fin,ED$213,IF(AND(EE$8=1,ISNUMBER(Reales!EE54)),IF(Reales!$C$54="PYG",IF(EE$10&gt;0,N(Reales!EE54)/EE$10,0),N(Reales!EE54)),EE$175*IF(EE$8=1,N(vg_DSO),V_DSO)/DiasMes))</f>
        <v>3031156.22423972</v>
      </c>
      <c r="EF213" s="34" t="n">
        <f aca="false">IF(131&gt;Fin,EE$213,IF(AND(EF$8=1,ISNUMBER(Reales!EF54)),IF(Reales!$C$54="PYG",IF(EF$10&gt;0,N(Reales!EF54)/EF$10,0),N(Reales!EF54)),EF$175*IF(EF$8=1,N(vg_DSO),V_DSO)/DiasMes))</f>
        <v>3031156.22423972</v>
      </c>
      <c r="EG213" s="34" t="n">
        <f aca="false">IF(132&gt;Fin,EF$213,IF(AND(EG$8=1,ISNUMBER(Reales!EG54)),IF(Reales!$C$54="PYG",IF(EG$10&gt;0,N(Reales!EG54)/EG$10,0),N(Reales!EG54)),EG$175*IF(EG$8=1,N(vg_DSO),V_DSO)/DiasMes))</f>
        <v>3031156.22423972</v>
      </c>
      <c r="EH213" s="34" t="n">
        <f aca="false">IF(133&gt;Fin,EG$213,IF(AND(EH$8=1,ISNUMBER(Reales!EH54)),IF(Reales!$C$54="PYG",IF(EH$10&gt;0,N(Reales!EH54)/EH$10,0),N(Reales!EH54)),EH$175*IF(EH$8=1,N(vg_DSO),V_DSO)/DiasMes))</f>
        <v>3031156.22423972</v>
      </c>
      <c r="EI213" s="34" t="n">
        <f aca="false">IF(134&gt;Fin,EH$213,IF(AND(EI$8=1,ISNUMBER(Reales!EI54)),IF(Reales!$C$54="PYG",IF(EI$10&gt;0,N(Reales!EI54)/EI$10,0),N(Reales!EI54)),EI$175*IF(EI$8=1,N(vg_DSO),V_DSO)/DiasMes))</f>
        <v>3031156.22423972</v>
      </c>
      <c r="EJ213" s="34" t="n">
        <f aca="false">IF(135&gt;Fin,EI$213,IF(AND(EJ$8=1,ISNUMBER(Reales!EJ54)),IF(Reales!$C$54="PYG",IF(EJ$10&gt;0,N(Reales!EJ54)/EJ$10,0),N(Reales!EJ54)),EJ$175*IF(EJ$8=1,N(vg_DSO),V_DSO)/DiasMes))</f>
        <v>3031156.22423972</v>
      </c>
      <c r="EK213" s="34" t="n">
        <f aca="false">IF(136&gt;Fin,EJ$213,IF(AND(EK$8=1,ISNUMBER(Reales!EK54)),IF(Reales!$C$54="PYG",IF(EK$10&gt;0,N(Reales!EK54)/EK$10,0),N(Reales!EK54)),EK$175*IF(EK$8=1,N(vg_DSO),V_DSO)/DiasMes))</f>
        <v>3031156.22423972</v>
      </c>
      <c r="EL213" s="34" t="n">
        <f aca="false">IF(137&gt;Fin,EK$213,IF(AND(EL$8=1,ISNUMBER(Reales!EL54)),IF(Reales!$C$54="PYG",IF(EL$10&gt;0,N(Reales!EL54)/EL$10,0),N(Reales!EL54)),EL$175*IF(EL$8=1,N(vg_DSO),V_DSO)/DiasMes))</f>
        <v>3031156.22423972</v>
      </c>
      <c r="EM213" s="34" t="n">
        <f aca="false">IF(138&gt;Fin,EL$213,IF(AND(EM$8=1,ISNUMBER(Reales!EM54)),IF(Reales!$C$54="PYG",IF(EM$10&gt;0,N(Reales!EM54)/EM$10,0),N(Reales!EM54)),EM$175*IF(EM$8=1,N(vg_DSO),V_DSO)/DiasMes))</f>
        <v>3031156.22423972</v>
      </c>
      <c r="EN213" s="34" t="n">
        <f aca="false">IF(139&gt;Fin,EM$213,IF(AND(EN$8=1,ISNUMBER(Reales!EN54)),IF(Reales!$C$54="PYG",IF(EN$10&gt;0,N(Reales!EN54)/EN$10,0),N(Reales!EN54)),EN$175*IF(EN$8=1,N(vg_DSO),V_DSO)/DiasMes))</f>
        <v>3031156.22423972</v>
      </c>
      <c r="EO213" s="34" t="n">
        <f aca="false">IF(140&gt;Fin,EN$213,IF(AND(EO$8=1,ISNUMBER(Reales!EO54)),IF(Reales!$C$54="PYG",IF(EO$10&gt;0,N(Reales!EO54)/EO$10,0),N(Reales!EO54)),EO$175*IF(EO$8=1,N(vg_DSO),V_DSO)/DiasMes))</f>
        <v>3031156.22423972</v>
      </c>
      <c r="EP213" s="34" t="n">
        <f aca="false">IF(141&gt;Fin,EO$213,IF(AND(EP$8=1,ISNUMBER(Reales!EP54)),IF(Reales!$C$54="PYG",IF(EP$10&gt;0,N(Reales!EP54)/EP$10,0),N(Reales!EP54)),EP$175*IF(EP$8=1,N(vg_DSO),V_DSO)/DiasMes))</f>
        <v>3031156.22423972</v>
      </c>
      <c r="EQ213" s="34" t="n">
        <f aca="false">IF(142&gt;Fin,EP$213,IF(AND(EQ$8=1,ISNUMBER(Reales!EQ54)),IF(Reales!$C$54="PYG",IF(EQ$10&gt;0,N(Reales!EQ54)/EQ$10,0),N(Reales!EQ54)),EQ$175*IF(EQ$8=1,N(vg_DSO),V_DSO)/DiasMes))</f>
        <v>3031156.22423972</v>
      </c>
      <c r="ER213" s="34" t="n">
        <f aca="false">IF(143&gt;Fin,EQ$213,IF(AND(ER$8=1,ISNUMBER(Reales!ER54)),IF(Reales!$C$54="PYG",IF(ER$10&gt;0,N(Reales!ER54)/ER$10,0),N(Reales!ER54)),ER$175*IF(ER$8=1,N(vg_DSO),V_DSO)/DiasMes))</f>
        <v>3031156.22423972</v>
      </c>
      <c r="ES213" s="34" t="n">
        <f aca="false">IF(144&gt;Fin,ER$213,IF(AND(ES$8=1,ISNUMBER(Reales!ES54)),IF(Reales!$C$54="PYG",IF(ES$10&gt;0,N(Reales!ES54)/ES$10,0),N(Reales!ES54)),ES$175*IF(ES$8=1,N(vg_DSO),V_DSO)/DiasMes))</f>
        <v>3031156.22423972</v>
      </c>
    </row>
    <row r="214" customFormat="false" ht="15" hidden="false" customHeight="false" outlineLevel="0" collapsed="false">
      <c r="A214" s="2" t="s">
        <v>827</v>
      </c>
      <c r="B214" s="6" t="s">
        <v>523</v>
      </c>
      <c r="C214" s="6" t="s">
        <v>250</v>
      </c>
      <c r="E214" s="40" t="n">
        <f aca="false">INDEX(F214:ES214,1,MIN(144,Fin))</f>
        <v>1626937.98750554</v>
      </c>
      <c r="F214" s="34" t="n">
        <f aca="false">IF(1&gt;Fin,0,IF(AND(F$8=1,ISNUMBER(Reales!F55)),IF(Reales!$C$55="PYG",IF(F$10&gt;0,N(Reales!F55)/F$10,0),N(Reales!F55)),F$197*IF(F$8=1,N(vg_DInv),V_DInv)/DiasMes+(F$197+F$198+F$199+F$200)*V_DPT/DiasMes))</f>
        <v>892648.832014833</v>
      </c>
      <c r="G214" s="34" t="n">
        <f aca="false">IF(2&gt;Fin,F$214,IF(AND(G$8=1,ISNUMBER(Reales!G55)),IF(Reales!$C$55="PYG",IF(G$10&gt;0,N(Reales!G55)/G$10,0),N(Reales!G55)),G$197*IF(G$8=1,N(vg_DInv),V_DInv)/DiasMes+(G$197+G$198+G$199+G$200)*V_DPT/DiasMes))</f>
        <v>892648.832014833</v>
      </c>
      <c r="H214" s="34" t="n">
        <f aca="false">IF(3&gt;Fin,G$214,IF(AND(H$8=1,ISNUMBER(Reales!H55)),IF(Reales!$C$55="PYG",IF(H$10&gt;0,N(Reales!H55)/H$10,0),N(Reales!H55)),H$197*IF(H$8=1,N(vg_DInv),V_DInv)/DiasMes+(H$197+H$198+H$199+H$200)*V_DPT/DiasMes))</f>
        <v>892648.832014833</v>
      </c>
      <c r="I214" s="34" t="n">
        <f aca="false">IF(4&gt;Fin,H$214,IF(AND(I$8=1,ISNUMBER(Reales!I55)),IF(Reales!$C$55="PYG",IF(I$10&gt;0,N(Reales!I55)/I$10,0),N(Reales!I55)),I$197*IF(I$8=1,N(vg_DInv),V_DInv)/DiasMes+(I$197+I$198+I$199+I$200)*V_DPT/DiasMes))</f>
        <v>892648.832014833</v>
      </c>
      <c r="J214" s="34" t="n">
        <f aca="false">IF(5&gt;Fin,I$214,IF(AND(J$8=1,ISNUMBER(Reales!J55)),IF(Reales!$C$55="PYG",IF(J$10&gt;0,N(Reales!J55)/J$10,0),N(Reales!J55)),J$197*IF(J$8=1,N(vg_DInv),V_DInv)/DiasMes+(J$197+J$198+J$199+J$200)*V_DPT/DiasMes))</f>
        <v>892648.832014833</v>
      </c>
      <c r="K214" s="34" t="n">
        <f aca="false">IF(6&gt;Fin,J$214,IF(AND(K$8=1,ISNUMBER(Reales!K55)),IF(Reales!$C$55="PYG",IF(K$10&gt;0,N(Reales!K55)/K$10,0),N(Reales!K55)),K$197*IF(K$8=1,N(vg_DInv),V_DInv)/DiasMes+(K$197+K$198+K$199+K$200)*V_DPT/DiasMes))</f>
        <v>892648.832014833</v>
      </c>
      <c r="L214" s="34" t="n">
        <f aca="false">IF(7&gt;Fin,K$214,IF(AND(L$8=1,ISNUMBER(Reales!L55)),IF(Reales!$C$55="PYG",IF(L$10&gt;0,N(Reales!L55)/L$10,0),N(Reales!L55)),L$197*IF(L$8=1,N(vg_DInv),V_DInv)/DiasMes+(L$197+L$198+L$199+L$200)*V_DPT/DiasMes))</f>
        <v>892648.832014833</v>
      </c>
      <c r="M214" s="34" t="n">
        <f aca="false">IF(8&gt;Fin,L$214,IF(AND(M$8=1,ISNUMBER(Reales!M55)),IF(Reales!$C$55="PYG",IF(M$10&gt;0,N(Reales!M55)/M$10,0),N(Reales!M55)),M$197*IF(M$8=1,N(vg_DInv),V_DInv)/DiasMes+(M$197+M$198+M$199+M$200)*V_DPT/DiasMes))</f>
        <v>892648.832014833</v>
      </c>
      <c r="N214" s="34" t="n">
        <f aca="false">IF(9&gt;Fin,M$214,IF(AND(N$8=1,ISNUMBER(Reales!N55)),IF(Reales!$C$55="PYG",IF(N$10&gt;0,N(Reales!N55)/N$10,0),N(Reales!N55)),N$197*IF(N$8=1,N(vg_DInv),V_DInv)/DiasMes+(N$197+N$198+N$199+N$200)*V_DPT/DiasMes))</f>
        <v>892648.832014833</v>
      </c>
      <c r="O214" s="34" t="n">
        <f aca="false">IF(10&gt;Fin,N$214,IF(AND(O$8=1,ISNUMBER(Reales!O55)),IF(Reales!$C$55="PYG",IF(O$10&gt;0,N(Reales!O55)/O$10,0),N(Reales!O55)),O$197*IF(O$8=1,N(vg_DInv),V_DInv)/DiasMes+(O$197+O$198+O$199+O$200)*V_DPT/DiasMes))</f>
        <v>892648.832014833</v>
      </c>
      <c r="P214" s="34" t="n">
        <f aca="false">IF(11&gt;Fin,O$214,IF(AND(P$8=1,ISNUMBER(Reales!P55)),IF(Reales!$C$55="PYG",IF(P$10&gt;0,N(Reales!P55)/P$10,0),N(Reales!P55)),P$197*IF(P$8=1,N(vg_DInv),V_DInv)/DiasMes+(P$197+P$198+P$199+P$200)*V_DPT/DiasMes))</f>
        <v>892648.832014833</v>
      </c>
      <c r="Q214" s="34" t="n">
        <f aca="false">IF(12&gt;Fin,P$214,IF(AND(Q$8=1,ISNUMBER(Reales!Q55)),IF(Reales!$C$55="PYG",IF(Q$10&gt;0,N(Reales!Q55)/Q$10,0),N(Reales!Q55)),Q$197*IF(Q$8=1,N(vg_DInv),V_DInv)/DiasMes+(Q$197+Q$198+Q$199+Q$200)*V_DPT/DiasMes))</f>
        <v>892648.832014833</v>
      </c>
      <c r="R214" s="34" t="n">
        <f aca="false">IF(13&gt;Fin,Q$214,IF(AND(R$8=1,ISNUMBER(Reales!R55)),IF(Reales!$C$55="PYG",IF(R$10&gt;0,N(Reales!R55)/R$10,0),N(Reales!R55)),R$197*IF(R$8=1,N(vg_DInv),V_DInv)/DiasMes+(R$197+R$198+R$199+R$200)*V_DPT/DiasMes))</f>
        <v>1128877.29036496</v>
      </c>
      <c r="S214" s="34" t="n">
        <f aca="false">IF(14&gt;Fin,R$214,IF(AND(S$8=1,ISNUMBER(Reales!S55)),IF(Reales!$C$55="PYG",IF(S$10&gt;0,N(Reales!S55)/S$10,0),N(Reales!S55)),S$197*IF(S$8=1,N(vg_DInv),V_DInv)/DiasMes+(S$197+S$198+S$199+S$200)*V_DPT/DiasMes))</f>
        <v>1128877.29036496</v>
      </c>
      <c r="T214" s="34" t="n">
        <f aca="false">IF(15&gt;Fin,S$214,IF(AND(T$8=1,ISNUMBER(Reales!T55)),IF(Reales!$C$55="PYG",IF(T$10&gt;0,N(Reales!T55)/T$10,0),N(Reales!T55)),T$197*IF(T$8=1,N(vg_DInv),V_DInv)/DiasMes+(T$197+T$198+T$199+T$200)*V_DPT/DiasMes))</f>
        <v>1128877.29036496</v>
      </c>
      <c r="U214" s="34" t="n">
        <f aca="false">IF(16&gt;Fin,T$214,IF(AND(U$8=1,ISNUMBER(Reales!U55)),IF(Reales!$C$55="PYG",IF(U$10&gt;0,N(Reales!U55)/U$10,0),N(Reales!U55)),U$197*IF(U$8=1,N(vg_DInv),V_DInv)/DiasMes+(U$197+U$198+U$199+U$200)*V_DPT/DiasMes))</f>
        <v>1128877.29036496</v>
      </c>
      <c r="V214" s="34" t="n">
        <f aca="false">IF(17&gt;Fin,U$214,IF(AND(V$8=1,ISNUMBER(Reales!V55)),IF(Reales!$C$55="PYG",IF(V$10&gt;0,N(Reales!V55)/V$10,0),N(Reales!V55)),V$197*IF(V$8=1,N(vg_DInv),V_DInv)/DiasMes+(V$197+V$198+V$199+V$200)*V_DPT/DiasMes))</f>
        <v>1128877.29036496</v>
      </c>
      <c r="W214" s="34" t="n">
        <f aca="false">IF(18&gt;Fin,V$214,IF(AND(W$8=1,ISNUMBER(Reales!W55)),IF(Reales!$C$55="PYG",IF(W$10&gt;0,N(Reales!W55)/W$10,0),N(Reales!W55)),W$197*IF(W$8=1,N(vg_DInv),V_DInv)/DiasMes+(W$197+W$198+W$199+W$200)*V_DPT/DiasMes))</f>
        <v>1128877.29036496</v>
      </c>
      <c r="X214" s="34" t="n">
        <f aca="false">IF(19&gt;Fin,W$214,IF(AND(X$8=1,ISNUMBER(Reales!X55)),IF(Reales!$C$55="PYG",IF(X$10&gt;0,N(Reales!X55)/X$10,0),N(Reales!X55)),X$197*IF(X$8=1,N(vg_DInv),V_DInv)/DiasMes+(X$197+X$198+X$199+X$200)*V_DPT/DiasMes))</f>
        <v>1128877.29036496</v>
      </c>
      <c r="Y214" s="34" t="n">
        <f aca="false">IF(20&gt;Fin,X$214,IF(AND(Y$8=1,ISNUMBER(Reales!Y55)),IF(Reales!$C$55="PYG",IF(Y$10&gt;0,N(Reales!Y55)/Y$10,0),N(Reales!Y55)),Y$197*IF(Y$8=1,N(vg_DInv),V_DInv)/DiasMes+(Y$197+Y$198+Y$199+Y$200)*V_DPT/DiasMes))</f>
        <v>1128877.29036496</v>
      </c>
      <c r="Z214" s="34" t="n">
        <f aca="false">IF(21&gt;Fin,Y$214,IF(AND(Z$8=1,ISNUMBER(Reales!Z55)),IF(Reales!$C$55="PYG",IF(Z$10&gt;0,N(Reales!Z55)/Z$10,0),N(Reales!Z55)),Z$197*IF(Z$8=1,N(vg_DInv),V_DInv)/DiasMes+(Z$197+Z$198+Z$199+Z$200)*V_DPT/DiasMes))</f>
        <v>1128877.29036496</v>
      </c>
      <c r="AA214" s="34" t="n">
        <f aca="false">IF(22&gt;Fin,Z$214,IF(AND(AA$8=1,ISNUMBER(Reales!AA55)),IF(Reales!$C$55="PYG",IF(AA$10&gt;0,N(Reales!AA55)/AA$10,0),N(Reales!AA55)),AA$197*IF(AA$8=1,N(vg_DInv),V_DInv)/DiasMes+(AA$197+AA$198+AA$199+AA$200)*V_DPT/DiasMes))</f>
        <v>1128877.29036496</v>
      </c>
      <c r="AB214" s="34" t="n">
        <f aca="false">IF(23&gt;Fin,AA$214,IF(AND(AB$8=1,ISNUMBER(Reales!AB55)),IF(Reales!$C$55="PYG",IF(AB$10&gt;0,N(Reales!AB55)/AB$10,0),N(Reales!AB55)),AB$197*IF(AB$8=1,N(vg_DInv),V_DInv)/DiasMes+(AB$197+AB$198+AB$199+AB$200)*V_DPT/DiasMes))</f>
        <v>1128877.29036496</v>
      </c>
      <c r="AC214" s="34" t="n">
        <f aca="false">IF(24&gt;Fin,AB$214,IF(AND(AC$8=1,ISNUMBER(Reales!AC55)),IF(Reales!$C$55="PYG",IF(AC$10&gt;0,N(Reales!AC55)/AC$10,0),N(Reales!AC55)),AC$197*IF(AC$8=1,N(vg_DInv),V_DInv)/DiasMes+(AC$197+AC$198+AC$199+AC$200)*V_DPT/DiasMes))</f>
        <v>1128877.29036496</v>
      </c>
      <c r="AD214" s="34" t="n">
        <f aca="false">IF(25&gt;Fin,AC$214,IF(AND(AD$8=1,ISNUMBER(Reales!AD55)),IF(Reales!$C$55="PYG",IF(AD$10&gt;0,N(Reales!AD55)/AD$10,0),N(Reales!AD55)),AD$197*IF(AD$8=1,N(vg_DInv),V_DInv)/DiasMes+(AD$197+AD$198+AD$199+AD$200)*V_DPT/DiasMes))</f>
        <v>1368953.64604567</v>
      </c>
      <c r="AE214" s="34" t="n">
        <f aca="false">IF(26&gt;Fin,AD$214,IF(AND(AE$8=1,ISNUMBER(Reales!AE55)),IF(Reales!$C$55="PYG",IF(AE$10&gt;0,N(Reales!AE55)/AE$10,0),N(Reales!AE55)),AE$197*IF(AE$8=1,N(vg_DInv),V_DInv)/DiasMes+(AE$197+AE$198+AE$199+AE$200)*V_DPT/DiasMes))</f>
        <v>1368953.64604567</v>
      </c>
      <c r="AF214" s="34" t="n">
        <f aca="false">IF(27&gt;Fin,AE$214,IF(AND(AF$8=1,ISNUMBER(Reales!AF55)),IF(Reales!$C$55="PYG",IF(AF$10&gt;0,N(Reales!AF55)/AF$10,0),N(Reales!AF55)),AF$197*IF(AF$8=1,N(vg_DInv),V_DInv)/DiasMes+(AF$197+AF$198+AF$199+AF$200)*V_DPT/DiasMes))</f>
        <v>1368953.64604567</v>
      </c>
      <c r="AG214" s="34" t="n">
        <f aca="false">IF(28&gt;Fin,AF$214,IF(AND(AG$8=1,ISNUMBER(Reales!AG55)),IF(Reales!$C$55="PYG",IF(AG$10&gt;0,N(Reales!AG55)/AG$10,0),N(Reales!AG55)),AG$197*IF(AG$8=1,N(vg_DInv),V_DInv)/DiasMes+(AG$197+AG$198+AG$199+AG$200)*V_DPT/DiasMes))</f>
        <v>1368953.64604567</v>
      </c>
      <c r="AH214" s="34" t="n">
        <f aca="false">IF(29&gt;Fin,AG$214,IF(AND(AH$8=1,ISNUMBER(Reales!AH55)),IF(Reales!$C$55="PYG",IF(AH$10&gt;0,N(Reales!AH55)/AH$10,0),N(Reales!AH55)),AH$197*IF(AH$8=1,N(vg_DInv),V_DInv)/DiasMes+(AH$197+AH$198+AH$199+AH$200)*V_DPT/DiasMes))</f>
        <v>1368953.64604567</v>
      </c>
      <c r="AI214" s="34" t="n">
        <f aca="false">IF(30&gt;Fin,AH$214,IF(AND(AI$8=1,ISNUMBER(Reales!AI55)),IF(Reales!$C$55="PYG",IF(AI$10&gt;0,N(Reales!AI55)/AI$10,0),N(Reales!AI55)),AI$197*IF(AI$8=1,N(vg_DInv),V_DInv)/DiasMes+(AI$197+AI$198+AI$199+AI$200)*V_DPT/DiasMes))</f>
        <v>1368953.64604567</v>
      </c>
      <c r="AJ214" s="34" t="n">
        <f aca="false">IF(31&gt;Fin,AI$214,IF(AND(AJ$8=1,ISNUMBER(Reales!AJ55)),IF(Reales!$C$55="PYG",IF(AJ$10&gt;0,N(Reales!AJ55)/AJ$10,0),N(Reales!AJ55)),AJ$197*IF(AJ$8=1,N(vg_DInv),V_DInv)/DiasMes+(AJ$197+AJ$198+AJ$199+AJ$200)*V_DPT/DiasMes))</f>
        <v>1368953.64604567</v>
      </c>
      <c r="AK214" s="34" t="n">
        <f aca="false">IF(32&gt;Fin,AJ$214,IF(AND(AK$8=1,ISNUMBER(Reales!AK55)),IF(Reales!$C$55="PYG",IF(AK$10&gt;0,N(Reales!AK55)/AK$10,0),N(Reales!AK55)),AK$197*IF(AK$8=1,N(vg_DInv),V_DInv)/DiasMes+(AK$197+AK$198+AK$199+AK$200)*V_DPT/DiasMes))</f>
        <v>1368953.64604567</v>
      </c>
      <c r="AL214" s="34" t="n">
        <f aca="false">IF(33&gt;Fin,AK$214,IF(AND(AL$8=1,ISNUMBER(Reales!AL55)),IF(Reales!$C$55="PYG",IF(AL$10&gt;0,N(Reales!AL55)/AL$10,0),N(Reales!AL55)),AL$197*IF(AL$8=1,N(vg_DInv),V_DInv)/DiasMes+(AL$197+AL$198+AL$199+AL$200)*V_DPT/DiasMes))</f>
        <v>1368953.64604567</v>
      </c>
      <c r="AM214" s="34" t="n">
        <f aca="false">IF(34&gt;Fin,AL$214,IF(AND(AM$8=1,ISNUMBER(Reales!AM55)),IF(Reales!$C$55="PYG",IF(AM$10&gt;0,N(Reales!AM55)/AM$10,0),N(Reales!AM55)),AM$197*IF(AM$8=1,N(vg_DInv),V_DInv)/DiasMes+(AM$197+AM$198+AM$199+AM$200)*V_DPT/DiasMes))</f>
        <v>1368953.64604567</v>
      </c>
      <c r="AN214" s="34" t="n">
        <f aca="false">IF(35&gt;Fin,AM$214,IF(AND(AN$8=1,ISNUMBER(Reales!AN55)),IF(Reales!$C$55="PYG",IF(AN$10&gt;0,N(Reales!AN55)/AN$10,0),N(Reales!AN55)),AN$197*IF(AN$8=1,N(vg_DInv),V_DInv)/DiasMes+(AN$197+AN$198+AN$199+AN$200)*V_DPT/DiasMes))</f>
        <v>1368953.64604567</v>
      </c>
      <c r="AO214" s="34" t="n">
        <f aca="false">IF(36&gt;Fin,AN$214,IF(AND(AO$8=1,ISNUMBER(Reales!AO55)),IF(Reales!$C$55="PYG",IF(AO$10&gt;0,N(Reales!AO55)/AO$10,0),N(Reales!AO55)),AO$197*IF(AO$8=1,N(vg_DInv),V_DInv)/DiasMes+(AO$197+AO$198+AO$199+AO$200)*V_DPT/DiasMes))</f>
        <v>1368953.64604567</v>
      </c>
      <c r="AP214" s="34" t="n">
        <f aca="false">IF(37&gt;Fin,AO$214,IF(AND(AP$8=1,ISNUMBER(Reales!AP55)),IF(Reales!$C$55="PYG",IF(AP$10&gt;0,N(Reales!AP55)/AP$10,0),N(Reales!AP55)),AP$197*IF(AP$8=1,N(vg_DInv),V_DInv)/DiasMes+(AP$197+AP$198+AP$199+AP$200)*V_DPT/DiasMes))</f>
        <v>1566231.67971491</v>
      </c>
      <c r="AQ214" s="34" t="n">
        <f aca="false">IF(38&gt;Fin,AP$214,IF(AND(AQ$8=1,ISNUMBER(Reales!AQ55)),IF(Reales!$C$55="PYG",IF(AQ$10&gt;0,N(Reales!AQ55)/AQ$10,0),N(Reales!AQ55)),AQ$197*IF(AQ$8=1,N(vg_DInv),V_DInv)/DiasMes+(AQ$197+AQ$198+AQ$199+AQ$200)*V_DPT/DiasMes))</f>
        <v>1566231.67971491</v>
      </c>
      <c r="AR214" s="34" t="n">
        <f aca="false">IF(39&gt;Fin,AQ$214,IF(AND(AR$8=1,ISNUMBER(Reales!AR55)),IF(Reales!$C$55="PYG",IF(AR$10&gt;0,N(Reales!AR55)/AR$10,0),N(Reales!AR55)),AR$197*IF(AR$8=1,N(vg_DInv),V_DInv)/DiasMes+(AR$197+AR$198+AR$199+AR$200)*V_DPT/DiasMes))</f>
        <v>1566231.67971491</v>
      </c>
      <c r="AS214" s="34" t="n">
        <f aca="false">IF(40&gt;Fin,AR$214,IF(AND(AS$8=1,ISNUMBER(Reales!AS55)),IF(Reales!$C$55="PYG",IF(AS$10&gt;0,N(Reales!AS55)/AS$10,0),N(Reales!AS55)),AS$197*IF(AS$8=1,N(vg_DInv),V_DInv)/DiasMes+(AS$197+AS$198+AS$199+AS$200)*V_DPT/DiasMes))</f>
        <v>1566231.67971491</v>
      </c>
      <c r="AT214" s="34" t="n">
        <f aca="false">IF(41&gt;Fin,AS$214,IF(AND(AT$8=1,ISNUMBER(Reales!AT55)),IF(Reales!$C$55="PYG",IF(AT$10&gt;0,N(Reales!AT55)/AT$10,0),N(Reales!AT55)),AT$197*IF(AT$8=1,N(vg_DInv),V_DInv)/DiasMes+(AT$197+AT$198+AT$199+AT$200)*V_DPT/DiasMes))</f>
        <v>1566231.67971491</v>
      </c>
      <c r="AU214" s="34" t="n">
        <f aca="false">IF(42&gt;Fin,AT$214,IF(AND(AU$8=1,ISNUMBER(Reales!AU55)),IF(Reales!$C$55="PYG",IF(AU$10&gt;0,N(Reales!AU55)/AU$10,0),N(Reales!AU55)),AU$197*IF(AU$8=1,N(vg_DInv),V_DInv)/DiasMes+(AU$197+AU$198+AU$199+AU$200)*V_DPT/DiasMes))</f>
        <v>1566231.67971491</v>
      </c>
      <c r="AV214" s="34" t="n">
        <f aca="false">IF(43&gt;Fin,AU$214,IF(AND(AV$8=1,ISNUMBER(Reales!AV55)),IF(Reales!$C$55="PYG",IF(AV$10&gt;0,N(Reales!AV55)/AV$10,0),N(Reales!AV55)),AV$197*IF(AV$8=1,N(vg_DInv),V_DInv)/DiasMes+(AV$197+AV$198+AV$199+AV$200)*V_DPT/DiasMes))</f>
        <v>1566231.67971491</v>
      </c>
      <c r="AW214" s="34" t="n">
        <f aca="false">IF(44&gt;Fin,AV$214,IF(AND(AW$8=1,ISNUMBER(Reales!AW55)),IF(Reales!$C$55="PYG",IF(AW$10&gt;0,N(Reales!AW55)/AW$10,0),N(Reales!AW55)),AW$197*IF(AW$8=1,N(vg_DInv),V_DInv)/DiasMes+(AW$197+AW$198+AW$199+AW$200)*V_DPT/DiasMes))</f>
        <v>1566231.67971491</v>
      </c>
      <c r="AX214" s="34" t="n">
        <f aca="false">IF(45&gt;Fin,AW$214,IF(AND(AX$8=1,ISNUMBER(Reales!AX55)),IF(Reales!$C$55="PYG",IF(AX$10&gt;0,N(Reales!AX55)/AX$10,0),N(Reales!AX55)),AX$197*IF(AX$8=1,N(vg_DInv),V_DInv)/DiasMes+(AX$197+AX$198+AX$199+AX$200)*V_DPT/DiasMes))</f>
        <v>1566231.67971491</v>
      </c>
      <c r="AY214" s="34" t="n">
        <f aca="false">IF(46&gt;Fin,AX$214,IF(AND(AY$8=1,ISNUMBER(Reales!AY55)),IF(Reales!$C$55="PYG",IF(AY$10&gt;0,N(Reales!AY55)/AY$10,0),N(Reales!AY55)),AY$197*IF(AY$8=1,N(vg_DInv),V_DInv)/DiasMes+(AY$197+AY$198+AY$199+AY$200)*V_DPT/DiasMes))</f>
        <v>1566231.67971491</v>
      </c>
      <c r="AZ214" s="34" t="n">
        <f aca="false">IF(47&gt;Fin,AY$214,IF(AND(AZ$8=1,ISNUMBER(Reales!AZ55)),IF(Reales!$C$55="PYG",IF(AZ$10&gt;0,N(Reales!AZ55)/AZ$10,0),N(Reales!AZ55)),AZ$197*IF(AZ$8=1,N(vg_DInv),V_DInv)/DiasMes+(AZ$197+AZ$198+AZ$199+AZ$200)*V_DPT/DiasMes))</f>
        <v>1566231.67971491</v>
      </c>
      <c r="BA214" s="34" t="n">
        <f aca="false">IF(48&gt;Fin,AZ$214,IF(AND(BA$8=1,ISNUMBER(Reales!BA55)),IF(Reales!$C$55="PYG",IF(BA$10&gt;0,N(Reales!BA55)/BA$10,0),N(Reales!BA55)),BA$197*IF(BA$8=1,N(vg_DInv),V_DInv)/DiasMes+(BA$197+BA$198+BA$199+BA$200)*V_DPT/DiasMes))</f>
        <v>1566231.67971491</v>
      </c>
      <c r="BB214" s="34" t="n">
        <f aca="false">IF(49&gt;Fin,BA$214,IF(AND(BB$8=1,ISNUMBER(Reales!BB55)),IF(Reales!$C$55="PYG",IF(BB$10&gt;0,N(Reales!BB55)/BB$10,0),N(Reales!BB55)),BB$197*IF(BB$8=1,N(vg_DInv),V_DInv)/DiasMes+(BB$197+BB$198+BB$199+BB$200)*V_DPT/DiasMes))</f>
        <v>1576853.13578562</v>
      </c>
      <c r="BC214" s="34" t="n">
        <f aca="false">IF(50&gt;Fin,BB$214,IF(AND(BC$8=1,ISNUMBER(Reales!BC55)),IF(Reales!$C$55="PYG",IF(BC$10&gt;0,N(Reales!BC55)/BC$10,0),N(Reales!BC55)),BC$197*IF(BC$8=1,N(vg_DInv),V_DInv)/DiasMes+(BC$197+BC$198+BC$199+BC$200)*V_DPT/DiasMes))</f>
        <v>1576853.13578562</v>
      </c>
      <c r="BD214" s="34" t="n">
        <f aca="false">IF(51&gt;Fin,BC$214,IF(AND(BD$8=1,ISNUMBER(Reales!BD55)),IF(Reales!$C$55="PYG",IF(BD$10&gt;0,N(Reales!BD55)/BD$10,0),N(Reales!BD55)),BD$197*IF(BD$8=1,N(vg_DInv),V_DInv)/DiasMes+(BD$197+BD$198+BD$199+BD$200)*V_DPT/DiasMes))</f>
        <v>1576853.13578562</v>
      </c>
      <c r="BE214" s="34" t="n">
        <f aca="false">IF(52&gt;Fin,BD$214,IF(AND(BE$8=1,ISNUMBER(Reales!BE55)),IF(Reales!$C$55="PYG",IF(BE$10&gt;0,N(Reales!BE55)/BE$10,0),N(Reales!BE55)),BE$197*IF(BE$8=1,N(vg_DInv),V_DInv)/DiasMes+(BE$197+BE$198+BE$199+BE$200)*V_DPT/DiasMes))</f>
        <v>1576853.13578562</v>
      </c>
      <c r="BF214" s="34" t="n">
        <f aca="false">IF(53&gt;Fin,BE$214,IF(AND(BF$8=1,ISNUMBER(Reales!BF55)),IF(Reales!$C$55="PYG",IF(BF$10&gt;0,N(Reales!BF55)/BF$10,0),N(Reales!BF55)),BF$197*IF(BF$8=1,N(vg_DInv),V_DInv)/DiasMes+(BF$197+BF$198+BF$199+BF$200)*V_DPT/DiasMes))</f>
        <v>1576853.13578562</v>
      </c>
      <c r="BG214" s="34" t="n">
        <f aca="false">IF(54&gt;Fin,BF$214,IF(AND(BG$8=1,ISNUMBER(Reales!BG55)),IF(Reales!$C$55="PYG",IF(BG$10&gt;0,N(Reales!BG55)/BG$10,0),N(Reales!BG55)),BG$197*IF(BG$8=1,N(vg_DInv),V_DInv)/DiasMes+(BG$197+BG$198+BG$199+BG$200)*V_DPT/DiasMes))</f>
        <v>1576853.13578562</v>
      </c>
      <c r="BH214" s="34" t="n">
        <f aca="false">IF(55&gt;Fin,BG$214,IF(AND(BH$8=1,ISNUMBER(Reales!BH55)),IF(Reales!$C$55="PYG",IF(BH$10&gt;0,N(Reales!BH55)/BH$10,0),N(Reales!BH55)),BH$197*IF(BH$8=1,N(vg_DInv),V_DInv)/DiasMes+(BH$197+BH$198+BH$199+BH$200)*V_DPT/DiasMes))</f>
        <v>1576853.13578562</v>
      </c>
      <c r="BI214" s="34" t="n">
        <f aca="false">IF(56&gt;Fin,BH$214,IF(AND(BI$8=1,ISNUMBER(Reales!BI55)),IF(Reales!$C$55="PYG",IF(BI$10&gt;0,N(Reales!BI55)/BI$10,0),N(Reales!BI55)),BI$197*IF(BI$8=1,N(vg_DInv),V_DInv)/DiasMes+(BI$197+BI$198+BI$199+BI$200)*V_DPT/DiasMes))</f>
        <v>1576853.13578562</v>
      </c>
      <c r="BJ214" s="34" t="n">
        <f aca="false">IF(57&gt;Fin,BI$214,IF(AND(BJ$8=1,ISNUMBER(Reales!BJ55)),IF(Reales!$C$55="PYG",IF(BJ$10&gt;0,N(Reales!BJ55)/BJ$10,0),N(Reales!BJ55)),BJ$197*IF(BJ$8=1,N(vg_DInv),V_DInv)/DiasMes+(BJ$197+BJ$198+BJ$199+BJ$200)*V_DPT/DiasMes))</f>
        <v>1576853.13578562</v>
      </c>
      <c r="BK214" s="34" t="n">
        <f aca="false">IF(58&gt;Fin,BJ$214,IF(AND(BK$8=1,ISNUMBER(Reales!BK55)),IF(Reales!$C$55="PYG",IF(BK$10&gt;0,N(Reales!BK55)/BK$10,0),N(Reales!BK55)),BK$197*IF(BK$8=1,N(vg_DInv),V_DInv)/DiasMes+(BK$197+BK$198+BK$199+BK$200)*V_DPT/DiasMes))</f>
        <v>1576853.13578562</v>
      </c>
      <c r="BL214" s="34" t="n">
        <f aca="false">IF(59&gt;Fin,BK$214,IF(AND(BL$8=1,ISNUMBER(Reales!BL55)),IF(Reales!$C$55="PYG",IF(BL$10&gt;0,N(Reales!BL55)/BL$10,0),N(Reales!BL55)),BL$197*IF(BL$8=1,N(vg_DInv),V_DInv)/DiasMes+(BL$197+BL$198+BL$199+BL$200)*V_DPT/DiasMes))</f>
        <v>1576853.13578562</v>
      </c>
      <c r="BM214" s="34" t="n">
        <f aca="false">IF(60&gt;Fin,BL$214,IF(AND(BM$8=1,ISNUMBER(Reales!BM55)),IF(Reales!$C$55="PYG",IF(BM$10&gt;0,N(Reales!BM55)/BM$10,0),N(Reales!BM55)),BM$197*IF(BM$8=1,N(vg_DInv),V_DInv)/DiasMes+(BM$197+BM$198+BM$199+BM$200)*V_DPT/DiasMes))</f>
        <v>1576853.13578562</v>
      </c>
      <c r="BN214" s="34" t="n">
        <f aca="false">IF(61&gt;Fin,BM$214,IF(AND(BN$8=1,ISNUMBER(Reales!BN55)),IF(Reales!$C$55="PYG",IF(BN$10&gt;0,N(Reales!BN55)/BN$10,0),N(Reales!BN55)),BN$197*IF(BN$8=1,N(vg_DInv),V_DInv)/DiasMes+(BN$197+BN$198+BN$199+BN$200)*V_DPT/DiasMes))</f>
        <v>1586671.38637398</v>
      </c>
      <c r="BO214" s="34" t="n">
        <f aca="false">IF(62&gt;Fin,BN$214,IF(AND(BO$8=1,ISNUMBER(Reales!BO55)),IF(Reales!$C$55="PYG",IF(BO$10&gt;0,N(Reales!BO55)/BO$10,0),N(Reales!BO55)),BO$197*IF(BO$8=1,N(vg_DInv),V_DInv)/DiasMes+(BO$197+BO$198+BO$199+BO$200)*V_DPT/DiasMes))</f>
        <v>1586671.38637398</v>
      </c>
      <c r="BP214" s="34" t="n">
        <f aca="false">IF(63&gt;Fin,BO$214,IF(AND(BP$8=1,ISNUMBER(Reales!BP55)),IF(Reales!$C$55="PYG",IF(BP$10&gt;0,N(Reales!BP55)/BP$10,0),N(Reales!BP55)),BP$197*IF(BP$8=1,N(vg_DInv),V_DInv)/DiasMes+(BP$197+BP$198+BP$199+BP$200)*V_DPT/DiasMes))</f>
        <v>1586671.38637398</v>
      </c>
      <c r="BQ214" s="34" t="n">
        <f aca="false">IF(64&gt;Fin,BP$214,IF(AND(BQ$8=1,ISNUMBER(Reales!BQ55)),IF(Reales!$C$55="PYG",IF(BQ$10&gt;0,N(Reales!BQ55)/BQ$10,0),N(Reales!BQ55)),BQ$197*IF(BQ$8=1,N(vg_DInv),V_DInv)/DiasMes+(BQ$197+BQ$198+BQ$199+BQ$200)*V_DPT/DiasMes))</f>
        <v>1586671.38637398</v>
      </c>
      <c r="BR214" s="34" t="n">
        <f aca="false">IF(65&gt;Fin,BQ$214,IF(AND(BR$8=1,ISNUMBER(Reales!BR55)),IF(Reales!$C$55="PYG",IF(BR$10&gt;0,N(Reales!BR55)/BR$10,0),N(Reales!BR55)),BR$197*IF(BR$8=1,N(vg_DInv),V_DInv)/DiasMes+(BR$197+BR$198+BR$199+BR$200)*V_DPT/DiasMes))</f>
        <v>1586671.38637398</v>
      </c>
      <c r="BS214" s="34" t="n">
        <f aca="false">IF(66&gt;Fin,BR$214,IF(AND(BS$8=1,ISNUMBER(Reales!BS55)),IF(Reales!$C$55="PYG",IF(BS$10&gt;0,N(Reales!BS55)/BS$10,0),N(Reales!BS55)),BS$197*IF(BS$8=1,N(vg_DInv),V_DInv)/DiasMes+(BS$197+BS$198+BS$199+BS$200)*V_DPT/DiasMes))</f>
        <v>1586671.38637398</v>
      </c>
      <c r="BT214" s="34" t="n">
        <f aca="false">IF(67&gt;Fin,BS$214,IF(AND(BT$8=1,ISNUMBER(Reales!BT55)),IF(Reales!$C$55="PYG",IF(BT$10&gt;0,N(Reales!BT55)/BT$10,0),N(Reales!BT55)),BT$197*IF(BT$8=1,N(vg_DInv),V_DInv)/DiasMes+(BT$197+BT$198+BT$199+BT$200)*V_DPT/DiasMes))</f>
        <v>1586671.38637398</v>
      </c>
      <c r="BU214" s="34" t="n">
        <f aca="false">IF(68&gt;Fin,BT$214,IF(AND(BU$8=1,ISNUMBER(Reales!BU55)),IF(Reales!$C$55="PYG",IF(BU$10&gt;0,N(Reales!BU55)/BU$10,0),N(Reales!BU55)),BU$197*IF(BU$8=1,N(vg_DInv),V_DInv)/DiasMes+(BU$197+BU$198+BU$199+BU$200)*V_DPT/DiasMes))</f>
        <v>1586671.38637398</v>
      </c>
      <c r="BV214" s="34" t="n">
        <f aca="false">IF(69&gt;Fin,BU$214,IF(AND(BV$8=1,ISNUMBER(Reales!BV55)),IF(Reales!$C$55="PYG",IF(BV$10&gt;0,N(Reales!BV55)/BV$10,0),N(Reales!BV55)),BV$197*IF(BV$8=1,N(vg_DInv),V_DInv)/DiasMes+(BV$197+BV$198+BV$199+BV$200)*V_DPT/DiasMes))</f>
        <v>1586671.38637398</v>
      </c>
      <c r="BW214" s="34" t="n">
        <f aca="false">IF(70&gt;Fin,BV$214,IF(AND(BW$8=1,ISNUMBER(Reales!BW55)),IF(Reales!$C$55="PYG",IF(BW$10&gt;0,N(Reales!BW55)/BW$10,0),N(Reales!BW55)),BW$197*IF(BW$8=1,N(vg_DInv),V_DInv)/DiasMes+(BW$197+BW$198+BW$199+BW$200)*V_DPT/DiasMes))</f>
        <v>1586671.38637398</v>
      </c>
      <c r="BX214" s="34" t="n">
        <f aca="false">IF(71&gt;Fin,BW$214,IF(AND(BX$8=1,ISNUMBER(Reales!BX55)),IF(Reales!$C$55="PYG",IF(BX$10&gt;0,N(Reales!BX55)/BX$10,0),N(Reales!BX55)),BX$197*IF(BX$8=1,N(vg_DInv),V_DInv)/DiasMes+(BX$197+BX$198+BX$199+BX$200)*V_DPT/DiasMes))</f>
        <v>1586671.38637398</v>
      </c>
      <c r="BY214" s="34" t="n">
        <f aca="false">IF(72&gt;Fin,BX$214,IF(AND(BY$8=1,ISNUMBER(Reales!BY55)),IF(Reales!$C$55="PYG",IF(BY$10&gt;0,N(Reales!BY55)/BY$10,0),N(Reales!BY55)),BY$197*IF(BY$8=1,N(vg_DInv),V_DInv)/DiasMes+(BY$197+BY$198+BY$199+BY$200)*V_DPT/DiasMes))</f>
        <v>1586671.38637398</v>
      </c>
      <c r="BZ214" s="34" t="n">
        <f aca="false">IF(73&gt;Fin,BY$214,IF(AND(BZ$8=1,ISNUMBER(Reales!BZ55)),IF(Reales!$C$55="PYG",IF(BZ$10&gt;0,N(Reales!BZ55)/BZ$10,0),N(Reales!BZ55)),BZ$197*IF(BZ$8=1,N(vg_DInv),V_DInv)/DiasMes+(BZ$197+BZ$198+BZ$199+BZ$200)*V_DPT/DiasMes))</f>
        <v>1596588.00448074</v>
      </c>
      <c r="CA214" s="34" t="n">
        <f aca="false">IF(74&gt;Fin,BZ$214,IF(AND(CA$8=1,ISNUMBER(Reales!CA55)),IF(Reales!$C$55="PYG",IF(CA$10&gt;0,N(Reales!CA55)/CA$10,0),N(Reales!CA55)),CA$197*IF(CA$8=1,N(vg_DInv),V_DInv)/DiasMes+(CA$197+CA$198+CA$199+CA$200)*V_DPT/DiasMes))</f>
        <v>1596588.00448074</v>
      </c>
      <c r="CB214" s="34" t="n">
        <f aca="false">IF(75&gt;Fin,CA$214,IF(AND(CB$8=1,ISNUMBER(Reales!CB55)),IF(Reales!$C$55="PYG",IF(CB$10&gt;0,N(Reales!CB55)/CB$10,0),N(Reales!CB55)),CB$197*IF(CB$8=1,N(vg_DInv),V_DInv)/DiasMes+(CB$197+CB$198+CB$199+CB$200)*V_DPT/DiasMes))</f>
        <v>1596588.00448074</v>
      </c>
      <c r="CC214" s="34" t="n">
        <f aca="false">IF(76&gt;Fin,CB$214,IF(AND(CC$8=1,ISNUMBER(Reales!CC55)),IF(Reales!$C$55="PYG",IF(CC$10&gt;0,N(Reales!CC55)/CC$10,0),N(Reales!CC55)),CC$197*IF(CC$8=1,N(vg_DInv),V_DInv)/DiasMes+(CC$197+CC$198+CC$199+CC$200)*V_DPT/DiasMes))</f>
        <v>1596588.00448074</v>
      </c>
      <c r="CD214" s="34" t="n">
        <f aca="false">IF(77&gt;Fin,CC$214,IF(AND(CD$8=1,ISNUMBER(Reales!CD55)),IF(Reales!$C$55="PYG",IF(CD$10&gt;0,N(Reales!CD55)/CD$10,0),N(Reales!CD55)),CD$197*IF(CD$8=1,N(vg_DInv),V_DInv)/DiasMes+(CD$197+CD$198+CD$199+CD$200)*V_DPT/DiasMes))</f>
        <v>1596588.00448074</v>
      </c>
      <c r="CE214" s="34" t="n">
        <f aca="false">IF(78&gt;Fin,CD$214,IF(AND(CE$8=1,ISNUMBER(Reales!CE55)),IF(Reales!$C$55="PYG",IF(CE$10&gt;0,N(Reales!CE55)/CE$10,0),N(Reales!CE55)),CE$197*IF(CE$8=1,N(vg_DInv),V_DInv)/DiasMes+(CE$197+CE$198+CE$199+CE$200)*V_DPT/DiasMes))</f>
        <v>1596588.00448074</v>
      </c>
      <c r="CF214" s="34" t="n">
        <f aca="false">IF(79&gt;Fin,CE$214,IF(AND(CF$8=1,ISNUMBER(Reales!CF55)),IF(Reales!$C$55="PYG",IF(CF$10&gt;0,N(Reales!CF55)/CF$10,0),N(Reales!CF55)),CF$197*IF(CF$8=1,N(vg_DInv),V_DInv)/DiasMes+(CF$197+CF$198+CF$199+CF$200)*V_DPT/DiasMes))</f>
        <v>1596588.00448074</v>
      </c>
      <c r="CG214" s="34" t="n">
        <f aca="false">IF(80&gt;Fin,CF$214,IF(AND(CG$8=1,ISNUMBER(Reales!CG55)),IF(Reales!$C$55="PYG",IF(CG$10&gt;0,N(Reales!CG55)/CG$10,0),N(Reales!CG55)),CG$197*IF(CG$8=1,N(vg_DInv),V_DInv)/DiasMes+(CG$197+CG$198+CG$199+CG$200)*V_DPT/DiasMes))</f>
        <v>1596588.00448074</v>
      </c>
      <c r="CH214" s="34" t="n">
        <f aca="false">IF(81&gt;Fin,CG$214,IF(AND(CH$8=1,ISNUMBER(Reales!CH55)),IF(Reales!$C$55="PYG",IF(CH$10&gt;0,N(Reales!CH55)/CH$10,0),N(Reales!CH55)),CH$197*IF(CH$8=1,N(vg_DInv),V_DInv)/DiasMes+(CH$197+CH$198+CH$199+CH$200)*V_DPT/DiasMes))</f>
        <v>1596588.00448074</v>
      </c>
      <c r="CI214" s="34" t="n">
        <f aca="false">IF(82&gt;Fin,CH$214,IF(AND(CI$8=1,ISNUMBER(Reales!CI55)),IF(Reales!$C$55="PYG",IF(CI$10&gt;0,N(Reales!CI55)/CI$10,0),N(Reales!CI55)),CI$197*IF(CI$8=1,N(vg_DInv),V_DInv)/DiasMes+(CI$197+CI$198+CI$199+CI$200)*V_DPT/DiasMes))</f>
        <v>1596588.00448074</v>
      </c>
      <c r="CJ214" s="34" t="n">
        <f aca="false">IF(83&gt;Fin,CI$214,IF(AND(CJ$8=1,ISNUMBER(Reales!CJ55)),IF(Reales!$C$55="PYG",IF(CJ$10&gt;0,N(Reales!CJ55)/CJ$10,0),N(Reales!CJ55)),CJ$197*IF(CJ$8=1,N(vg_DInv),V_DInv)/DiasMes+(CJ$197+CJ$198+CJ$199+CJ$200)*V_DPT/DiasMes))</f>
        <v>1596588.00448074</v>
      </c>
      <c r="CK214" s="34" t="n">
        <f aca="false">IF(84&gt;Fin,CJ$214,IF(AND(CK$8=1,ISNUMBER(Reales!CK55)),IF(Reales!$C$55="PYG",IF(CK$10&gt;0,N(Reales!CK55)/CK$10,0),N(Reales!CK55)),CK$197*IF(CK$8=1,N(vg_DInv),V_DInv)/DiasMes+(CK$197+CK$198+CK$199+CK$200)*V_DPT/DiasMes))</f>
        <v>1596588.00448074</v>
      </c>
      <c r="CL214" s="34" t="n">
        <f aca="false">IF(85&gt;Fin,CK$214,IF(AND(CL$8=1,ISNUMBER(Reales!CL55)),IF(Reales!$C$55="PYG",IF(CL$10&gt;0,N(Reales!CL55)/CL$10,0),N(Reales!CL55)),CL$197*IF(CL$8=1,N(vg_DInv),V_DInv)/DiasMes+(CL$197+CL$198+CL$199+CL$200)*V_DPT/DiasMes))</f>
        <v>1606603.97748134</v>
      </c>
      <c r="CM214" s="34" t="n">
        <f aca="false">IF(86&gt;Fin,CL$214,IF(AND(CM$8=1,ISNUMBER(Reales!CM55)),IF(Reales!$C$55="PYG",IF(CM$10&gt;0,N(Reales!CM55)/CM$10,0),N(Reales!CM55)),CM$197*IF(CM$8=1,N(vg_DInv),V_DInv)/DiasMes+(CM$197+CM$198+CM$199+CM$200)*V_DPT/DiasMes))</f>
        <v>1606603.97748134</v>
      </c>
      <c r="CN214" s="34" t="n">
        <f aca="false">IF(87&gt;Fin,CM$214,IF(AND(CN$8=1,ISNUMBER(Reales!CN55)),IF(Reales!$C$55="PYG",IF(CN$10&gt;0,N(Reales!CN55)/CN$10,0),N(Reales!CN55)),CN$197*IF(CN$8=1,N(vg_DInv),V_DInv)/DiasMes+(CN$197+CN$198+CN$199+CN$200)*V_DPT/DiasMes))</f>
        <v>1606603.97748134</v>
      </c>
      <c r="CO214" s="34" t="n">
        <f aca="false">IF(88&gt;Fin,CN$214,IF(AND(CO$8=1,ISNUMBER(Reales!CO55)),IF(Reales!$C$55="PYG",IF(CO$10&gt;0,N(Reales!CO55)/CO$10,0),N(Reales!CO55)),CO$197*IF(CO$8=1,N(vg_DInv),V_DInv)/DiasMes+(CO$197+CO$198+CO$199+CO$200)*V_DPT/DiasMes))</f>
        <v>1606603.97748134</v>
      </c>
      <c r="CP214" s="34" t="n">
        <f aca="false">IF(89&gt;Fin,CO$214,IF(AND(CP$8=1,ISNUMBER(Reales!CP55)),IF(Reales!$C$55="PYG",IF(CP$10&gt;0,N(Reales!CP55)/CP$10,0),N(Reales!CP55)),CP$197*IF(CP$8=1,N(vg_DInv),V_DInv)/DiasMes+(CP$197+CP$198+CP$199+CP$200)*V_DPT/DiasMes))</f>
        <v>1606603.97748134</v>
      </c>
      <c r="CQ214" s="34" t="n">
        <f aca="false">IF(90&gt;Fin,CP$214,IF(AND(CQ$8=1,ISNUMBER(Reales!CQ55)),IF(Reales!$C$55="PYG",IF(CQ$10&gt;0,N(Reales!CQ55)/CQ$10,0),N(Reales!CQ55)),CQ$197*IF(CQ$8=1,N(vg_DInv),V_DInv)/DiasMes+(CQ$197+CQ$198+CQ$199+CQ$200)*V_DPT/DiasMes))</f>
        <v>1606603.97748134</v>
      </c>
      <c r="CR214" s="34" t="n">
        <f aca="false">IF(91&gt;Fin,CQ$214,IF(AND(CR$8=1,ISNUMBER(Reales!CR55)),IF(Reales!$C$55="PYG",IF(CR$10&gt;0,N(Reales!CR55)/CR$10,0),N(Reales!CR55)),CR$197*IF(CR$8=1,N(vg_DInv),V_DInv)/DiasMes+(CR$197+CR$198+CR$199+CR$200)*V_DPT/DiasMes))</f>
        <v>1606603.97748134</v>
      </c>
      <c r="CS214" s="34" t="n">
        <f aca="false">IF(92&gt;Fin,CR$214,IF(AND(CS$8=1,ISNUMBER(Reales!CS55)),IF(Reales!$C$55="PYG",IF(CS$10&gt;0,N(Reales!CS55)/CS$10,0),N(Reales!CS55)),CS$197*IF(CS$8=1,N(vg_DInv),V_DInv)/DiasMes+(CS$197+CS$198+CS$199+CS$200)*V_DPT/DiasMes))</f>
        <v>1606603.97748134</v>
      </c>
      <c r="CT214" s="34" t="n">
        <f aca="false">IF(93&gt;Fin,CS$214,IF(AND(CT$8=1,ISNUMBER(Reales!CT55)),IF(Reales!$C$55="PYG",IF(CT$10&gt;0,N(Reales!CT55)/CT$10,0),N(Reales!CT55)),CT$197*IF(CT$8=1,N(vg_DInv),V_DInv)/DiasMes+(CT$197+CT$198+CT$199+CT$200)*V_DPT/DiasMes))</f>
        <v>1606603.97748134</v>
      </c>
      <c r="CU214" s="34" t="n">
        <f aca="false">IF(94&gt;Fin,CT$214,IF(AND(CU$8=1,ISNUMBER(Reales!CU55)),IF(Reales!$C$55="PYG",IF(CU$10&gt;0,N(Reales!CU55)/CU$10,0),N(Reales!CU55)),CU$197*IF(CU$8=1,N(vg_DInv),V_DInv)/DiasMes+(CU$197+CU$198+CU$199+CU$200)*V_DPT/DiasMes))</f>
        <v>1606603.97748134</v>
      </c>
      <c r="CV214" s="34" t="n">
        <f aca="false">IF(95&gt;Fin,CU$214,IF(AND(CV$8=1,ISNUMBER(Reales!CV55)),IF(Reales!$C$55="PYG",IF(CV$10&gt;0,N(Reales!CV55)/CV$10,0),N(Reales!CV55)),CV$197*IF(CV$8=1,N(vg_DInv),V_DInv)/DiasMes+(CV$197+CV$198+CV$199+CV$200)*V_DPT/DiasMes))</f>
        <v>1606603.97748134</v>
      </c>
      <c r="CW214" s="34" t="n">
        <f aca="false">IF(96&gt;Fin,CV$214,IF(AND(CW$8=1,ISNUMBER(Reales!CW55)),IF(Reales!$C$55="PYG",IF(CW$10&gt;0,N(Reales!CW55)/CW$10,0),N(Reales!CW55)),CW$197*IF(CW$8=1,N(vg_DInv),V_DInv)/DiasMes+(CW$197+CW$198+CW$199+CW$200)*V_DPT/DiasMes))</f>
        <v>1606603.97748134</v>
      </c>
      <c r="CX214" s="34" t="n">
        <f aca="false">IF(97&gt;Fin,CW$214,IF(AND(CX$8=1,ISNUMBER(Reales!CX55)),IF(Reales!$C$55="PYG",IF(CX$10&gt;0,N(Reales!CX55)/CX$10,0),N(Reales!CX55)),CX$197*IF(CX$8=1,N(vg_DInv),V_DInv)/DiasMes+(CX$197+CX$198+CX$199+CX$200)*V_DPT/DiasMes))</f>
        <v>1616720.30269897</v>
      </c>
      <c r="CY214" s="34" t="n">
        <f aca="false">IF(98&gt;Fin,CX$214,IF(AND(CY$8=1,ISNUMBER(Reales!CY55)),IF(Reales!$C$55="PYG",IF(CY$10&gt;0,N(Reales!CY55)/CY$10,0),N(Reales!CY55)),CY$197*IF(CY$8=1,N(vg_DInv),V_DInv)/DiasMes+(CY$197+CY$198+CY$199+CY$200)*V_DPT/DiasMes))</f>
        <v>1616720.30269897</v>
      </c>
      <c r="CZ214" s="34" t="n">
        <f aca="false">IF(99&gt;Fin,CY$214,IF(AND(CZ$8=1,ISNUMBER(Reales!CZ55)),IF(Reales!$C$55="PYG",IF(CZ$10&gt;0,N(Reales!CZ55)/CZ$10,0),N(Reales!CZ55)),CZ$197*IF(CZ$8=1,N(vg_DInv),V_DInv)/DiasMes+(CZ$197+CZ$198+CZ$199+CZ$200)*V_DPT/DiasMes))</f>
        <v>1616720.30269897</v>
      </c>
      <c r="DA214" s="34" t="n">
        <f aca="false">IF(100&gt;Fin,CZ$214,IF(AND(DA$8=1,ISNUMBER(Reales!DA55)),IF(Reales!$C$55="PYG",IF(DA$10&gt;0,N(Reales!DA55)/DA$10,0),N(Reales!DA55)),DA$197*IF(DA$8=1,N(vg_DInv),V_DInv)/DiasMes+(DA$197+DA$198+DA$199+DA$200)*V_DPT/DiasMes))</f>
        <v>1616720.30269897</v>
      </c>
      <c r="DB214" s="34" t="n">
        <f aca="false">IF(101&gt;Fin,DA$214,IF(AND(DB$8=1,ISNUMBER(Reales!DB55)),IF(Reales!$C$55="PYG",IF(DB$10&gt;0,N(Reales!DB55)/DB$10,0),N(Reales!DB55)),DB$197*IF(DB$8=1,N(vg_DInv),V_DInv)/DiasMes+(DB$197+DB$198+DB$199+DB$200)*V_DPT/DiasMes))</f>
        <v>1616720.30269897</v>
      </c>
      <c r="DC214" s="34" t="n">
        <f aca="false">IF(102&gt;Fin,DB$214,IF(AND(DC$8=1,ISNUMBER(Reales!DC55)),IF(Reales!$C$55="PYG",IF(DC$10&gt;0,N(Reales!DC55)/DC$10,0),N(Reales!DC55)),DC$197*IF(DC$8=1,N(vg_DInv),V_DInv)/DiasMes+(DC$197+DC$198+DC$199+DC$200)*V_DPT/DiasMes))</f>
        <v>1616720.30269897</v>
      </c>
      <c r="DD214" s="34" t="n">
        <f aca="false">IF(103&gt;Fin,DC$214,IF(AND(DD$8=1,ISNUMBER(Reales!DD55)),IF(Reales!$C$55="PYG",IF(DD$10&gt;0,N(Reales!DD55)/DD$10,0),N(Reales!DD55)),DD$197*IF(DD$8=1,N(vg_DInv),V_DInv)/DiasMes+(DD$197+DD$198+DD$199+DD$200)*V_DPT/DiasMes))</f>
        <v>1616720.30269897</v>
      </c>
      <c r="DE214" s="34" t="n">
        <f aca="false">IF(104&gt;Fin,DD$214,IF(AND(DE$8=1,ISNUMBER(Reales!DE55)),IF(Reales!$C$55="PYG",IF(DE$10&gt;0,N(Reales!DE55)/DE$10,0),N(Reales!DE55)),DE$197*IF(DE$8=1,N(vg_DInv),V_DInv)/DiasMes+(DE$197+DE$198+DE$199+DE$200)*V_DPT/DiasMes))</f>
        <v>1616720.30269897</v>
      </c>
      <c r="DF214" s="34" t="n">
        <f aca="false">IF(105&gt;Fin,DE$214,IF(AND(DF$8=1,ISNUMBER(Reales!DF55)),IF(Reales!$C$55="PYG",IF(DF$10&gt;0,N(Reales!DF55)/DF$10,0),N(Reales!DF55)),DF$197*IF(DF$8=1,N(vg_DInv),V_DInv)/DiasMes+(DF$197+DF$198+DF$199+DF$200)*V_DPT/DiasMes))</f>
        <v>1616720.30269897</v>
      </c>
      <c r="DG214" s="34" t="n">
        <f aca="false">IF(106&gt;Fin,DF$214,IF(AND(DG$8=1,ISNUMBER(Reales!DG55)),IF(Reales!$C$55="PYG",IF(DG$10&gt;0,N(Reales!DG55)/DG$10,0),N(Reales!DG55)),DG$197*IF(DG$8=1,N(vg_DInv),V_DInv)/DiasMes+(DG$197+DG$198+DG$199+DG$200)*V_DPT/DiasMes))</f>
        <v>1616720.30269897</v>
      </c>
      <c r="DH214" s="34" t="n">
        <f aca="false">IF(107&gt;Fin,DG$214,IF(AND(DH$8=1,ISNUMBER(Reales!DH55)),IF(Reales!$C$55="PYG",IF(DH$10&gt;0,N(Reales!DH55)/DH$10,0),N(Reales!DH55)),DH$197*IF(DH$8=1,N(vg_DInv),V_DInv)/DiasMes+(DH$197+DH$198+DH$199+DH$200)*V_DPT/DiasMes))</f>
        <v>1616720.30269897</v>
      </c>
      <c r="DI214" s="34" t="n">
        <f aca="false">IF(108&gt;Fin,DH$214,IF(AND(DI$8=1,ISNUMBER(Reales!DI55)),IF(Reales!$C$55="PYG",IF(DI$10&gt;0,N(Reales!DI55)/DI$10,0),N(Reales!DI55)),DI$197*IF(DI$8=1,N(vg_DInv),V_DInv)/DiasMes+(DI$197+DI$198+DI$199+DI$200)*V_DPT/DiasMes))</f>
        <v>1616720.30269897</v>
      </c>
      <c r="DJ214" s="34" t="n">
        <f aca="false">IF(109&gt;Fin,DI$214,IF(AND(DJ$8=1,ISNUMBER(Reales!DJ55)),IF(Reales!$C$55="PYG",IF(DJ$10&gt;0,N(Reales!DJ55)/DJ$10,0),N(Reales!DJ55)),DJ$197*IF(DJ$8=1,N(vg_DInv),V_DInv)/DiasMes+(DJ$197+DJ$198+DJ$199+DJ$200)*V_DPT/DiasMes))</f>
        <v>1626937.98750554</v>
      </c>
      <c r="DK214" s="34" t="n">
        <f aca="false">IF(110&gt;Fin,DJ$214,IF(AND(DK$8=1,ISNUMBER(Reales!DK55)),IF(Reales!$C$55="PYG",IF(DK$10&gt;0,N(Reales!DK55)/DK$10,0),N(Reales!DK55)),DK$197*IF(DK$8=1,N(vg_DInv),V_DInv)/DiasMes+(DK$197+DK$198+DK$199+DK$200)*V_DPT/DiasMes))</f>
        <v>1626937.98750554</v>
      </c>
      <c r="DL214" s="34" t="n">
        <f aca="false">IF(111&gt;Fin,DK$214,IF(AND(DL$8=1,ISNUMBER(Reales!DL55)),IF(Reales!$C$55="PYG",IF(DL$10&gt;0,N(Reales!DL55)/DL$10,0),N(Reales!DL55)),DL$197*IF(DL$8=1,N(vg_DInv),V_DInv)/DiasMes+(DL$197+DL$198+DL$199+DL$200)*V_DPT/DiasMes))</f>
        <v>1626937.98750554</v>
      </c>
      <c r="DM214" s="34" t="n">
        <f aca="false">IF(112&gt;Fin,DL$214,IF(AND(DM$8=1,ISNUMBER(Reales!DM55)),IF(Reales!$C$55="PYG",IF(DM$10&gt;0,N(Reales!DM55)/DM$10,0),N(Reales!DM55)),DM$197*IF(DM$8=1,N(vg_DInv),V_DInv)/DiasMes+(DM$197+DM$198+DM$199+DM$200)*V_DPT/DiasMes))</f>
        <v>1626937.98750554</v>
      </c>
      <c r="DN214" s="34" t="n">
        <f aca="false">IF(113&gt;Fin,DM$214,IF(AND(DN$8=1,ISNUMBER(Reales!DN55)),IF(Reales!$C$55="PYG",IF(DN$10&gt;0,N(Reales!DN55)/DN$10,0),N(Reales!DN55)),DN$197*IF(DN$8=1,N(vg_DInv),V_DInv)/DiasMes+(DN$197+DN$198+DN$199+DN$200)*V_DPT/DiasMes))</f>
        <v>1626937.98750554</v>
      </c>
      <c r="DO214" s="34" t="n">
        <f aca="false">IF(114&gt;Fin,DN$214,IF(AND(DO$8=1,ISNUMBER(Reales!DO55)),IF(Reales!$C$55="PYG",IF(DO$10&gt;0,N(Reales!DO55)/DO$10,0),N(Reales!DO55)),DO$197*IF(DO$8=1,N(vg_DInv),V_DInv)/DiasMes+(DO$197+DO$198+DO$199+DO$200)*V_DPT/DiasMes))</f>
        <v>1626937.98750554</v>
      </c>
      <c r="DP214" s="34" t="n">
        <f aca="false">IF(115&gt;Fin,DO$214,IF(AND(DP$8=1,ISNUMBER(Reales!DP55)),IF(Reales!$C$55="PYG",IF(DP$10&gt;0,N(Reales!DP55)/DP$10,0),N(Reales!DP55)),DP$197*IF(DP$8=1,N(vg_DInv),V_DInv)/DiasMes+(DP$197+DP$198+DP$199+DP$200)*V_DPT/DiasMes))</f>
        <v>1626937.98750554</v>
      </c>
      <c r="DQ214" s="34" t="n">
        <f aca="false">IF(116&gt;Fin,DP$214,IF(AND(DQ$8=1,ISNUMBER(Reales!DQ55)),IF(Reales!$C$55="PYG",IF(DQ$10&gt;0,N(Reales!DQ55)/DQ$10,0),N(Reales!DQ55)),DQ$197*IF(DQ$8=1,N(vg_DInv),V_DInv)/DiasMes+(DQ$197+DQ$198+DQ$199+DQ$200)*V_DPT/DiasMes))</f>
        <v>1626937.98750554</v>
      </c>
      <c r="DR214" s="34" t="n">
        <f aca="false">IF(117&gt;Fin,DQ$214,IF(AND(DR$8=1,ISNUMBER(Reales!DR55)),IF(Reales!$C$55="PYG",IF(DR$10&gt;0,N(Reales!DR55)/DR$10,0),N(Reales!DR55)),DR$197*IF(DR$8=1,N(vg_DInv),V_DInv)/DiasMes+(DR$197+DR$198+DR$199+DR$200)*V_DPT/DiasMes))</f>
        <v>1626937.98750554</v>
      </c>
      <c r="DS214" s="34" t="n">
        <f aca="false">IF(118&gt;Fin,DR$214,IF(AND(DS$8=1,ISNUMBER(Reales!DS55)),IF(Reales!$C$55="PYG",IF(DS$10&gt;0,N(Reales!DS55)/DS$10,0),N(Reales!DS55)),DS$197*IF(DS$8=1,N(vg_DInv),V_DInv)/DiasMes+(DS$197+DS$198+DS$199+DS$200)*V_DPT/DiasMes))</f>
        <v>1626937.98750554</v>
      </c>
      <c r="DT214" s="34" t="n">
        <f aca="false">IF(119&gt;Fin,DS$214,IF(AND(DT$8=1,ISNUMBER(Reales!DT55)),IF(Reales!$C$55="PYG",IF(DT$10&gt;0,N(Reales!DT55)/DT$10,0),N(Reales!DT55)),DT$197*IF(DT$8=1,N(vg_DInv),V_DInv)/DiasMes+(DT$197+DT$198+DT$199+DT$200)*V_DPT/DiasMes))</f>
        <v>1626937.98750554</v>
      </c>
      <c r="DU214" s="34" t="n">
        <f aca="false">IF(120&gt;Fin,DT$214,IF(AND(DU$8=1,ISNUMBER(Reales!DU55)),IF(Reales!$C$55="PYG",IF(DU$10&gt;0,N(Reales!DU55)/DU$10,0),N(Reales!DU55)),DU$197*IF(DU$8=1,N(vg_DInv),V_DInv)/DiasMes+(DU$197+DU$198+DU$199+DU$200)*V_DPT/DiasMes))</f>
        <v>1626937.98750554</v>
      </c>
      <c r="DV214" s="34" t="n">
        <f aca="false">IF(121&gt;Fin,DU$214,IF(AND(DV$8=1,ISNUMBER(Reales!DV55)),IF(Reales!$C$55="PYG",IF(DV$10&gt;0,N(Reales!DV55)/DV$10,0),N(Reales!DV55)),DV$197*IF(DV$8=1,N(vg_DInv),V_DInv)/DiasMes+(DV$197+DV$198+DV$199+DV$200)*V_DPT/DiasMes))</f>
        <v>1626937.98750554</v>
      </c>
      <c r="DW214" s="34" t="n">
        <f aca="false">IF(122&gt;Fin,DV$214,IF(AND(DW$8=1,ISNUMBER(Reales!DW55)),IF(Reales!$C$55="PYG",IF(DW$10&gt;0,N(Reales!DW55)/DW$10,0),N(Reales!DW55)),DW$197*IF(DW$8=1,N(vg_DInv),V_DInv)/DiasMes+(DW$197+DW$198+DW$199+DW$200)*V_DPT/DiasMes))</f>
        <v>1626937.98750554</v>
      </c>
      <c r="DX214" s="34" t="n">
        <f aca="false">IF(123&gt;Fin,DW$214,IF(AND(DX$8=1,ISNUMBER(Reales!DX55)),IF(Reales!$C$55="PYG",IF(DX$10&gt;0,N(Reales!DX55)/DX$10,0),N(Reales!DX55)),DX$197*IF(DX$8=1,N(vg_DInv),V_DInv)/DiasMes+(DX$197+DX$198+DX$199+DX$200)*V_DPT/DiasMes))</f>
        <v>1626937.98750554</v>
      </c>
      <c r="DY214" s="34" t="n">
        <f aca="false">IF(124&gt;Fin,DX$214,IF(AND(DY$8=1,ISNUMBER(Reales!DY55)),IF(Reales!$C$55="PYG",IF(DY$10&gt;0,N(Reales!DY55)/DY$10,0),N(Reales!DY55)),DY$197*IF(DY$8=1,N(vg_DInv),V_DInv)/DiasMes+(DY$197+DY$198+DY$199+DY$200)*V_DPT/DiasMes))</f>
        <v>1626937.98750554</v>
      </c>
      <c r="DZ214" s="34" t="n">
        <f aca="false">IF(125&gt;Fin,DY$214,IF(AND(DZ$8=1,ISNUMBER(Reales!DZ55)),IF(Reales!$C$55="PYG",IF(DZ$10&gt;0,N(Reales!DZ55)/DZ$10,0),N(Reales!DZ55)),DZ$197*IF(DZ$8=1,N(vg_DInv),V_DInv)/DiasMes+(DZ$197+DZ$198+DZ$199+DZ$200)*V_DPT/DiasMes))</f>
        <v>1626937.98750554</v>
      </c>
      <c r="EA214" s="34" t="n">
        <f aca="false">IF(126&gt;Fin,DZ$214,IF(AND(EA$8=1,ISNUMBER(Reales!EA55)),IF(Reales!$C$55="PYG",IF(EA$10&gt;0,N(Reales!EA55)/EA$10,0),N(Reales!EA55)),EA$197*IF(EA$8=1,N(vg_DInv),V_DInv)/DiasMes+(EA$197+EA$198+EA$199+EA$200)*V_DPT/DiasMes))</f>
        <v>1626937.98750554</v>
      </c>
      <c r="EB214" s="34" t="n">
        <f aca="false">IF(127&gt;Fin,EA$214,IF(AND(EB$8=1,ISNUMBER(Reales!EB55)),IF(Reales!$C$55="PYG",IF(EB$10&gt;0,N(Reales!EB55)/EB$10,0),N(Reales!EB55)),EB$197*IF(EB$8=1,N(vg_DInv),V_DInv)/DiasMes+(EB$197+EB$198+EB$199+EB$200)*V_DPT/DiasMes))</f>
        <v>1626937.98750554</v>
      </c>
      <c r="EC214" s="34" t="n">
        <f aca="false">IF(128&gt;Fin,EB$214,IF(AND(EC$8=1,ISNUMBER(Reales!EC55)),IF(Reales!$C$55="PYG",IF(EC$10&gt;0,N(Reales!EC55)/EC$10,0),N(Reales!EC55)),EC$197*IF(EC$8=1,N(vg_DInv),V_DInv)/DiasMes+(EC$197+EC$198+EC$199+EC$200)*V_DPT/DiasMes))</f>
        <v>1626937.98750554</v>
      </c>
      <c r="ED214" s="34" t="n">
        <f aca="false">IF(129&gt;Fin,EC$214,IF(AND(ED$8=1,ISNUMBER(Reales!ED55)),IF(Reales!$C$55="PYG",IF(ED$10&gt;0,N(Reales!ED55)/ED$10,0),N(Reales!ED55)),ED$197*IF(ED$8=1,N(vg_DInv),V_DInv)/DiasMes+(ED$197+ED$198+ED$199+ED$200)*V_DPT/DiasMes))</f>
        <v>1626937.98750554</v>
      </c>
      <c r="EE214" s="34" t="n">
        <f aca="false">IF(130&gt;Fin,ED$214,IF(AND(EE$8=1,ISNUMBER(Reales!EE55)),IF(Reales!$C$55="PYG",IF(EE$10&gt;0,N(Reales!EE55)/EE$10,0),N(Reales!EE55)),EE$197*IF(EE$8=1,N(vg_DInv),V_DInv)/DiasMes+(EE$197+EE$198+EE$199+EE$200)*V_DPT/DiasMes))</f>
        <v>1626937.98750554</v>
      </c>
      <c r="EF214" s="34" t="n">
        <f aca="false">IF(131&gt;Fin,EE$214,IF(AND(EF$8=1,ISNUMBER(Reales!EF55)),IF(Reales!$C$55="PYG",IF(EF$10&gt;0,N(Reales!EF55)/EF$10,0),N(Reales!EF55)),EF$197*IF(EF$8=1,N(vg_DInv),V_DInv)/DiasMes+(EF$197+EF$198+EF$199+EF$200)*V_DPT/DiasMes))</f>
        <v>1626937.98750554</v>
      </c>
      <c r="EG214" s="34" t="n">
        <f aca="false">IF(132&gt;Fin,EF$214,IF(AND(EG$8=1,ISNUMBER(Reales!EG55)),IF(Reales!$C$55="PYG",IF(EG$10&gt;0,N(Reales!EG55)/EG$10,0),N(Reales!EG55)),EG$197*IF(EG$8=1,N(vg_DInv),V_DInv)/DiasMes+(EG$197+EG$198+EG$199+EG$200)*V_DPT/DiasMes))</f>
        <v>1626937.98750554</v>
      </c>
      <c r="EH214" s="34" t="n">
        <f aca="false">IF(133&gt;Fin,EG$214,IF(AND(EH$8=1,ISNUMBER(Reales!EH55)),IF(Reales!$C$55="PYG",IF(EH$10&gt;0,N(Reales!EH55)/EH$10,0),N(Reales!EH55)),EH$197*IF(EH$8=1,N(vg_DInv),V_DInv)/DiasMes+(EH$197+EH$198+EH$199+EH$200)*V_DPT/DiasMes))</f>
        <v>1626937.98750554</v>
      </c>
      <c r="EI214" s="34" t="n">
        <f aca="false">IF(134&gt;Fin,EH$214,IF(AND(EI$8=1,ISNUMBER(Reales!EI55)),IF(Reales!$C$55="PYG",IF(EI$10&gt;0,N(Reales!EI55)/EI$10,0),N(Reales!EI55)),EI$197*IF(EI$8=1,N(vg_DInv),V_DInv)/DiasMes+(EI$197+EI$198+EI$199+EI$200)*V_DPT/DiasMes))</f>
        <v>1626937.98750554</v>
      </c>
      <c r="EJ214" s="34" t="n">
        <f aca="false">IF(135&gt;Fin,EI$214,IF(AND(EJ$8=1,ISNUMBER(Reales!EJ55)),IF(Reales!$C$55="PYG",IF(EJ$10&gt;0,N(Reales!EJ55)/EJ$10,0),N(Reales!EJ55)),EJ$197*IF(EJ$8=1,N(vg_DInv),V_DInv)/DiasMes+(EJ$197+EJ$198+EJ$199+EJ$200)*V_DPT/DiasMes))</f>
        <v>1626937.98750554</v>
      </c>
      <c r="EK214" s="34" t="n">
        <f aca="false">IF(136&gt;Fin,EJ$214,IF(AND(EK$8=1,ISNUMBER(Reales!EK55)),IF(Reales!$C$55="PYG",IF(EK$10&gt;0,N(Reales!EK55)/EK$10,0),N(Reales!EK55)),EK$197*IF(EK$8=1,N(vg_DInv),V_DInv)/DiasMes+(EK$197+EK$198+EK$199+EK$200)*V_DPT/DiasMes))</f>
        <v>1626937.98750554</v>
      </c>
      <c r="EL214" s="34" t="n">
        <f aca="false">IF(137&gt;Fin,EK$214,IF(AND(EL$8=1,ISNUMBER(Reales!EL55)),IF(Reales!$C$55="PYG",IF(EL$10&gt;0,N(Reales!EL55)/EL$10,0),N(Reales!EL55)),EL$197*IF(EL$8=1,N(vg_DInv),V_DInv)/DiasMes+(EL$197+EL$198+EL$199+EL$200)*V_DPT/DiasMes))</f>
        <v>1626937.98750554</v>
      </c>
      <c r="EM214" s="34" t="n">
        <f aca="false">IF(138&gt;Fin,EL$214,IF(AND(EM$8=1,ISNUMBER(Reales!EM55)),IF(Reales!$C$55="PYG",IF(EM$10&gt;0,N(Reales!EM55)/EM$10,0),N(Reales!EM55)),EM$197*IF(EM$8=1,N(vg_DInv),V_DInv)/DiasMes+(EM$197+EM$198+EM$199+EM$200)*V_DPT/DiasMes))</f>
        <v>1626937.98750554</v>
      </c>
      <c r="EN214" s="34" t="n">
        <f aca="false">IF(139&gt;Fin,EM$214,IF(AND(EN$8=1,ISNUMBER(Reales!EN55)),IF(Reales!$C$55="PYG",IF(EN$10&gt;0,N(Reales!EN55)/EN$10,0),N(Reales!EN55)),EN$197*IF(EN$8=1,N(vg_DInv),V_DInv)/DiasMes+(EN$197+EN$198+EN$199+EN$200)*V_DPT/DiasMes))</f>
        <v>1626937.98750554</v>
      </c>
      <c r="EO214" s="34" t="n">
        <f aca="false">IF(140&gt;Fin,EN$214,IF(AND(EO$8=1,ISNUMBER(Reales!EO55)),IF(Reales!$C$55="PYG",IF(EO$10&gt;0,N(Reales!EO55)/EO$10,0),N(Reales!EO55)),EO$197*IF(EO$8=1,N(vg_DInv),V_DInv)/DiasMes+(EO$197+EO$198+EO$199+EO$200)*V_DPT/DiasMes))</f>
        <v>1626937.98750554</v>
      </c>
      <c r="EP214" s="34" t="n">
        <f aca="false">IF(141&gt;Fin,EO$214,IF(AND(EP$8=1,ISNUMBER(Reales!EP55)),IF(Reales!$C$55="PYG",IF(EP$10&gt;0,N(Reales!EP55)/EP$10,0),N(Reales!EP55)),EP$197*IF(EP$8=1,N(vg_DInv),V_DInv)/DiasMes+(EP$197+EP$198+EP$199+EP$200)*V_DPT/DiasMes))</f>
        <v>1626937.98750554</v>
      </c>
      <c r="EQ214" s="34" t="n">
        <f aca="false">IF(142&gt;Fin,EP$214,IF(AND(EQ$8=1,ISNUMBER(Reales!EQ55)),IF(Reales!$C$55="PYG",IF(EQ$10&gt;0,N(Reales!EQ55)/EQ$10,0),N(Reales!EQ55)),EQ$197*IF(EQ$8=1,N(vg_DInv),V_DInv)/DiasMes+(EQ$197+EQ$198+EQ$199+EQ$200)*V_DPT/DiasMes))</f>
        <v>1626937.98750554</v>
      </c>
      <c r="ER214" s="34" t="n">
        <f aca="false">IF(143&gt;Fin,EQ$214,IF(AND(ER$8=1,ISNUMBER(Reales!ER55)),IF(Reales!$C$55="PYG",IF(ER$10&gt;0,N(Reales!ER55)/ER$10,0),N(Reales!ER55)),ER$197*IF(ER$8=1,N(vg_DInv),V_DInv)/DiasMes+(ER$197+ER$198+ER$199+ER$200)*V_DPT/DiasMes))</f>
        <v>1626937.98750554</v>
      </c>
      <c r="ES214" s="34" t="n">
        <f aca="false">IF(144&gt;Fin,ER$214,IF(AND(ES$8=1,ISNUMBER(Reales!ES55)),IF(Reales!$C$55="PYG",IF(ES$10&gt;0,N(Reales!ES55)/ES$10,0),N(Reales!ES55)),ES$197*IF(ES$8=1,N(vg_DInv),V_DInv)/DiasMes+(ES$197+ES$198+ES$199+ES$200)*V_DPT/DiasMes))</f>
        <v>1626937.98750554</v>
      </c>
    </row>
    <row r="215" customFormat="false" ht="15" hidden="false" customHeight="false" outlineLevel="0" collapsed="false">
      <c r="A215" s="2" t="s">
        <v>828</v>
      </c>
      <c r="B215" s="6" t="s">
        <v>657</v>
      </c>
      <c r="C215" s="6" t="s">
        <v>250</v>
      </c>
      <c r="E215" s="40" t="n">
        <f aca="false">INDEX(F215:ES215,1,MIN(144,Fin))</f>
        <v>0</v>
      </c>
      <c r="F215" s="34" t="n">
        <f aca="false">IF(1&gt;Fin,0,IF(AND(F$8=1,ISNUMBER(Reales!F56)),IF(Reales!$C$56="PYG",IF(F$10&gt;0,N(Reales!F56)/F$10,0),N(Reales!F56)),F$205*V_IVAmeses))</f>
        <v>0</v>
      </c>
      <c r="G215" s="34" t="n">
        <f aca="false">IF(2&gt;Fin,F$215,IF(AND(G$8=1,ISNUMBER(Reales!G56)),IF(Reales!$C$56="PYG",IF(G$10&gt;0,N(Reales!G56)/G$10,0),N(Reales!G56)),G$205*V_IVAmeses))</f>
        <v>0</v>
      </c>
      <c r="H215" s="34" t="n">
        <f aca="false">IF(3&gt;Fin,G$215,IF(AND(H$8=1,ISNUMBER(Reales!H56)),IF(Reales!$C$56="PYG",IF(H$10&gt;0,N(Reales!H56)/H$10,0),N(Reales!H56)),H$205*V_IVAmeses))</f>
        <v>0</v>
      </c>
      <c r="I215" s="34" t="n">
        <f aca="false">IF(4&gt;Fin,H$215,IF(AND(I$8=1,ISNUMBER(Reales!I56)),IF(Reales!$C$56="PYG",IF(I$10&gt;0,N(Reales!I56)/I$10,0),N(Reales!I56)),I$205*V_IVAmeses))</f>
        <v>0</v>
      </c>
      <c r="J215" s="34" t="n">
        <f aca="false">IF(5&gt;Fin,I$215,IF(AND(J$8=1,ISNUMBER(Reales!J56)),IF(Reales!$C$56="PYG",IF(J$10&gt;0,N(Reales!J56)/J$10,0),N(Reales!J56)),J$205*V_IVAmeses))</f>
        <v>0</v>
      </c>
      <c r="K215" s="34" t="n">
        <f aca="false">IF(6&gt;Fin,J$215,IF(AND(K$8=1,ISNUMBER(Reales!K56)),IF(Reales!$C$56="PYG",IF(K$10&gt;0,N(Reales!K56)/K$10,0),N(Reales!K56)),K$205*V_IVAmeses))</f>
        <v>0</v>
      </c>
      <c r="L215" s="34" t="n">
        <f aca="false">IF(7&gt;Fin,K$215,IF(AND(L$8=1,ISNUMBER(Reales!L56)),IF(Reales!$C$56="PYG",IF(L$10&gt;0,N(Reales!L56)/L$10,0),N(Reales!L56)),L$205*V_IVAmeses))</f>
        <v>0</v>
      </c>
      <c r="M215" s="34" t="n">
        <f aca="false">IF(8&gt;Fin,L$215,IF(AND(M$8=1,ISNUMBER(Reales!M56)),IF(Reales!$C$56="PYG",IF(M$10&gt;0,N(Reales!M56)/M$10,0),N(Reales!M56)),M$205*V_IVAmeses))</f>
        <v>0</v>
      </c>
      <c r="N215" s="34" t="n">
        <f aca="false">IF(9&gt;Fin,M$215,IF(AND(N$8=1,ISNUMBER(Reales!N56)),IF(Reales!$C$56="PYG",IF(N$10&gt;0,N(Reales!N56)/N$10,0),N(Reales!N56)),N$205*V_IVAmeses))</f>
        <v>0</v>
      </c>
      <c r="O215" s="34" t="n">
        <f aca="false">IF(10&gt;Fin,N$215,IF(AND(O$8=1,ISNUMBER(Reales!O56)),IF(Reales!$C$56="PYG",IF(O$10&gt;0,N(Reales!O56)/O$10,0),N(Reales!O56)),O$205*V_IVAmeses))</f>
        <v>0</v>
      </c>
      <c r="P215" s="34" t="n">
        <f aca="false">IF(11&gt;Fin,O$215,IF(AND(P$8=1,ISNUMBER(Reales!P56)),IF(Reales!$C$56="PYG",IF(P$10&gt;0,N(Reales!P56)/P$10,0),N(Reales!P56)),P$205*V_IVAmeses))</f>
        <v>0</v>
      </c>
      <c r="Q215" s="34" t="n">
        <f aca="false">IF(12&gt;Fin,P$215,IF(AND(Q$8=1,ISNUMBER(Reales!Q56)),IF(Reales!$C$56="PYG",IF(Q$10&gt;0,N(Reales!Q56)/Q$10,0),N(Reales!Q56)),Q$205*V_IVAmeses))</f>
        <v>0</v>
      </c>
      <c r="R215" s="34" t="n">
        <f aca="false">IF(13&gt;Fin,Q$215,IF(AND(R$8=1,ISNUMBER(Reales!R56)),IF(Reales!$C$56="PYG",IF(R$10&gt;0,N(Reales!R56)/R$10,0),N(Reales!R56)),R$205*V_IVAmeses))</f>
        <v>0</v>
      </c>
      <c r="S215" s="34" t="n">
        <f aca="false">IF(14&gt;Fin,R$215,IF(AND(S$8=1,ISNUMBER(Reales!S56)),IF(Reales!$C$56="PYG",IF(S$10&gt;0,N(Reales!S56)/S$10,0),N(Reales!S56)),S$205*V_IVAmeses))</f>
        <v>0</v>
      </c>
      <c r="T215" s="34" t="n">
        <f aca="false">IF(15&gt;Fin,S$215,IF(AND(T$8=1,ISNUMBER(Reales!T56)),IF(Reales!$C$56="PYG",IF(T$10&gt;0,N(Reales!T56)/T$10,0),N(Reales!T56)),T$205*V_IVAmeses))</f>
        <v>0</v>
      </c>
      <c r="U215" s="34" t="n">
        <f aca="false">IF(16&gt;Fin,T$215,IF(AND(U$8=1,ISNUMBER(Reales!U56)),IF(Reales!$C$56="PYG",IF(U$10&gt;0,N(Reales!U56)/U$10,0),N(Reales!U56)),U$205*V_IVAmeses))</f>
        <v>0</v>
      </c>
      <c r="V215" s="34" t="n">
        <f aca="false">IF(17&gt;Fin,U$215,IF(AND(V$8=1,ISNUMBER(Reales!V56)),IF(Reales!$C$56="PYG",IF(V$10&gt;0,N(Reales!V56)/V$10,0),N(Reales!V56)),V$205*V_IVAmeses))</f>
        <v>0</v>
      </c>
      <c r="W215" s="34" t="n">
        <f aca="false">IF(18&gt;Fin,V$215,IF(AND(W$8=1,ISNUMBER(Reales!W56)),IF(Reales!$C$56="PYG",IF(W$10&gt;0,N(Reales!W56)/W$10,0),N(Reales!W56)),W$205*V_IVAmeses))</f>
        <v>0</v>
      </c>
      <c r="X215" s="34" t="n">
        <f aca="false">IF(19&gt;Fin,W$215,IF(AND(X$8=1,ISNUMBER(Reales!X56)),IF(Reales!$C$56="PYG",IF(X$10&gt;0,N(Reales!X56)/X$10,0),N(Reales!X56)),X$205*V_IVAmeses))</f>
        <v>0</v>
      </c>
      <c r="Y215" s="34" t="n">
        <f aca="false">IF(20&gt;Fin,X$215,IF(AND(Y$8=1,ISNUMBER(Reales!Y56)),IF(Reales!$C$56="PYG",IF(Y$10&gt;0,N(Reales!Y56)/Y$10,0),N(Reales!Y56)),Y$205*V_IVAmeses))</f>
        <v>0</v>
      </c>
      <c r="Z215" s="34" t="n">
        <f aca="false">IF(21&gt;Fin,Y$215,IF(AND(Z$8=1,ISNUMBER(Reales!Z56)),IF(Reales!$C$56="PYG",IF(Z$10&gt;0,N(Reales!Z56)/Z$10,0),N(Reales!Z56)),Z$205*V_IVAmeses))</f>
        <v>0</v>
      </c>
      <c r="AA215" s="34" t="n">
        <f aca="false">IF(22&gt;Fin,Z$215,IF(AND(AA$8=1,ISNUMBER(Reales!AA56)),IF(Reales!$C$56="PYG",IF(AA$10&gt;0,N(Reales!AA56)/AA$10,0),N(Reales!AA56)),AA$205*V_IVAmeses))</f>
        <v>0</v>
      </c>
      <c r="AB215" s="34" t="n">
        <f aca="false">IF(23&gt;Fin,AA$215,IF(AND(AB$8=1,ISNUMBER(Reales!AB56)),IF(Reales!$C$56="PYG",IF(AB$10&gt;0,N(Reales!AB56)/AB$10,0),N(Reales!AB56)),AB$205*V_IVAmeses))</f>
        <v>0</v>
      </c>
      <c r="AC215" s="34" t="n">
        <f aca="false">IF(24&gt;Fin,AB$215,IF(AND(AC$8=1,ISNUMBER(Reales!AC56)),IF(Reales!$C$56="PYG",IF(AC$10&gt;0,N(Reales!AC56)/AC$10,0),N(Reales!AC56)),AC$205*V_IVAmeses))</f>
        <v>0</v>
      </c>
      <c r="AD215" s="34" t="n">
        <f aca="false">IF(25&gt;Fin,AC$215,IF(AND(AD$8=1,ISNUMBER(Reales!AD56)),IF(Reales!$C$56="PYG",IF(AD$10&gt;0,N(Reales!AD56)/AD$10,0),N(Reales!AD56)),AD$205*V_IVAmeses))</f>
        <v>0</v>
      </c>
      <c r="AE215" s="34" t="n">
        <f aca="false">IF(26&gt;Fin,AD$215,IF(AND(AE$8=1,ISNUMBER(Reales!AE56)),IF(Reales!$C$56="PYG",IF(AE$10&gt;0,N(Reales!AE56)/AE$10,0),N(Reales!AE56)),AE$205*V_IVAmeses))</f>
        <v>0</v>
      </c>
      <c r="AF215" s="34" t="n">
        <f aca="false">IF(27&gt;Fin,AE$215,IF(AND(AF$8=1,ISNUMBER(Reales!AF56)),IF(Reales!$C$56="PYG",IF(AF$10&gt;0,N(Reales!AF56)/AF$10,0),N(Reales!AF56)),AF$205*V_IVAmeses))</f>
        <v>0</v>
      </c>
      <c r="AG215" s="34" t="n">
        <f aca="false">IF(28&gt;Fin,AF$215,IF(AND(AG$8=1,ISNUMBER(Reales!AG56)),IF(Reales!$C$56="PYG",IF(AG$10&gt;0,N(Reales!AG56)/AG$10,0),N(Reales!AG56)),AG$205*V_IVAmeses))</f>
        <v>0</v>
      </c>
      <c r="AH215" s="34" t="n">
        <f aca="false">IF(29&gt;Fin,AG$215,IF(AND(AH$8=1,ISNUMBER(Reales!AH56)),IF(Reales!$C$56="PYG",IF(AH$10&gt;0,N(Reales!AH56)/AH$10,0),N(Reales!AH56)),AH$205*V_IVAmeses))</f>
        <v>0</v>
      </c>
      <c r="AI215" s="34" t="n">
        <f aca="false">IF(30&gt;Fin,AH$215,IF(AND(AI$8=1,ISNUMBER(Reales!AI56)),IF(Reales!$C$56="PYG",IF(AI$10&gt;0,N(Reales!AI56)/AI$10,0),N(Reales!AI56)),AI$205*V_IVAmeses))</f>
        <v>0</v>
      </c>
      <c r="AJ215" s="34" t="n">
        <f aca="false">IF(31&gt;Fin,AI$215,IF(AND(AJ$8=1,ISNUMBER(Reales!AJ56)),IF(Reales!$C$56="PYG",IF(AJ$10&gt;0,N(Reales!AJ56)/AJ$10,0),N(Reales!AJ56)),AJ$205*V_IVAmeses))</f>
        <v>0</v>
      </c>
      <c r="AK215" s="34" t="n">
        <f aca="false">IF(32&gt;Fin,AJ$215,IF(AND(AK$8=1,ISNUMBER(Reales!AK56)),IF(Reales!$C$56="PYG",IF(AK$10&gt;0,N(Reales!AK56)/AK$10,0),N(Reales!AK56)),AK$205*V_IVAmeses))</f>
        <v>0</v>
      </c>
      <c r="AL215" s="34" t="n">
        <f aca="false">IF(33&gt;Fin,AK$215,IF(AND(AL$8=1,ISNUMBER(Reales!AL56)),IF(Reales!$C$56="PYG",IF(AL$10&gt;0,N(Reales!AL56)/AL$10,0),N(Reales!AL56)),AL$205*V_IVAmeses))</f>
        <v>0</v>
      </c>
      <c r="AM215" s="34" t="n">
        <f aca="false">IF(34&gt;Fin,AL$215,IF(AND(AM$8=1,ISNUMBER(Reales!AM56)),IF(Reales!$C$56="PYG",IF(AM$10&gt;0,N(Reales!AM56)/AM$10,0),N(Reales!AM56)),AM$205*V_IVAmeses))</f>
        <v>0</v>
      </c>
      <c r="AN215" s="34" t="n">
        <f aca="false">IF(35&gt;Fin,AM$215,IF(AND(AN$8=1,ISNUMBER(Reales!AN56)),IF(Reales!$C$56="PYG",IF(AN$10&gt;0,N(Reales!AN56)/AN$10,0),N(Reales!AN56)),AN$205*V_IVAmeses))</f>
        <v>0</v>
      </c>
      <c r="AO215" s="34" t="n">
        <f aca="false">IF(36&gt;Fin,AN$215,IF(AND(AO$8=1,ISNUMBER(Reales!AO56)),IF(Reales!$C$56="PYG",IF(AO$10&gt;0,N(Reales!AO56)/AO$10,0),N(Reales!AO56)),AO$205*V_IVAmeses))</f>
        <v>0</v>
      </c>
      <c r="AP215" s="34" t="n">
        <f aca="false">IF(37&gt;Fin,AO$215,IF(AND(AP$8=1,ISNUMBER(Reales!AP56)),IF(Reales!$C$56="PYG",IF(AP$10&gt;0,N(Reales!AP56)/AP$10,0),N(Reales!AP56)),AP$205*V_IVAmeses))</f>
        <v>0</v>
      </c>
      <c r="AQ215" s="34" t="n">
        <f aca="false">IF(38&gt;Fin,AP$215,IF(AND(AQ$8=1,ISNUMBER(Reales!AQ56)),IF(Reales!$C$56="PYG",IF(AQ$10&gt;0,N(Reales!AQ56)/AQ$10,0),N(Reales!AQ56)),AQ$205*V_IVAmeses))</f>
        <v>0</v>
      </c>
      <c r="AR215" s="34" t="n">
        <f aca="false">IF(39&gt;Fin,AQ$215,IF(AND(AR$8=1,ISNUMBER(Reales!AR56)),IF(Reales!$C$56="PYG",IF(AR$10&gt;0,N(Reales!AR56)/AR$10,0),N(Reales!AR56)),AR$205*V_IVAmeses))</f>
        <v>0</v>
      </c>
      <c r="AS215" s="34" t="n">
        <f aca="false">IF(40&gt;Fin,AR$215,IF(AND(AS$8=1,ISNUMBER(Reales!AS56)),IF(Reales!$C$56="PYG",IF(AS$10&gt;0,N(Reales!AS56)/AS$10,0),N(Reales!AS56)),AS$205*V_IVAmeses))</f>
        <v>0</v>
      </c>
      <c r="AT215" s="34" t="n">
        <f aca="false">IF(41&gt;Fin,AS$215,IF(AND(AT$8=1,ISNUMBER(Reales!AT56)),IF(Reales!$C$56="PYG",IF(AT$10&gt;0,N(Reales!AT56)/AT$10,0),N(Reales!AT56)),AT$205*V_IVAmeses))</f>
        <v>0</v>
      </c>
      <c r="AU215" s="34" t="n">
        <f aca="false">IF(42&gt;Fin,AT$215,IF(AND(AU$8=1,ISNUMBER(Reales!AU56)),IF(Reales!$C$56="PYG",IF(AU$10&gt;0,N(Reales!AU56)/AU$10,0),N(Reales!AU56)),AU$205*V_IVAmeses))</f>
        <v>0</v>
      </c>
      <c r="AV215" s="34" t="n">
        <f aca="false">IF(43&gt;Fin,AU$215,IF(AND(AV$8=1,ISNUMBER(Reales!AV56)),IF(Reales!$C$56="PYG",IF(AV$10&gt;0,N(Reales!AV56)/AV$10,0),N(Reales!AV56)),AV$205*V_IVAmeses))</f>
        <v>0</v>
      </c>
      <c r="AW215" s="34" t="n">
        <f aca="false">IF(44&gt;Fin,AV$215,IF(AND(AW$8=1,ISNUMBER(Reales!AW56)),IF(Reales!$C$56="PYG",IF(AW$10&gt;0,N(Reales!AW56)/AW$10,0),N(Reales!AW56)),AW$205*V_IVAmeses))</f>
        <v>0</v>
      </c>
      <c r="AX215" s="34" t="n">
        <f aca="false">IF(45&gt;Fin,AW$215,IF(AND(AX$8=1,ISNUMBER(Reales!AX56)),IF(Reales!$C$56="PYG",IF(AX$10&gt;0,N(Reales!AX56)/AX$10,0),N(Reales!AX56)),AX$205*V_IVAmeses))</f>
        <v>0</v>
      </c>
      <c r="AY215" s="34" t="n">
        <f aca="false">IF(46&gt;Fin,AX$215,IF(AND(AY$8=1,ISNUMBER(Reales!AY56)),IF(Reales!$C$56="PYG",IF(AY$10&gt;0,N(Reales!AY56)/AY$10,0),N(Reales!AY56)),AY$205*V_IVAmeses))</f>
        <v>0</v>
      </c>
      <c r="AZ215" s="34" t="n">
        <f aca="false">IF(47&gt;Fin,AY$215,IF(AND(AZ$8=1,ISNUMBER(Reales!AZ56)),IF(Reales!$C$56="PYG",IF(AZ$10&gt;0,N(Reales!AZ56)/AZ$10,0),N(Reales!AZ56)),AZ$205*V_IVAmeses))</f>
        <v>0</v>
      </c>
      <c r="BA215" s="34" t="n">
        <f aca="false">IF(48&gt;Fin,AZ$215,IF(AND(BA$8=1,ISNUMBER(Reales!BA56)),IF(Reales!$C$56="PYG",IF(BA$10&gt;0,N(Reales!BA56)/BA$10,0),N(Reales!BA56)),BA$205*V_IVAmeses))</f>
        <v>0</v>
      </c>
      <c r="BB215" s="34" t="n">
        <f aca="false">IF(49&gt;Fin,BA$215,IF(AND(BB$8=1,ISNUMBER(Reales!BB56)),IF(Reales!$C$56="PYG",IF(BB$10&gt;0,N(Reales!BB56)/BB$10,0),N(Reales!BB56)),BB$205*V_IVAmeses))</f>
        <v>0</v>
      </c>
      <c r="BC215" s="34" t="n">
        <f aca="false">IF(50&gt;Fin,BB$215,IF(AND(BC$8=1,ISNUMBER(Reales!BC56)),IF(Reales!$C$56="PYG",IF(BC$10&gt;0,N(Reales!BC56)/BC$10,0),N(Reales!BC56)),BC$205*V_IVAmeses))</f>
        <v>0</v>
      </c>
      <c r="BD215" s="34" t="n">
        <f aca="false">IF(51&gt;Fin,BC$215,IF(AND(BD$8=1,ISNUMBER(Reales!BD56)),IF(Reales!$C$56="PYG",IF(BD$10&gt;0,N(Reales!BD56)/BD$10,0),N(Reales!BD56)),BD$205*V_IVAmeses))</f>
        <v>0</v>
      </c>
      <c r="BE215" s="34" t="n">
        <f aca="false">IF(52&gt;Fin,BD$215,IF(AND(BE$8=1,ISNUMBER(Reales!BE56)),IF(Reales!$C$56="PYG",IF(BE$10&gt;0,N(Reales!BE56)/BE$10,0),N(Reales!BE56)),BE$205*V_IVAmeses))</f>
        <v>0</v>
      </c>
      <c r="BF215" s="34" t="n">
        <f aca="false">IF(53&gt;Fin,BE$215,IF(AND(BF$8=1,ISNUMBER(Reales!BF56)),IF(Reales!$C$56="PYG",IF(BF$10&gt;0,N(Reales!BF56)/BF$10,0),N(Reales!BF56)),BF$205*V_IVAmeses))</f>
        <v>0</v>
      </c>
      <c r="BG215" s="34" t="n">
        <f aca="false">IF(54&gt;Fin,BF$215,IF(AND(BG$8=1,ISNUMBER(Reales!BG56)),IF(Reales!$C$56="PYG",IF(BG$10&gt;0,N(Reales!BG56)/BG$10,0),N(Reales!BG56)),BG$205*V_IVAmeses))</f>
        <v>0</v>
      </c>
      <c r="BH215" s="34" t="n">
        <f aca="false">IF(55&gt;Fin,BG$215,IF(AND(BH$8=1,ISNUMBER(Reales!BH56)),IF(Reales!$C$56="PYG",IF(BH$10&gt;0,N(Reales!BH56)/BH$10,0),N(Reales!BH56)),BH$205*V_IVAmeses))</f>
        <v>0</v>
      </c>
      <c r="BI215" s="34" t="n">
        <f aca="false">IF(56&gt;Fin,BH$215,IF(AND(BI$8=1,ISNUMBER(Reales!BI56)),IF(Reales!$C$56="PYG",IF(BI$10&gt;0,N(Reales!BI56)/BI$10,0),N(Reales!BI56)),BI$205*V_IVAmeses))</f>
        <v>0</v>
      </c>
      <c r="BJ215" s="34" t="n">
        <f aca="false">IF(57&gt;Fin,BI$215,IF(AND(BJ$8=1,ISNUMBER(Reales!BJ56)),IF(Reales!$C$56="PYG",IF(BJ$10&gt;0,N(Reales!BJ56)/BJ$10,0),N(Reales!BJ56)),BJ$205*V_IVAmeses))</f>
        <v>0</v>
      </c>
      <c r="BK215" s="34" t="n">
        <f aca="false">IF(58&gt;Fin,BJ$215,IF(AND(BK$8=1,ISNUMBER(Reales!BK56)),IF(Reales!$C$56="PYG",IF(BK$10&gt;0,N(Reales!BK56)/BK$10,0),N(Reales!BK56)),BK$205*V_IVAmeses))</f>
        <v>0</v>
      </c>
      <c r="BL215" s="34" t="n">
        <f aca="false">IF(59&gt;Fin,BK$215,IF(AND(BL$8=1,ISNUMBER(Reales!BL56)),IF(Reales!$C$56="PYG",IF(BL$10&gt;0,N(Reales!BL56)/BL$10,0),N(Reales!BL56)),BL$205*V_IVAmeses))</f>
        <v>0</v>
      </c>
      <c r="BM215" s="34" t="n">
        <f aca="false">IF(60&gt;Fin,BL$215,IF(AND(BM$8=1,ISNUMBER(Reales!BM56)),IF(Reales!$C$56="PYG",IF(BM$10&gt;0,N(Reales!BM56)/BM$10,0),N(Reales!BM56)),BM$205*V_IVAmeses))</f>
        <v>0</v>
      </c>
      <c r="BN215" s="34" t="n">
        <f aca="false">IF(61&gt;Fin,BM$215,IF(AND(BN$8=1,ISNUMBER(Reales!BN56)),IF(Reales!$C$56="PYG",IF(BN$10&gt;0,N(Reales!BN56)/BN$10,0),N(Reales!BN56)),BN$205*V_IVAmeses))</f>
        <v>0</v>
      </c>
      <c r="BO215" s="34" t="n">
        <f aca="false">IF(62&gt;Fin,BN$215,IF(AND(BO$8=1,ISNUMBER(Reales!BO56)),IF(Reales!$C$56="PYG",IF(BO$10&gt;0,N(Reales!BO56)/BO$10,0),N(Reales!BO56)),BO$205*V_IVAmeses))</f>
        <v>0</v>
      </c>
      <c r="BP215" s="34" t="n">
        <f aca="false">IF(63&gt;Fin,BO$215,IF(AND(BP$8=1,ISNUMBER(Reales!BP56)),IF(Reales!$C$56="PYG",IF(BP$10&gt;0,N(Reales!BP56)/BP$10,0),N(Reales!BP56)),BP$205*V_IVAmeses))</f>
        <v>0</v>
      </c>
      <c r="BQ215" s="34" t="n">
        <f aca="false">IF(64&gt;Fin,BP$215,IF(AND(BQ$8=1,ISNUMBER(Reales!BQ56)),IF(Reales!$C$56="PYG",IF(BQ$10&gt;0,N(Reales!BQ56)/BQ$10,0),N(Reales!BQ56)),BQ$205*V_IVAmeses))</f>
        <v>0</v>
      </c>
      <c r="BR215" s="34" t="n">
        <f aca="false">IF(65&gt;Fin,BQ$215,IF(AND(BR$8=1,ISNUMBER(Reales!BR56)),IF(Reales!$C$56="PYG",IF(BR$10&gt;0,N(Reales!BR56)/BR$10,0),N(Reales!BR56)),BR$205*V_IVAmeses))</f>
        <v>0</v>
      </c>
      <c r="BS215" s="34" t="n">
        <f aca="false">IF(66&gt;Fin,BR$215,IF(AND(BS$8=1,ISNUMBER(Reales!BS56)),IF(Reales!$C$56="PYG",IF(BS$10&gt;0,N(Reales!BS56)/BS$10,0),N(Reales!BS56)),BS$205*V_IVAmeses))</f>
        <v>0</v>
      </c>
      <c r="BT215" s="34" t="n">
        <f aca="false">IF(67&gt;Fin,BS$215,IF(AND(BT$8=1,ISNUMBER(Reales!BT56)),IF(Reales!$C$56="PYG",IF(BT$10&gt;0,N(Reales!BT56)/BT$10,0),N(Reales!BT56)),BT$205*V_IVAmeses))</f>
        <v>0</v>
      </c>
      <c r="BU215" s="34" t="n">
        <f aca="false">IF(68&gt;Fin,BT$215,IF(AND(BU$8=1,ISNUMBER(Reales!BU56)),IF(Reales!$C$56="PYG",IF(BU$10&gt;0,N(Reales!BU56)/BU$10,0),N(Reales!BU56)),BU$205*V_IVAmeses))</f>
        <v>0</v>
      </c>
      <c r="BV215" s="34" t="n">
        <f aca="false">IF(69&gt;Fin,BU$215,IF(AND(BV$8=1,ISNUMBER(Reales!BV56)),IF(Reales!$C$56="PYG",IF(BV$10&gt;0,N(Reales!BV56)/BV$10,0),N(Reales!BV56)),BV$205*V_IVAmeses))</f>
        <v>0</v>
      </c>
      <c r="BW215" s="34" t="n">
        <f aca="false">IF(70&gt;Fin,BV$215,IF(AND(BW$8=1,ISNUMBER(Reales!BW56)),IF(Reales!$C$56="PYG",IF(BW$10&gt;0,N(Reales!BW56)/BW$10,0),N(Reales!BW56)),BW$205*V_IVAmeses))</f>
        <v>0</v>
      </c>
      <c r="BX215" s="34" t="n">
        <f aca="false">IF(71&gt;Fin,BW$215,IF(AND(BX$8=1,ISNUMBER(Reales!BX56)),IF(Reales!$C$56="PYG",IF(BX$10&gt;0,N(Reales!BX56)/BX$10,0),N(Reales!BX56)),BX$205*V_IVAmeses))</f>
        <v>0</v>
      </c>
      <c r="BY215" s="34" t="n">
        <f aca="false">IF(72&gt;Fin,BX$215,IF(AND(BY$8=1,ISNUMBER(Reales!BY56)),IF(Reales!$C$56="PYG",IF(BY$10&gt;0,N(Reales!BY56)/BY$10,0),N(Reales!BY56)),BY$205*V_IVAmeses))</f>
        <v>0</v>
      </c>
      <c r="BZ215" s="34" t="n">
        <f aca="false">IF(73&gt;Fin,BY$215,IF(AND(BZ$8=1,ISNUMBER(Reales!BZ56)),IF(Reales!$C$56="PYG",IF(BZ$10&gt;0,N(Reales!BZ56)/BZ$10,0),N(Reales!BZ56)),BZ$205*V_IVAmeses))</f>
        <v>0</v>
      </c>
      <c r="CA215" s="34" t="n">
        <f aca="false">IF(74&gt;Fin,BZ$215,IF(AND(CA$8=1,ISNUMBER(Reales!CA56)),IF(Reales!$C$56="PYG",IF(CA$10&gt;0,N(Reales!CA56)/CA$10,0),N(Reales!CA56)),CA$205*V_IVAmeses))</f>
        <v>0</v>
      </c>
      <c r="CB215" s="34" t="n">
        <f aca="false">IF(75&gt;Fin,CA$215,IF(AND(CB$8=1,ISNUMBER(Reales!CB56)),IF(Reales!$C$56="PYG",IF(CB$10&gt;0,N(Reales!CB56)/CB$10,0),N(Reales!CB56)),CB$205*V_IVAmeses))</f>
        <v>0</v>
      </c>
      <c r="CC215" s="34" t="n">
        <f aca="false">IF(76&gt;Fin,CB$215,IF(AND(CC$8=1,ISNUMBER(Reales!CC56)),IF(Reales!$C$56="PYG",IF(CC$10&gt;0,N(Reales!CC56)/CC$10,0),N(Reales!CC56)),CC$205*V_IVAmeses))</f>
        <v>0</v>
      </c>
      <c r="CD215" s="34" t="n">
        <f aca="false">IF(77&gt;Fin,CC$215,IF(AND(CD$8=1,ISNUMBER(Reales!CD56)),IF(Reales!$C$56="PYG",IF(CD$10&gt;0,N(Reales!CD56)/CD$10,0),N(Reales!CD56)),CD$205*V_IVAmeses))</f>
        <v>0</v>
      </c>
      <c r="CE215" s="34" t="n">
        <f aca="false">IF(78&gt;Fin,CD$215,IF(AND(CE$8=1,ISNUMBER(Reales!CE56)),IF(Reales!$C$56="PYG",IF(CE$10&gt;0,N(Reales!CE56)/CE$10,0),N(Reales!CE56)),CE$205*V_IVAmeses))</f>
        <v>0</v>
      </c>
      <c r="CF215" s="34" t="n">
        <f aca="false">IF(79&gt;Fin,CE$215,IF(AND(CF$8=1,ISNUMBER(Reales!CF56)),IF(Reales!$C$56="PYG",IF(CF$10&gt;0,N(Reales!CF56)/CF$10,0),N(Reales!CF56)),CF$205*V_IVAmeses))</f>
        <v>0</v>
      </c>
      <c r="CG215" s="34" t="n">
        <f aca="false">IF(80&gt;Fin,CF$215,IF(AND(CG$8=1,ISNUMBER(Reales!CG56)),IF(Reales!$C$56="PYG",IF(CG$10&gt;0,N(Reales!CG56)/CG$10,0),N(Reales!CG56)),CG$205*V_IVAmeses))</f>
        <v>0</v>
      </c>
      <c r="CH215" s="34" t="n">
        <f aca="false">IF(81&gt;Fin,CG$215,IF(AND(CH$8=1,ISNUMBER(Reales!CH56)),IF(Reales!$C$56="PYG",IF(CH$10&gt;0,N(Reales!CH56)/CH$10,0),N(Reales!CH56)),CH$205*V_IVAmeses))</f>
        <v>0</v>
      </c>
      <c r="CI215" s="34" t="n">
        <f aca="false">IF(82&gt;Fin,CH$215,IF(AND(CI$8=1,ISNUMBER(Reales!CI56)),IF(Reales!$C$56="PYG",IF(CI$10&gt;0,N(Reales!CI56)/CI$10,0),N(Reales!CI56)),CI$205*V_IVAmeses))</f>
        <v>0</v>
      </c>
      <c r="CJ215" s="34" t="n">
        <f aca="false">IF(83&gt;Fin,CI$215,IF(AND(CJ$8=1,ISNUMBER(Reales!CJ56)),IF(Reales!$C$56="PYG",IF(CJ$10&gt;0,N(Reales!CJ56)/CJ$10,0),N(Reales!CJ56)),CJ$205*V_IVAmeses))</f>
        <v>0</v>
      </c>
      <c r="CK215" s="34" t="n">
        <f aca="false">IF(84&gt;Fin,CJ$215,IF(AND(CK$8=1,ISNUMBER(Reales!CK56)),IF(Reales!$C$56="PYG",IF(CK$10&gt;0,N(Reales!CK56)/CK$10,0),N(Reales!CK56)),CK$205*V_IVAmeses))</f>
        <v>0</v>
      </c>
      <c r="CL215" s="34" t="n">
        <f aca="false">IF(85&gt;Fin,CK$215,IF(AND(CL$8=1,ISNUMBER(Reales!CL56)),IF(Reales!$C$56="PYG",IF(CL$10&gt;0,N(Reales!CL56)/CL$10,0),N(Reales!CL56)),CL$205*V_IVAmeses))</f>
        <v>0</v>
      </c>
      <c r="CM215" s="34" t="n">
        <f aca="false">IF(86&gt;Fin,CL$215,IF(AND(CM$8=1,ISNUMBER(Reales!CM56)),IF(Reales!$C$56="PYG",IF(CM$10&gt;0,N(Reales!CM56)/CM$10,0),N(Reales!CM56)),CM$205*V_IVAmeses))</f>
        <v>0</v>
      </c>
      <c r="CN215" s="34" t="n">
        <f aca="false">IF(87&gt;Fin,CM$215,IF(AND(CN$8=1,ISNUMBER(Reales!CN56)),IF(Reales!$C$56="PYG",IF(CN$10&gt;0,N(Reales!CN56)/CN$10,0),N(Reales!CN56)),CN$205*V_IVAmeses))</f>
        <v>0</v>
      </c>
      <c r="CO215" s="34" t="n">
        <f aca="false">IF(88&gt;Fin,CN$215,IF(AND(CO$8=1,ISNUMBER(Reales!CO56)),IF(Reales!$C$56="PYG",IF(CO$10&gt;0,N(Reales!CO56)/CO$10,0),N(Reales!CO56)),CO$205*V_IVAmeses))</f>
        <v>0</v>
      </c>
      <c r="CP215" s="34" t="n">
        <f aca="false">IF(89&gt;Fin,CO$215,IF(AND(CP$8=1,ISNUMBER(Reales!CP56)),IF(Reales!$C$56="PYG",IF(CP$10&gt;0,N(Reales!CP56)/CP$10,0),N(Reales!CP56)),CP$205*V_IVAmeses))</f>
        <v>0</v>
      </c>
      <c r="CQ215" s="34" t="n">
        <f aca="false">IF(90&gt;Fin,CP$215,IF(AND(CQ$8=1,ISNUMBER(Reales!CQ56)),IF(Reales!$C$56="PYG",IF(CQ$10&gt;0,N(Reales!CQ56)/CQ$10,0),N(Reales!CQ56)),CQ$205*V_IVAmeses))</f>
        <v>0</v>
      </c>
      <c r="CR215" s="34" t="n">
        <f aca="false">IF(91&gt;Fin,CQ$215,IF(AND(CR$8=1,ISNUMBER(Reales!CR56)),IF(Reales!$C$56="PYG",IF(CR$10&gt;0,N(Reales!CR56)/CR$10,0),N(Reales!CR56)),CR$205*V_IVAmeses))</f>
        <v>0</v>
      </c>
      <c r="CS215" s="34" t="n">
        <f aca="false">IF(92&gt;Fin,CR$215,IF(AND(CS$8=1,ISNUMBER(Reales!CS56)),IF(Reales!$C$56="PYG",IF(CS$10&gt;0,N(Reales!CS56)/CS$10,0),N(Reales!CS56)),CS$205*V_IVAmeses))</f>
        <v>0</v>
      </c>
      <c r="CT215" s="34" t="n">
        <f aca="false">IF(93&gt;Fin,CS$215,IF(AND(CT$8=1,ISNUMBER(Reales!CT56)),IF(Reales!$C$56="PYG",IF(CT$10&gt;0,N(Reales!CT56)/CT$10,0),N(Reales!CT56)),CT$205*V_IVAmeses))</f>
        <v>0</v>
      </c>
      <c r="CU215" s="34" t="n">
        <f aca="false">IF(94&gt;Fin,CT$215,IF(AND(CU$8=1,ISNUMBER(Reales!CU56)),IF(Reales!$C$56="PYG",IF(CU$10&gt;0,N(Reales!CU56)/CU$10,0),N(Reales!CU56)),CU$205*V_IVAmeses))</f>
        <v>0</v>
      </c>
      <c r="CV215" s="34" t="n">
        <f aca="false">IF(95&gt;Fin,CU$215,IF(AND(CV$8=1,ISNUMBER(Reales!CV56)),IF(Reales!$C$56="PYG",IF(CV$10&gt;0,N(Reales!CV56)/CV$10,0),N(Reales!CV56)),CV$205*V_IVAmeses))</f>
        <v>0</v>
      </c>
      <c r="CW215" s="34" t="n">
        <f aca="false">IF(96&gt;Fin,CV$215,IF(AND(CW$8=1,ISNUMBER(Reales!CW56)),IF(Reales!$C$56="PYG",IF(CW$10&gt;0,N(Reales!CW56)/CW$10,0),N(Reales!CW56)),CW$205*V_IVAmeses))</f>
        <v>0</v>
      </c>
      <c r="CX215" s="34" t="n">
        <f aca="false">IF(97&gt;Fin,CW$215,IF(AND(CX$8=1,ISNUMBER(Reales!CX56)),IF(Reales!$C$56="PYG",IF(CX$10&gt;0,N(Reales!CX56)/CX$10,0),N(Reales!CX56)),CX$205*V_IVAmeses))</f>
        <v>0</v>
      </c>
      <c r="CY215" s="34" t="n">
        <f aca="false">IF(98&gt;Fin,CX$215,IF(AND(CY$8=1,ISNUMBER(Reales!CY56)),IF(Reales!$C$56="PYG",IF(CY$10&gt;0,N(Reales!CY56)/CY$10,0),N(Reales!CY56)),CY$205*V_IVAmeses))</f>
        <v>0</v>
      </c>
      <c r="CZ215" s="34" t="n">
        <f aca="false">IF(99&gt;Fin,CY$215,IF(AND(CZ$8=1,ISNUMBER(Reales!CZ56)),IF(Reales!$C$56="PYG",IF(CZ$10&gt;0,N(Reales!CZ56)/CZ$10,0),N(Reales!CZ56)),CZ$205*V_IVAmeses))</f>
        <v>0</v>
      </c>
      <c r="DA215" s="34" t="n">
        <f aca="false">IF(100&gt;Fin,CZ$215,IF(AND(DA$8=1,ISNUMBER(Reales!DA56)),IF(Reales!$C$56="PYG",IF(DA$10&gt;0,N(Reales!DA56)/DA$10,0),N(Reales!DA56)),DA$205*V_IVAmeses))</f>
        <v>0</v>
      </c>
      <c r="DB215" s="34" t="n">
        <f aca="false">IF(101&gt;Fin,DA$215,IF(AND(DB$8=1,ISNUMBER(Reales!DB56)),IF(Reales!$C$56="PYG",IF(DB$10&gt;0,N(Reales!DB56)/DB$10,0),N(Reales!DB56)),DB$205*V_IVAmeses))</f>
        <v>0</v>
      </c>
      <c r="DC215" s="34" t="n">
        <f aca="false">IF(102&gt;Fin,DB$215,IF(AND(DC$8=1,ISNUMBER(Reales!DC56)),IF(Reales!$C$56="PYG",IF(DC$10&gt;0,N(Reales!DC56)/DC$10,0),N(Reales!DC56)),DC$205*V_IVAmeses))</f>
        <v>0</v>
      </c>
      <c r="DD215" s="34" t="n">
        <f aca="false">IF(103&gt;Fin,DC$215,IF(AND(DD$8=1,ISNUMBER(Reales!DD56)),IF(Reales!$C$56="PYG",IF(DD$10&gt;0,N(Reales!DD56)/DD$10,0),N(Reales!DD56)),DD$205*V_IVAmeses))</f>
        <v>0</v>
      </c>
      <c r="DE215" s="34" t="n">
        <f aca="false">IF(104&gt;Fin,DD$215,IF(AND(DE$8=1,ISNUMBER(Reales!DE56)),IF(Reales!$C$56="PYG",IF(DE$10&gt;0,N(Reales!DE56)/DE$10,0),N(Reales!DE56)),DE$205*V_IVAmeses))</f>
        <v>0</v>
      </c>
      <c r="DF215" s="34" t="n">
        <f aca="false">IF(105&gt;Fin,DE$215,IF(AND(DF$8=1,ISNUMBER(Reales!DF56)),IF(Reales!$C$56="PYG",IF(DF$10&gt;0,N(Reales!DF56)/DF$10,0),N(Reales!DF56)),DF$205*V_IVAmeses))</f>
        <v>0</v>
      </c>
      <c r="DG215" s="34" t="n">
        <f aca="false">IF(106&gt;Fin,DF$215,IF(AND(DG$8=1,ISNUMBER(Reales!DG56)),IF(Reales!$C$56="PYG",IF(DG$10&gt;0,N(Reales!DG56)/DG$10,0),N(Reales!DG56)),DG$205*V_IVAmeses))</f>
        <v>0</v>
      </c>
      <c r="DH215" s="34" t="n">
        <f aca="false">IF(107&gt;Fin,DG$215,IF(AND(DH$8=1,ISNUMBER(Reales!DH56)),IF(Reales!$C$56="PYG",IF(DH$10&gt;0,N(Reales!DH56)/DH$10,0),N(Reales!DH56)),DH$205*V_IVAmeses))</f>
        <v>0</v>
      </c>
      <c r="DI215" s="34" t="n">
        <f aca="false">IF(108&gt;Fin,DH$215,IF(AND(DI$8=1,ISNUMBER(Reales!DI56)),IF(Reales!$C$56="PYG",IF(DI$10&gt;0,N(Reales!DI56)/DI$10,0),N(Reales!DI56)),DI$205*V_IVAmeses))</f>
        <v>0</v>
      </c>
      <c r="DJ215" s="34" t="n">
        <f aca="false">IF(109&gt;Fin,DI$215,IF(AND(DJ$8=1,ISNUMBER(Reales!DJ56)),IF(Reales!$C$56="PYG",IF(DJ$10&gt;0,N(Reales!DJ56)/DJ$10,0),N(Reales!DJ56)),DJ$205*V_IVAmeses))</f>
        <v>0</v>
      </c>
      <c r="DK215" s="34" t="n">
        <f aca="false">IF(110&gt;Fin,DJ$215,IF(AND(DK$8=1,ISNUMBER(Reales!DK56)),IF(Reales!$C$56="PYG",IF(DK$10&gt;0,N(Reales!DK56)/DK$10,0),N(Reales!DK56)),DK$205*V_IVAmeses))</f>
        <v>0</v>
      </c>
      <c r="DL215" s="34" t="n">
        <f aca="false">IF(111&gt;Fin,DK$215,IF(AND(DL$8=1,ISNUMBER(Reales!DL56)),IF(Reales!$C$56="PYG",IF(DL$10&gt;0,N(Reales!DL56)/DL$10,0),N(Reales!DL56)),DL$205*V_IVAmeses))</f>
        <v>0</v>
      </c>
      <c r="DM215" s="34" t="n">
        <f aca="false">IF(112&gt;Fin,DL$215,IF(AND(DM$8=1,ISNUMBER(Reales!DM56)),IF(Reales!$C$56="PYG",IF(DM$10&gt;0,N(Reales!DM56)/DM$10,0),N(Reales!DM56)),DM$205*V_IVAmeses))</f>
        <v>0</v>
      </c>
      <c r="DN215" s="34" t="n">
        <f aca="false">IF(113&gt;Fin,DM$215,IF(AND(DN$8=1,ISNUMBER(Reales!DN56)),IF(Reales!$C$56="PYG",IF(DN$10&gt;0,N(Reales!DN56)/DN$10,0),N(Reales!DN56)),DN$205*V_IVAmeses))</f>
        <v>0</v>
      </c>
      <c r="DO215" s="34" t="n">
        <f aca="false">IF(114&gt;Fin,DN$215,IF(AND(DO$8=1,ISNUMBER(Reales!DO56)),IF(Reales!$C$56="PYG",IF(DO$10&gt;0,N(Reales!DO56)/DO$10,0),N(Reales!DO56)),DO$205*V_IVAmeses))</f>
        <v>0</v>
      </c>
      <c r="DP215" s="34" t="n">
        <f aca="false">IF(115&gt;Fin,DO$215,IF(AND(DP$8=1,ISNUMBER(Reales!DP56)),IF(Reales!$C$56="PYG",IF(DP$10&gt;0,N(Reales!DP56)/DP$10,0),N(Reales!DP56)),DP$205*V_IVAmeses))</f>
        <v>0</v>
      </c>
      <c r="DQ215" s="34" t="n">
        <f aca="false">IF(116&gt;Fin,DP$215,IF(AND(DQ$8=1,ISNUMBER(Reales!DQ56)),IF(Reales!$C$56="PYG",IF(DQ$10&gt;0,N(Reales!DQ56)/DQ$10,0),N(Reales!DQ56)),DQ$205*V_IVAmeses))</f>
        <v>0</v>
      </c>
      <c r="DR215" s="34" t="n">
        <f aca="false">IF(117&gt;Fin,DQ$215,IF(AND(DR$8=1,ISNUMBER(Reales!DR56)),IF(Reales!$C$56="PYG",IF(DR$10&gt;0,N(Reales!DR56)/DR$10,0),N(Reales!DR56)),DR$205*V_IVAmeses))</f>
        <v>0</v>
      </c>
      <c r="DS215" s="34" t="n">
        <f aca="false">IF(118&gt;Fin,DR$215,IF(AND(DS$8=1,ISNUMBER(Reales!DS56)),IF(Reales!$C$56="PYG",IF(DS$10&gt;0,N(Reales!DS56)/DS$10,0),N(Reales!DS56)),DS$205*V_IVAmeses))</f>
        <v>0</v>
      </c>
      <c r="DT215" s="34" t="n">
        <f aca="false">IF(119&gt;Fin,DS$215,IF(AND(DT$8=1,ISNUMBER(Reales!DT56)),IF(Reales!$C$56="PYG",IF(DT$10&gt;0,N(Reales!DT56)/DT$10,0),N(Reales!DT56)),DT$205*V_IVAmeses))</f>
        <v>0</v>
      </c>
      <c r="DU215" s="34" t="n">
        <f aca="false">IF(120&gt;Fin,DT$215,IF(AND(DU$8=1,ISNUMBER(Reales!DU56)),IF(Reales!$C$56="PYG",IF(DU$10&gt;0,N(Reales!DU56)/DU$10,0),N(Reales!DU56)),DU$205*V_IVAmeses))</f>
        <v>0</v>
      </c>
      <c r="DV215" s="34" t="n">
        <f aca="false">IF(121&gt;Fin,DU$215,IF(AND(DV$8=1,ISNUMBER(Reales!DV56)),IF(Reales!$C$56="PYG",IF(DV$10&gt;0,N(Reales!DV56)/DV$10,0),N(Reales!DV56)),DV$205*V_IVAmeses))</f>
        <v>0</v>
      </c>
      <c r="DW215" s="34" t="n">
        <f aca="false">IF(122&gt;Fin,DV$215,IF(AND(DW$8=1,ISNUMBER(Reales!DW56)),IF(Reales!$C$56="PYG",IF(DW$10&gt;0,N(Reales!DW56)/DW$10,0),N(Reales!DW56)),DW$205*V_IVAmeses))</f>
        <v>0</v>
      </c>
      <c r="DX215" s="34" t="n">
        <f aca="false">IF(123&gt;Fin,DW$215,IF(AND(DX$8=1,ISNUMBER(Reales!DX56)),IF(Reales!$C$56="PYG",IF(DX$10&gt;0,N(Reales!DX56)/DX$10,0),N(Reales!DX56)),DX$205*V_IVAmeses))</f>
        <v>0</v>
      </c>
      <c r="DY215" s="34" t="n">
        <f aca="false">IF(124&gt;Fin,DX$215,IF(AND(DY$8=1,ISNUMBER(Reales!DY56)),IF(Reales!$C$56="PYG",IF(DY$10&gt;0,N(Reales!DY56)/DY$10,0),N(Reales!DY56)),DY$205*V_IVAmeses))</f>
        <v>0</v>
      </c>
      <c r="DZ215" s="34" t="n">
        <f aca="false">IF(125&gt;Fin,DY$215,IF(AND(DZ$8=1,ISNUMBER(Reales!DZ56)),IF(Reales!$C$56="PYG",IF(DZ$10&gt;0,N(Reales!DZ56)/DZ$10,0),N(Reales!DZ56)),DZ$205*V_IVAmeses))</f>
        <v>0</v>
      </c>
      <c r="EA215" s="34" t="n">
        <f aca="false">IF(126&gt;Fin,DZ$215,IF(AND(EA$8=1,ISNUMBER(Reales!EA56)),IF(Reales!$C$56="PYG",IF(EA$10&gt;0,N(Reales!EA56)/EA$10,0),N(Reales!EA56)),EA$205*V_IVAmeses))</f>
        <v>0</v>
      </c>
      <c r="EB215" s="34" t="n">
        <f aca="false">IF(127&gt;Fin,EA$215,IF(AND(EB$8=1,ISNUMBER(Reales!EB56)),IF(Reales!$C$56="PYG",IF(EB$10&gt;0,N(Reales!EB56)/EB$10,0),N(Reales!EB56)),EB$205*V_IVAmeses))</f>
        <v>0</v>
      </c>
      <c r="EC215" s="34" t="n">
        <f aca="false">IF(128&gt;Fin,EB$215,IF(AND(EC$8=1,ISNUMBER(Reales!EC56)),IF(Reales!$C$56="PYG",IF(EC$10&gt;0,N(Reales!EC56)/EC$10,0),N(Reales!EC56)),EC$205*V_IVAmeses))</f>
        <v>0</v>
      </c>
      <c r="ED215" s="34" t="n">
        <f aca="false">IF(129&gt;Fin,EC$215,IF(AND(ED$8=1,ISNUMBER(Reales!ED56)),IF(Reales!$C$56="PYG",IF(ED$10&gt;0,N(Reales!ED56)/ED$10,0),N(Reales!ED56)),ED$205*V_IVAmeses))</f>
        <v>0</v>
      </c>
      <c r="EE215" s="34" t="n">
        <f aca="false">IF(130&gt;Fin,ED$215,IF(AND(EE$8=1,ISNUMBER(Reales!EE56)),IF(Reales!$C$56="PYG",IF(EE$10&gt;0,N(Reales!EE56)/EE$10,0),N(Reales!EE56)),EE$205*V_IVAmeses))</f>
        <v>0</v>
      </c>
      <c r="EF215" s="34" t="n">
        <f aca="false">IF(131&gt;Fin,EE$215,IF(AND(EF$8=1,ISNUMBER(Reales!EF56)),IF(Reales!$C$56="PYG",IF(EF$10&gt;0,N(Reales!EF56)/EF$10,0),N(Reales!EF56)),EF$205*V_IVAmeses))</f>
        <v>0</v>
      </c>
      <c r="EG215" s="34" t="n">
        <f aca="false">IF(132&gt;Fin,EF$215,IF(AND(EG$8=1,ISNUMBER(Reales!EG56)),IF(Reales!$C$56="PYG",IF(EG$10&gt;0,N(Reales!EG56)/EG$10,0),N(Reales!EG56)),EG$205*V_IVAmeses))</f>
        <v>0</v>
      </c>
      <c r="EH215" s="34" t="n">
        <f aca="false">IF(133&gt;Fin,EG$215,IF(AND(EH$8=1,ISNUMBER(Reales!EH56)),IF(Reales!$C$56="PYG",IF(EH$10&gt;0,N(Reales!EH56)/EH$10,0),N(Reales!EH56)),EH$205*V_IVAmeses))</f>
        <v>0</v>
      </c>
      <c r="EI215" s="34" t="n">
        <f aca="false">IF(134&gt;Fin,EH$215,IF(AND(EI$8=1,ISNUMBER(Reales!EI56)),IF(Reales!$C$56="PYG",IF(EI$10&gt;0,N(Reales!EI56)/EI$10,0),N(Reales!EI56)),EI$205*V_IVAmeses))</f>
        <v>0</v>
      </c>
      <c r="EJ215" s="34" t="n">
        <f aca="false">IF(135&gt;Fin,EI$215,IF(AND(EJ$8=1,ISNUMBER(Reales!EJ56)),IF(Reales!$C$56="PYG",IF(EJ$10&gt;0,N(Reales!EJ56)/EJ$10,0),N(Reales!EJ56)),EJ$205*V_IVAmeses))</f>
        <v>0</v>
      </c>
      <c r="EK215" s="34" t="n">
        <f aca="false">IF(136&gt;Fin,EJ$215,IF(AND(EK$8=1,ISNUMBER(Reales!EK56)),IF(Reales!$C$56="PYG",IF(EK$10&gt;0,N(Reales!EK56)/EK$10,0),N(Reales!EK56)),EK$205*V_IVAmeses))</f>
        <v>0</v>
      </c>
      <c r="EL215" s="34" t="n">
        <f aca="false">IF(137&gt;Fin,EK$215,IF(AND(EL$8=1,ISNUMBER(Reales!EL56)),IF(Reales!$C$56="PYG",IF(EL$10&gt;0,N(Reales!EL56)/EL$10,0),N(Reales!EL56)),EL$205*V_IVAmeses))</f>
        <v>0</v>
      </c>
      <c r="EM215" s="34" t="n">
        <f aca="false">IF(138&gt;Fin,EL$215,IF(AND(EM$8=1,ISNUMBER(Reales!EM56)),IF(Reales!$C$56="PYG",IF(EM$10&gt;0,N(Reales!EM56)/EM$10,0),N(Reales!EM56)),EM$205*V_IVAmeses))</f>
        <v>0</v>
      </c>
      <c r="EN215" s="34" t="n">
        <f aca="false">IF(139&gt;Fin,EM$215,IF(AND(EN$8=1,ISNUMBER(Reales!EN56)),IF(Reales!$C$56="PYG",IF(EN$10&gt;0,N(Reales!EN56)/EN$10,0),N(Reales!EN56)),EN$205*V_IVAmeses))</f>
        <v>0</v>
      </c>
      <c r="EO215" s="34" t="n">
        <f aca="false">IF(140&gt;Fin,EN$215,IF(AND(EO$8=1,ISNUMBER(Reales!EO56)),IF(Reales!$C$56="PYG",IF(EO$10&gt;0,N(Reales!EO56)/EO$10,0),N(Reales!EO56)),EO$205*V_IVAmeses))</f>
        <v>0</v>
      </c>
      <c r="EP215" s="34" t="n">
        <f aca="false">IF(141&gt;Fin,EO$215,IF(AND(EP$8=1,ISNUMBER(Reales!EP56)),IF(Reales!$C$56="PYG",IF(EP$10&gt;0,N(Reales!EP56)/EP$10,0),N(Reales!EP56)),EP$205*V_IVAmeses))</f>
        <v>0</v>
      </c>
      <c r="EQ215" s="34" t="n">
        <f aca="false">IF(142&gt;Fin,EP$215,IF(AND(EQ$8=1,ISNUMBER(Reales!EQ56)),IF(Reales!$C$56="PYG",IF(EQ$10&gt;0,N(Reales!EQ56)/EQ$10,0),N(Reales!EQ56)),EQ$205*V_IVAmeses))</f>
        <v>0</v>
      </c>
      <c r="ER215" s="34" t="n">
        <f aca="false">IF(143&gt;Fin,EQ$215,IF(AND(ER$8=1,ISNUMBER(Reales!ER56)),IF(Reales!$C$56="PYG",IF(ER$10&gt;0,N(Reales!ER56)/ER$10,0),N(Reales!ER56)),ER$205*V_IVAmeses))</f>
        <v>0</v>
      </c>
      <c r="ES215" s="34" t="n">
        <f aca="false">IF(144&gt;Fin,ER$215,IF(AND(ES$8=1,ISNUMBER(Reales!ES56)),IF(Reales!$C$56="PYG",IF(ES$10&gt;0,N(Reales!ES56)/ES$10,0),N(Reales!ES56)),ES$205*V_IVAmeses))</f>
        <v>0</v>
      </c>
    </row>
    <row r="216" customFormat="false" ht="15" hidden="false" customHeight="false" outlineLevel="0" collapsed="false">
      <c r="A216" s="2" t="s">
        <v>829</v>
      </c>
      <c r="B216" s="6" t="s">
        <v>659</v>
      </c>
      <c r="C216" s="6" t="s">
        <v>250</v>
      </c>
      <c r="E216" s="40" t="n">
        <f aca="false">INDEX(F216:ES216,1,MIN(144,Fin))</f>
        <v>158331.694422986</v>
      </c>
      <c r="F216" s="34" t="n">
        <f aca="false">IF(1&gt;Fin,0,IF(AND(F$8=1,ISNUMBER(Reales!F57)),IF(Reales!$C$57="PYG",IF(F$10&gt;0,N(Reales!F57)/F$10,0),N(Reales!F57)),F$197*V_DPOmp/DiasMes+(F$198+F$200+F$203+F$204)*V_DPOot/DiasMes))</f>
        <v>99105.4926010081</v>
      </c>
      <c r="G216" s="34" t="n">
        <f aca="false">IF(2&gt;Fin,F$216,IF(AND(G$8=1,ISNUMBER(Reales!G57)),IF(Reales!$C$57="PYG",IF(G$10&gt;0,N(Reales!G57)/G$10,0),N(Reales!G57)),G$197*V_DPOmp/DiasMes+(G$198+G$200+G$203+G$204)*V_DPOot/DiasMes))</f>
        <v>99105.4926010081</v>
      </c>
      <c r="H216" s="34" t="n">
        <f aca="false">IF(3&gt;Fin,G$216,IF(AND(H$8=1,ISNUMBER(Reales!H57)),IF(Reales!$C$57="PYG",IF(H$10&gt;0,N(Reales!H57)/H$10,0),N(Reales!H57)),H$197*V_DPOmp/DiasMes+(H$198+H$200+H$203+H$204)*V_DPOot/DiasMes))</f>
        <v>99105.4926010081</v>
      </c>
      <c r="I216" s="34" t="n">
        <f aca="false">IF(4&gt;Fin,H$216,IF(AND(I$8=1,ISNUMBER(Reales!I57)),IF(Reales!$C$57="PYG",IF(I$10&gt;0,N(Reales!I57)/I$10,0),N(Reales!I57)),I$197*V_DPOmp/DiasMes+(I$198+I$200+I$203+I$204)*V_DPOot/DiasMes))</f>
        <v>99105.4926010081</v>
      </c>
      <c r="J216" s="34" t="n">
        <f aca="false">IF(5&gt;Fin,I$216,IF(AND(J$8=1,ISNUMBER(Reales!J57)),IF(Reales!$C$57="PYG",IF(J$10&gt;0,N(Reales!J57)/J$10,0),N(Reales!J57)),J$197*V_DPOmp/DiasMes+(J$198+J$200+J$203+J$204)*V_DPOot/DiasMes))</f>
        <v>99105.4926010081</v>
      </c>
      <c r="K216" s="34" t="n">
        <f aca="false">IF(6&gt;Fin,J$216,IF(AND(K$8=1,ISNUMBER(Reales!K57)),IF(Reales!$C$57="PYG",IF(K$10&gt;0,N(Reales!K57)/K$10,0),N(Reales!K57)),K$197*V_DPOmp/DiasMes+(K$198+K$200+K$203+K$204)*V_DPOot/DiasMes))</f>
        <v>99105.4926010081</v>
      </c>
      <c r="L216" s="34" t="n">
        <f aca="false">IF(7&gt;Fin,K$216,IF(AND(L$8=1,ISNUMBER(Reales!L57)),IF(Reales!$C$57="PYG",IF(L$10&gt;0,N(Reales!L57)/L$10,0),N(Reales!L57)),L$197*V_DPOmp/DiasMes+(L$198+L$200+L$203+L$204)*V_DPOot/DiasMes))</f>
        <v>99105.4926010081</v>
      </c>
      <c r="M216" s="34" t="n">
        <f aca="false">IF(8&gt;Fin,L$216,IF(AND(M$8=1,ISNUMBER(Reales!M57)),IF(Reales!$C$57="PYG",IF(M$10&gt;0,N(Reales!M57)/M$10,0),N(Reales!M57)),M$197*V_DPOmp/DiasMes+(M$198+M$200+M$203+M$204)*V_DPOot/DiasMes))</f>
        <v>99105.4926010081</v>
      </c>
      <c r="N216" s="34" t="n">
        <f aca="false">IF(9&gt;Fin,M$216,IF(AND(N$8=1,ISNUMBER(Reales!N57)),IF(Reales!$C$57="PYG",IF(N$10&gt;0,N(Reales!N57)/N$10,0),N(Reales!N57)),N$197*V_DPOmp/DiasMes+(N$198+N$200+N$203+N$204)*V_DPOot/DiasMes))</f>
        <v>99105.4926010081</v>
      </c>
      <c r="O216" s="34" t="n">
        <f aca="false">IF(10&gt;Fin,N$216,IF(AND(O$8=1,ISNUMBER(Reales!O57)),IF(Reales!$C$57="PYG",IF(O$10&gt;0,N(Reales!O57)/O$10,0),N(Reales!O57)),O$197*V_DPOmp/DiasMes+(O$198+O$200+O$203+O$204)*V_DPOot/DiasMes))</f>
        <v>99105.4926010081</v>
      </c>
      <c r="P216" s="34" t="n">
        <f aca="false">IF(11&gt;Fin,O$216,IF(AND(P$8=1,ISNUMBER(Reales!P57)),IF(Reales!$C$57="PYG",IF(P$10&gt;0,N(Reales!P57)/P$10,0),N(Reales!P57)),P$197*V_DPOmp/DiasMes+(P$198+P$200+P$203+P$204)*V_DPOot/DiasMes))</f>
        <v>99105.4926010081</v>
      </c>
      <c r="Q216" s="34" t="n">
        <f aca="false">IF(12&gt;Fin,P$216,IF(AND(Q$8=1,ISNUMBER(Reales!Q57)),IF(Reales!$C$57="PYG",IF(Q$10&gt;0,N(Reales!Q57)/Q$10,0),N(Reales!Q57)),Q$197*V_DPOmp/DiasMes+(Q$198+Q$200+Q$203+Q$204)*V_DPOot/DiasMes))</f>
        <v>99105.4926010081</v>
      </c>
      <c r="R216" s="34" t="n">
        <f aca="false">IF(13&gt;Fin,Q$216,IF(AND(R$8=1,ISNUMBER(Reales!R57)),IF(Reales!$C$57="PYG",IF(R$10&gt;0,N(Reales!R57)/R$10,0),N(Reales!R57)),R$197*V_DPOmp/DiasMes+(R$198+R$200+R$203+R$204)*V_DPOot/DiasMes))</f>
        <v>117843.301076035</v>
      </c>
      <c r="S216" s="34" t="n">
        <f aca="false">IF(14&gt;Fin,R$216,IF(AND(S$8=1,ISNUMBER(Reales!S57)),IF(Reales!$C$57="PYG",IF(S$10&gt;0,N(Reales!S57)/S$10,0),N(Reales!S57)),S$197*V_DPOmp/DiasMes+(S$198+S$200+S$203+S$204)*V_DPOot/DiasMes))</f>
        <v>117843.301076035</v>
      </c>
      <c r="T216" s="34" t="n">
        <f aca="false">IF(15&gt;Fin,S$216,IF(AND(T$8=1,ISNUMBER(Reales!T57)),IF(Reales!$C$57="PYG",IF(T$10&gt;0,N(Reales!T57)/T$10,0),N(Reales!T57)),T$197*V_DPOmp/DiasMes+(T$198+T$200+T$203+T$204)*V_DPOot/DiasMes))</f>
        <v>117843.301076035</v>
      </c>
      <c r="U216" s="34" t="n">
        <f aca="false">IF(16&gt;Fin,T$216,IF(AND(U$8=1,ISNUMBER(Reales!U57)),IF(Reales!$C$57="PYG",IF(U$10&gt;0,N(Reales!U57)/U$10,0),N(Reales!U57)),U$197*V_DPOmp/DiasMes+(U$198+U$200+U$203+U$204)*V_DPOot/DiasMes))</f>
        <v>117843.301076035</v>
      </c>
      <c r="V216" s="34" t="n">
        <f aca="false">IF(17&gt;Fin,U$216,IF(AND(V$8=1,ISNUMBER(Reales!V57)),IF(Reales!$C$57="PYG",IF(V$10&gt;0,N(Reales!V57)/V$10,0),N(Reales!V57)),V$197*V_DPOmp/DiasMes+(V$198+V$200+V$203+V$204)*V_DPOot/DiasMes))</f>
        <v>117843.301076035</v>
      </c>
      <c r="W216" s="34" t="n">
        <f aca="false">IF(18&gt;Fin,V$216,IF(AND(W$8=1,ISNUMBER(Reales!W57)),IF(Reales!$C$57="PYG",IF(W$10&gt;0,N(Reales!W57)/W$10,0),N(Reales!W57)),W$197*V_DPOmp/DiasMes+(W$198+W$200+W$203+W$204)*V_DPOot/DiasMes))</f>
        <v>117843.301076035</v>
      </c>
      <c r="X216" s="34" t="n">
        <f aca="false">IF(19&gt;Fin,W$216,IF(AND(X$8=1,ISNUMBER(Reales!X57)),IF(Reales!$C$57="PYG",IF(X$10&gt;0,N(Reales!X57)/X$10,0),N(Reales!X57)),X$197*V_DPOmp/DiasMes+(X$198+X$200+X$203+X$204)*V_DPOot/DiasMes))</f>
        <v>117843.301076035</v>
      </c>
      <c r="Y216" s="34" t="n">
        <f aca="false">IF(20&gt;Fin,X$216,IF(AND(Y$8=1,ISNUMBER(Reales!Y57)),IF(Reales!$C$57="PYG",IF(Y$10&gt;0,N(Reales!Y57)/Y$10,0),N(Reales!Y57)),Y$197*V_DPOmp/DiasMes+(Y$198+Y$200+Y$203+Y$204)*V_DPOot/DiasMes))</f>
        <v>117843.301076035</v>
      </c>
      <c r="Z216" s="34" t="n">
        <f aca="false">IF(21&gt;Fin,Y$216,IF(AND(Z$8=1,ISNUMBER(Reales!Z57)),IF(Reales!$C$57="PYG",IF(Z$10&gt;0,N(Reales!Z57)/Z$10,0),N(Reales!Z57)),Z$197*V_DPOmp/DiasMes+(Z$198+Z$200+Z$203+Z$204)*V_DPOot/DiasMes))</f>
        <v>117843.301076035</v>
      </c>
      <c r="AA216" s="34" t="n">
        <f aca="false">IF(22&gt;Fin,Z$216,IF(AND(AA$8=1,ISNUMBER(Reales!AA57)),IF(Reales!$C$57="PYG",IF(AA$10&gt;0,N(Reales!AA57)/AA$10,0),N(Reales!AA57)),AA$197*V_DPOmp/DiasMes+(AA$198+AA$200+AA$203+AA$204)*V_DPOot/DiasMes))</f>
        <v>117843.301076035</v>
      </c>
      <c r="AB216" s="34" t="n">
        <f aca="false">IF(23&gt;Fin,AA$216,IF(AND(AB$8=1,ISNUMBER(Reales!AB57)),IF(Reales!$C$57="PYG",IF(AB$10&gt;0,N(Reales!AB57)/AB$10,0),N(Reales!AB57)),AB$197*V_DPOmp/DiasMes+(AB$198+AB$200+AB$203+AB$204)*V_DPOot/DiasMes))</f>
        <v>117843.301076035</v>
      </c>
      <c r="AC216" s="34" t="n">
        <f aca="false">IF(24&gt;Fin,AB$216,IF(AND(AC$8=1,ISNUMBER(Reales!AC57)),IF(Reales!$C$57="PYG",IF(AC$10&gt;0,N(Reales!AC57)/AC$10,0),N(Reales!AC57)),AC$197*V_DPOmp/DiasMes+(AC$198+AC$200+AC$203+AC$204)*V_DPOot/DiasMes))</f>
        <v>117843.301076035</v>
      </c>
      <c r="AD216" s="34" t="n">
        <f aca="false">IF(25&gt;Fin,AC$216,IF(AND(AD$8=1,ISNUMBER(Reales!AD57)),IF(Reales!$C$57="PYG",IF(AD$10&gt;0,N(Reales!AD57)/AD$10,0),N(Reales!AD57)),AD$197*V_DPOmp/DiasMes+(AD$198+AD$200+AD$203+AD$204)*V_DPOot/DiasMes))</f>
        <v>136841.164480491</v>
      </c>
      <c r="AE216" s="34" t="n">
        <f aca="false">IF(26&gt;Fin,AD$216,IF(AND(AE$8=1,ISNUMBER(Reales!AE57)),IF(Reales!$C$57="PYG",IF(AE$10&gt;0,N(Reales!AE57)/AE$10,0),N(Reales!AE57)),AE$197*V_DPOmp/DiasMes+(AE$198+AE$200+AE$203+AE$204)*V_DPOot/DiasMes))</f>
        <v>136841.164480491</v>
      </c>
      <c r="AF216" s="34" t="n">
        <f aca="false">IF(27&gt;Fin,AE$216,IF(AND(AF$8=1,ISNUMBER(Reales!AF57)),IF(Reales!$C$57="PYG",IF(AF$10&gt;0,N(Reales!AF57)/AF$10,0),N(Reales!AF57)),AF$197*V_DPOmp/DiasMes+(AF$198+AF$200+AF$203+AF$204)*V_DPOot/DiasMes))</f>
        <v>136841.164480491</v>
      </c>
      <c r="AG216" s="34" t="n">
        <f aca="false">IF(28&gt;Fin,AF$216,IF(AND(AG$8=1,ISNUMBER(Reales!AG57)),IF(Reales!$C$57="PYG",IF(AG$10&gt;0,N(Reales!AG57)/AG$10,0),N(Reales!AG57)),AG$197*V_DPOmp/DiasMes+(AG$198+AG$200+AG$203+AG$204)*V_DPOot/DiasMes))</f>
        <v>136841.164480491</v>
      </c>
      <c r="AH216" s="34" t="n">
        <f aca="false">IF(29&gt;Fin,AG$216,IF(AND(AH$8=1,ISNUMBER(Reales!AH57)),IF(Reales!$C$57="PYG",IF(AH$10&gt;0,N(Reales!AH57)/AH$10,0),N(Reales!AH57)),AH$197*V_DPOmp/DiasMes+(AH$198+AH$200+AH$203+AH$204)*V_DPOot/DiasMes))</f>
        <v>136841.164480491</v>
      </c>
      <c r="AI216" s="34" t="n">
        <f aca="false">IF(30&gt;Fin,AH$216,IF(AND(AI$8=1,ISNUMBER(Reales!AI57)),IF(Reales!$C$57="PYG",IF(AI$10&gt;0,N(Reales!AI57)/AI$10,0),N(Reales!AI57)),AI$197*V_DPOmp/DiasMes+(AI$198+AI$200+AI$203+AI$204)*V_DPOot/DiasMes))</f>
        <v>136841.164480491</v>
      </c>
      <c r="AJ216" s="34" t="n">
        <f aca="false">IF(31&gt;Fin,AI$216,IF(AND(AJ$8=1,ISNUMBER(Reales!AJ57)),IF(Reales!$C$57="PYG",IF(AJ$10&gt;0,N(Reales!AJ57)/AJ$10,0),N(Reales!AJ57)),AJ$197*V_DPOmp/DiasMes+(AJ$198+AJ$200+AJ$203+AJ$204)*V_DPOot/DiasMes))</f>
        <v>136841.164480491</v>
      </c>
      <c r="AK216" s="34" t="n">
        <f aca="false">IF(32&gt;Fin,AJ$216,IF(AND(AK$8=1,ISNUMBER(Reales!AK57)),IF(Reales!$C$57="PYG",IF(AK$10&gt;0,N(Reales!AK57)/AK$10,0),N(Reales!AK57)),AK$197*V_DPOmp/DiasMes+(AK$198+AK$200+AK$203+AK$204)*V_DPOot/DiasMes))</f>
        <v>136841.164480491</v>
      </c>
      <c r="AL216" s="34" t="n">
        <f aca="false">IF(33&gt;Fin,AK$216,IF(AND(AL$8=1,ISNUMBER(Reales!AL57)),IF(Reales!$C$57="PYG",IF(AL$10&gt;0,N(Reales!AL57)/AL$10,0),N(Reales!AL57)),AL$197*V_DPOmp/DiasMes+(AL$198+AL$200+AL$203+AL$204)*V_DPOot/DiasMes))</f>
        <v>136841.164480491</v>
      </c>
      <c r="AM216" s="34" t="n">
        <f aca="false">IF(34&gt;Fin,AL$216,IF(AND(AM$8=1,ISNUMBER(Reales!AM57)),IF(Reales!$C$57="PYG",IF(AM$10&gt;0,N(Reales!AM57)/AM$10,0),N(Reales!AM57)),AM$197*V_DPOmp/DiasMes+(AM$198+AM$200+AM$203+AM$204)*V_DPOot/DiasMes))</f>
        <v>136841.164480491</v>
      </c>
      <c r="AN216" s="34" t="n">
        <f aca="false">IF(35&gt;Fin,AM$216,IF(AND(AN$8=1,ISNUMBER(Reales!AN57)),IF(Reales!$C$57="PYG",IF(AN$10&gt;0,N(Reales!AN57)/AN$10,0),N(Reales!AN57)),AN$197*V_DPOmp/DiasMes+(AN$198+AN$200+AN$203+AN$204)*V_DPOot/DiasMes))</f>
        <v>136841.164480491</v>
      </c>
      <c r="AO216" s="34" t="n">
        <f aca="false">IF(36&gt;Fin,AN$216,IF(AND(AO$8=1,ISNUMBER(Reales!AO57)),IF(Reales!$C$57="PYG",IF(AO$10&gt;0,N(Reales!AO57)/AO$10,0),N(Reales!AO57)),AO$197*V_DPOmp/DiasMes+(AO$198+AO$200+AO$203+AO$204)*V_DPOot/DiasMes))</f>
        <v>136841.164480491</v>
      </c>
      <c r="AP216" s="34" t="n">
        <f aca="false">IF(37&gt;Fin,AO$216,IF(AND(AP$8=1,ISNUMBER(Reales!AP57)),IF(Reales!$C$57="PYG",IF(AP$10&gt;0,N(Reales!AP57)/AP$10,0),N(Reales!AP57)),AP$197*V_DPOmp/DiasMes+(AP$198+AP$200+AP$203+AP$204)*V_DPOot/DiasMes))</f>
        <v>152372.625750663</v>
      </c>
      <c r="AQ216" s="34" t="n">
        <f aca="false">IF(38&gt;Fin,AP$216,IF(AND(AQ$8=1,ISNUMBER(Reales!AQ57)),IF(Reales!$C$57="PYG",IF(AQ$10&gt;0,N(Reales!AQ57)/AQ$10,0),N(Reales!AQ57)),AQ$197*V_DPOmp/DiasMes+(AQ$198+AQ$200+AQ$203+AQ$204)*V_DPOot/DiasMes))</f>
        <v>152372.625750663</v>
      </c>
      <c r="AR216" s="34" t="n">
        <f aca="false">IF(39&gt;Fin,AQ$216,IF(AND(AR$8=1,ISNUMBER(Reales!AR57)),IF(Reales!$C$57="PYG",IF(AR$10&gt;0,N(Reales!AR57)/AR$10,0),N(Reales!AR57)),AR$197*V_DPOmp/DiasMes+(AR$198+AR$200+AR$203+AR$204)*V_DPOot/DiasMes))</f>
        <v>152372.625750663</v>
      </c>
      <c r="AS216" s="34" t="n">
        <f aca="false">IF(40&gt;Fin,AR$216,IF(AND(AS$8=1,ISNUMBER(Reales!AS57)),IF(Reales!$C$57="PYG",IF(AS$10&gt;0,N(Reales!AS57)/AS$10,0),N(Reales!AS57)),AS$197*V_DPOmp/DiasMes+(AS$198+AS$200+AS$203+AS$204)*V_DPOot/DiasMes))</f>
        <v>152372.625750663</v>
      </c>
      <c r="AT216" s="34" t="n">
        <f aca="false">IF(41&gt;Fin,AS$216,IF(AND(AT$8=1,ISNUMBER(Reales!AT57)),IF(Reales!$C$57="PYG",IF(AT$10&gt;0,N(Reales!AT57)/AT$10,0),N(Reales!AT57)),AT$197*V_DPOmp/DiasMes+(AT$198+AT$200+AT$203+AT$204)*V_DPOot/DiasMes))</f>
        <v>152372.625750663</v>
      </c>
      <c r="AU216" s="34" t="n">
        <f aca="false">IF(42&gt;Fin,AT$216,IF(AND(AU$8=1,ISNUMBER(Reales!AU57)),IF(Reales!$C$57="PYG",IF(AU$10&gt;0,N(Reales!AU57)/AU$10,0),N(Reales!AU57)),AU$197*V_DPOmp/DiasMes+(AU$198+AU$200+AU$203+AU$204)*V_DPOot/DiasMes))</f>
        <v>152372.625750663</v>
      </c>
      <c r="AV216" s="34" t="n">
        <f aca="false">IF(43&gt;Fin,AU$216,IF(AND(AV$8=1,ISNUMBER(Reales!AV57)),IF(Reales!$C$57="PYG",IF(AV$10&gt;0,N(Reales!AV57)/AV$10,0),N(Reales!AV57)),AV$197*V_DPOmp/DiasMes+(AV$198+AV$200+AV$203+AV$204)*V_DPOot/DiasMes))</f>
        <v>152372.625750663</v>
      </c>
      <c r="AW216" s="34" t="n">
        <f aca="false">IF(44&gt;Fin,AV$216,IF(AND(AW$8=1,ISNUMBER(Reales!AW57)),IF(Reales!$C$57="PYG",IF(AW$10&gt;0,N(Reales!AW57)/AW$10,0),N(Reales!AW57)),AW$197*V_DPOmp/DiasMes+(AW$198+AW$200+AW$203+AW$204)*V_DPOot/DiasMes))</f>
        <v>152372.625750663</v>
      </c>
      <c r="AX216" s="34" t="n">
        <f aca="false">IF(45&gt;Fin,AW$216,IF(AND(AX$8=1,ISNUMBER(Reales!AX57)),IF(Reales!$C$57="PYG",IF(AX$10&gt;0,N(Reales!AX57)/AX$10,0),N(Reales!AX57)),AX$197*V_DPOmp/DiasMes+(AX$198+AX$200+AX$203+AX$204)*V_DPOot/DiasMes))</f>
        <v>152372.625750663</v>
      </c>
      <c r="AY216" s="34" t="n">
        <f aca="false">IF(46&gt;Fin,AX$216,IF(AND(AY$8=1,ISNUMBER(Reales!AY57)),IF(Reales!$C$57="PYG",IF(AY$10&gt;0,N(Reales!AY57)/AY$10,0),N(Reales!AY57)),AY$197*V_DPOmp/DiasMes+(AY$198+AY$200+AY$203+AY$204)*V_DPOot/DiasMes))</f>
        <v>152372.625750663</v>
      </c>
      <c r="AZ216" s="34" t="n">
        <f aca="false">IF(47&gt;Fin,AY$216,IF(AND(AZ$8=1,ISNUMBER(Reales!AZ57)),IF(Reales!$C$57="PYG",IF(AZ$10&gt;0,N(Reales!AZ57)/AZ$10,0),N(Reales!AZ57)),AZ$197*V_DPOmp/DiasMes+(AZ$198+AZ$200+AZ$203+AZ$204)*V_DPOot/DiasMes))</f>
        <v>152372.625750663</v>
      </c>
      <c r="BA216" s="34" t="n">
        <f aca="false">IF(48&gt;Fin,AZ$216,IF(AND(BA$8=1,ISNUMBER(Reales!BA57)),IF(Reales!$C$57="PYG",IF(BA$10&gt;0,N(Reales!BA57)/BA$10,0),N(Reales!BA57)),BA$197*V_DPOmp/DiasMes+(BA$198+BA$200+BA$203+BA$204)*V_DPOot/DiasMes))</f>
        <v>152372.625750663</v>
      </c>
      <c r="BB216" s="34" t="n">
        <f aca="false">IF(49&gt;Fin,BA$216,IF(AND(BB$8=1,ISNUMBER(Reales!BB57)),IF(Reales!$C$57="PYG",IF(BB$10&gt;0,N(Reales!BB57)/BB$10,0),N(Reales!BB57)),BB$197*V_DPOmp/DiasMes+(BB$198+BB$200+BB$203+BB$204)*V_DPOot/DiasMes))</f>
        <v>153439.396899076</v>
      </c>
      <c r="BC216" s="34" t="n">
        <f aca="false">IF(50&gt;Fin,BB$216,IF(AND(BC$8=1,ISNUMBER(Reales!BC57)),IF(Reales!$C$57="PYG",IF(BC$10&gt;0,N(Reales!BC57)/BC$10,0),N(Reales!BC57)),BC$197*V_DPOmp/DiasMes+(BC$198+BC$200+BC$203+BC$204)*V_DPOot/DiasMes))</f>
        <v>153439.396899076</v>
      </c>
      <c r="BD216" s="34" t="n">
        <f aca="false">IF(51&gt;Fin,BC$216,IF(AND(BD$8=1,ISNUMBER(Reales!BD57)),IF(Reales!$C$57="PYG",IF(BD$10&gt;0,N(Reales!BD57)/BD$10,0),N(Reales!BD57)),BD$197*V_DPOmp/DiasMes+(BD$198+BD$200+BD$203+BD$204)*V_DPOot/DiasMes))</f>
        <v>153439.396899076</v>
      </c>
      <c r="BE216" s="34" t="n">
        <f aca="false">IF(52&gt;Fin,BD$216,IF(AND(BE$8=1,ISNUMBER(Reales!BE57)),IF(Reales!$C$57="PYG",IF(BE$10&gt;0,N(Reales!BE57)/BE$10,0),N(Reales!BE57)),BE$197*V_DPOmp/DiasMes+(BE$198+BE$200+BE$203+BE$204)*V_DPOot/DiasMes))</f>
        <v>153439.396899076</v>
      </c>
      <c r="BF216" s="34" t="n">
        <f aca="false">IF(53&gt;Fin,BE$216,IF(AND(BF$8=1,ISNUMBER(Reales!BF57)),IF(Reales!$C$57="PYG",IF(BF$10&gt;0,N(Reales!BF57)/BF$10,0),N(Reales!BF57)),BF$197*V_DPOmp/DiasMes+(BF$198+BF$200+BF$203+BF$204)*V_DPOot/DiasMes))</f>
        <v>153439.396899076</v>
      </c>
      <c r="BG216" s="34" t="n">
        <f aca="false">IF(54&gt;Fin,BF$216,IF(AND(BG$8=1,ISNUMBER(Reales!BG57)),IF(Reales!$C$57="PYG",IF(BG$10&gt;0,N(Reales!BG57)/BG$10,0),N(Reales!BG57)),BG$197*V_DPOmp/DiasMes+(BG$198+BG$200+BG$203+BG$204)*V_DPOot/DiasMes))</f>
        <v>153439.396899076</v>
      </c>
      <c r="BH216" s="34" t="n">
        <f aca="false">IF(55&gt;Fin,BG$216,IF(AND(BH$8=1,ISNUMBER(Reales!BH57)),IF(Reales!$C$57="PYG",IF(BH$10&gt;0,N(Reales!BH57)/BH$10,0),N(Reales!BH57)),BH$197*V_DPOmp/DiasMes+(BH$198+BH$200+BH$203+BH$204)*V_DPOot/DiasMes))</f>
        <v>153439.396899076</v>
      </c>
      <c r="BI216" s="34" t="n">
        <f aca="false">IF(56&gt;Fin,BH$216,IF(AND(BI$8=1,ISNUMBER(Reales!BI57)),IF(Reales!$C$57="PYG",IF(BI$10&gt;0,N(Reales!BI57)/BI$10,0),N(Reales!BI57)),BI$197*V_DPOmp/DiasMes+(BI$198+BI$200+BI$203+BI$204)*V_DPOot/DiasMes))</f>
        <v>153439.396899076</v>
      </c>
      <c r="BJ216" s="34" t="n">
        <f aca="false">IF(57&gt;Fin,BI$216,IF(AND(BJ$8=1,ISNUMBER(Reales!BJ57)),IF(Reales!$C$57="PYG",IF(BJ$10&gt;0,N(Reales!BJ57)/BJ$10,0),N(Reales!BJ57)),BJ$197*V_DPOmp/DiasMes+(BJ$198+BJ$200+BJ$203+BJ$204)*V_DPOot/DiasMes))</f>
        <v>153439.396899076</v>
      </c>
      <c r="BK216" s="34" t="n">
        <f aca="false">IF(58&gt;Fin,BJ$216,IF(AND(BK$8=1,ISNUMBER(Reales!BK57)),IF(Reales!$C$57="PYG",IF(BK$10&gt;0,N(Reales!BK57)/BK$10,0),N(Reales!BK57)),BK$197*V_DPOmp/DiasMes+(BK$198+BK$200+BK$203+BK$204)*V_DPOot/DiasMes))</f>
        <v>153439.396899076</v>
      </c>
      <c r="BL216" s="34" t="n">
        <f aca="false">IF(59&gt;Fin,BK$216,IF(AND(BL$8=1,ISNUMBER(Reales!BL57)),IF(Reales!$C$57="PYG",IF(BL$10&gt;0,N(Reales!BL57)/BL$10,0),N(Reales!BL57)),BL$197*V_DPOmp/DiasMes+(BL$198+BL$200+BL$203+BL$204)*V_DPOot/DiasMes))</f>
        <v>153439.396899076</v>
      </c>
      <c r="BM216" s="34" t="n">
        <f aca="false">IF(60&gt;Fin,BL$216,IF(AND(BM$8=1,ISNUMBER(Reales!BM57)),IF(Reales!$C$57="PYG",IF(BM$10&gt;0,N(Reales!BM57)/BM$10,0),N(Reales!BM57)),BM$197*V_DPOmp/DiasMes+(BM$198+BM$200+BM$203+BM$204)*V_DPOot/DiasMes))</f>
        <v>153439.396899076</v>
      </c>
      <c r="BN216" s="34" t="n">
        <f aca="false">IF(61&gt;Fin,BM$216,IF(AND(BN$8=1,ISNUMBER(Reales!BN57)),IF(Reales!$C$57="PYG",IF(BN$10&gt;0,N(Reales!BN57)/BN$10,0),N(Reales!BN57)),BN$197*V_DPOmp/DiasMes+(BN$198+BN$200+BN$203+BN$204)*V_DPOot/DiasMes))</f>
        <v>154373.202430234</v>
      </c>
      <c r="BO216" s="34" t="n">
        <f aca="false">IF(62&gt;Fin,BN$216,IF(AND(BO$8=1,ISNUMBER(Reales!BO57)),IF(Reales!$C$57="PYG",IF(BO$10&gt;0,N(Reales!BO57)/BO$10,0),N(Reales!BO57)),BO$197*V_DPOmp/DiasMes+(BO$198+BO$200+BO$203+BO$204)*V_DPOot/DiasMes))</f>
        <v>154373.202430234</v>
      </c>
      <c r="BP216" s="34" t="n">
        <f aca="false">IF(63&gt;Fin,BO$216,IF(AND(BP$8=1,ISNUMBER(Reales!BP57)),IF(Reales!$C$57="PYG",IF(BP$10&gt;0,N(Reales!BP57)/BP$10,0),N(Reales!BP57)),BP$197*V_DPOmp/DiasMes+(BP$198+BP$200+BP$203+BP$204)*V_DPOot/DiasMes))</f>
        <v>154373.202430234</v>
      </c>
      <c r="BQ216" s="34" t="n">
        <f aca="false">IF(64&gt;Fin,BP$216,IF(AND(BQ$8=1,ISNUMBER(Reales!BQ57)),IF(Reales!$C$57="PYG",IF(BQ$10&gt;0,N(Reales!BQ57)/BQ$10,0),N(Reales!BQ57)),BQ$197*V_DPOmp/DiasMes+(BQ$198+BQ$200+BQ$203+BQ$204)*V_DPOot/DiasMes))</f>
        <v>154373.202430234</v>
      </c>
      <c r="BR216" s="34" t="n">
        <f aca="false">IF(65&gt;Fin,BQ$216,IF(AND(BR$8=1,ISNUMBER(Reales!BR57)),IF(Reales!$C$57="PYG",IF(BR$10&gt;0,N(Reales!BR57)/BR$10,0),N(Reales!BR57)),BR$197*V_DPOmp/DiasMes+(BR$198+BR$200+BR$203+BR$204)*V_DPOot/DiasMes))</f>
        <v>154373.202430234</v>
      </c>
      <c r="BS216" s="34" t="n">
        <f aca="false">IF(66&gt;Fin,BR$216,IF(AND(BS$8=1,ISNUMBER(Reales!BS57)),IF(Reales!$C$57="PYG",IF(BS$10&gt;0,N(Reales!BS57)/BS$10,0),N(Reales!BS57)),BS$197*V_DPOmp/DiasMes+(BS$198+BS$200+BS$203+BS$204)*V_DPOot/DiasMes))</f>
        <v>154373.202430234</v>
      </c>
      <c r="BT216" s="34" t="n">
        <f aca="false">IF(67&gt;Fin,BS$216,IF(AND(BT$8=1,ISNUMBER(Reales!BT57)),IF(Reales!$C$57="PYG",IF(BT$10&gt;0,N(Reales!BT57)/BT$10,0),N(Reales!BT57)),BT$197*V_DPOmp/DiasMes+(BT$198+BT$200+BT$203+BT$204)*V_DPOot/DiasMes))</f>
        <v>154373.202430234</v>
      </c>
      <c r="BU216" s="34" t="n">
        <f aca="false">IF(68&gt;Fin,BT$216,IF(AND(BU$8=1,ISNUMBER(Reales!BU57)),IF(Reales!$C$57="PYG",IF(BU$10&gt;0,N(Reales!BU57)/BU$10,0),N(Reales!BU57)),BU$197*V_DPOmp/DiasMes+(BU$198+BU$200+BU$203+BU$204)*V_DPOot/DiasMes))</f>
        <v>154373.202430234</v>
      </c>
      <c r="BV216" s="34" t="n">
        <f aca="false">IF(69&gt;Fin,BU$216,IF(AND(BV$8=1,ISNUMBER(Reales!BV57)),IF(Reales!$C$57="PYG",IF(BV$10&gt;0,N(Reales!BV57)/BV$10,0),N(Reales!BV57)),BV$197*V_DPOmp/DiasMes+(BV$198+BV$200+BV$203+BV$204)*V_DPOot/DiasMes))</f>
        <v>154373.202430234</v>
      </c>
      <c r="BW216" s="34" t="n">
        <f aca="false">IF(70&gt;Fin,BV$216,IF(AND(BW$8=1,ISNUMBER(Reales!BW57)),IF(Reales!$C$57="PYG",IF(BW$10&gt;0,N(Reales!BW57)/BW$10,0),N(Reales!BW57)),BW$197*V_DPOmp/DiasMes+(BW$198+BW$200+BW$203+BW$204)*V_DPOot/DiasMes))</f>
        <v>154373.202430234</v>
      </c>
      <c r="BX216" s="34" t="n">
        <f aca="false">IF(71&gt;Fin,BW$216,IF(AND(BX$8=1,ISNUMBER(Reales!BX57)),IF(Reales!$C$57="PYG",IF(BX$10&gt;0,N(Reales!BX57)/BX$10,0),N(Reales!BX57)),BX$197*V_DPOmp/DiasMes+(BX$198+BX$200+BX$203+BX$204)*V_DPOot/DiasMes))</f>
        <v>154373.202430234</v>
      </c>
      <c r="BY216" s="34" t="n">
        <f aca="false">IF(72&gt;Fin,BX$216,IF(AND(BY$8=1,ISNUMBER(Reales!BY57)),IF(Reales!$C$57="PYG",IF(BY$10&gt;0,N(Reales!BY57)/BY$10,0),N(Reales!BY57)),BY$197*V_DPOmp/DiasMes+(BY$198+BY$200+BY$203+BY$204)*V_DPOot/DiasMes))</f>
        <v>154373.202430234</v>
      </c>
      <c r="BZ216" s="34" t="n">
        <f aca="false">IF(73&gt;Fin,BY$216,IF(AND(BZ$8=1,ISNUMBER(Reales!BZ57)),IF(Reales!$C$57="PYG",IF(BZ$10&gt;0,N(Reales!BZ57)/BZ$10,0),N(Reales!BZ57)),BZ$197*V_DPOmp/DiasMes+(BZ$198+BZ$200+BZ$203+BZ$204)*V_DPOot/DiasMes))</f>
        <v>155328.742837727</v>
      </c>
      <c r="CA216" s="34" t="n">
        <f aca="false">IF(74&gt;Fin,BZ$216,IF(AND(CA$8=1,ISNUMBER(Reales!CA57)),IF(Reales!$C$57="PYG",IF(CA$10&gt;0,N(Reales!CA57)/CA$10,0),N(Reales!CA57)),CA$197*V_DPOmp/DiasMes+(CA$198+CA$200+CA$203+CA$204)*V_DPOot/DiasMes))</f>
        <v>155328.742837727</v>
      </c>
      <c r="CB216" s="34" t="n">
        <f aca="false">IF(75&gt;Fin,CA$216,IF(AND(CB$8=1,ISNUMBER(Reales!CB57)),IF(Reales!$C$57="PYG",IF(CB$10&gt;0,N(Reales!CB57)/CB$10,0),N(Reales!CB57)),CB$197*V_DPOmp/DiasMes+(CB$198+CB$200+CB$203+CB$204)*V_DPOot/DiasMes))</f>
        <v>155328.742837727</v>
      </c>
      <c r="CC216" s="34" t="n">
        <f aca="false">IF(76&gt;Fin,CB$216,IF(AND(CC$8=1,ISNUMBER(Reales!CC57)),IF(Reales!$C$57="PYG",IF(CC$10&gt;0,N(Reales!CC57)/CC$10,0),N(Reales!CC57)),CC$197*V_DPOmp/DiasMes+(CC$198+CC$200+CC$203+CC$204)*V_DPOot/DiasMes))</f>
        <v>155328.742837727</v>
      </c>
      <c r="CD216" s="34" t="n">
        <f aca="false">IF(77&gt;Fin,CC$216,IF(AND(CD$8=1,ISNUMBER(Reales!CD57)),IF(Reales!$C$57="PYG",IF(CD$10&gt;0,N(Reales!CD57)/CD$10,0),N(Reales!CD57)),CD$197*V_DPOmp/DiasMes+(CD$198+CD$200+CD$203+CD$204)*V_DPOot/DiasMes))</f>
        <v>155328.742837727</v>
      </c>
      <c r="CE216" s="34" t="n">
        <f aca="false">IF(78&gt;Fin,CD$216,IF(AND(CE$8=1,ISNUMBER(Reales!CE57)),IF(Reales!$C$57="PYG",IF(CE$10&gt;0,N(Reales!CE57)/CE$10,0),N(Reales!CE57)),CE$197*V_DPOmp/DiasMes+(CE$198+CE$200+CE$203+CE$204)*V_DPOot/DiasMes))</f>
        <v>155328.742837727</v>
      </c>
      <c r="CF216" s="34" t="n">
        <f aca="false">IF(79&gt;Fin,CE$216,IF(AND(CF$8=1,ISNUMBER(Reales!CF57)),IF(Reales!$C$57="PYG",IF(CF$10&gt;0,N(Reales!CF57)/CF$10,0),N(Reales!CF57)),CF$197*V_DPOmp/DiasMes+(CF$198+CF$200+CF$203+CF$204)*V_DPOot/DiasMes))</f>
        <v>155328.742837727</v>
      </c>
      <c r="CG216" s="34" t="n">
        <f aca="false">IF(80&gt;Fin,CF$216,IF(AND(CG$8=1,ISNUMBER(Reales!CG57)),IF(Reales!$C$57="PYG",IF(CG$10&gt;0,N(Reales!CG57)/CG$10,0),N(Reales!CG57)),CG$197*V_DPOmp/DiasMes+(CG$198+CG$200+CG$203+CG$204)*V_DPOot/DiasMes))</f>
        <v>155328.742837727</v>
      </c>
      <c r="CH216" s="34" t="n">
        <f aca="false">IF(81&gt;Fin,CG$216,IF(AND(CH$8=1,ISNUMBER(Reales!CH57)),IF(Reales!$C$57="PYG",IF(CH$10&gt;0,N(Reales!CH57)/CH$10,0),N(Reales!CH57)),CH$197*V_DPOmp/DiasMes+(CH$198+CH$200+CH$203+CH$204)*V_DPOot/DiasMes))</f>
        <v>155328.742837727</v>
      </c>
      <c r="CI216" s="34" t="n">
        <f aca="false">IF(82&gt;Fin,CH$216,IF(AND(CI$8=1,ISNUMBER(Reales!CI57)),IF(Reales!$C$57="PYG",IF(CI$10&gt;0,N(Reales!CI57)/CI$10,0),N(Reales!CI57)),CI$197*V_DPOmp/DiasMes+(CI$198+CI$200+CI$203+CI$204)*V_DPOot/DiasMes))</f>
        <v>155328.742837727</v>
      </c>
      <c r="CJ216" s="34" t="n">
        <f aca="false">IF(83&gt;Fin,CI$216,IF(AND(CJ$8=1,ISNUMBER(Reales!CJ57)),IF(Reales!$C$57="PYG",IF(CJ$10&gt;0,N(Reales!CJ57)/CJ$10,0),N(Reales!CJ57)),CJ$197*V_DPOmp/DiasMes+(CJ$198+CJ$200+CJ$203+CJ$204)*V_DPOot/DiasMes))</f>
        <v>155328.742837727</v>
      </c>
      <c r="CK216" s="34" t="n">
        <f aca="false">IF(84&gt;Fin,CJ$216,IF(AND(CK$8=1,ISNUMBER(Reales!CK57)),IF(Reales!$C$57="PYG",IF(CK$10&gt;0,N(Reales!CK57)/CK$10,0),N(Reales!CK57)),CK$197*V_DPOmp/DiasMes+(CK$198+CK$200+CK$203+CK$204)*V_DPOot/DiasMes))</f>
        <v>155328.742837727</v>
      </c>
      <c r="CL216" s="34" t="n">
        <f aca="false">IF(85&gt;Fin,CK$216,IF(AND(CL$8=1,ISNUMBER(Reales!CL57)),IF(Reales!$C$57="PYG",IF(CL$10&gt;0,N(Reales!CL57)/CL$10,0),N(Reales!CL57)),CL$197*V_DPOmp/DiasMes+(CL$198+CL$200+CL$203+CL$204)*V_DPOot/DiasMes))</f>
        <v>156306.601824573</v>
      </c>
      <c r="CM216" s="34" t="n">
        <f aca="false">IF(86&gt;Fin,CL$216,IF(AND(CM$8=1,ISNUMBER(Reales!CM57)),IF(Reales!$C$57="PYG",IF(CM$10&gt;0,N(Reales!CM57)/CM$10,0),N(Reales!CM57)),CM$197*V_DPOmp/DiasMes+(CM$198+CM$200+CM$203+CM$204)*V_DPOot/DiasMes))</f>
        <v>156306.601824573</v>
      </c>
      <c r="CN216" s="34" t="n">
        <f aca="false">IF(87&gt;Fin,CM$216,IF(AND(CN$8=1,ISNUMBER(Reales!CN57)),IF(Reales!$C$57="PYG",IF(CN$10&gt;0,N(Reales!CN57)/CN$10,0),N(Reales!CN57)),CN$197*V_DPOmp/DiasMes+(CN$198+CN$200+CN$203+CN$204)*V_DPOot/DiasMes))</f>
        <v>156306.601824573</v>
      </c>
      <c r="CO216" s="34" t="n">
        <f aca="false">IF(88&gt;Fin,CN$216,IF(AND(CO$8=1,ISNUMBER(Reales!CO57)),IF(Reales!$C$57="PYG",IF(CO$10&gt;0,N(Reales!CO57)/CO$10,0),N(Reales!CO57)),CO$197*V_DPOmp/DiasMes+(CO$198+CO$200+CO$203+CO$204)*V_DPOot/DiasMes))</f>
        <v>156306.601824573</v>
      </c>
      <c r="CP216" s="34" t="n">
        <f aca="false">IF(89&gt;Fin,CO$216,IF(AND(CP$8=1,ISNUMBER(Reales!CP57)),IF(Reales!$C$57="PYG",IF(CP$10&gt;0,N(Reales!CP57)/CP$10,0),N(Reales!CP57)),CP$197*V_DPOmp/DiasMes+(CP$198+CP$200+CP$203+CP$204)*V_DPOot/DiasMes))</f>
        <v>156306.601824573</v>
      </c>
      <c r="CQ216" s="34" t="n">
        <f aca="false">IF(90&gt;Fin,CP$216,IF(AND(CQ$8=1,ISNUMBER(Reales!CQ57)),IF(Reales!$C$57="PYG",IF(CQ$10&gt;0,N(Reales!CQ57)/CQ$10,0),N(Reales!CQ57)),CQ$197*V_DPOmp/DiasMes+(CQ$198+CQ$200+CQ$203+CQ$204)*V_DPOot/DiasMes))</f>
        <v>156306.601824573</v>
      </c>
      <c r="CR216" s="34" t="n">
        <f aca="false">IF(91&gt;Fin,CQ$216,IF(AND(CR$8=1,ISNUMBER(Reales!CR57)),IF(Reales!$C$57="PYG",IF(CR$10&gt;0,N(Reales!CR57)/CR$10,0),N(Reales!CR57)),CR$197*V_DPOmp/DiasMes+(CR$198+CR$200+CR$203+CR$204)*V_DPOot/DiasMes))</f>
        <v>156306.601824573</v>
      </c>
      <c r="CS216" s="34" t="n">
        <f aca="false">IF(92&gt;Fin,CR$216,IF(AND(CS$8=1,ISNUMBER(Reales!CS57)),IF(Reales!$C$57="PYG",IF(CS$10&gt;0,N(Reales!CS57)/CS$10,0),N(Reales!CS57)),CS$197*V_DPOmp/DiasMes+(CS$198+CS$200+CS$203+CS$204)*V_DPOot/DiasMes))</f>
        <v>156306.601824573</v>
      </c>
      <c r="CT216" s="34" t="n">
        <f aca="false">IF(93&gt;Fin,CS$216,IF(AND(CT$8=1,ISNUMBER(Reales!CT57)),IF(Reales!$C$57="PYG",IF(CT$10&gt;0,N(Reales!CT57)/CT$10,0),N(Reales!CT57)),CT$197*V_DPOmp/DiasMes+(CT$198+CT$200+CT$203+CT$204)*V_DPOot/DiasMes))</f>
        <v>156306.601824573</v>
      </c>
      <c r="CU216" s="34" t="n">
        <f aca="false">IF(94&gt;Fin,CT$216,IF(AND(CU$8=1,ISNUMBER(Reales!CU57)),IF(Reales!$C$57="PYG",IF(CU$10&gt;0,N(Reales!CU57)/CU$10,0),N(Reales!CU57)),CU$197*V_DPOmp/DiasMes+(CU$198+CU$200+CU$203+CU$204)*V_DPOot/DiasMes))</f>
        <v>156306.601824573</v>
      </c>
      <c r="CV216" s="34" t="n">
        <f aca="false">IF(95&gt;Fin,CU$216,IF(AND(CV$8=1,ISNUMBER(Reales!CV57)),IF(Reales!$C$57="PYG",IF(CV$10&gt;0,N(Reales!CV57)/CV$10,0),N(Reales!CV57)),CV$197*V_DPOmp/DiasMes+(CV$198+CV$200+CV$203+CV$204)*V_DPOot/DiasMes))</f>
        <v>156306.601824573</v>
      </c>
      <c r="CW216" s="34" t="n">
        <f aca="false">IF(96&gt;Fin,CV$216,IF(AND(CW$8=1,ISNUMBER(Reales!CW57)),IF(Reales!$C$57="PYG",IF(CW$10&gt;0,N(Reales!CW57)/CW$10,0),N(Reales!CW57)),CW$197*V_DPOmp/DiasMes+(CW$198+CW$200+CW$203+CW$204)*V_DPOot/DiasMes))</f>
        <v>156306.601824573</v>
      </c>
      <c r="CX216" s="34" t="n">
        <f aca="false">IF(97&gt;Fin,CW$216,IF(AND(CX$8=1,ISNUMBER(Reales!CX57)),IF(Reales!$C$57="PYG",IF(CX$10&gt;0,N(Reales!CX57)/CX$10,0),N(Reales!CX57)),CX$197*V_DPOmp/DiasMes+(CX$198+CX$200+CX$203+CX$204)*V_DPOot/DiasMes))</f>
        <v>157307.379810441</v>
      </c>
      <c r="CY216" s="34" t="n">
        <f aca="false">IF(98&gt;Fin,CX$216,IF(AND(CY$8=1,ISNUMBER(Reales!CY57)),IF(Reales!$C$57="PYG",IF(CY$10&gt;0,N(Reales!CY57)/CY$10,0),N(Reales!CY57)),CY$197*V_DPOmp/DiasMes+(CY$198+CY$200+CY$203+CY$204)*V_DPOot/DiasMes))</f>
        <v>157307.379810441</v>
      </c>
      <c r="CZ216" s="34" t="n">
        <f aca="false">IF(99&gt;Fin,CY$216,IF(AND(CZ$8=1,ISNUMBER(Reales!CZ57)),IF(Reales!$C$57="PYG",IF(CZ$10&gt;0,N(Reales!CZ57)/CZ$10,0),N(Reales!CZ57)),CZ$197*V_DPOmp/DiasMes+(CZ$198+CZ$200+CZ$203+CZ$204)*V_DPOot/DiasMes))</f>
        <v>157307.379810441</v>
      </c>
      <c r="DA216" s="34" t="n">
        <f aca="false">IF(100&gt;Fin,CZ$216,IF(AND(DA$8=1,ISNUMBER(Reales!DA57)),IF(Reales!$C$57="PYG",IF(DA$10&gt;0,N(Reales!DA57)/DA$10,0),N(Reales!DA57)),DA$197*V_DPOmp/DiasMes+(DA$198+DA$200+DA$203+DA$204)*V_DPOot/DiasMes))</f>
        <v>157307.379810441</v>
      </c>
      <c r="DB216" s="34" t="n">
        <f aca="false">IF(101&gt;Fin,DA$216,IF(AND(DB$8=1,ISNUMBER(Reales!DB57)),IF(Reales!$C$57="PYG",IF(DB$10&gt;0,N(Reales!DB57)/DB$10,0),N(Reales!DB57)),DB$197*V_DPOmp/DiasMes+(DB$198+DB$200+DB$203+DB$204)*V_DPOot/DiasMes))</f>
        <v>157307.379810441</v>
      </c>
      <c r="DC216" s="34" t="n">
        <f aca="false">IF(102&gt;Fin,DB$216,IF(AND(DC$8=1,ISNUMBER(Reales!DC57)),IF(Reales!$C$57="PYG",IF(DC$10&gt;0,N(Reales!DC57)/DC$10,0),N(Reales!DC57)),DC$197*V_DPOmp/DiasMes+(DC$198+DC$200+DC$203+DC$204)*V_DPOot/DiasMes))</f>
        <v>157307.379810441</v>
      </c>
      <c r="DD216" s="34" t="n">
        <f aca="false">IF(103&gt;Fin,DC$216,IF(AND(DD$8=1,ISNUMBER(Reales!DD57)),IF(Reales!$C$57="PYG",IF(DD$10&gt;0,N(Reales!DD57)/DD$10,0),N(Reales!DD57)),DD$197*V_DPOmp/DiasMes+(DD$198+DD$200+DD$203+DD$204)*V_DPOot/DiasMes))</f>
        <v>157307.379810441</v>
      </c>
      <c r="DE216" s="34" t="n">
        <f aca="false">IF(104&gt;Fin,DD$216,IF(AND(DE$8=1,ISNUMBER(Reales!DE57)),IF(Reales!$C$57="PYG",IF(DE$10&gt;0,N(Reales!DE57)/DE$10,0),N(Reales!DE57)),DE$197*V_DPOmp/DiasMes+(DE$198+DE$200+DE$203+DE$204)*V_DPOot/DiasMes))</f>
        <v>157307.379810441</v>
      </c>
      <c r="DF216" s="34" t="n">
        <f aca="false">IF(105&gt;Fin,DE$216,IF(AND(DF$8=1,ISNUMBER(Reales!DF57)),IF(Reales!$C$57="PYG",IF(DF$10&gt;0,N(Reales!DF57)/DF$10,0),N(Reales!DF57)),DF$197*V_DPOmp/DiasMes+(DF$198+DF$200+DF$203+DF$204)*V_DPOot/DiasMes))</f>
        <v>157307.379810441</v>
      </c>
      <c r="DG216" s="34" t="n">
        <f aca="false">IF(106&gt;Fin,DF$216,IF(AND(DG$8=1,ISNUMBER(Reales!DG57)),IF(Reales!$C$57="PYG",IF(DG$10&gt;0,N(Reales!DG57)/DG$10,0),N(Reales!DG57)),DG$197*V_DPOmp/DiasMes+(DG$198+DG$200+DG$203+DG$204)*V_DPOot/DiasMes))</f>
        <v>157307.379810441</v>
      </c>
      <c r="DH216" s="34" t="n">
        <f aca="false">IF(107&gt;Fin,DG$216,IF(AND(DH$8=1,ISNUMBER(Reales!DH57)),IF(Reales!$C$57="PYG",IF(DH$10&gt;0,N(Reales!DH57)/DH$10,0),N(Reales!DH57)),DH$197*V_DPOmp/DiasMes+(DH$198+DH$200+DH$203+DH$204)*V_DPOot/DiasMes))</f>
        <v>157307.379810441</v>
      </c>
      <c r="DI216" s="34" t="n">
        <f aca="false">IF(108&gt;Fin,DH$216,IF(AND(DI$8=1,ISNUMBER(Reales!DI57)),IF(Reales!$C$57="PYG",IF(DI$10&gt;0,N(Reales!DI57)/DI$10,0),N(Reales!DI57)),DI$197*V_DPOmp/DiasMes+(DI$198+DI$200+DI$203+DI$204)*V_DPOot/DiasMes))</f>
        <v>157307.379810441</v>
      </c>
      <c r="DJ216" s="34" t="n">
        <f aca="false">IF(109&gt;Fin,DI$216,IF(AND(DJ$8=1,ISNUMBER(Reales!DJ57)),IF(Reales!$C$57="PYG",IF(DJ$10&gt;0,N(Reales!DJ57)/DJ$10,0),N(Reales!DJ57)),DJ$197*V_DPOmp/DiasMes+(DJ$198+DJ$200+DJ$203+DJ$204)*V_DPOot/DiasMes))</f>
        <v>158331.694422986</v>
      </c>
      <c r="DK216" s="34" t="n">
        <f aca="false">IF(110&gt;Fin,DJ$216,IF(AND(DK$8=1,ISNUMBER(Reales!DK57)),IF(Reales!$C$57="PYG",IF(DK$10&gt;0,N(Reales!DK57)/DK$10,0),N(Reales!DK57)),DK$197*V_DPOmp/DiasMes+(DK$198+DK$200+DK$203+DK$204)*V_DPOot/DiasMes))</f>
        <v>158331.694422986</v>
      </c>
      <c r="DL216" s="34" t="n">
        <f aca="false">IF(111&gt;Fin,DK$216,IF(AND(DL$8=1,ISNUMBER(Reales!DL57)),IF(Reales!$C$57="PYG",IF(DL$10&gt;0,N(Reales!DL57)/DL$10,0),N(Reales!DL57)),DL$197*V_DPOmp/DiasMes+(DL$198+DL$200+DL$203+DL$204)*V_DPOot/DiasMes))</f>
        <v>158331.694422986</v>
      </c>
      <c r="DM216" s="34" t="n">
        <f aca="false">IF(112&gt;Fin,DL$216,IF(AND(DM$8=1,ISNUMBER(Reales!DM57)),IF(Reales!$C$57="PYG",IF(DM$10&gt;0,N(Reales!DM57)/DM$10,0),N(Reales!DM57)),DM$197*V_DPOmp/DiasMes+(DM$198+DM$200+DM$203+DM$204)*V_DPOot/DiasMes))</f>
        <v>158331.694422986</v>
      </c>
      <c r="DN216" s="34" t="n">
        <f aca="false">IF(113&gt;Fin,DM$216,IF(AND(DN$8=1,ISNUMBER(Reales!DN57)),IF(Reales!$C$57="PYG",IF(DN$10&gt;0,N(Reales!DN57)/DN$10,0),N(Reales!DN57)),DN$197*V_DPOmp/DiasMes+(DN$198+DN$200+DN$203+DN$204)*V_DPOot/DiasMes))</f>
        <v>158331.694422986</v>
      </c>
      <c r="DO216" s="34" t="n">
        <f aca="false">IF(114&gt;Fin,DN$216,IF(AND(DO$8=1,ISNUMBER(Reales!DO57)),IF(Reales!$C$57="PYG",IF(DO$10&gt;0,N(Reales!DO57)/DO$10,0),N(Reales!DO57)),DO$197*V_DPOmp/DiasMes+(DO$198+DO$200+DO$203+DO$204)*V_DPOot/DiasMes))</f>
        <v>158331.694422986</v>
      </c>
      <c r="DP216" s="34" t="n">
        <f aca="false">IF(115&gt;Fin,DO$216,IF(AND(DP$8=1,ISNUMBER(Reales!DP57)),IF(Reales!$C$57="PYG",IF(DP$10&gt;0,N(Reales!DP57)/DP$10,0),N(Reales!DP57)),DP$197*V_DPOmp/DiasMes+(DP$198+DP$200+DP$203+DP$204)*V_DPOot/DiasMes))</f>
        <v>158331.694422986</v>
      </c>
      <c r="DQ216" s="34" t="n">
        <f aca="false">IF(116&gt;Fin,DP$216,IF(AND(DQ$8=1,ISNUMBER(Reales!DQ57)),IF(Reales!$C$57="PYG",IF(DQ$10&gt;0,N(Reales!DQ57)/DQ$10,0),N(Reales!DQ57)),DQ$197*V_DPOmp/DiasMes+(DQ$198+DQ$200+DQ$203+DQ$204)*V_DPOot/DiasMes))</f>
        <v>158331.694422986</v>
      </c>
      <c r="DR216" s="34" t="n">
        <f aca="false">IF(117&gt;Fin,DQ$216,IF(AND(DR$8=1,ISNUMBER(Reales!DR57)),IF(Reales!$C$57="PYG",IF(DR$10&gt;0,N(Reales!DR57)/DR$10,0),N(Reales!DR57)),DR$197*V_DPOmp/DiasMes+(DR$198+DR$200+DR$203+DR$204)*V_DPOot/DiasMes))</f>
        <v>158331.694422986</v>
      </c>
      <c r="DS216" s="34" t="n">
        <f aca="false">IF(118&gt;Fin,DR$216,IF(AND(DS$8=1,ISNUMBER(Reales!DS57)),IF(Reales!$C$57="PYG",IF(DS$10&gt;0,N(Reales!DS57)/DS$10,0),N(Reales!DS57)),DS$197*V_DPOmp/DiasMes+(DS$198+DS$200+DS$203+DS$204)*V_DPOot/DiasMes))</f>
        <v>158331.694422986</v>
      </c>
      <c r="DT216" s="34" t="n">
        <f aca="false">IF(119&gt;Fin,DS$216,IF(AND(DT$8=1,ISNUMBER(Reales!DT57)),IF(Reales!$C$57="PYG",IF(DT$10&gt;0,N(Reales!DT57)/DT$10,0),N(Reales!DT57)),DT$197*V_DPOmp/DiasMes+(DT$198+DT$200+DT$203+DT$204)*V_DPOot/DiasMes))</f>
        <v>158331.694422986</v>
      </c>
      <c r="DU216" s="34" t="n">
        <f aca="false">IF(120&gt;Fin,DT$216,IF(AND(DU$8=1,ISNUMBER(Reales!DU57)),IF(Reales!$C$57="PYG",IF(DU$10&gt;0,N(Reales!DU57)/DU$10,0),N(Reales!DU57)),DU$197*V_DPOmp/DiasMes+(DU$198+DU$200+DU$203+DU$204)*V_DPOot/DiasMes))</f>
        <v>158331.694422986</v>
      </c>
      <c r="DV216" s="34" t="n">
        <f aca="false">IF(121&gt;Fin,DU$216,IF(AND(DV$8=1,ISNUMBER(Reales!DV57)),IF(Reales!$C$57="PYG",IF(DV$10&gt;0,N(Reales!DV57)/DV$10,0),N(Reales!DV57)),DV$197*V_DPOmp/DiasMes+(DV$198+DV$200+DV$203+DV$204)*V_DPOot/DiasMes))</f>
        <v>158331.694422986</v>
      </c>
      <c r="DW216" s="34" t="n">
        <f aca="false">IF(122&gt;Fin,DV$216,IF(AND(DW$8=1,ISNUMBER(Reales!DW57)),IF(Reales!$C$57="PYG",IF(DW$10&gt;0,N(Reales!DW57)/DW$10,0),N(Reales!DW57)),DW$197*V_DPOmp/DiasMes+(DW$198+DW$200+DW$203+DW$204)*V_DPOot/DiasMes))</f>
        <v>158331.694422986</v>
      </c>
      <c r="DX216" s="34" t="n">
        <f aca="false">IF(123&gt;Fin,DW$216,IF(AND(DX$8=1,ISNUMBER(Reales!DX57)),IF(Reales!$C$57="PYG",IF(DX$10&gt;0,N(Reales!DX57)/DX$10,0),N(Reales!DX57)),DX$197*V_DPOmp/DiasMes+(DX$198+DX$200+DX$203+DX$204)*V_DPOot/DiasMes))</f>
        <v>158331.694422986</v>
      </c>
      <c r="DY216" s="34" t="n">
        <f aca="false">IF(124&gt;Fin,DX$216,IF(AND(DY$8=1,ISNUMBER(Reales!DY57)),IF(Reales!$C$57="PYG",IF(DY$10&gt;0,N(Reales!DY57)/DY$10,0),N(Reales!DY57)),DY$197*V_DPOmp/DiasMes+(DY$198+DY$200+DY$203+DY$204)*V_DPOot/DiasMes))</f>
        <v>158331.694422986</v>
      </c>
      <c r="DZ216" s="34" t="n">
        <f aca="false">IF(125&gt;Fin,DY$216,IF(AND(DZ$8=1,ISNUMBER(Reales!DZ57)),IF(Reales!$C$57="PYG",IF(DZ$10&gt;0,N(Reales!DZ57)/DZ$10,0),N(Reales!DZ57)),DZ$197*V_DPOmp/DiasMes+(DZ$198+DZ$200+DZ$203+DZ$204)*V_DPOot/DiasMes))</f>
        <v>158331.694422986</v>
      </c>
      <c r="EA216" s="34" t="n">
        <f aca="false">IF(126&gt;Fin,DZ$216,IF(AND(EA$8=1,ISNUMBER(Reales!EA57)),IF(Reales!$C$57="PYG",IF(EA$10&gt;0,N(Reales!EA57)/EA$10,0),N(Reales!EA57)),EA$197*V_DPOmp/DiasMes+(EA$198+EA$200+EA$203+EA$204)*V_DPOot/DiasMes))</f>
        <v>158331.694422986</v>
      </c>
      <c r="EB216" s="34" t="n">
        <f aca="false">IF(127&gt;Fin,EA$216,IF(AND(EB$8=1,ISNUMBER(Reales!EB57)),IF(Reales!$C$57="PYG",IF(EB$10&gt;0,N(Reales!EB57)/EB$10,0),N(Reales!EB57)),EB$197*V_DPOmp/DiasMes+(EB$198+EB$200+EB$203+EB$204)*V_DPOot/DiasMes))</f>
        <v>158331.694422986</v>
      </c>
      <c r="EC216" s="34" t="n">
        <f aca="false">IF(128&gt;Fin,EB$216,IF(AND(EC$8=1,ISNUMBER(Reales!EC57)),IF(Reales!$C$57="PYG",IF(EC$10&gt;0,N(Reales!EC57)/EC$10,0),N(Reales!EC57)),EC$197*V_DPOmp/DiasMes+(EC$198+EC$200+EC$203+EC$204)*V_DPOot/DiasMes))</f>
        <v>158331.694422986</v>
      </c>
      <c r="ED216" s="34" t="n">
        <f aca="false">IF(129&gt;Fin,EC$216,IF(AND(ED$8=1,ISNUMBER(Reales!ED57)),IF(Reales!$C$57="PYG",IF(ED$10&gt;0,N(Reales!ED57)/ED$10,0),N(Reales!ED57)),ED$197*V_DPOmp/DiasMes+(ED$198+ED$200+ED$203+ED$204)*V_DPOot/DiasMes))</f>
        <v>158331.694422986</v>
      </c>
      <c r="EE216" s="34" t="n">
        <f aca="false">IF(130&gt;Fin,ED$216,IF(AND(EE$8=1,ISNUMBER(Reales!EE57)),IF(Reales!$C$57="PYG",IF(EE$10&gt;0,N(Reales!EE57)/EE$10,0),N(Reales!EE57)),EE$197*V_DPOmp/DiasMes+(EE$198+EE$200+EE$203+EE$204)*V_DPOot/DiasMes))</f>
        <v>158331.694422986</v>
      </c>
      <c r="EF216" s="34" t="n">
        <f aca="false">IF(131&gt;Fin,EE$216,IF(AND(EF$8=1,ISNUMBER(Reales!EF57)),IF(Reales!$C$57="PYG",IF(EF$10&gt;0,N(Reales!EF57)/EF$10,0),N(Reales!EF57)),EF$197*V_DPOmp/DiasMes+(EF$198+EF$200+EF$203+EF$204)*V_DPOot/DiasMes))</f>
        <v>158331.694422986</v>
      </c>
      <c r="EG216" s="34" t="n">
        <f aca="false">IF(132&gt;Fin,EF$216,IF(AND(EG$8=1,ISNUMBER(Reales!EG57)),IF(Reales!$C$57="PYG",IF(EG$10&gt;0,N(Reales!EG57)/EG$10,0),N(Reales!EG57)),EG$197*V_DPOmp/DiasMes+(EG$198+EG$200+EG$203+EG$204)*V_DPOot/DiasMes))</f>
        <v>158331.694422986</v>
      </c>
      <c r="EH216" s="34" t="n">
        <f aca="false">IF(133&gt;Fin,EG$216,IF(AND(EH$8=1,ISNUMBER(Reales!EH57)),IF(Reales!$C$57="PYG",IF(EH$10&gt;0,N(Reales!EH57)/EH$10,0),N(Reales!EH57)),EH$197*V_DPOmp/DiasMes+(EH$198+EH$200+EH$203+EH$204)*V_DPOot/DiasMes))</f>
        <v>158331.694422986</v>
      </c>
      <c r="EI216" s="34" t="n">
        <f aca="false">IF(134&gt;Fin,EH$216,IF(AND(EI$8=1,ISNUMBER(Reales!EI57)),IF(Reales!$C$57="PYG",IF(EI$10&gt;0,N(Reales!EI57)/EI$10,0),N(Reales!EI57)),EI$197*V_DPOmp/DiasMes+(EI$198+EI$200+EI$203+EI$204)*V_DPOot/DiasMes))</f>
        <v>158331.694422986</v>
      </c>
      <c r="EJ216" s="34" t="n">
        <f aca="false">IF(135&gt;Fin,EI$216,IF(AND(EJ$8=1,ISNUMBER(Reales!EJ57)),IF(Reales!$C$57="PYG",IF(EJ$10&gt;0,N(Reales!EJ57)/EJ$10,0),N(Reales!EJ57)),EJ$197*V_DPOmp/DiasMes+(EJ$198+EJ$200+EJ$203+EJ$204)*V_DPOot/DiasMes))</f>
        <v>158331.694422986</v>
      </c>
      <c r="EK216" s="34" t="n">
        <f aca="false">IF(136&gt;Fin,EJ$216,IF(AND(EK$8=1,ISNUMBER(Reales!EK57)),IF(Reales!$C$57="PYG",IF(EK$10&gt;0,N(Reales!EK57)/EK$10,0),N(Reales!EK57)),EK$197*V_DPOmp/DiasMes+(EK$198+EK$200+EK$203+EK$204)*V_DPOot/DiasMes))</f>
        <v>158331.694422986</v>
      </c>
      <c r="EL216" s="34" t="n">
        <f aca="false">IF(137&gt;Fin,EK$216,IF(AND(EL$8=1,ISNUMBER(Reales!EL57)),IF(Reales!$C$57="PYG",IF(EL$10&gt;0,N(Reales!EL57)/EL$10,0),N(Reales!EL57)),EL$197*V_DPOmp/DiasMes+(EL$198+EL$200+EL$203+EL$204)*V_DPOot/DiasMes))</f>
        <v>158331.694422986</v>
      </c>
      <c r="EM216" s="34" t="n">
        <f aca="false">IF(138&gt;Fin,EL$216,IF(AND(EM$8=1,ISNUMBER(Reales!EM57)),IF(Reales!$C$57="PYG",IF(EM$10&gt;0,N(Reales!EM57)/EM$10,0),N(Reales!EM57)),EM$197*V_DPOmp/DiasMes+(EM$198+EM$200+EM$203+EM$204)*V_DPOot/DiasMes))</f>
        <v>158331.694422986</v>
      </c>
      <c r="EN216" s="34" t="n">
        <f aca="false">IF(139&gt;Fin,EM$216,IF(AND(EN$8=1,ISNUMBER(Reales!EN57)),IF(Reales!$C$57="PYG",IF(EN$10&gt;0,N(Reales!EN57)/EN$10,0),N(Reales!EN57)),EN$197*V_DPOmp/DiasMes+(EN$198+EN$200+EN$203+EN$204)*V_DPOot/DiasMes))</f>
        <v>158331.694422986</v>
      </c>
      <c r="EO216" s="34" t="n">
        <f aca="false">IF(140&gt;Fin,EN$216,IF(AND(EO$8=1,ISNUMBER(Reales!EO57)),IF(Reales!$C$57="PYG",IF(EO$10&gt;0,N(Reales!EO57)/EO$10,0),N(Reales!EO57)),EO$197*V_DPOmp/DiasMes+(EO$198+EO$200+EO$203+EO$204)*V_DPOot/DiasMes))</f>
        <v>158331.694422986</v>
      </c>
      <c r="EP216" s="34" t="n">
        <f aca="false">IF(141&gt;Fin,EO$216,IF(AND(EP$8=1,ISNUMBER(Reales!EP57)),IF(Reales!$C$57="PYG",IF(EP$10&gt;0,N(Reales!EP57)/EP$10,0),N(Reales!EP57)),EP$197*V_DPOmp/DiasMes+(EP$198+EP$200+EP$203+EP$204)*V_DPOot/DiasMes))</f>
        <v>158331.694422986</v>
      </c>
      <c r="EQ216" s="34" t="n">
        <f aca="false">IF(142&gt;Fin,EP$216,IF(AND(EQ$8=1,ISNUMBER(Reales!EQ57)),IF(Reales!$C$57="PYG",IF(EQ$10&gt;0,N(Reales!EQ57)/EQ$10,0),N(Reales!EQ57)),EQ$197*V_DPOmp/DiasMes+(EQ$198+EQ$200+EQ$203+EQ$204)*V_DPOot/DiasMes))</f>
        <v>158331.694422986</v>
      </c>
      <c r="ER216" s="34" t="n">
        <f aca="false">IF(143&gt;Fin,EQ$216,IF(AND(ER$8=1,ISNUMBER(Reales!ER57)),IF(Reales!$C$57="PYG",IF(ER$10&gt;0,N(Reales!ER57)/ER$10,0),N(Reales!ER57)),ER$197*V_DPOmp/DiasMes+(ER$198+ER$200+ER$203+ER$204)*V_DPOot/DiasMes))</f>
        <v>158331.694422986</v>
      </c>
      <c r="ES216" s="34" t="n">
        <f aca="false">IF(144&gt;Fin,ER$216,IF(AND(ES$8=1,ISNUMBER(Reales!ES57)),IF(Reales!$C$57="PYG",IF(ES$10&gt;0,N(Reales!ES57)/ES$10,0),N(Reales!ES57)),ES$197*V_DPOmp/DiasMes+(ES$198+ES$200+ES$203+ES$204)*V_DPOot/DiasMes))</f>
        <v>158331.694422986</v>
      </c>
    </row>
    <row r="217" customFormat="false" ht="15" hidden="false" customHeight="false" outlineLevel="0" collapsed="false">
      <c r="A217" s="2" t="s">
        <v>830</v>
      </c>
      <c r="B217" s="52" t="s">
        <v>661</v>
      </c>
      <c r="C217" s="6" t="s">
        <v>250</v>
      </c>
      <c r="E217" s="40" t="n">
        <f aca="false">MAX(F217:ES217)</f>
        <v>4499762.51732228</v>
      </c>
      <c r="F217" s="10" t="n">
        <f aca="false">F$213+F$214+F$215-F$216</f>
        <v>2388063.88735903</v>
      </c>
      <c r="G217" s="10" t="n">
        <f aca="false">G$213+G$214+G$215-G$216</f>
        <v>2388063.88735903</v>
      </c>
      <c r="H217" s="10" t="n">
        <f aca="false">H$213+H$214+H$215-H$216</f>
        <v>2388063.88735903</v>
      </c>
      <c r="I217" s="10" t="n">
        <f aca="false">I$213+I$214+I$215-I$216</f>
        <v>2388063.88735903</v>
      </c>
      <c r="J217" s="10" t="n">
        <f aca="false">J$213+J$214+J$215-J$216</f>
        <v>2388063.88735903</v>
      </c>
      <c r="K217" s="10" t="n">
        <f aca="false">K$213+K$214+K$215-K$216</f>
        <v>2388063.88735903</v>
      </c>
      <c r="L217" s="10" t="n">
        <f aca="false">L$213+L$214+L$215-L$216</f>
        <v>2388063.88735903</v>
      </c>
      <c r="M217" s="10" t="n">
        <f aca="false">M$213+M$214+M$215-M$216</f>
        <v>2388063.88735903</v>
      </c>
      <c r="N217" s="10" t="n">
        <f aca="false">N$213+N$214+N$215-N$216</f>
        <v>2388063.88735903</v>
      </c>
      <c r="O217" s="10" t="n">
        <f aca="false">O$213+O$214+O$215-O$216</f>
        <v>2388063.88735903</v>
      </c>
      <c r="P217" s="10" t="n">
        <f aca="false">P$213+P$214+P$215-P$216</f>
        <v>2388063.88735903</v>
      </c>
      <c r="Q217" s="10" t="n">
        <f aca="false">Q$213+Q$214+Q$215-Q$216</f>
        <v>2388063.88735903</v>
      </c>
      <c r="R217" s="10" t="n">
        <f aca="false">R$213+R$214+R$215-R$216</f>
        <v>3043209.33175467</v>
      </c>
      <c r="S217" s="10" t="n">
        <f aca="false">S$213+S$214+S$215-S$216</f>
        <v>3043209.33175467</v>
      </c>
      <c r="T217" s="10" t="n">
        <f aca="false">T$213+T$214+T$215-T$216</f>
        <v>3043209.33175467</v>
      </c>
      <c r="U217" s="10" t="n">
        <f aca="false">U$213+U$214+U$215-U$216</f>
        <v>3043209.33175467</v>
      </c>
      <c r="V217" s="10" t="n">
        <f aca="false">V$213+V$214+V$215-V$216</f>
        <v>3043209.33175467</v>
      </c>
      <c r="W217" s="10" t="n">
        <f aca="false">W$213+W$214+W$215-W$216</f>
        <v>3043209.33175467</v>
      </c>
      <c r="X217" s="10" t="n">
        <f aca="false">X$213+X$214+X$215-X$216</f>
        <v>3043209.33175467</v>
      </c>
      <c r="Y217" s="10" t="n">
        <f aca="false">Y$213+Y$214+Y$215-Y$216</f>
        <v>3043209.33175467</v>
      </c>
      <c r="Z217" s="10" t="n">
        <f aca="false">Z$213+Z$214+Z$215-Z$216</f>
        <v>3043209.33175467</v>
      </c>
      <c r="AA217" s="10" t="n">
        <f aca="false">AA$213+AA$214+AA$215-AA$216</f>
        <v>3043209.33175467</v>
      </c>
      <c r="AB217" s="10" t="n">
        <f aca="false">AB$213+AB$214+AB$215-AB$216</f>
        <v>3043209.33175467</v>
      </c>
      <c r="AC217" s="10" t="n">
        <f aca="false">AC$213+AC$214+AC$215-AC$216</f>
        <v>3043209.33175467</v>
      </c>
      <c r="AD217" s="10" t="n">
        <f aca="false">AD$213+AD$214+AD$215-AD$216</f>
        <v>3710536.2623871</v>
      </c>
      <c r="AE217" s="10" t="n">
        <f aca="false">AE$213+AE$214+AE$215-AE$216</f>
        <v>3710536.2623871</v>
      </c>
      <c r="AF217" s="10" t="n">
        <f aca="false">AF$213+AF$214+AF$215-AF$216</f>
        <v>3710536.2623871</v>
      </c>
      <c r="AG217" s="10" t="n">
        <f aca="false">AG$213+AG$214+AG$215-AG$216</f>
        <v>3710536.2623871</v>
      </c>
      <c r="AH217" s="10" t="n">
        <f aca="false">AH$213+AH$214+AH$215-AH$216</f>
        <v>3710536.2623871</v>
      </c>
      <c r="AI217" s="10" t="n">
        <f aca="false">AI$213+AI$214+AI$215-AI$216</f>
        <v>3710536.2623871</v>
      </c>
      <c r="AJ217" s="10" t="n">
        <f aca="false">AJ$213+AJ$214+AJ$215-AJ$216</f>
        <v>3710536.2623871</v>
      </c>
      <c r="AK217" s="10" t="n">
        <f aca="false">AK$213+AK$214+AK$215-AK$216</f>
        <v>3710536.2623871</v>
      </c>
      <c r="AL217" s="10" t="n">
        <f aca="false">AL$213+AL$214+AL$215-AL$216</f>
        <v>3710536.2623871</v>
      </c>
      <c r="AM217" s="10" t="n">
        <f aca="false">AM$213+AM$214+AM$215-AM$216</f>
        <v>3710536.2623871</v>
      </c>
      <c r="AN217" s="10" t="n">
        <f aca="false">AN$213+AN$214+AN$215-AN$216</f>
        <v>3710536.2623871</v>
      </c>
      <c r="AO217" s="10" t="n">
        <f aca="false">AO$213+AO$214+AO$215-AO$216</f>
        <v>3710536.2623871</v>
      </c>
      <c r="AP217" s="10" t="n">
        <f aca="false">AP$213+AP$214+AP$215-AP$216</f>
        <v>4269345.33232041</v>
      </c>
      <c r="AQ217" s="10" t="n">
        <f aca="false">AQ$213+AQ$214+AQ$215-AQ$216</f>
        <v>4269345.33232041</v>
      </c>
      <c r="AR217" s="10" t="n">
        <f aca="false">AR$213+AR$214+AR$215-AR$216</f>
        <v>4269345.33232041</v>
      </c>
      <c r="AS217" s="10" t="n">
        <f aca="false">AS$213+AS$214+AS$215-AS$216</f>
        <v>4269345.33232041</v>
      </c>
      <c r="AT217" s="10" t="n">
        <f aca="false">AT$213+AT$214+AT$215-AT$216</f>
        <v>4269345.33232041</v>
      </c>
      <c r="AU217" s="10" t="n">
        <f aca="false">AU$213+AU$214+AU$215-AU$216</f>
        <v>4269345.33232041</v>
      </c>
      <c r="AV217" s="10" t="n">
        <f aca="false">AV$213+AV$214+AV$215-AV$216</f>
        <v>4269345.33232041</v>
      </c>
      <c r="AW217" s="10" t="n">
        <f aca="false">AW$213+AW$214+AW$215-AW$216</f>
        <v>4269345.33232041</v>
      </c>
      <c r="AX217" s="10" t="n">
        <f aca="false">AX$213+AX$214+AX$215-AX$216</f>
        <v>4269345.33232041</v>
      </c>
      <c r="AY217" s="10" t="n">
        <f aca="false">AY$213+AY$214+AY$215-AY$216</f>
        <v>4269345.33232041</v>
      </c>
      <c r="AZ217" s="10" t="n">
        <f aca="false">AZ$213+AZ$214+AZ$215-AZ$216</f>
        <v>4269345.33232041</v>
      </c>
      <c r="BA217" s="10" t="n">
        <f aca="false">BA$213+BA$214+BA$215-BA$216</f>
        <v>4269345.33232041</v>
      </c>
      <c r="BB217" s="10" t="n">
        <f aca="false">BB$213+BB$214+BB$215-BB$216</f>
        <v>4307454.88002627</v>
      </c>
      <c r="BC217" s="10" t="n">
        <f aca="false">BC$213+BC$214+BC$215-BC$216</f>
        <v>4307454.88002627</v>
      </c>
      <c r="BD217" s="10" t="n">
        <f aca="false">BD$213+BD$214+BD$215-BD$216</f>
        <v>4307454.88002627</v>
      </c>
      <c r="BE217" s="10" t="n">
        <f aca="false">BE$213+BE$214+BE$215-BE$216</f>
        <v>4307454.88002627</v>
      </c>
      <c r="BF217" s="10" t="n">
        <f aca="false">BF$213+BF$214+BF$215-BF$216</f>
        <v>4307454.88002627</v>
      </c>
      <c r="BG217" s="10" t="n">
        <f aca="false">BG$213+BG$214+BG$215-BG$216</f>
        <v>4307454.88002627</v>
      </c>
      <c r="BH217" s="10" t="n">
        <f aca="false">BH$213+BH$214+BH$215-BH$216</f>
        <v>4307454.88002627</v>
      </c>
      <c r="BI217" s="10" t="n">
        <f aca="false">BI$213+BI$214+BI$215-BI$216</f>
        <v>4307454.88002627</v>
      </c>
      <c r="BJ217" s="10" t="n">
        <f aca="false">BJ$213+BJ$214+BJ$215-BJ$216</f>
        <v>4307454.88002627</v>
      </c>
      <c r="BK217" s="10" t="n">
        <f aca="false">BK$213+BK$214+BK$215-BK$216</f>
        <v>4307454.88002627</v>
      </c>
      <c r="BL217" s="10" t="n">
        <f aca="false">BL$213+BL$214+BL$215-BL$216</f>
        <v>4307454.88002627</v>
      </c>
      <c r="BM217" s="10" t="n">
        <f aca="false">BM$213+BM$214+BM$215-BM$216</f>
        <v>4307454.88002627</v>
      </c>
      <c r="BN217" s="10" t="n">
        <f aca="false">BN$213+BN$214+BN$215-BN$216</f>
        <v>4345179.73649487</v>
      </c>
      <c r="BO217" s="10" t="n">
        <f aca="false">BO$213+BO$214+BO$215-BO$216</f>
        <v>4345179.73649487</v>
      </c>
      <c r="BP217" s="10" t="n">
        <f aca="false">BP$213+BP$214+BP$215-BP$216</f>
        <v>4345179.73649487</v>
      </c>
      <c r="BQ217" s="10" t="n">
        <f aca="false">BQ$213+BQ$214+BQ$215-BQ$216</f>
        <v>4345179.73649487</v>
      </c>
      <c r="BR217" s="10" t="n">
        <f aca="false">BR$213+BR$214+BR$215-BR$216</f>
        <v>4345179.73649487</v>
      </c>
      <c r="BS217" s="10" t="n">
        <f aca="false">BS$213+BS$214+BS$215-BS$216</f>
        <v>4345179.73649487</v>
      </c>
      <c r="BT217" s="10" t="n">
        <f aca="false">BT$213+BT$214+BT$215-BT$216</f>
        <v>4345179.73649487</v>
      </c>
      <c r="BU217" s="10" t="n">
        <f aca="false">BU$213+BU$214+BU$215-BU$216</f>
        <v>4345179.73649487</v>
      </c>
      <c r="BV217" s="10" t="n">
        <f aca="false">BV$213+BV$214+BV$215-BV$216</f>
        <v>4345179.73649487</v>
      </c>
      <c r="BW217" s="10" t="n">
        <f aca="false">BW$213+BW$214+BW$215-BW$216</f>
        <v>4345179.73649487</v>
      </c>
      <c r="BX217" s="10" t="n">
        <f aca="false">BX$213+BX$214+BX$215-BX$216</f>
        <v>4345179.73649487</v>
      </c>
      <c r="BY217" s="10" t="n">
        <f aca="false">BY$213+BY$214+BY$215-BY$216</f>
        <v>4345179.73649487</v>
      </c>
      <c r="BZ217" s="10" t="n">
        <f aca="false">BZ$213+BZ$214+BZ$215-BZ$216</f>
        <v>4383269.62971965</v>
      </c>
      <c r="CA217" s="10" t="n">
        <f aca="false">CA$213+CA$214+CA$215-CA$216</f>
        <v>4383269.62971965</v>
      </c>
      <c r="CB217" s="10" t="n">
        <f aca="false">CB$213+CB$214+CB$215-CB$216</f>
        <v>4383269.62971965</v>
      </c>
      <c r="CC217" s="10" t="n">
        <f aca="false">CC$213+CC$214+CC$215-CC$216</f>
        <v>4383269.62971965</v>
      </c>
      <c r="CD217" s="10" t="n">
        <f aca="false">CD$213+CD$214+CD$215-CD$216</f>
        <v>4383269.62971965</v>
      </c>
      <c r="CE217" s="10" t="n">
        <f aca="false">CE$213+CE$214+CE$215-CE$216</f>
        <v>4383269.62971965</v>
      </c>
      <c r="CF217" s="10" t="n">
        <f aca="false">CF$213+CF$214+CF$215-CF$216</f>
        <v>4383269.62971965</v>
      </c>
      <c r="CG217" s="10" t="n">
        <f aca="false">CG$213+CG$214+CG$215-CG$216</f>
        <v>4383269.62971965</v>
      </c>
      <c r="CH217" s="10" t="n">
        <f aca="false">CH$213+CH$214+CH$215-CH$216</f>
        <v>4383269.62971965</v>
      </c>
      <c r="CI217" s="10" t="n">
        <f aca="false">CI$213+CI$214+CI$215-CI$216</f>
        <v>4383269.62971965</v>
      </c>
      <c r="CJ217" s="10" t="n">
        <f aca="false">CJ$213+CJ$214+CJ$215-CJ$216</f>
        <v>4383269.62971965</v>
      </c>
      <c r="CK217" s="10" t="n">
        <f aca="false">CK$213+CK$214+CK$215-CK$216</f>
        <v>4383269.62971965</v>
      </c>
      <c r="CL217" s="10" t="n">
        <f aca="false">CL$213+CL$214+CL$215-CL$216</f>
        <v>4421727.84741417</v>
      </c>
      <c r="CM217" s="10" t="n">
        <f aca="false">CM$213+CM$214+CM$215-CM$216</f>
        <v>4421727.84741417</v>
      </c>
      <c r="CN217" s="10" t="n">
        <f aca="false">CN$213+CN$214+CN$215-CN$216</f>
        <v>4421727.84741417</v>
      </c>
      <c r="CO217" s="10" t="n">
        <f aca="false">CO$213+CO$214+CO$215-CO$216</f>
        <v>4421727.84741417</v>
      </c>
      <c r="CP217" s="10" t="n">
        <f aca="false">CP$213+CP$214+CP$215-CP$216</f>
        <v>4421727.84741417</v>
      </c>
      <c r="CQ217" s="10" t="n">
        <f aca="false">CQ$213+CQ$214+CQ$215-CQ$216</f>
        <v>4421727.84741417</v>
      </c>
      <c r="CR217" s="10" t="n">
        <f aca="false">CR$213+CR$214+CR$215-CR$216</f>
        <v>4421727.84741417</v>
      </c>
      <c r="CS217" s="10" t="n">
        <f aca="false">CS$213+CS$214+CS$215-CS$216</f>
        <v>4421727.84741417</v>
      </c>
      <c r="CT217" s="10" t="n">
        <f aca="false">CT$213+CT$214+CT$215-CT$216</f>
        <v>4421727.84741417</v>
      </c>
      <c r="CU217" s="10" t="n">
        <f aca="false">CU$213+CU$214+CU$215-CU$216</f>
        <v>4421727.84741417</v>
      </c>
      <c r="CV217" s="10" t="n">
        <f aca="false">CV$213+CV$214+CV$215-CV$216</f>
        <v>4421727.84741417</v>
      </c>
      <c r="CW217" s="10" t="n">
        <f aca="false">CW$213+CW$214+CW$215-CW$216</f>
        <v>4421727.84741417</v>
      </c>
      <c r="CX217" s="10" t="n">
        <f aca="false">CX$213+CX$214+CX$215-CX$216</f>
        <v>4460557.6993635</v>
      </c>
      <c r="CY217" s="10" t="n">
        <f aca="false">CY$213+CY$214+CY$215-CY$216</f>
        <v>4460557.6993635</v>
      </c>
      <c r="CZ217" s="10" t="n">
        <f aca="false">CZ$213+CZ$214+CZ$215-CZ$216</f>
        <v>4460557.6993635</v>
      </c>
      <c r="DA217" s="10" t="n">
        <f aca="false">DA$213+DA$214+DA$215-DA$216</f>
        <v>4460557.6993635</v>
      </c>
      <c r="DB217" s="10" t="n">
        <f aca="false">DB$213+DB$214+DB$215-DB$216</f>
        <v>4460557.6993635</v>
      </c>
      <c r="DC217" s="10" t="n">
        <f aca="false">DC$213+DC$214+DC$215-DC$216</f>
        <v>4460557.6993635</v>
      </c>
      <c r="DD217" s="10" t="n">
        <f aca="false">DD$213+DD$214+DD$215-DD$216</f>
        <v>4460557.6993635</v>
      </c>
      <c r="DE217" s="10" t="n">
        <f aca="false">DE$213+DE$214+DE$215-DE$216</f>
        <v>4460557.6993635</v>
      </c>
      <c r="DF217" s="10" t="n">
        <f aca="false">DF$213+DF$214+DF$215-DF$216</f>
        <v>4460557.6993635</v>
      </c>
      <c r="DG217" s="10" t="n">
        <f aca="false">DG$213+DG$214+DG$215-DG$216</f>
        <v>4460557.6993635</v>
      </c>
      <c r="DH217" s="10" t="n">
        <f aca="false">DH$213+DH$214+DH$215-DH$216</f>
        <v>4460557.6993635</v>
      </c>
      <c r="DI217" s="10" t="n">
        <f aca="false">DI$213+DI$214+DI$215-DI$216</f>
        <v>4460557.6993635</v>
      </c>
      <c r="DJ217" s="10" t="n">
        <f aca="false">DJ$213+DJ$214+DJ$215-DJ$216</f>
        <v>4499762.51732228</v>
      </c>
      <c r="DK217" s="10" t="n">
        <f aca="false">DK$213+DK$214+DK$215-DK$216</f>
        <v>4499762.51732228</v>
      </c>
      <c r="DL217" s="10" t="n">
        <f aca="false">DL$213+DL$214+DL$215-DL$216</f>
        <v>4499762.51732228</v>
      </c>
      <c r="DM217" s="10" t="n">
        <f aca="false">DM$213+DM$214+DM$215-DM$216</f>
        <v>4499762.51732228</v>
      </c>
      <c r="DN217" s="10" t="n">
        <f aca="false">DN$213+DN$214+DN$215-DN$216</f>
        <v>4499762.51732228</v>
      </c>
      <c r="DO217" s="10" t="n">
        <f aca="false">DO$213+DO$214+DO$215-DO$216</f>
        <v>4499762.51732228</v>
      </c>
      <c r="DP217" s="10" t="n">
        <f aca="false">DP$213+DP$214+DP$215-DP$216</f>
        <v>4499762.51732228</v>
      </c>
      <c r="DQ217" s="10" t="n">
        <f aca="false">DQ$213+DQ$214+DQ$215-DQ$216</f>
        <v>4499762.51732228</v>
      </c>
      <c r="DR217" s="10" t="n">
        <f aca="false">DR$213+DR$214+DR$215-DR$216</f>
        <v>4499762.51732228</v>
      </c>
      <c r="DS217" s="10" t="n">
        <f aca="false">DS$213+DS$214+DS$215-DS$216</f>
        <v>4499762.51732228</v>
      </c>
      <c r="DT217" s="10" t="n">
        <f aca="false">DT$213+DT$214+DT$215-DT$216</f>
        <v>4499762.51732228</v>
      </c>
      <c r="DU217" s="10" t="n">
        <f aca="false">DU$213+DU$214+DU$215-DU$216</f>
        <v>4499762.51732228</v>
      </c>
      <c r="DV217" s="10" t="n">
        <f aca="false">DV$213+DV$214+DV$215-DV$216</f>
        <v>4499762.51732228</v>
      </c>
      <c r="DW217" s="10" t="n">
        <f aca="false">DW$213+DW$214+DW$215-DW$216</f>
        <v>4499762.51732228</v>
      </c>
      <c r="DX217" s="10" t="n">
        <f aca="false">DX$213+DX$214+DX$215-DX$216</f>
        <v>4499762.51732228</v>
      </c>
      <c r="DY217" s="10" t="n">
        <f aca="false">DY$213+DY$214+DY$215-DY$216</f>
        <v>4499762.51732228</v>
      </c>
      <c r="DZ217" s="10" t="n">
        <f aca="false">DZ$213+DZ$214+DZ$215-DZ$216</f>
        <v>4499762.51732228</v>
      </c>
      <c r="EA217" s="10" t="n">
        <f aca="false">EA$213+EA$214+EA$215-EA$216</f>
        <v>4499762.51732228</v>
      </c>
      <c r="EB217" s="10" t="n">
        <f aca="false">EB$213+EB$214+EB$215-EB$216</f>
        <v>4499762.51732228</v>
      </c>
      <c r="EC217" s="10" t="n">
        <f aca="false">EC$213+EC$214+EC$215-EC$216</f>
        <v>4499762.51732228</v>
      </c>
      <c r="ED217" s="10" t="n">
        <f aca="false">ED$213+ED$214+ED$215-ED$216</f>
        <v>4499762.51732228</v>
      </c>
      <c r="EE217" s="10" t="n">
        <f aca="false">EE$213+EE$214+EE$215-EE$216</f>
        <v>4499762.51732228</v>
      </c>
      <c r="EF217" s="10" t="n">
        <f aca="false">EF$213+EF$214+EF$215-EF$216</f>
        <v>4499762.51732228</v>
      </c>
      <c r="EG217" s="10" t="n">
        <f aca="false">EG$213+EG$214+EG$215-EG$216</f>
        <v>4499762.51732228</v>
      </c>
      <c r="EH217" s="10" t="n">
        <f aca="false">EH$213+EH$214+EH$215-EH$216</f>
        <v>4499762.51732228</v>
      </c>
      <c r="EI217" s="10" t="n">
        <f aca="false">EI$213+EI$214+EI$215-EI$216</f>
        <v>4499762.51732228</v>
      </c>
      <c r="EJ217" s="10" t="n">
        <f aca="false">EJ$213+EJ$214+EJ$215-EJ$216</f>
        <v>4499762.51732228</v>
      </c>
      <c r="EK217" s="10" t="n">
        <f aca="false">EK$213+EK$214+EK$215-EK$216</f>
        <v>4499762.51732228</v>
      </c>
      <c r="EL217" s="10" t="n">
        <f aca="false">EL$213+EL$214+EL$215-EL$216</f>
        <v>4499762.51732228</v>
      </c>
      <c r="EM217" s="10" t="n">
        <f aca="false">EM$213+EM$214+EM$215-EM$216</f>
        <v>4499762.51732228</v>
      </c>
      <c r="EN217" s="10" t="n">
        <f aca="false">EN$213+EN$214+EN$215-EN$216</f>
        <v>4499762.51732228</v>
      </c>
      <c r="EO217" s="10" t="n">
        <f aca="false">EO$213+EO$214+EO$215-EO$216</f>
        <v>4499762.51732228</v>
      </c>
      <c r="EP217" s="10" t="n">
        <f aca="false">EP$213+EP$214+EP$215-EP$216</f>
        <v>4499762.51732228</v>
      </c>
      <c r="EQ217" s="10" t="n">
        <f aca="false">EQ$213+EQ$214+EQ$215-EQ$216</f>
        <v>4499762.51732228</v>
      </c>
      <c r="ER217" s="10" t="n">
        <f aca="false">ER$213+ER$214+ER$215-ER$216</f>
        <v>4499762.51732228</v>
      </c>
      <c r="ES217" s="10" t="n">
        <f aca="false">ES$213+ES$214+ES$215-ES$216</f>
        <v>4499762.51732228</v>
      </c>
    </row>
    <row r="218" customFormat="false" ht="15" hidden="false" customHeight="false" outlineLevel="0" collapsed="false">
      <c r="A218" s="2" t="s">
        <v>831</v>
      </c>
      <c r="B218" s="6" t="s">
        <v>663</v>
      </c>
      <c r="C218" s="6" t="s">
        <v>250</v>
      </c>
      <c r="E218" s="40" t="n">
        <f aca="false">SUM(F218:ES218)</f>
        <v>4499762.51732228</v>
      </c>
      <c r="F218" s="34" t="n">
        <f aca="false">F$217-0</f>
        <v>2388063.88735903</v>
      </c>
      <c r="G218" s="34" t="n">
        <f aca="false">G$217-F$217</f>
        <v>0</v>
      </c>
      <c r="H218" s="34" t="n">
        <f aca="false">H$217-G$217</f>
        <v>0</v>
      </c>
      <c r="I218" s="34" t="n">
        <f aca="false">I$217-H$217</f>
        <v>0</v>
      </c>
      <c r="J218" s="34" t="n">
        <f aca="false">J$217-I$217</f>
        <v>0</v>
      </c>
      <c r="K218" s="34" t="n">
        <f aca="false">K$217-J$217</f>
        <v>0</v>
      </c>
      <c r="L218" s="34" t="n">
        <f aca="false">L$217-K$217</f>
        <v>0</v>
      </c>
      <c r="M218" s="34" t="n">
        <f aca="false">M$217-L$217</f>
        <v>0</v>
      </c>
      <c r="N218" s="34" t="n">
        <f aca="false">N$217-M$217</f>
        <v>0</v>
      </c>
      <c r="O218" s="34" t="n">
        <f aca="false">O$217-N$217</f>
        <v>0</v>
      </c>
      <c r="P218" s="34" t="n">
        <f aca="false">P$217-O$217</f>
        <v>0</v>
      </c>
      <c r="Q218" s="34" t="n">
        <f aca="false">Q$217-P$217</f>
        <v>0</v>
      </c>
      <c r="R218" s="34" t="n">
        <f aca="false">R$217-Q$217</f>
        <v>655145.444395644</v>
      </c>
      <c r="S218" s="34" t="n">
        <f aca="false">S$217-R$217</f>
        <v>0</v>
      </c>
      <c r="T218" s="34" t="n">
        <f aca="false">T$217-S$217</f>
        <v>0</v>
      </c>
      <c r="U218" s="34" t="n">
        <f aca="false">U$217-T$217</f>
        <v>0</v>
      </c>
      <c r="V218" s="34" t="n">
        <f aca="false">V$217-U$217</f>
        <v>0</v>
      </c>
      <c r="W218" s="34" t="n">
        <f aca="false">W$217-V$217</f>
        <v>0</v>
      </c>
      <c r="X218" s="34" t="n">
        <f aca="false">X$217-W$217</f>
        <v>0</v>
      </c>
      <c r="Y218" s="34" t="n">
        <f aca="false">Y$217-X$217</f>
        <v>0</v>
      </c>
      <c r="Z218" s="34" t="n">
        <f aca="false">Z$217-Y$217</f>
        <v>0</v>
      </c>
      <c r="AA218" s="34" t="n">
        <f aca="false">AA$217-Z$217</f>
        <v>0</v>
      </c>
      <c r="AB218" s="34" t="n">
        <f aca="false">AB$217-AA$217</f>
        <v>0</v>
      </c>
      <c r="AC218" s="34" t="n">
        <f aca="false">AC$217-AB$217</f>
        <v>0</v>
      </c>
      <c r="AD218" s="34" t="n">
        <f aca="false">AD$217-AC$217</f>
        <v>667326.930632423</v>
      </c>
      <c r="AE218" s="34" t="n">
        <f aca="false">AE$217-AD$217</f>
        <v>0</v>
      </c>
      <c r="AF218" s="34" t="n">
        <f aca="false">AF$217-AE$217</f>
        <v>0</v>
      </c>
      <c r="AG218" s="34" t="n">
        <f aca="false">AG$217-AF$217</f>
        <v>0</v>
      </c>
      <c r="AH218" s="34" t="n">
        <f aca="false">AH$217-AG$217</f>
        <v>0</v>
      </c>
      <c r="AI218" s="34" t="n">
        <f aca="false">AI$217-AH$217</f>
        <v>0</v>
      </c>
      <c r="AJ218" s="34" t="n">
        <f aca="false">AJ$217-AI$217</f>
        <v>0</v>
      </c>
      <c r="AK218" s="34" t="n">
        <f aca="false">AK$217-AJ$217</f>
        <v>0</v>
      </c>
      <c r="AL218" s="34" t="n">
        <f aca="false">AL$217-AK$217</f>
        <v>0</v>
      </c>
      <c r="AM218" s="34" t="n">
        <f aca="false">AM$217-AL$217</f>
        <v>0</v>
      </c>
      <c r="AN218" s="34" t="n">
        <f aca="false">AN$217-AM$217</f>
        <v>0</v>
      </c>
      <c r="AO218" s="34" t="n">
        <f aca="false">AO$217-AN$217</f>
        <v>0</v>
      </c>
      <c r="AP218" s="34" t="n">
        <f aca="false">AP$217-AO$217</f>
        <v>558809.069933313</v>
      </c>
      <c r="AQ218" s="34" t="n">
        <f aca="false">AQ$217-AP$217</f>
        <v>0</v>
      </c>
      <c r="AR218" s="34" t="n">
        <f aca="false">AR$217-AQ$217</f>
        <v>0</v>
      </c>
      <c r="AS218" s="34" t="n">
        <f aca="false">AS$217-AR$217</f>
        <v>0</v>
      </c>
      <c r="AT218" s="34" t="n">
        <f aca="false">AT$217-AS$217</f>
        <v>0</v>
      </c>
      <c r="AU218" s="34" t="n">
        <f aca="false">AU$217-AT$217</f>
        <v>0</v>
      </c>
      <c r="AV218" s="34" t="n">
        <f aca="false">AV$217-AU$217</f>
        <v>0</v>
      </c>
      <c r="AW218" s="34" t="n">
        <f aca="false">AW$217-AV$217</f>
        <v>0</v>
      </c>
      <c r="AX218" s="34" t="n">
        <f aca="false">AX$217-AW$217</f>
        <v>0</v>
      </c>
      <c r="AY218" s="34" t="n">
        <f aca="false">AY$217-AX$217</f>
        <v>0</v>
      </c>
      <c r="AZ218" s="34" t="n">
        <f aca="false">AZ$217-AY$217</f>
        <v>0</v>
      </c>
      <c r="BA218" s="34" t="n">
        <f aca="false">BA$217-AZ$217</f>
        <v>0</v>
      </c>
      <c r="BB218" s="34" t="n">
        <f aca="false">BB$217-BA$217</f>
        <v>38109.5477058599</v>
      </c>
      <c r="BC218" s="34" t="n">
        <f aca="false">BC$217-BB$217</f>
        <v>0</v>
      </c>
      <c r="BD218" s="34" t="n">
        <f aca="false">BD$217-BC$217</f>
        <v>0</v>
      </c>
      <c r="BE218" s="34" t="n">
        <f aca="false">BE$217-BD$217</f>
        <v>0</v>
      </c>
      <c r="BF218" s="34" t="n">
        <f aca="false">BF$217-BE$217</f>
        <v>0</v>
      </c>
      <c r="BG218" s="34" t="n">
        <f aca="false">BG$217-BF$217</f>
        <v>0</v>
      </c>
      <c r="BH218" s="34" t="n">
        <f aca="false">BH$217-BG$217</f>
        <v>0</v>
      </c>
      <c r="BI218" s="34" t="n">
        <f aca="false">BI$217-BH$217</f>
        <v>0</v>
      </c>
      <c r="BJ218" s="34" t="n">
        <f aca="false">BJ$217-BI$217</f>
        <v>0</v>
      </c>
      <c r="BK218" s="34" t="n">
        <f aca="false">BK$217-BJ$217</f>
        <v>0</v>
      </c>
      <c r="BL218" s="34" t="n">
        <f aca="false">BL$217-BK$217</f>
        <v>0</v>
      </c>
      <c r="BM218" s="34" t="n">
        <f aca="false">BM$217-BL$217</f>
        <v>0</v>
      </c>
      <c r="BN218" s="34" t="n">
        <f aca="false">BN$217-BM$217</f>
        <v>37724.8564685965</v>
      </c>
      <c r="BO218" s="34" t="n">
        <f aca="false">BO$217-BN$217</f>
        <v>0</v>
      </c>
      <c r="BP218" s="34" t="n">
        <f aca="false">BP$217-BO$217</f>
        <v>0</v>
      </c>
      <c r="BQ218" s="34" t="n">
        <f aca="false">BQ$217-BP$217</f>
        <v>0</v>
      </c>
      <c r="BR218" s="34" t="n">
        <f aca="false">BR$217-BQ$217</f>
        <v>0</v>
      </c>
      <c r="BS218" s="34" t="n">
        <f aca="false">BS$217-BR$217</f>
        <v>0</v>
      </c>
      <c r="BT218" s="34" t="n">
        <f aca="false">BT$217-BS$217</f>
        <v>0</v>
      </c>
      <c r="BU218" s="34" t="n">
        <f aca="false">BU$217-BT$217</f>
        <v>0</v>
      </c>
      <c r="BV218" s="34" t="n">
        <f aca="false">BV$217-BU$217</f>
        <v>0</v>
      </c>
      <c r="BW218" s="34" t="n">
        <f aca="false">BW$217-BV$217</f>
        <v>0</v>
      </c>
      <c r="BX218" s="34" t="n">
        <f aca="false">BX$217-BW$217</f>
        <v>0</v>
      </c>
      <c r="BY218" s="34" t="n">
        <f aca="false">BY$217-BX$217</f>
        <v>0</v>
      </c>
      <c r="BZ218" s="34" t="n">
        <f aca="false">BZ$217-BY$217</f>
        <v>38089.8932247805</v>
      </c>
      <c r="CA218" s="34" t="n">
        <f aca="false">CA$217-BZ$217</f>
        <v>0</v>
      </c>
      <c r="CB218" s="34" t="n">
        <f aca="false">CB$217-CA$217</f>
        <v>0</v>
      </c>
      <c r="CC218" s="34" t="n">
        <f aca="false">CC$217-CB$217</f>
        <v>0</v>
      </c>
      <c r="CD218" s="34" t="n">
        <f aca="false">CD$217-CC$217</f>
        <v>0</v>
      </c>
      <c r="CE218" s="34" t="n">
        <f aca="false">CE$217-CD$217</f>
        <v>0</v>
      </c>
      <c r="CF218" s="34" t="n">
        <f aca="false">CF$217-CE$217</f>
        <v>0</v>
      </c>
      <c r="CG218" s="34" t="n">
        <f aca="false">CG$217-CF$217</f>
        <v>0</v>
      </c>
      <c r="CH218" s="34" t="n">
        <f aca="false">CH$217-CG$217</f>
        <v>0</v>
      </c>
      <c r="CI218" s="34" t="n">
        <f aca="false">CI$217-CH$217</f>
        <v>0</v>
      </c>
      <c r="CJ218" s="34" t="n">
        <f aca="false">CJ$217-CI$217</f>
        <v>0</v>
      </c>
      <c r="CK218" s="34" t="n">
        <f aca="false">CK$217-CJ$217</f>
        <v>0</v>
      </c>
      <c r="CL218" s="34" t="n">
        <f aca="false">CL$217-CK$217</f>
        <v>38458.2176945191</v>
      </c>
      <c r="CM218" s="34" t="n">
        <f aca="false">CM$217-CL$217</f>
        <v>0</v>
      </c>
      <c r="CN218" s="34" t="n">
        <f aca="false">CN$217-CM$217</f>
        <v>0</v>
      </c>
      <c r="CO218" s="34" t="n">
        <f aca="false">CO$217-CN$217</f>
        <v>0</v>
      </c>
      <c r="CP218" s="34" t="n">
        <f aca="false">CP$217-CO$217</f>
        <v>0</v>
      </c>
      <c r="CQ218" s="34" t="n">
        <f aca="false">CQ$217-CP$217</f>
        <v>0</v>
      </c>
      <c r="CR218" s="34" t="n">
        <f aca="false">CR$217-CQ$217</f>
        <v>0</v>
      </c>
      <c r="CS218" s="34" t="n">
        <f aca="false">CS$217-CR$217</f>
        <v>0</v>
      </c>
      <c r="CT218" s="34" t="n">
        <f aca="false">CT$217-CS$217</f>
        <v>0</v>
      </c>
      <c r="CU218" s="34" t="n">
        <f aca="false">CU$217-CT$217</f>
        <v>0</v>
      </c>
      <c r="CV218" s="34" t="n">
        <f aca="false">CV$217-CU$217</f>
        <v>0</v>
      </c>
      <c r="CW218" s="34" t="n">
        <f aca="false">CW$217-CV$217</f>
        <v>0</v>
      </c>
      <c r="CX218" s="34" t="n">
        <f aca="false">CX$217-CW$217</f>
        <v>38829.851949336</v>
      </c>
      <c r="CY218" s="34" t="n">
        <f aca="false">CY$217-CX$217</f>
        <v>0</v>
      </c>
      <c r="CZ218" s="34" t="n">
        <f aca="false">CZ$217-CY$217</f>
        <v>0</v>
      </c>
      <c r="DA218" s="34" t="n">
        <f aca="false">DA$217-CZ$217</f>
        <v>0</v>
      </c>
      <c r="DB218" s="34" t="n">
        <f aca="false">DB$217-DA$217</f>
        <v>0</v>
      </c>
      <c r="DC218" s="34" t="n">
        <f aca="false">DC$217-DB$217</f>
        <v>0</v>
      </c>
      <c r="DD218" s="34" t="n">
        <f aca="false">DD$217-DC$217</f>
        <v>0</v>
      </c>
      <c r="DE218" s="34" t="n">
        <f aca="false">DE$217-DD$217</f>
        <v>0</v>
      </c>
      <c r="DF218" s="34" t="n">
        <f aca="false">DF$217-DE$217</f>
        <v>0</v>
      </c>
      <c r="DG218" s="34" t="n">
        <f aca="false">DG$217-DF$217</f>
        <v>0</v>
      </c>
      <c r="DH218" s="34" t="n">
        <f aca="false">DH$217-DG$217</f>
        <v>0</v>
      </c>
      <c r="DI218" s="34" t="n">
        <f aca="false">DI$217-DH$217</f>
        <v>0</v>
      </c>
      <c r="DJ218" s="34" t="n">
        <f aca="false">DJ$217-DI$217</f>
        <v>39204.8179587778</v>
      </c>
      <c r="DK218" s="34" t="n">
        <f aca="false">DK$217-DJ$217</f>
        <v>0</v>
      </c>
      <c r="DL218" s="34" t="n">
        <f aca="false">DL$217-DK$217</f>
        <v>0</v>
      </c>
      <c r="DM218" s="34" t="n">
        <f aca="false">DM$217-DL$217</f>
        <v>0</v>
      </c>
      <c r="DN218" s="34" t="n">
        <f aca="false">DN$217-DM$217</f>
        <v>0</v>
      </c>
      <c r="DO218" s="34" t="n">
        <f aca="false">DO$217-DN$217</f>
        <v>0</v>
      </c>
      <c r="DP218" s="34" t="n">
        <f aca="false">DP$217-DO$217</f>
        <v>0</v>
      </c>
      <c r="DQ218" s="34" t="n">
        <f aca="false">DQ$217-DP$217</f>
        <v>0</v>
      </c>
      <c r="DR218" s="34" t="n">
        <f aca="false">DR$217-DQ$217</f>
        <v>0</v>
      </c>
      <c r="DS218" s="34" t="n">
        <f aca="false">DS$217-DR$217</f>
        <v>0</v>
      </c>
      <c r="DT218" s="34" t="n">
        <f aca="false">DT$217-DS$217</f>
        <v>0</v>
      </c>
      <c r="DU218" s="34" t="n">
        <f aca="false">DU$217-DT$217</f>
        <v>0</v>
      </c>
      <c r="DV218" s="34" t="n">
        <f aca="false">DV$217-DU$217</f>
        <v>0</v>
      </c>
      <c r="DW218" s="34" t="n">
        <f aca="false">DW$217-DV$217</f>
        <v>0</v>
      </c>
      <c r="DX218" s="34" t="n">
        <f aca="false">DX$217-DW$217</f>
        <v>0</v>
      </c>
      <c r="DY218" s="34" t="n">
        <f aca="false">DY$217-DX$217</f>
        <v>0</v>
      </c>
      <c r="DZ218" s="34" t="n">
        <f aca="false">DZ$217-DY$217</f>
        <v>0</v>
      </c>
      <c r="EA218" s="34" t="n">
        <f aca="false">EA$217-DZ$217</f>
        <v>0</v>
      </c>
      <c r="EB218" s="34" t="n">
        <f aca="false">EB$217-EA$217</f>
        <v>0</v>
      </c>
      <c r="EC218" s="34" t="n">
        <f aca="false">EC$217-EB$217</f>
        <v>0</v>
      </c>
      <c r="ED218" s="34" t="n">
        <f aca="false">ED$217-EC$217</f>
        <v>0</v>
      </c>
      <c r="EE218" s="34" t="n">
        <f aca="false">EE$217-ED$217</f>
        <v>0</v>
      </c>
      <c r="EF218" s="34" t="n">
        <f aca="false">EF$217-EE$217</f>
        <v>0</v>
      </c>
      <c r="EG218" s="34" t="n">
        <f aca="false">EG$217-EF$217</f>
        <v>0</v>
      </c>
      <c r="EH218" s="34" t="n">
        <f aca="false">EH$217-EG$217</f>
        <v>0</v>
      </c>
      <c r="EI218" s="34" t="n">
        <f aca="false">EI$217-EH$217</f>
        <v>0</v>
      </c>
      <c r="EJ218" s="34" t="n">
        <f aca="false">EJ$217-EI$217</f>
        <v>0</v>
      </c>
      <c r="EK218" s="34" t="n">
        <f aca="false">EK$217-EJ$217</f>
        <v>0</v>
      </c>
      <c r="EL218" s="34" t="n">
        <f aca="false">EL$217-EK$217</f>
        <v>0</v>
      </c>
      <c r="EM218" s="34" t="n">
        <f aca="false">EM$217-EL$217</f>
        <v>0</v>
      </c>
      <c r="EN218" s="34" t="n">
        <f aca="false">EN$217-EM$217</f>
        <v>0</v>
      </c>
      <c r="EO218" s="34" t="n">
        <f aca="false">EO$217-EN$217</f>
        <v>0</v>
      </c>
      <c r="EP218" s="34" t="n">
        <f aca="false">EP$217-EO$217</f>
        <v>0</v>
      </c>
      <c r="EQ218" s="34" t="n">
        <f aca="false">EQ$217-EP$217</f>
        <v>0</v>
      </c>
      <c r="ER218" s="34" t="n">
        <f aca="false">ER$217-EQ$217</f>
        <v>0</v>
      </c>
      <c r="ES218" s="34" t="n">
        <f aca="false">ES$217-ER$217</f>
        <v>0</v>
      </c>
    </row>
    <row r="219" customFormat="false" ht="15" hidden="false" customHeight="false" outlineLevel="0" collapsed="false">
      <c r="A219" s="4"/>
      <c r="B219" s="3" t="s">
        <v>664</v>
      </c>
      <c r="C219" s="4"/>
      <c r="D219" s="4"/>
      <c r="E219" s="4"/>
    </row>
    <row r="220" customFormat="false" ht="15" hidden="false" customHeight="false" outlineLevel="0" collapsed="false">
      <c r="A220" s="2" t="s">
        <v>832</v>
      </c>
      <c r="B220" s="52" t="s">
        <v>666</v>
      </c>
      <c r="C220" s="6" t="s">
        <v>250</v>
      </c>
      <c r="E220" s="40" t="n">
        <f aca="false">SUM(F220:ES220)</f>
        <v>11809741.4989387</v>
      </c>
      <c r="F220" s="10" t="n">
        <f aca="false">(F$206-F$210-F$218)*F$9</f>
        <v>-2345566.38688344</v>
      </c>
      <c r="G220" s="10" t="n">
        <f aca="false">(G$206-G$210-G$218)*G$9</f>
        <v>42497.5004755897</v>
      </c>
      <c r="H220" s="10" t="n">
        <f aca="false">(H$206-H$210-H$218)*H$9</f>
        <v>42497.5004755897</v>
      </c>
      <c r="I220" s="10" t="n">
        <f aca="false">(I$206-I$210-I$218)*I$9</f>
        <v>42497.5004755897</v>
      </c>
      <c r="J220" s="10" t="n">
        <f aca="false">(J$206-J$210-J$218)*J$9</f>
        <v>42497.5004755897</v>
      </c>
      <c r="K220" s="10" t="n">
        <f aca="false">(K$206-K$210-K$218)*K$9</f>
        <v>42497.5004755897</v>
      </c>
      <c r="L220" s="10" t="n">
        <f aca="false">(L$206-L$210-L$218)*L$9</f>
        <v>42497.5004755897</v>
      </c>
      <c r="M220" s="10" t="n">
        <f aca="false">(M$206-M$210-M$218)*M$9</f>
        <v>42497.5004755897</v>
      </c>
      <c r="N220" s="10" t="n">
        <f aca="false">(N$206-N$210-N$218)*N$9</f>
        <v>42497.5004755897</v>
      </c>
      <c r="O220" s="10" t="n">
        <f aca="false">(O$206-O$210-O$218)*O$9</f>
        <v>42497.5004755897</v>
      </c>
      <c r="P220" s="10" t="n">
        <f aca="false">(P$206-P$210-P$218)*P$9</f>
        <v>42497.5004755897</v>
      </c>
      <c r="Q220" s="10" t="n">
        <f aca="false">(Q$206-Q$210-Q$218)*Q$9</f>
        <v>42497.5004755897</v>
      </c>
      <c r="R220" s="10" t="n">
        <f aca="false">(R$206-R$210-R$218)*R$9</f>
        <v>-574649.041401679</v>
      </c>
      <c r="S220" s="10" t="n">
        <f aca="false">(S$206-S$210-S$218)*S$9</f>
        <v>80496.4029939648</v>
      </c>
      <c r="T220" s="10" t="n">
        <f aca="false">(T$206-T$210-T$218)*T$9</f>
        <v>80496.4029939648</v>
      </c>
      <c r="U220" s="10" t="n">
        <f aca="false">(U$206-U$210-U$218)*U$9</f>
        <v>80496.4029939648</v>
      </c>
      <c r="V220" s="10" t="n">
        <f aca="false">(V$206-V$210-V$218)*V$9</f>
        <v>80496.4029939648</v>
      </c>
      <c r="W220" s="10" t="n">
        <f aca="false">(W$206-W$210-W$218)*W$9</f>
        <v>80496.4029939648</v>
      </c>
      <c r="X220" s="10" t="n">
        <f aca="false">(X$206-X$210-X$218)*X$9</f>
        <v>80496.4029939648</v>
      </c>
      <c r="Y220" s="10" t="n">
        <f aca="false">(Y$206-Y$210-Y$218)*Y$9</f>
        <v>80496.4029939648</v>
      </c>
      <c r="Z220" s="10" t="n">
        <f aca="false">(Z$206-Z$210-Z$218)*Z$9</f>
        <v>80496.4029939648</v>
      </c>
      <c r="AA220" s="10" t="n">
        <f aca="false">(AA$206-AA$210-AA$218)*AA$9</f>
        <v>80496.4029939648</v>
      </c>
      <c r="AB220" s="10" t="n">
        <f aca="false">(AB$206-AB$210-AB$218)*AB$9</f>
        <v>80496.4029939648</v>
      </c>
      <c r="AC220" s="10" t="n">
        <f aca="false">(AC$206-AC$210-AC$218)*AC$9</f>
        <v>80496.4029939648</v>
      </c>
      <c r="AD220" s="10" t="n">
        <f aca="false">(AD$206-AD$210-AD$218)*AD$9</f>
        <v>-550241.899767298</v>
      </c>
      <c r="AE220" s="10" t="n">
        <f aca="false">(AE$206-AE$210-AE$218)*AE$9</f>
        <v>117085.030865125</v>
      </c>
      <c r="AF220" s="10" t="n">
        <f aca="false">(AF$206-AF$210-AF$218)*AF$9</f>
        <v>117085.030865125</v>
      </c>
      <c r="AG220" s="10" t="n">
        <f aca="false">(AG$206-AG$210-AG$218)*AG$9</f>
        <v>117085.030865125</v>
      </c>
      <c r="AH220" s="10" t="n">
        <f aca="false">(AH$206-AH$210-AH$218)*AH$9</f>
        <v>117085.030865125</v>
      </c>
      <c r="AI220" s="10" t="n">
        <f aca="false">(AI$206-AI$210-AI$218)*AI$9</f>
        <v>117085.030865125</v>
      </c>
      <c r="AJ220" s="10" t="n">
        <f aca="false">(AJ$206-AJ$210-AJ$218)*AJ$9</f>
        <v>117085.030865125</v>
      </c>
      <c r="AK220" s="10" t="n">
        <f aca="false">(AK$206-AK$210-AK$218)*AK$9</f>
        <v>117085.030865125</v>
      </c>
      <c r="AL220" s="10" t="n">
        <f aca="false">(AL$206-AL$210-AL$218)*AL$9</f>
        <v>117085.030865125</v>
      </c>
      <c r="AM220" s="10" t="n">
        <f aca="false">(AM$206-AM$210-AM$218)*AM$9</f>
        <v>117085.030865125</v>
      </c>
      <c r="AN220" s="10" t="n">
        <f aca="false">(AN$206-AN$210-AN$218)*AN$9</f>
        <v>117085.030865125</v>
      </c>
      <c r="AO220" s="10" t="n">
        <f aca="false">(AO$206-AO$210-AO$218)*AO$9</f>
        <v>117085.030865125</v>
      </c>
      <c r="AP220" s="10" t="n">
        <f aca="false">(AP$206-AP$210-AP$218)*AP$9</f>
        <v>-408915.490053455</v>
      </c>
      <c r="AQ220" s="10" t="n">
        <f aca="false">(AQ$206-AQ$210-AQ$218)*AQ$9</f>
        <v>149893.579879858</v>
      </c>
      <c r="AR220" s="10" t="n">
        <f aca="false">(AR$206-AR$210-AR$218)*AR$9</f>
        <v>149893.579879858</v>
      </c>
      <c r="AS220" s="10" t="n">
        <f aca="false">(AS$206-AS$210-AS$218)*AS$9</f>
        <v>149893.579879858</v>
      </c>
      <c r="AT220" s="10" t="n">
        <f aca="false">(AT$206-AT$210-AT$218)*AT$9</f>
        <v>149893.579879858</v>
      </c>
      <c r="AU220" s="10" t="n">
        <f aca="false">(AU$206-AU$210-AU$218)*AU$9</f>
        <v>149893.579879858</v>
      </c>
      <c r="AV220" s="10" t="n">
        <f aca="false">(AV$206-AV$210-AV$218)*AV$9</f>
        <v>149893.579879858</v>
      </c>
      <c r="AW220" s="10" t="n">
        <f aca="false">(AW$206-AW$210-AW$218)*AW$9</f>
        <v>149893.579879858</v>
      </c>
      <c r="AX220" s="10" t="n">
        <f aca="false">(AX$206-AX$210-AX$218)*AX$9</f>
        <v>149893.579879858</v>
      </c>
      <c r="AY220" s="10" t="n">
        <f aca="false">(AY$206-AY$210-AY$218)*AY$9</f>
        <v>149893.579879858</v>
      </c>
      <c r="AZ220" s="10" t="n">
        <f aca="false">(AZ$206-AZ$210-AZ$218)*AZ$9</f>
        <v>149893.579879858</v>
      </c>
      <c r="BA220" s="10" t="n">
        <f aca="false">(BA$206-BA$210-BA$218)*BA$9</f>
        <v>149893.579879858</v>
      </c>
      <c r="BB220" s="10" t="n">
        <f aca="false">(BB$206-BB$210-BB$218)*BB$9</f>
        <v>113103.617170514</v>
      </c>
      <c r="BC220" s="10" t="n">
        <f aca="false">(BC$206-BC$210-BC$218)*BC$9</f>
        <v>151213.164876374</v>
      </c>
      <c r="BD220" s="10" t="n">
        <f aca="false">(BD$206-BD$210-BD$218)*BD$9</f>
        <v>151213.164876374</v>
      </c>
      <c r="BE220" s="10" t="n">
        <f aca="false">(BE$206-BE$210-BE$218)*BE$9</f>
        <v>151213.164876374</v>
      </c>
      <c r="BF220" s="10" t="n">
        <f aca="false">(BF$206-BF$210-BF$218)*BF$9</f>
        <v>151213.164876374</v>
      </c>
      <c r="BG220" s="10" t="n">
        <f aca="false">(BG$206-BG$210-BG$218)*BG$9</f>
        <v>151213.164876374</v>
      </c>
      <c r="BH220" s="10" t="n">
        <f aca="false">(BH$206-BH$210-BH$218)*BH$9</f>
        <v>151213.164876374</v>
      </c>
      <c r="BI220" s="10" t="n">
        <f aca="false">(BI$206-BI$210-BI$218)*BI$9</f>
        <v>151213.164876374</v>
      </c>
      <c r="BJ220" s="10" t="n">
        <f aca="false">(BJ$206-BJ$210-BJ$218)*BJ$9</f>
        <v>151213.164876374</v>
      </c>
      <c r="BK220" s="10" t="n">
        <f aca="false">(BK$206-BK$210-BK$218)*BK$9</f>
        <v>151213.164876374</v>
      </c>
      <c r="BL220" s="10" t="n">
        <f aca="false">(BL$206-BL$210-BL$218)*BL$9</f>
        <v>151213.164876374</v>
      </c>
      <c r="BM220" s="10" t="n">
        <f aca="false">(BM$206-BM$210-BM$218)*BM$9</f>
        <v>151213.164876374</v>
      </c>
      <c r="BN220" s="10" t="n">
        <f aca="false">(BN$206-BN$210-BN$218)*BN$9</f>
        <v>117575.58532923</v>
      </c>
      <c r="BO220" s="10" t="n">
        <f aca="false">(BO$206-BO$210-BO$218)*BO$9</f>
        <v>155300.441797826</v>
      </c>
      <c r="BP220" s="10" t="n">
        <f aca="false">(BP$206-BP$210-BP$218)*BP$9</f>
        <v>155300.441797826</v>
      </c>
      <c r="BQ220" s="10" t="n">
        <f aca="false">(BQ$206-BQ$210-BQ$218)*BQ$9</f>
        <v>155300.441797826</v>
      </c>
      <c r="BR220" s="10" t="n">
        <f aca="false">(BR$206-BR$210-BR$218)*BR$9</f>
        <v>155300.441797826</v>
      </c>
      <c r="BS220" s="10" t="n">
        <f aca="false">(BS$206-BS$210-BS$218)*BS$9</f>
        <v>155300.441797826</v>
      </c>
      <c r="BT220" s="10" t="n">
        <f aca="false">(BT$206-BT$210-BT$218)*BT$9</f>
        <v>155300.441797826</v>
      </c>
      <c r="BU220" s="10" t="n">
        <f aca="false">(BU$206-BU$210-BU$218)*BU$9</f>
        <v>155300.441797826</v>
      </c>
      <c r="BV220" s="10" t="n">
        <f aca="false">(BV$206-BV$210-BV$218)*BV$9</f>
        <v>155300.441797826</v>
      </c>
      <c r="BW220" s="10" t="n">
        <f aca="false">(BW$206-BW$210-BW$218)*BW$9</f>
        <v>155300.441797826</v>
      </c>
      <c r="BX220" s="10" t="n">
        <f aca="false">(BX$206-BX$210-BX$218)*BX$9</f>
        <v>155300.441797826</v>
      </c>
      <c r="BY220" s="10" t="n">
        <f aca="false">(BY$206-BY$210-BY$218)*BY$9</f>
        <v>155300.441797826</v>
      </c>
      <c r="BZ220" s="10" t="n">
        <f aca="false">(BZ$206-BZ$210-BZ$218)*BZ$9</f>
        <v>121326.129264619</v>
      </c>
      <c r="CA220" s="10" t="n">
        <f aca="false">(CA$206-CA$210-CA$218)*CA$9</f>
        <v>159416.0224894</v>
      </c>
      <c r="CB220" s="10" t="n">
        <f aca="false">(CB$206-CB$210-CB$218)*CB$9</f>
        <v>159416.0224894</v>
      </c>
      <c r="CC220" s="10" t="n">
        <f aca="false">(CC$206-CC$210-CC$218)*CC$9</f>
        <v>159416.0224894</v>
      </c>
      <c r="CD220" s="10" t="n">
        <f aca="false">(CD$206-CD$210-CD$218)*CD$9</f>
        <v>159416.0224894</v>
      </c>
      <c r="CE220" s="10" t="n">
        <f aca="false">(CE$206-CE$210-CE$218)*CE$9</f>
        <v>159416.0224894</v>
      </c>
      <c r="CF220" s="10" t="n">
        <f aca="false">(CF$206-CF$210-CF$218)*CF$9</f>
        <v>159416.0224894</v>
      </c>
      <c r="CG220" s="10" t="n">
        <f aca="false">(CG$206-CG$210-CG$218)*CG$9</f>
        <v>159416.0224894</v>
      </c>
      <c r="CH220" s="10" t="n">
        <f aca="false">(CH$206-CH$210-CH$218)*CH$9</f>
        <v>159416.0224894</v>
      </c>
      <c r="CI220" s="10" t="n">
        <f aca="false">(CI$206-CI$210-CI$218)*CI$9</f>
        <v>159416.0224894</v>
      </c>
      <c r="CJ220" s="10" t="n">
        <f aca="false">(CJ$206-CJ$210-CJ$218)*CJ$9</f>
        <v>159416.0224894</v>
      </c>
      <c r="CK220" s="10" t="n">
        <f aca="false">(CK$206-CK$210-CK$218)*CK$9</f>
        <v>159416.0224894</v>
      </c>
      <c r="CL220" s="10" t="n">
        <f aca="false">(CL$206-CL$210-CL$218)*CL$9</f>
        <v>125101.600851768</v>
      </c>
      <c r="CM220" s="10" t="n">
        <f aca="false">(CM$206-CM$210-CM$218)*CM$9</f>
        <v>163559.818546288</v>
      </c>
      <c r="CN220" s="10" t="n">
        <f aca="false">(CN$206-CN$210-CN$218)*CN$9</f>
        <v>163559.818546288</v>
      </c>
      <c r="CO220" s="10" t="n">
        <f aca="false">(CO$206-CO$210-CO$218)*CO$9</f>
        <v>163559.818546288</v>
      </c>
      <c r="CP220" s="10" t="n">
        <f aca="false">(CP$206-CP$210-CP$218)*CP$9</f>
        <v>163559.818546288</v>
      </c>
      <c r="CQ220" s="10" t="n">
        <f aca="false">(CQ$206-CQ$210-CQ$218)*CQ$9</f>
        <v>163559.818546288</v>
      </c>
      <c r="CR220" s="10" t="n">
        <f aca="false">(CR$206-CR$210-CR$218)*CR$9</f>
        <v>163559.818546288</v>
      </c>
      <c r="CS220" s="10" t="n">
        <f aca="false">(CS$206-CS$210-CS$218)*CS$9</f>
        <v>163559.818546288</v>
      </c>
      <c r="CT220" s="10" t="n">
        <f aca="false">(CT$206-CT$210-CT$218)*CT$9</f>
        <v>163559.818546288</v>
      </c>
      <c r="CU220" s="10" t="n">
        <f aca="false">(CU$206-CU$210-CU$218)*CU$9</f>
        <v>163559.818546288</v>
      </c>
      <c r="CV220" s="10" t="n">
        <f aca="false">(CV$206-CV$210-CV$218)*CV$9</f>
        <v>163559.818546288</v>
      </c>
      <c r="CW220" s="10" t="n">
        <f aca="false">(CW$206-CW$210-CW$218)*CW$9</f>
        <v>163559.818546288</v>
      </c>
      <c r="CX220" s="10" t="n">
        <f aca="false">(CX$206-CX$210-CX$218)*CX$9</f>
        <v>128901.877699572</v>
      </c>
      <c r="CY220" s="10" t="n">
        <f aca="false">(CY$206-CY$210-CY$218)*CY$9</f>
        <v>167731.729648908</v>
      </c>
      <c r="CZ220" s="10" t="n">
        <f aca="false">(CZ$206-CZ$210-CZ$218)*CZ$9</f>
        <v>167731.729648908</v>
      </c>
      <c r="DA220" s="10" t="n">
        <f aca="false">(DA$206-DA$210-DA$218)*DA$9</f>
        <v>167731.729648908</v>
      </c>
      <c r="DB220" s="10" t="n">
        <f aca="false">(DB$206-DB$210-DB$218)*DB$9</f>
        <v>167731.729648908</v>
      </c>
      <c r="DC220" s="10" t="n">
        <f aca="false">(DC$206-DC$210-DC$218)*DC$9</f>
        <v>167731.729648908</v>
      </c>
      <c r="DD220" s="10" t="n">
        <f aca="false">(DD$206-DD$210-DD$218)*DD$9</f>
        <v>167731.729648908</v>
      </c>
      <c r="DE220" s="10" t="n">
        <f aca="false">(DE$206-DE$210-DE$218)*DE$9</f>
        <v>167731.729648908</v>
      </c>
      <c r="DF220" s="10" t="n">
        <f aca="false">(DF$206-DF$210-DF$218)*DF$9</f>
        <v>167731.729648908</v>
      </c>
      <c r="DG220" s="10" t="n">
        <f aca="false">(DG$206-DG$210-DG$218)*DG$9</f>
        <v>167731.729648908</v>
      </c>
      <c r="DH220" s="10" t="n">
        <f aca="false">(DH$206-DH$210-DH$218)*DH$9</f>
        <v>167731.729648908</v>
      </c>
      <c r="DI220" s="10" t="n">
        <f aca="false">(DI$206-DI$210-DI$218)*DI$9</f>
        <v>167731.729648908</v>
      </c>
      <c r="DJ220" s="10" t="n">
        <f aca="false">(DJ$206-DJ$210-DJ$218)*DJ$9</f>
        <v>132726.825156308</v>
      </c>
      <c r="DK220" s="10" t="n">
        <f aca="false">(DK$206-DK$210-DK$218)*DK$9</f>
        <v>171931.643115086</v>
      </c>
      <c r="DL220" s="10" t="n">
        <f aca="false">(DL$206-DL$210-DL$218)*DL$9</f>
        <v>171931.643115086</v>
      </c>
      <c r="DM220" s="10" t="n">
        <f aca="false">(DM$206-DM$210-DM$218)*DM$9</f>
        <v>171931.643115086</v>
      </c>
      <c r="DN220" s="10" t="n">
        <f aca="false">(DN$206-DN$210-DN$218)*DN$9</f>
        <v>171931.643115086</v>
      </c>
      <c r="DO220" s="10" t="n">
        <f aca="false">(DO$206-DO$210-DO$218)*DO$9</f>
        <v>171931.643115086</v>
      </c>
      <c r="DP220" s="10" t="n">
        <f aca="false">(DP$206-DP$210-DP$218)*DP$9</f>
        <v>171931.643115086</v>
      </c>
      <c r="DQ220" s="10" t="n">
        <f aca="false">(DQ$206-DQ$210-DQ$218)*DQ$9</f>
        <v>171931.643115086</v>
      </c>
      <c r="DR220" s="10" t="n">
        <f aca="false">(DR$206-DR$210-DR$218)*DR$9</f>
        <v>171931.643115086</v>
      </c>
      <c r="DS220" s="10" t="n">
        <f aca="false">(DS$206-DS$210-DS$218)*DS$9</f>
        <v>171931.643115086</v>
      </c>
      <c r="DT220" s="10" t="n">
        <f aca="false">(DT$206-DT$210-DT$218)*DT$9</f>
        <v>171931.643115086</v>
      </c>
      <c r="DU220" s="10" t="n">
        <f aca="false">(DU$206-DU$210-DU$218)*DU$9</f>
        <v>171931.643115086</v>
      </c>
      <c r="DV220" s="10" t="n">
        <f aca="false">(DV$206-DV$210-DV$218)*DV$9</f>
        <v>0</v>
      </c>
      <c r="DW220" s="10" t="n">
        <f aca="false">(DW$206-DW$210-DW$218)*DW$9</f>
        <v>0</v>
      </c>
      <c r="DX220" s="10" t="n">
        <f aca="false">(DX$206-DX$210-DX$218)*DX$9</f>
        <v>0</v>
      </c>
      <c r="DY220" s="10" t="n">
        <f aca="false">(DY$206-DY$210-DY$218)*DY$9</f>
        <v>0</v>
      </c>
      <c r="DZ220" s="10" t="n">
        <f aca="false">(DZ$206-DZ$210-DZ$218)*DZ$9</f>
        <v>0</v>
      </c>
      <c r="EA220" s="10" t="n">
        <f aca="false">(EA$206-EA$210-EA$218)*EA$9</f>
        <v>0</v>
      </c>
      <c r="EB220" s="10" t="n">
        <f aca="false">(EB$206-EB$210-EB$218)*EB$9</f>
        <v>0</v>
      </c>
      <c r="EC220" s="10" t="n">
        <f aca="false">(EC$206-EC$210-EC$218)*EC$9</f>
        <v>0</v>
      </c>
      <c r="ED220" s="10" t="n">
        <f aca="false">(ED$206-ED$210-ED$218)*ED$9</f>
        <v>0</v>
      </c>
      <c r="EE220" s="10" t="n">
        <f aca="false">(EE$206-EE$210-EE$218)*EE$9</f>
        <v>0</v>
      </c>
      <c r="EF220" s="10" t="n">
        <f aca="false">(EF$206-EF$210-EF$218)*EF$9</f>
        <v>0</v>
      </c>
      <c r="EG220" s="10" t="n">
        <f aca="false">(EG$206-EG$210-EG$218)*EG$9</f>
        <v>0</v>
      </c>
      <c r="EH220" s="10" t="n">
        <f aca="false">(EH$206-EH$210-EH$218)*EH$9</f>
        <v>0</v>
      </c>
      <c r="EI220" s="10" t="n">
        <f aca="false">(EI$206-EI$210-EI$218)*EI$9</f>
        <v>0</v>
      </c>
      <c r="EJ220" s="10" t="n">
        <f aca="false">(EJ$206-EJ$210-EJ$218)*EJ$9</f>
        <v>0</v>
      </c>
      <c r="EK220" s="10" t="n">
        <f aca="false">(EK$206-EK$210-EK$218)*EK$9</f>
        <v>0</v>
      </c>
      <c r="EL220" s="10" t="n">
        <f aca="false">(EL$206-EL$210-EL$218)*EL$9</f>
        <v>0</v>
      </c>
      <c r="EM220" s="10" t="n">
        <f aca="false">(EM$206-EM$210-EM$218)*EM$9</f>
        <v>0</v>
      </c>
      <c r="EN220" s="10" t="n">
        <f aca="false">(EN$206-EN$210-EN$218)*EN$9</f>
        <v>0</v>
      </c>
      <c r="EO220" s="10" t="n">
        <f aca="false">(EO$206-EO$210-EO$218)*EO$9</f>
        <v>0</v>
      </c>
      <c r="EP220" s="10" t="n">
        <f aca="false">(EP$206-EP$210-EP$218)*EP$9</f>
        <v>0</v>
      </c>
      <c r="EQ220" s="10" t="n">
        <f aca="false">(EQ$206-EQ$210-EQ$218)*EQ$9</f>
        <v>0</v>
      </c>
      <c r="ER220" s="10" t="n">
        <f aca="false">(ER$206-ER$210-ER$218)*ER$9</f>
        <v>0</v>
      </c>
      <c r="ES220" s="10" t="n">
        <f aca="false">(ES$206-ES$210-ES$218)*ES$9</f>
        <v>0</v>
      </c>
    </row>
    <row r="221" customFormat="false" ht="15" hidden="false" customHeight="false" outlineLevel="0" collapsed="false">
      <c r="A221" s="2" t="s">
        <v>833</v>
      </c>
      <c r="B221" s="6" t="s">
        <v>506</v>
      </c>
      <c r="C221" s="6" t="s">
        <v>250</v>
      </c>
      <c r="E221" s="40" t="n">
        <f aca="false">SUM(F221:ES221)</f>
        <v>755044.09</v>
      </c>
      <c r="F221" s="34" t="n">
        <f aca="false">IF(F$8=1,IF(Reales!$C$46="PYG",IF(F$10&gt;0,N(Reales!F46)/F$10,0),N(Reales!F46)),(SUMIF(Inv_Q,1,Inv_R)+SUMIF(Inv_Q,1,Inv_M)*(1+V_dCapex))*F$9)</f>
        <v>655044.09</v>
      </c>
      <c r="G221" s="34" t="n">
        <f aca="false">IF(G$8=1,IF(Reales!$C$46="PYG",IF(G$10&gt;0,N(Reales!G46)/G$10,0),N(Reales!G46)),(SUMIF(Inv_Q,2,Inv_R)+SUMIF(Inv_Q,2,Inv_M)*(1+V_dCapex))*G$9)</f>
        <v>0</v>
      </c>
      <c r="H221" s="34" t="n">
        <f aca="false">IF(H$8=1,IF(Reales!$C$46="PYG",IF(H$10&gt;0,N(Reales!H46)/H$10,0),N(Reales!H46)),(SUMIF(Inv_Q,3,Inv_R)+SUMIF(Inv_Q,3,Inv_M)*(1+V_dCapex))*H$9)</f>
        <v>0</v>
      </c>
      <c r="I221" s="34" t="n">
        <f aca="false">IF(I$8=1,IF(Reales!$C$46="PYG",IF(I$10&gt;0,N(Reales!I46)/I$10,0),N(Reales!I46)),(SUMIF(Inv_Q,4,Inv_R)+SUMIF(Inv_Q,4,Inv_M)*(1+V_dCapex))*I$9)</f>
        <v>0</v>
      </c>
      <c r="J221" s="34" t="n">
        <f aca="false">IF(J$8=1,IF(Reales!$C$46="PYG",IF(J$10&gt;0,N(Reales!J46)/J$10,0),N(Reales!J46)),(SUMIF(Inv_Q,5,Inv_R)+SUMIF(Inv_Q,5,Inv_M)*(1+V_dCapex))*J$9)</f>
        <v>0</v>
      </c>
      <c r="K221" s="34" t="n">
        <f aca="false">IF(K$8=1,IF(Reales!$C$46="PYG",IF(K$10&gt;0,N(Reales!K46)/K$10,0),N(Reales!K46)),(SUMIF(Inv_Q,6,Inv_R)+SUMIF(Inv_Q,6,Inv_M)*(1+V_dCapex))*K$9)</f>
        <v>0</v>
      </c>
      <c r="L221" s="34" t="n">
        <f aca="false">IF(L$8=1,IF(Reales!$C$46="PYG",IF(L$10&gt;0,N(Reales!L46)/L$10,0),N(Reales!L46)),(SUMIF(Inv_Q,7,Inv_R)+SUMIF(Inv_Q,7,Inv_M)*(1+V_dCapex))*L$9)</f>
        <v>0</v>
      </c>
      <c r="M221" s="34" t="n">
        <f aca="false">IF(M$8=1,IF(Reales!$C$46="PYG",IF(M$10&gt;0,N(Reales!M46)/M$10,0),N(Reales!M46)),(SUMIF(Inv_Q,8,Inv_R)+SUMIF(Inv_Q,8,Inv_M)*(1+V_dCapex))*M$9)</f>
        <v>0</v>
      </c>
      <c r="N221" s="34" t="n">
        <f aca="false">IF(N$8=1,IF(Reales!$C$46="PYG",IF(N$10&gt;0,N(Reales!N46)/N$10,0),N(Reales!N46)),(SUMIF(Inv_Q,9,Inv_R)+SUMIF(Inv_Q,9,Inv_M)*(1+V_dCapex))*N$9)</f>
        <v>0</v>
      </c>
      <c r="O221" s="34" t="n">
        <f aca="false">IF(O$8=1,IF(Reales!$C$46="PYG",IF(O$10&gt;0,N(Reales!O46)/O$10,0),N(Reales!O46)),(SUMIF(Inv_Q,10,Inv_R)+SUMIF(Inv_Q,10,Inv_M)*(1+V_dCapex))*O$9)</f>
        <v>0</v>
      </c>
      <c r="P221" s="34" t="n">
        <f aca="false">IF(P$8=1,IF(Reales!$C$46="PYG",IF(P$10&gt;0,N(Reales!P46)/P$10,0),N(Reales!P46)),(SUMIF(Inv_Q,11,Inv_R)+SUMIF(Inv_Q,11,Inv_M)*(1+V_dCapex))*P$9)</f>
        <v>0</v>
      </c>
      <c r="Q221" s="34" t="n">
        <f aca="false">IF(Q$8=1,IF(Reales!$C$46="PYG",IF(Q$10&gt;0,N(Reales!Q46)/Q$10,0),N(Reales!Q46)),(SUMIF(Inv_Q,12,Inv_R)+SUMIF(Inv_Q,12,Inv_M)*(1+V_dCapex))*Q$9)</f>
        <v>0</v>
      </c>
      <c r="R221" s="34" t="n">
        <f aca="false">IF(R$8=1,IF(Reales!$C$46="PYG",IF(R$10&gt;0,N(Reales!R46)/R$10,0),N(Reales!R46)),(SUMIF(Inv_Q,13,Inv_R)+SUMIF(Inv_Q,13,Inv_M)*(1+V_dCapex))*R$9)</f>
        <v>100000</v>
      </c>
      <c r="S221" s="34" t="n">
        <f aca="false">IF(S$8=1,IF(Reales!$C$46="PYG",IF(S$10&gt;0,N(Reales!S46)/S$10,0),N(Reales!S46)),(SUMIF(Inv_Q,14,Inv_R)+SUMIF(Inv_Q,14,Inv_M)*(1+V_dCapex))*S$9)</f>
        <v>0</v>
      </c>
      <c r="T221" s="34" t="n">
        <f aca="false">IF(T$8=1,IF(Reales!$C$46="PYG",IF(T$10&gt;0,N(Reales!T46)/T$10,0),N(Reales!T46)),(SUMIF(Inv_Q,15,Inv_R)+SUMIF(Inv_Q,15,Inv_M)*(1+V_dCapex))*T$9)</f>
        <v>0</v>
      </c>
      <c r="U221" s="34" t="n">
        <f aca="false">IF(U$8=1,IF(Reales!$C$46="PYG",IF(U$10&gt;0,N(Reales!U46)/U$10,0),N(Reales!U46)),(SUMIF(Inv_Q,16,Inv_R)+SUMIF(Inv_Q,16,Inv_M)*(1+V_dCapex))*U$9)</f>
        <v>0</v>
      </c>
      <c r="V221" s="34" t="n">
        <f aca="false">IF(V$8=1,IF(Reales!$C$46="PYG",IF(V$10&gt;0,N(Reales!V46)/V$10,0),N(Reales!V46)),(SUMIF(Inv_Q,17,Inv_R)+SUMIF(Inv_Q,17,Inv_M)*(1+V_dCapex))*V$9)</f>
        <v>0</v>
      </c>
      <c r="W221" s="34" t="n">
        <f aca="false">IF(W$8=1,IF(Reales!$C$46="PYG",IF(W$10&gt;0,N(Reales!W46)/W$10,0),N(Reales!W46)),(SUMIF(Inv_Q,18,Inv_R)+SUMIF(Inv_Q,18,Inv_M)*(1+V_dCapex))*W$9)</f>
        <v>0</v>
      </c>
      <c r="X221" s="34" t="n">
        <f aca="false">IF(X$8=1,IF(Reales!$C$46="PYG",IF(X$10&gt;0,N(Reales!X46)/X$10,0),N(Reales!X46)),(SUMIF(Inv_Q,19,Inv_R)+SUMIF(Inv_Q,19,Inv_M)*(1+V_dCapex))*X$9)</f>
        <v>0</v>
      </c>
      <c r="Y221" s="34" t="n">
        <f aca="false">IF(Y$8=1,IF(Reales!$C$46="PYG",IF(Y$10&gt;0,N(Reales!Y46)/Y$10,0),N(Reales!Y46)),(SUMIF(Inv_Q,20,Inv_R)+SUMIF(Inv_Q,20,Inv_M)*(1+V_dCapex))*Y$9)</f>
        <v>0</v>
      </c>
      <c r="Z221" s="34" t="n">
        <f aca="false">IF(Z$8=1,IF(Reales!$C$46="PYG",IF(Z$10&gt;0,N(Reales!Z46)/Z$10,0),N(Reales!Z46)),(SUMIF(Inv_Q,21,Inv_R)+SUMIF(Inv_Q,21,Inv_M)*(1+V_dCapex))*Z$9)</f>
        <v>0</v>
      </c>
      <c r="AA221" s="34" t="n">
        <f aca="false">IF(AA$8=1,IF(Reales!$C$46="PYG",IF(AA$10&gt;0,N(Reales!AA46)/AA$10,0),N(Reales!AA46)),(SUMIF(Inv_Q,22,Inv_R)+SUMIF(Inv_Q,22,Inv_M)*(1+V_dCapex))*AA$9)</f>
        <v>0</v>
      </c>
      <c r="AB221" s="34" t="n">
        <f aca="false">IF(AB$8=1,IF(Reales!$C$46="PYG",IF(AB$10&gt;0,N(Reales!AB46)/AB$10,0),N(Reales!AB46)),(SUMIF(Inv_Q,23,Inv_R)+SUMIF(Inv_Q,23,Inv_M)*(1+V_dCapex))*AB$9)</f>
        <v>0</v>
      </c>
      <c r="AC221" s="34" t="n">
        <f aca="false">IF(AC$8=1,IF(Reales!$C$46="PYG",IF(AC$10&gt;0,N(Reales!AC46)/AC$10,0),N(Reales!AC46)),(SUMIF(Inv_Q,24,Inv_R)+SUMIF(Inv_Q,24,Inv_M)*(1+V_dCapex))*AC$9)</f>
        <v>0</v>
      </c>
      <c r="AD221" s="34" t="n">
        <f aca="false">IF(AD$8=1,IF(Reales!$C$46="PYG",IF(AD$10&gt;0,N(Reales!AD46)/AD$10,0),N(Reales!AD46)),(SUMIF(Inv_Q,25,Inv_R)+SUMIF(Inv_Q,25,Inv_M)*(1+V_dCapex))*AD$9)</f>
        <v>0</v>
      </c>
      <c r="AE221" s="34" t="n">
        <f aca="false">IF(AE$8=1,IF(Reales!$C$46="PYG",IF(AE$10&gt;0,N(Reales!AE46)/AE$10,0),N(Reales!AE46)),(SUMIF(Inv_Q,26,Inv_R)+SUMIF(Inv_Q,26,Inv_M)*(1+V_dCapex))*AE$9)</f>
        <v>0</v>
      </c>
      <c r="AF221" s="34" t="n">
        <f aca="false">IF(AF$8=1,IF(Reales!$C$46="PYG",IF(AF$10&gt;0,N(Reales!AF46)/AF$10,0),N(Reales!AF46)),(SUMIF(Inv_Q,27,Inv_R)+SUMIF(Inv_Q,27,Inv_M)*(1+V_dCapex))*AF$9)</f>
        <v>0</v>
      </c>
      <c r="AG221" s="34" t="n">
        <f aca="false">IF(AG$8=1,IF(Reales!$C$46="PYG",IF(AG$10&gt;0,N(Reales!AG46)/AG$10,0),N(Reales!AG46)),(SUMIF(Inv_Q,28,Inv_R)+SUMIF(Inv_Q,28,Inv_M)*(1+V_dCapex))*AG$9)</f>
        <v>0</v>
      </c>
      <c r="AH221" s="34" t="n">
        <f aca="false">IF(AH$8=1,IF(Reales!$C$46="PYG",IF(AH$10&gt;0,N(Reales!AH46)/AH$10,0),N(Reales!AH46)),(SUMIF(Inv_Q,29,Inv_R)+SUMIF(Inv_Q,29,Inv_M)*(1+V_dCapex))*AH$9)</f>
        <v>0</v>
      </c>
      <c r="AI221" s="34" t="n">
        <f aca="false">IF(AI$8=1,IF(Reales!$C$46="PYG",IF(AI$10&gt;0,N(Reales!AI46)/AI$10,0),N(Reales!AI46)),(SUMIF(Inv_Q,30,Inv_R)+SUMIF(Inv_Q,30,Inv_M)*(1+V_dCapex))*AI$9)</f>
        <v>0</v>
      </c>
      <c r="AJ221" s="34" t="n">
        <f aca="false">IF(AJ$8=1,IF(Reales!$C$46="PYG",IF(AJ$10&gt;0,N(Reales!AJ46)/AJ$10,0),N(Reales!AJ46)),(SUMIF(Inv_Q,31,Inv_R)+SUMIF(Inv_Q,31,Inv_M)*(1+V_dCapex))*AJ$9)</f>
        <v>0</v>
      </c>
      <c r="AK221" s="34" t="n">
        <f aca="false">IF(AK$8=1,IF(Reales!$C$46="PYG",IF(AK$10&gt;0,N(Reales!AK46)/AK$10,0),N(Reales!AK46)),(SUMIF(Inv_Q,32,Inv_R)+SUMIF(Inv_Q,32,Inv_M)*(1+V_dCapex))*AK$9)</f>
        <v>0</v>
      </c>
      <c r="AL221" s="34" t="n">
        <f aca="false">IF(AL$8=1,IF(Reales!$C$46="PYG",IF(AL$10&gt;0,N(Reales!AL46)/AL$10,0),N(Reales!AL46)),(SUMIF(Inv_Q,33,Inv_R)+SUMIF(Inv_Q,33,Inv_M)*(1+V_dCapex))*AL$9)</f>
        <v>0</v>
      </c>
      <c r="AM221" s="34" t="n">
        <f aca="false">IF(AM$8=1,IF(Reales!$C$46="PYG",IF(AM$10&gt;0,N(Reales!AM46)/AM$10,0),N(Reales!AM46)),(SUMIF(Inv_Q,34,Inv_R)+SUMIF(Inv_Q,34,Inv_M)*(1+V_dCapex))*AM$9)</f>
        <v>0</v>
      </c>
      <c r="AN221" s="34" t="n">
        <f aca="false">IF(AN$8=1,IF(Reales!$C$46="PYG",IF(AN$10&gt;0,N(Reales!AN46)/AN$10,0),N(Reales!AN46)),(SUMIF(Inv_Q,35,Inv_R)+SUMIF(Inv_Q,35,Inv_M)*(1+V_dCapex))*AN$9)</f>
        <v>0</v>
      </c>
      <c r="AO221" s="34" t="n">
        <f aca="false">IF(AO$8=1,IF(Reales!$C$46="PYG",IF(AO$10&gt;0,N(Reales!AO46)/AO$10,0),N(Reales!AO46)),(SUMIF(Inv_Q,36,Inv_R)+SUMIF(Inv_Q,36,Inv_M)*(1+V_dCapex))*AO$9)</f>
        <v>0</v>
      </c>
      <c r="AP221" s="34" t="n">
        <f aca="false">IF(AP$8=1,IF(Reales!$C$46="PYG",IF(AP$10&gt;0,N(Reales!AP46)/AP$10,0),N(Reales!AP46)),(SUMIF(Inv_Q,37,Inv_R)+SUMIF(Inv_Q,37,Inv_M)*(1+V_dCapex))*AP$9)</f>
        <v>0</v>
      </c>
      <c r="AQ221" s="34" t="n">
        <f aca="false">IF(AQ$8=1,IF(Reales!$C$46="PYG",IF(AQ$10&gt;0,N(Reales!AQ46)/AQ$10,0),N(Reales!AQ46)),(SUMIF(Inv_Q,38,Inv_R)+SUMIF(Inv_Q,38,Inv_M)*(1+V_dCapex))*AQ$9)</f>
        <v>0</v>
      </c>
      <c r="AR221" s="34" t="n">
        <f aca="false">IF(AR$8=1,IF(Reales!$C$46="PYG",IF(AR$10&gt;0,N(Reales!AR46)/AR$10,0),N(Reales!AR46)),(SUMIF(Inv_Q,39,Inv_R)+SUMIF(Inv_Q,39,Inv_M)*(1+V_dCapex))*AR$9)</f>
        <v>0</v>
      </c>
      <c r="AS221" s="34" t="n">
        <f aca="false">IF(AS$8=1,IF(Reales!$C$46="PYG",IF(AS$10&gt;0,N(Reales!AS46)/AS$10,0),N(Reales!AS46)),(SUMIF(Inv_Q,40,Inv_R)+SUMIF(Inv_Q,40,Inv_M)*(1+V_dCapex))*AS$9)</f>
        <v>0</v>
      </c>
      <c r="AT221" s="34" t="n">
        <f aca="false">IF(AT$8=1,IF(Reales!$C$46="PYG",IF(AT$10&gt;0,N(Reales!AT46)/AT$10,0),N(Reales!AT46)),(SUMIF(Inv_Q,41,Inv_R)+SUMIF(Inv_Q,41,Inv_M)*(1+V_dCapex))*AT$9)</f>
        <v>0</v>
      </c>
      <c r="AU221" s="34" t="n">
        <f aca="false">IF(AU$8=1,IF(Reales!$C$46="PYG",IF(AU$10&gt;0,N(Reales!AU46)/AU$10,0),N(Reales!AU46)),(SUMIF(Inv_Q,42,Inv_R)+SUMIF(Inv_Q,42,Inv_M)*(1+V_dCapex))*AU$9)</f>
        <v>0</v>
      </c>
      <c r="AV221" s="34" t="n">
        <f aca="false">IF(AV$8=1,IF(Reales!$C$46="PYG",IF(AV$10&gt;0,N(Reales!AV46)/AV$10,0),N(Reales!AV46)),(SUMIF(Inv_Q,43,Inv_R)+SUMIF(Inv_Q,43,Inv_M)*(1+V_dCapex))*AV$9)</f>
        <v>0</v>
      </c>
      <c r="AW221" s="34" t="n">
        <f aca="false">IF(AW$8=1,IF(Reales!$C$46="PYG",IF(AW$10&gt;0,N(Reales!AW46)/AW$10,0),N(Reales!AW46)),(SUMIF(Inv_Q,44,Inv_R)+SUMIF(Inv_Q,44,Inv_M)*(1+V_dCapex))*AW$9)</f>
        <v>0</v>
      </c>
      <c r="AX221" s="34" t="n">
        <f aca="false">IF(AX$8=1,IF(Reales!$C$46="PYG",IF(AX$10&gt;0,N(Reales!AX46)/AX$10,0),N(Reales!AX46)),(SUMIF(Inv_Q,45,Inv_R)+SUMIF(Inv_Q,45,Inv_M)*(1+V_dCapex))*AX$9)</f>
        <v>0</v>
      </c>
      <c r="AY221" s="34" t="n">
        <f aca="false">IF(AY$8=1,IF(Reales!$C$46="PYG",IF(AY$10&gt;0,N(Reales!AY46)/AY$10,0),N(Reales!AY46)),(SUMIF(Inv_Q,46,Inv_R)+SUMIF(Inv_Q,46,Inv_M)*(1+V_dCapex))*AY$9)</f>
        <v>0</v>
      </c>
      <c r="AZ221" s="34" t="n">
        <f aca="false">IF(AZ$8=1,IF(Reales!$C$46="PYG",IF(AZ$10&gt;0,N(Reales!AZ46)/AZ$10,0),N(Reales!AZ46)),(SUMIF(Inv_Q,47,Inv_R)+SUMIF(Inv_Q,47,Inv_M)*(1+V_dCapex))*AZ$9)</f>
        <v>0</v>
      </c>
      <c r="BA221" s="34" t="n">
        <f aca="false">IF(BA$8=1,IF(Reales!$C$46="PYG",IF(BA$10&gt;0,N(Reales!BA46)/BA$10,0),N(Reales!BA46)),(SUMIF(Inv_Q,48,Inv_R)+SUMIF(Inv_Q,48,Inv_M)*(1+V_dCapex))*BA$9)</f>
        <v>0</v>
      </c>
      <c r="BB221" s="34" t="n">
        <f aca="false">IF(BB$8=1,IF(Reales!$C$46="PYG",IF(BB$10&gt;0,N(Reales!BB46)/BB$10,0),N(Reales!BB46)),(SUMIF(Inv_Q,49,Inv_R)+SUMIF(Inv_Q,49,Inv_M)*(1+V_dCapex))*BB$9)</f>
        <v>0</v>
      </c>
      <c r="BC221" s="34" t="n">
        <f aca="false">IF(BC$8=1,IF(Reales!$C$46="PYG",IF(BC$10&gt;0,N(Reales!BC46)/BC$10,0),N(Reales!BC46)),(SUMIF(Inv_Q,50,Inv_R)+SUMIF(Inv_Q,50,Inv_M)*(1+V_dCapex))*BC$9)</f>
        <v>0</v>
      </c>
      <c r="BD221" s="34" t="n">
        <f aca="false">IF(BD$8=1,IF(Reales!$C$46="PYG",IF(BD$10&gt;0,N(Reales!BD46)/BD$10,0),N(Reales!BD46)),(SUMIF(Inv_Q,51,Inv_R)+SUMIF(Inv_Q,51,Inv_M)*(1+V_dCapex))*BD$9)</f>
        <v>0</v>
      </c>
      <c r="BE221" s="34" t="n">
        <f aca="false">IF(BE$8=1,IF(Reales!$C$46="PYG",IF(BE$10&gt;0,N(Reales!BE46)/BE$10,0),N(Reales!BE46)),(SUMIF(Inv_Q,52,Inv_R)+SUMIF(Inv_Q,52,Inv_M)*(1+V_dCapex))*BE$9)</f>
        <v>0</v>
      </c>
      <c r="BF221" s="34" t="n">
        <f aca="false">IF(BF$8=1,IF(Reales!$C$46="PYG",IF(BF$10&gt;0,N(Reales!BF46)/BF$10,0),N(Reales!BF46)),(SUMIF(Inv_Q,53,Inv_R)+SUMIF(Inv_Q,53,Inv_M)*(1+V_dCapex))*BF$9)</f>
        <v>0</v>
      </c>
      <c r="BG221" s="34" t="n">
        <f aca="false">IF(BG$8=1,IF(Reales!$C$46="PYG",IF(BG$10&gt;0,N(Reales!BG46)/BG$10,0),N(Reales!BG46)),(SUMIF(Inv_Q,54,Inv_R)+SUMIF(Inv_Q,54,Inv_M)*(1+V_dCapex))*BG$9)</f>
        <v>0</v>
      </c>
      <c r="BH221" s="34" t="n">
        <f aca="false">IF(BH$8=1,IF(Reales!$C$46="PYG",IF(BH$10&gt;0,N(Reales!BH46)/BH$10,0),N(Reales!BH46)),(SUMIF(Inv_Q,55,Inv_R)+SUMIF(Inv_Q,55,Inv_M)*(1+V_dCapex))*BH$9)</f>
        <v>0</v>
      </c>
      <c r="BI221" s="34" t="n">
        <f aca="false">IF(BI$8=1,IF(Reales!$C$46="PYG",IF(BI$10&gt;0,N(Reales!BI46)/BI$10,0),N(Reales!BI46)),(SUMIF(Inv_Q,56,Inv_R)+SUMIF(Inv_Q,56,Inv_M)*(1+V_dCapex))*BI$9)</f>
        <v>0</v>
      </c>
      <c r="BJ221" s="34" t="n">
        <f aca="false">IF(BJ$8=1,IF(Reales!$C$46="PYG",IF(BJ$10&gt;0,N(Reales!BJ46)/BJ$10,0),N(Reales!BJ46)),(SUMIF(Inv_Q,57,Inv_R)+SUMIF(Inv_Q,57,Inv_M)*(1+V_dCapex))*BJ$9)</f>
        <v>0</v>
      </c>
      <c r="BK221" s="34" t="n">
        <f aca="false">IF(BK$8=1,IF(Reales!$C$46="PYG",IF(BK$10&gt;0,N(Reales!BK46)/BK$10,0),N(Reales!BK46)),(SUMIF(Inv_Q,58,Inv_R)+SUMIF(Inv_Q,58,Inv_M)*(1+V_dCapex))*BK$9)</f>
        <v>0</v>
      </c>
      <c r="BL221" s="34" t="n">
        <f aca="false">IF(BL$8=1,IF(Reales!$C$46="PYG",IF(BL$10&gt;0,N(Reales!BL46)/BL$10,0),N(Reales!BL46)),(SUMIF(Inv_Q,59,Inv_R)+SUMIF(Inv_Q,59,Inv_M)*(1+V_dCapex))*BL$9)</f>
        <v>0</v>
      </c>
      <c r="BM221" s="34" t="n">
        <f aca="false">IF(BM$8=1,IF(Reales!$C$46="PYG",IF(BM$10&gt;0,N(Reales!BM46)/BM$10,0),N(Reales!BM46)),(SUMIF(Inv_Q,60,Inv_R)+SUMIF(Inv_Q,60,Inv_M)*(1+V_dCapex))*BM$9)</f>
        <v>0</v>
      </c>
      <c r="BN221" s="34" t="n">
        <f aca="false">IF(BN$8=1,IF(Reales!$C$46="PYG",IF(BN$10&gt;0,N(Reales!BN46)/BN$10,0),N(Reales!BN46)),(SUMIF(Inv_Q,61,Inv_R)+SUMIF(Inv_Q,61,Inv_M)*(1+V_dCapex))*BN$9)</f>
        <v>0</v>
      </c>
      <c r="BO221" s="34" t="n">
        <f aca="false">IF(BO$8=1,IF(Reales!$C$46="PYG",IF(BO$10&gt;0,N(Reales!BO46)/BO$10,0),N(Reales!BO46)),(SUMIF(Inv_Q,62,Inv_R)+SUMIF(Inv_Q,62,Inv_M)*(1+V_dCapex))*BO$9)</f>
        <v>0</v>
      </c>
      <c r="BP221" s="34" t="n">
        <f aca="false">IF(BP$8=1,IF(Reales!$C$46="PYG",IF(BP$10&gt;0,N(Reales!BP46)/BP$10,0),N(Reales!BP46)),(SUMIF(Inv_Q,63,Inv_R)+SUMIF(Inv_Q,63,Inv_M)*(1+V_dCapex))*BP$9)</f>
        <v>0</v>
      </c>
      <c r="BQ221" s="34" t="n">
        <f aca="false">IF(BQ$8=1,IF(Reales!$C$46="PYG",IF(BQ$10&gt;0,N(Reales!BQ46)/BQ$10,0),N(Reales!BQ46)),(SUMIF(Inv_Q,64,Inv_R)+SUMIF(Inv_Q,64,Inv_M)*(1+V_dCapex))*BQ$9)</f>
        <v>0</v>
      </c>
      <c r="BR221" s="34" t="n">
        <f aca="false">IF(BR$8=1,IF(Reales!$C$46="PYG",IF(BR$10&gt;0,N(Reales!BR46)/BR$10,0),N(Reales!BR46)),(SUMIF(Inv_Q,65,Inv_R)+SUMIF(Inv_Q,65,Inv_M)*(1+V_dCapex))*BR$9)</f>
        <v>0</v>
      </c>
      <c r="BS221" s="34" t="n">
        <f aca="false">IF(BS$8=1,IF(Reales!$C$46="PYG",IF(BS$10&gt;0,N(Reales!BS46)/BS$10,0),N(Reales!BS46)),(SUMIF(Inv_Q,66,Inv_R)+SUMIF(Inv_Q,66,Inv_M)*(1+V_dCapex))*BS$9)</f>
        <v>0</v>
      </c>
      <c r="BT221" s="34" t="n">
        <f aca="false">IF(BT$8=1,IF(Reales!$C$46="PYG",IF(BT$10&gt;0,N(Reales!BT46)/BT$10,0),N(Reales!BT46)),(SUMIF(Inv_Q,67,Inv_R)+SUMIF(Inv_Q,67,Inv_M)*(1+V_dCapex))*BT$9)</f>
        <v>0</v>
      </c>
      <c r="BU221" s="34" t="n">
        <f aca="false">IF(BU$8=1,IF(Reales!$C$46="PYG",IF(BU$10&gt;0,N(Reales!BU46)/BU$10,0),N(Reales!BU46)),(SUMIF(Inv_Q,68,Inv_R)+SUMIF(Inv_Q,68,Inv_M)*(1+V_dCapex))*BU$9)</f>
        <v>0</v>
      </c>
      <c r="BV221" s="34" t="n">
        <f aca="false">IF(BV$8=1,IF(Reales!$C$46="PYG",IF(BV$10&gt;0,N(Reales!BV46)/BV$10,0),N(Reales!BV46)),(SUMIF(Inv_Q,69,Inv_R)+SUMIF(Inv_Q,69,Inv_M)*(1+V_dCapex))*BV$9)</f>
        <v>0</v>
      </c>
      <c r="BW221" s="34" t="n">
        <f aca="false">IF(BW$8=1,IF(Reales!$C$46="PYG",IF(BW$10&gt;0,N(Reales!BW46)/BW$10,0),N(Reales!BW46)),(SUMIF(Inv_Q,70,Inv_R)+SUMIF(Inv_Q,70,Inv_M)*(1+V_dCapex))*BW$9)</f>
        <v>0</v>
      </c>
      <c r="BX221" s="34" t="n">
        <f aca="false">IF(BX$8=1,IF(Reales!$C$46="PYG",IF(BX$10&gt;0,N(Reales!BX46)/BX$10,0),N(Reales!BX46)),(SUMIF(Inv_Q,71,Inv_R)+SUMIF(Inv_Q,71,Inv_M)*(1+V_dCapex))*BX$9)</f>
        <v>0</v>
      </c>
      <c r="BY221" s="34" t="n">
        <f aca="false">IF(BY$8=1,IF(Reales!$C$46="PYG",IF(BY$10&gt;0,N(Reales!BY46)/BY$10,0),N(Reales!BY46)),(SUMIF(Inv_Q,72,Inv_R)+SUMIF(Inv_Q,72,Inv_M)*(1+V_dCapex))*BY$9)</f>
        <v>0</v>
      </c>
      <c r="BZ221" s="34" t="n">
        <f aca="false">IF(BZ$8=1,IF(Reales!$C$46="PYG",IF(BZ$10&gt;0,N(Reales!BZ46)/BZ$10,0),N(Reales!BZ46)),(SUMIF(Inv_Q,73,Inv_R)+SUMIF(Inv_Q,73,Inv_M)*(1+V_dCapex))*BZ$9)</f>
        <v>0</v>
      </c>
      <c r="CA221" s="34" t="n">
        <f aca="false">IF(CA$8=1,IF(Reales!$C$46="PYG",IF(CA$10&gt;0,N(Reales!CA46)/CA$10,0),N(Reales!CA46)),(SUMIF(Inv_Q,74,Inv_R)+SUMIF(Inv_Q,74,Inv_M)*(1+V_dCapex))*CA$9)</f>
        <v>0</v>
      </c>
      <c r="CB221" s="34" t="n">
        <f aca="false">IF(CB$8=1,IF(Reales!$C$46="PYG",IF(CB$10&gt;0,N(Reales!CB46)/CB$10,0),N(Reales!CB46)),(SUMIF(Inv_Q,75,Inv_R)+SUMIF(Inv_Q,75,Inv_M)*(1+V_dCapex))*CB$9)</f>
        <v>0</v>
      </c>
      <c r="CC221" s="34" t="n">
        <f aca="false">IF(CC$8=1,IF(Reales!$C$46="PYG",IF(CC$10&gt;0,N(Reales!CC46)/CC$10,0),N(Reales!CC46)),(SUMIF(Inv_Q,76,Inv_R)+SUMIF(Inv_Q,76,Inv_M)*(1+V_dCapex))*CC$9)</f>
        <v>0</v>
      </c>
      <c r="CD221" s="34" t="n">
        <f aca="false">IF(CD$8=1,IF(Reales!$C$46="PYG",IF(CD$10&gt;0,N(Reales!CD46)/CD$10,0),N(Reales!CD46)),(SUMIF(Inv_Q,77,Inv_R)+SUMIF(Inv_Q,77,Inv_M)*(1+V_dCapex))*CD$9)</f>
        <v>0</v>
      </c>
      <c r="CE221" s="34" t="n">
        <f aca="false">IF(CE$8=1,IF(Reales!$C$46="PYG",IF(CE$10&gt;0,N(Reales!CE46)/CE$10,0),N(Reales!CE46)),(SUMIF(Inv_Q,78,Inv_R)+SUMIF(Inv_Q,78,Inv_M)*(1+V_dCapex))*CE$9)</f>
        <v>0</v>
      </c>
      <c r="CF221" s="34" t="n">
        <f aca="false">IF(CF$8=1,IF(Reales!$C$46="PYG",IF(CF$10&gt;0,N(Reales!CF46)/CF$10,0),N(Reales!CF46)),(SUMIF(Inv_Q,79,Inv_R)+SUMIF(Inv_Q,79,Inv_M)*(1+V_dCapex))*CF$9)</f>
        <v>0</v>
      </c>
      <c r="CG221" s="34" t="n">
        <f aca="false">IF(CG$8=1,IF(Reales!$C$46="PYG",IF(CG$10&gt;0,N(Reales!CG46)/CG$10,0),N(Reales!CG46)),(SUMIF(Inv_Q,80,Inv_R)+SUMIF(Inv_Q,80,Inv_M)*(1+V_dCapex))*CG$9)</f>
        <v>0</v>
      </c>
      <c r="CH221" s="34" t="n">
        <f aca="false">IF(CH$8=1,IF(Reales!$C$46="PYG",IF(CH$10&gt;0,N(Reales!CH46)/CH$10,0),N(Reales!CH46)),(SUMIF(Inv_Q,81,Inv_R)+SUMIF(Inv_Q,81,Inv_M)*(1+V_dCapex))*CH$9)</f>
        <v>0</v>
      </c>
      <c r="CI221" s="34" t="n">
        <f aca="false">IF(CI$8=1,IF(Reales!$C$46="PYG",IF(CI$10&gt;0,N(Reales!CI46)/CI$10,0),N(Reales!CI46)),(SUMIF(Inv_Q,82,Inv_R)+SUMIF(Inv_Q,82,Inv_M)*(1+V_dCapex))*CI$9)</f>
        <v>0</v>
      </c>
      <c r="CJ221" s="34" t="n">
        <f aca="false">IF(CJ$8=1,IF(Reales!$C$46="PYG",IF(CJ$10&gt;0,N(Reales!CJ46)/CJ$10,0),N(Reales!CJ46)),(SUMIF(Inv_Q,83,Inv_R)+SUMIF(Inv_Q,83,Inv_M)*(1+V_dCapex))*CJ$9)</f>
        <v>0</v>
      </c>
      <c r="CK221" s="34" t="n">
        <f aca="false">IF(CK$8=1,IF(Reales!$C$46="PYG",IF(CK$10&gt;0,N(Reales!CK46)/CK$10,0),N(Reales!CK46)),(SUMIF(Inv_Q,84,Inv_R)+SUMIF(Inv_Q,84,Inv_M)*(1+V_dCapex))*CK$9)</f>
        <v>0</v>
      </c>
      <c r="CL221" s="34" t="n">
        <f aca="false">IF(CL$8=1,IF(Reales!$C$46="PYG",IF(CL$10&gt;0,N(Reales!CL46)/CL$10,0),N(Reales!CL46)),(SUMIF(Inv_Q,85,Inv_R)+SUMIF(Inv_Q,85,Inv_M)*(1+V_dCapex))*CL$9)</f>
        <v>0</v>
      </c>
      <c r="CM221" s="34" t="n">
        <f aca="false">IF(CM$8=1,IF(Reales!$C$46="PYG",IF(CM$10&gt;0,N(Reales!CM46)/CM$10,0),N(Reales!CM46)),(SUMIF(Inv_Q,86,Inv_R)+SUMIF(Inv_Q,86,Inv_M)*(1+V_dCapex))*CM$9)</f>
        <v>0</v>
      </c>
      <c r="CN221" s="34" t="n">
        <f aca="false">IF(CN$8=1,IF(Reales!$C$46="PYG",IF(CN$10&gt;0,N(Reales!CN46)/CN$10,0),N(Reales!CN46)),(SUMIF(Inv_Q,87,Inv_R)+SUMIF(Inv_Q,87,Inv_M)*(1+V_dCapex))*CN$9)</f>
        <v>0</v>
      </c>
      <c r="CO221" s="34" t="n">
        <f aca="false">IF(CO$8=1,IF(Reales!$C$46="PYG",IF(CO$10&gt;0,N(Reales!CO46)/CO$10,0),N(Reales!CO46)),(SUMIF(Inv_Q,88,Inv_R)+SUMIF(Inv_Q,88,Inv_M)*(1+V_dCapex))*CO$9)</f>
        <v>0</v>
      </c>
      <c r="CP221" s="34" t="n">
        <f aca="false">IF(CP$8=1,IF(Reales!$C$46="PYG",IF(CP$10&gt;0,N(Reales!CP46)/CP$10,0),N(Reales!CP46)),(SUMIF(Inv_Q,89,Inv_R)+SUMIF(Inv_Q,89,Inv_M)*(1+V_dCapex))*CP$9)</f>
        <v>0</v>
      </c>
      <c r="CQ221" s="34" t="n">
        <f aca="false">IF(CQ$8=1,IF(Reales!$C$46="PYG",IF(CQ$10&gt;0,N(Reales!CQ46)/CQ$10,0),N(Reales!CQ46)),(SUMIF(Inv_Q,90,Inv_R)+SUMIF(Inv_Q,90,Inv_M)*(1+V_dCapex))*CQ$9)</f>
        <v>0</v>
      </c>
      <c r="CR221" s="34" t="n">
        <f aca="false">IF(CR$8=1,IF(Reales!$C$46="PYG",IF(CR$10&gt;0,N(Reales!CR46)/CR$10,0),N(Reales!CR46)),(SUMIF(Inv_Q,91,Inv_R)+SUMIF(Inv_Q,91,Inv_M)*(1+V_dCapex))*CR$9)</f>
        <v>0</v>
      </c>
      <c r="CS221" s="34" t="n">
        <f aca="false">IF(CS$8=1,IF(Reales!$C$46="PYG",IF(CS$10&gt;0,N(Reales!CS46)/CS$10,0),N(Reales!CS46)),(SUMIF(Inv_Q,92,Inv_R)+SUMIF(Inv_Q,92,Inv_M)*(1+V_dCapex))*CS$9)</f>
        <v>0</v>
      </c>
      <c r="CT221" s="34" t="n">
        <f aca="false">IF(CT$8=1,IF(Reales!$C$46="PYG",IF(CT$10&gt;0,N(Reales!CT46)/CT$10,0),N(Reales!CT46)),(SUMIF(Inv_Q,93,Inv_R)+SUMIF(Inv_Q,93,Inv_M)*(1+V_dCapex))*CT$9)</f>
        <v>0</v>
      </c>
      <c r="CU221" s="34" t="n">
        <f aca="false">IF(CU$8=1,IF(Reales!$C$46="PYG",IF(CU$10&gt;0,N(Reales!CU46)/CU$10,0),N(Reales!CU46)),(SUMIF(Inv_Q,94,Inv_R)+SUMIF(Inv_Q,94,Inv_M)*(1+V_dCapex))*CU$9)</f>
        <v>0</v>
      </c>
      <c r="CV221" s="34" t="n">
        <f aca="false">IF(CV$8=1,IF(Reales!$C$46="PYG",IF(CV$10&gt;0,N(Reales!CV46)/CV$10,0),N(Reales!CV46)),(SUMIF(Inv_Q,95,Inv_R)+SUMIF(Inv_Q,95,Inv_M)*(1+V_dCapex))*CV$9)</f>
        <v>0</v>
      </c>
      <c r="CW221" s="34" t="n">
        <f aca="false">IF(CW$8=1,IF(Reales!$C$46="PYG",IF(CW$10&gt;0,N(Reales!CW46)/CW$10,0),N(Reales!CW46)),(SUMIF(Inv_Q,96,Inv_R)+SUMIF(Inv_Q,96,Inv_M)*(1+V_dCapex))*CW$9)</f>
        <v>0</v>
      </c>
      <c r="CX221" s="34" t="n">
        <f aca="false">IF(CX$8=1,IF(Reales!$C$46="PYG",IF(CX$10&gt;0,N(Reales!CX46)/CX$10,0),N(Reales!CX46)),(SUMIF(Inv_Q,97,Inv_R)+SUMIF(Inv_Q,97,Inv_M)*(1+V_dCapex))*CX$9)</f>
        <v>0</v>
      </c>
      <c r="CY221" s="34" t="n">
        <f aca="false">IF(CY$8=1,IF(Reales!$C$46="PYG",IF(CY$10&gt;0,N(Reales!CY46)/CY$10,0),N(Reales!CY46)),(SUMIF(Inv_Q,98,Inv_R)+SUMIF(Inv_Q,98,Inv_M)*(1+V_dCapex))*CY$9)</f>
        <v>0</v>
      </c>
      <c r="CZ221" s="34" t="n">
        <f aca="false">IF(CZ$8=1,IF(Reales!$C$46="PYG",IF(CZ$10&gt;0,N(Reales!CZ46)/CZ$10,0),N(Reales!CZ46)),(SUMIF(Inv_Q,99,Inv_R)+SUMIF(Inv_Q,99,Inv_M)*(1+V_dCapex))*CZ$9)</f>
        <v>0</v>
      </c>
      <c r="DA221" s="34" t="n">
        <f aca="false">IF(DA$8=1,IF(Reales!$C$46="PYG",IF(DA$10&gt;0,N(Reales!DA46)/DA$10,0),N(Reales!DA46)),(SUMIF(Inv_Q,100,Inv_R)+SUMIF(Inv_Q,100,Inv_M)*(1+V_dCapex))*DA$9)</f>
        <v>0</v>
      </c>
      <c r="DB221" s="34" t="n">
        <f aca="false">IF(DB$8=1,IF(Reales!$C$46="PYG",IF(DB$10&gt;0,N(Reales!DB46)/DB$10,0),N(Reales!DB46)),(SUMIF(Inv_Q,101,Inv_R)+SUMIF(Inv_Q,101,Inv_M)*(1+V_dCapex))*DB$9)</f>
        <v>0</v>
      </c>
      <c r="DC221" s="34" t="n">
        <f aca="false">IF(DC$8=1,IF(Reales!$C$46="PYG",IF(DC$10&gt;0,N(Reales!DC46)/DC$10,0),N(Reales!DC46)),(SUMIF(Inv_Q,102,Inv_R)+SUMIF(Inv_Q,102,Inv_M)*(1+V_dCapex))*DC$9)</f>
        <v>0</v>
      </c>
      <c r="DD221" s="34" t="n">
        <f aca="false">IF(DD$8=1,IF(Reales!$C$46="PYG",IF(DD$10&gt;0,N(Reales!DD46)/DD$10,0),N(Reales!DD46)),(SUMIF(Inv_Q,103,Inv_R)+SUMIF(Inv_Q,103,Inv_M)*(1+V_dCapex))*DD$9)</f>
        <v>0</v>
      </c>
      <c r="DE221" s="34" t="n">
        <f aca="false">IF(DE$8=1,IF(Reales!$C$46="PYG",IF(DE$10&gt;0,N(Reales!DE46)/DE$10,0),N(Reales!DE46)),(SUMIF(Inv_Q,104,Inv_R)+SUMIF(Inv_Q,104,Inv_M)*(1+V_dCapex))*DE$9)</f>
        <v>0</v>
      </c>
      <c r="DF221" s="34" t="n">
        <f aca="false">IF(DF$8=1,IF(Reales!$C$46="PYG",IF(DF$10&gt;0,N(Reales!DF46)/DF$10,0),N(Reales!DF46)),(SUMIF(Inv_Q,105,Inv_R)+SUMIF(Inv_Q,105,Inv_M)*(1+V_dCapex))*DF$9)</f>
        <v>0</v>
      </c>
      <c r="DG221" s="34" t="n">
        <f aca="false">IF(DG$8=1,IF(Reales!$C$46="PYG",IF(DG$10&gt;0,N(Reales!DG46)/DG$10,0),N(Reales!DG46)),(SUMIF(Inv_Q,106,Inv_R)+SUMIF(Inv_Q,106,Inv_M)*(1+V_dCapex))*DG$9)</f>
        <v>0</v>
      </c>
      <c r="DH221" s="34" t="n">
        <f aca="false">IF(DH$8=1,IF(Reales!$C$46="PYG",IF(DH$10&gt;0,N(Reales!DH46)/DH$10,0),N(Reales!DH46)),(SUMIF(Inv_Q,107,Inv_R)+SUMIF(Inv_Q,107,Inv_M)*(1+V_dCapex))*DH$9)</f>
        <v>0</v>
      </c>
      <c r="DI221" s="34" t="n">
        <f aca="false">IF(DI$8=1,IF(Reales!$C$46="PYG",IF(DI$10&gt;0,N(Reales!DI46)/DI$10,0),N(Reales!DI46)),(SUMIF(Inv_Q,108,Inv_R)+SUMIF(Inv_Q,108,Inv_M)*(1+V_dCapex))*DI$9)</f>
        <v>0</v>
      </c>
      <c r="DJ221" s="34" t="n">
        <f aca="false">IF(DJ$8=1,IF(Reales!$C$46="PYG",IF(DJ$10&gt;0,N(Reales!DJ46)/DJ$10,0),N(Reales!DJ46)),(SUMIF(Inv_Q,109,Inv_R)+SUMIF(Inv_Q,109,Inv_M)*(1+V_dCapex))*DJ$9)</f>
        <v>0</v>
      </c>
      <c r="DK221" s="34" t="n">
        <f aca="false">IF(DK$8=1,IF(Reales!$C$46="PYG",IF(DK$10&gt;0,N(Reales!DK46)/DK$10,0),N(Reales!DK46)),(SUMIF(Inv_Q,110,Inv_R)+SUMIF(Inv_Q,110,Inv_M)*(1+V_dCapex))*DK$9)</f>
        <v>0</v>
      </c>
      <c r="DL221" s="34" t="n">
        <f aca="false">IF(DL$8=1,IF(Reales!$C$46="PYG",IF(DL$10&gt;0,N(Reales!DL46)/DL$10,0),N(Reales!DL46)),(SUMIF(Inv_Q,111,Inv_R)+SUMIF(Inv_Q,111,Inv_M)*(1+V_dCapex))*DL$9)</f>
        <v>0</v>
      </c>
      <c r="DM221" s="34" t="n">
        <f aca="false">IF(DM$8=1,IF(Reales!$C$46="PYG",IF(DM$10&gt;0,N(Reales!DM46)/DM$10,0),N(Reales!DM46)),(SUMIF(Inv_Q,112,Inv_R)+SUMIF(Inv_Q,112,Inv_M)*(1+V_dCapex))*DM$9)</f>
        <v>0</v>
      </c>
      <c r="DN221" s="34" t="n">
        <f aca="false">IF(DN$8=1,IF(Reales!$C$46="PYG",IF(DN$10&gt;0,N(Reales!DN46)/DN$10,0),N(Reales!DN46)),(SUMIF(Inv_Q,113,Inv_R)+SUMIF(Inv_Q,113,Inv_M)*(1+V_dCapex))*DN$9)</f>
        <v>0</v>
      </c>
      <c r="DO221" s="34" t="n">
        <f aca="false">IF(DO$8=1,IF(Reales!$C$46="PYG",IF(DO$10&gt;0,N(Reales!DO46)/DO$10,0),N(Reales!DO46)),(SUMIF(Inv_Q,114,Inv_R)+SUMIF(Inv_Q,114,Inv_M)*(1+V_dCapex))*DO$9)</f>
        <v>0</v>
      </c>
      <c r="DP221" s="34" t="n">
        <f aca="false">IF(DP$8=1,IF(Reales!$C$46="PYG",IF(DP$10&gt;0,N(Reales!DP46)/DP$10,0),N(Reales!DP46)),(SUMIF(Inv_Q,115,Inv_R)+SUMIF(Inv_Q,115,Inv_M)*(1+V_dCapex))*DP$9)</f>
        <v>0</v>
      </c>
      <c r="DQ221" s="34" t="n">
        <f aca="false">IF(DQ$8=1,IF(Reales!$C$46="PYG",IF(DQ$10&gt;0,N(Reales!DQ46)/DQ$10,0),N(Reales!DQ46)),(SUMIF(Inv_Q,116,Inv_R)+SUMIF(Inv_Q,116,Inv_M)*(1+V_dCapex))*DQ$9)</f>
        <v>0</v>
      </c>
      <c r="DR221" s="34" t="n">
        <f aca="false">IF(DR$8=1,IF(Reales!$C$46="PYG",IF(DR$10&gt;0,N(Reales!DR46)/DR$10,0),N(Reales!DR46)),(SUMIF(Inv_Q,117,Inv_R)+SUMIF(Inv_Q,117,Inv_M)*(1+V_dCapex))*DR$9)</f>
        <v>0</v>
      </c>
      <c r="DS221" s="34" t="n">
        <f aca="false">IF(DS$8=1,IF(Reales!$C$46="PYG",IF(DS$10&gt;0,N(Reales!DS46)/DS$10,0),N(Reales!DS46)),(SUMIF(Inv_Q,118,Inv_R)+SUMIF(Inv_Q,118,Inv_M)*(1+V_dCapex))*DS$9)</f>
        <v>0</v>
      </c>
      <c r="DT221" s="34" t="n">
        <f aca="false">IF(DT$8=1,IF(Reales!$C$46="PYG",IF(DT$10&gt;0,N(Reales!DT46)/DT$10,0),N(Reales!DT46)),(SUMIF(Inv_Q,119,Inv_R)+SUMIF(Inv_Q,119,Inv_M)*(1+V_dCapex))*DT$9)</f>
        <v>0</v>
      </c>
      <c r="DU221" s="34" t="n">
        <f aca="false">IF(DU$8=1,IF(Reales!$C$46="PYG",IF(DU$10&gt;0,N(Reales!DU46)/DU$10,0),N(Reales!DU46)),(SUMIF(Inv_Q,120,Inv_R)+SUMIF(Inv_Q,120,Inv_M)*(1+V_dCapex))*DU$9)</f>
        <v>0</v>
      </c>
      <c r="DV221" s="34" t="n">
        <f aca="false">IF(DV$8=1,IF(Reales!$C$46="PYG",IF(DV$10&gt;0,N(Reales!DV46)/DV$10,0),N(Reales!DV46)),(SUMIF(Inv_Q,121,Inv_R)+SUMIF(Inv_Q,121,Inv_M)*(1+V_dCapex))*DV$9)</f>
        <v>0</v>
      </c>
      <c r="DW221" s="34" t="n">
        <f aca="false">IF(DW$8=1,IF(Reales!$C$46="PYG",IF(DW$10&gt;0,N(Reales!DW46)/DW$10,0),N(Reales!DW46)),(SUMIF(Inv_Q,122,Inv_R)+SUMIF(Inv_Q,122,Inv_M)*(1+V_dCapex))*DW$9)</f>
        <v>0</v>
      </c>
      <c r="DX221" s="34" t="n">
        <f aca="false">IF(DX$8=1,IF(Reales!$C$46="PYG",IF(DX$10&gt;0,N(Reales!DX46)/DX$10,0),N(Reales!DX46)),(SUMIF(Inv_Q,123,Inv_R)+SUMIF(Inv_Q,123,Inv_M)*(1+V_dCapex))*DX$9)</f>
        <v>0</v>
      </c>
      <c r="DY221" s="34" t="n">
        <f aca="false">IF(DY$8=1,IF(Reales!$C$46="PYG",IF(DY$10&gt;0,N(Reales!DY46)/DY$10,0),N(Reales!DY46)),(SUMIF(Inv_Q,124,Inv_R)+SUMIF(Inv_Q,124,Inv_M)*(1+V_dCapex))*DY$9)</f>
        <v>0</v>
      </c>
      <c r="DZ221" s="34" t="n">
        <f aca="false">IF(DZ$8=1,IF(Reales!$C$46="PYG",IF(DZ$10&gt;0,N(Reales!DZ46)/DZ$10,0),N(Reales!DZ46)),(SUMIF(Inv_Q,125,Inv_R)+SUMIF(Inv_Q,125,Inv_M)*(1+V_dCapex))*DZ$9)</f>
        <v>0</v>
      </c>
      <c r="EA221" s="34" t="n">
        <f aca="false">IF(EA$8=1,IF(Reales!$C$46="PYG",IF(EA$10&gt;0,N(Reales!EA46)/EA$10,0),N(Reales!EA46)),(SUMIF(Inv_Q,126,Inv_R)+SUMIF(Inv_Q,126,Inv_M)*(1+V_dCapex))*EA$9)</f>
        <v>0</v>
      </c>
      <c r="EB221" s="34" t="n">
        <f aca="false">IF(EB$8=1,IF(Reales!$C$46="PYG",IF(EB$10&gt;0,N(Reales!EB46)/EB$10,0),N(Reales!EB46)),(SUMIF(Inv_Q,127,Inv_R)+SUMIF(Inv_Q,127,Inv_M)*(1+V_dCapex))*EB$9)</f>
        <v>0</v>
      </c>
      <c r="EC221" s="34" t="n">
        <f aca="false">IF(EC$8=1,IF(Reales!$C$46="PYG",IF(EC$10&gt;0,N(Reales!EC46)/EC$10,0),N(Reales!EC46)),(SUMIF(Inv_Q,128,Inv_R)+SUMIF(Inv_Q,128,Inv_M)*(1+V_dCapex))*EC$9)</f>
        <v>0</v>
      </c>
      <c r="ED221" s="34" t="n">
        <f aca="false">IF(ED$8=1,IF(Reales!$C$46="PYG",IF(ED$10&gt;0,N(Reales!ED46)/ED$10,0),N(Reales!ED46)),(SUMIF(Inv_Q,129,Inv_R)+SUMIF(Inv_Q,129,Inv_M)*(1+V_dCapex))*ED$9)</f>
        <v>0</v>
      </c>
      <c r="EE221" s="34" t="n">
        <f aca="false">IF(EE$8=1,IF(Reales!$C$46="PYG",IF(EE$10&gt;0,N(Reales!EE46)/EE$10,0),N(Reales!EE46)),(SUMIF(Inv_Q,130,Inv_R)+SUMIF(Inv_Q,130,Inv_M)*(1+V_dCapex))*EE$9)</f>
        <v>0</v>
      </c>
      <c r="EF221" s="34" t="n">
        <f aca="false">IF(EF$8=1,IF(Reales!$C$46="PYG",IF(EF$10&gt;0,N(Reales!EF46)/EF$10,0),N(Reales!EF46)),(SUMIF(Inv_Q,131,Inv_R)+SUMIF(Inv_Q,131,Inv_M)*(1+V_dCapex))*EF$9)</f>
        <v>0</v>
      </c>
      <c r="EG221" s="34" t="n">
        <f aca="false">IF(EG$8=1,IF(Reales!$C$46="PYG",IF(EG$10&gt;0,N(Reales!EG46)/EG$10,0),N(Reales!EG46)),(SUMIF(Inv_Q,132,Inv_R)+SUMIF(Inv_Q,132,Inv_M)*(1+V_dCapex))*EG$9)</f>
        <v>0</v>
      </c>
      <c r="EH221" s="34" t="n">
        <f aca="false">IF(EH$8=1,IF(Reales!$C$46="PYG",IF(EH$10&gt;0,N(Reales!EH46)/EH$10,0),N(Reales!EH46)),(SUMIF(Inv_Q,133,Inv_R)+SUMIF(Inv_Q,133,Inv_M)*(1+V_dCapex))*EH$9)</f>
        <v>0</v>
      </c>
      <c r="EI221" s="34" t="n">
        <f aca="false">IF(EI$8=1,IF(Reales!$C$46="PYG",IF(EI$10&gt;0,N(Reales!EI46)/EI$10,0),N(Reales!EI46)),(SUMIF(Inv_Q,134,Inv_R)+SUMIF(Inv_Q,134,Inv_M)*(1+V_dCapex))*EI$9)</f>
        <v>0</v>
      </c>
      <c r="EJ221" s="34" t="n">
        <f aca="false">IF(EJ$8=1,IF(Reales!$C$46="PYG",IF(EJ$10&gt;0,N(Reales!EJ46)/EJ$10,0),N(Reales!EJ46)),(SUMIF(Inv_Q,135,Inv_R)+SUMIF(Inv_Q,135,Inv_M)*(1+V_dCapex))*EJ$9)</f>
        <v>0</v>
      </c>
      <c r="EK221" s="34" t="n">
        <f aca="false">IF(EK$8=1,IF(Reales!$C$46="PYG",IF(EK$10&gt;0,N(Reales!EK46)/EK$10,0),N(Reales!EK46)),(SUMIF(Inv_Q,136,Inv_R)+SUMIF(Inv_Q,136,Inv_M)*(1+V_dCapex))*EK$9)</f>
        <v>0</v>
      </c>
      <c r="EL221" s="34" t="n">
        <f aca="false">IF(EL$8=1,IF(Reales!$C$46="PYG",IF(EL$10&gt;0,N(Reales!EL46)/EL$10,0),N(Reales!EL46)),(SUMIF(Inv_Q,137,Inv_R)+SUMIF(Inv_Q,137,Inv_M)*(1+V_dCapex))*EL$9)</f>
        <v>0</v>
      </c>
      <c r="EM221" s="34" t="n">
        <f aca="false">IF(EM$8=1,IF(Reales!$C$46="PYG",IF(EM$10&gt;0,N(Reales!EM46)/EM$10,0),N(Reales!EM46)),(SUMIF(Inv_Q,138,Inv_R)+SUMIF(Inv_Q,138,Inv_M)*(1+V_dCapex))*EM$9)</f>
        <v>0</v>
      </c>
      <c r="EN221" s="34" t="n">
        <f aca="false">IF(EN$8=1,IF(Reales!$C$46="PYG",IF(EN$10&gt;0,N(Reales!EN46)/EN$10,0),N(Reales!EN46)),(SUMIF(Inv_Q,139,Inv_R)+SUMIF(Inv_Q,139,Inv_M)*(1+V_dCapex))*EN$9)</f>
        <v>0</v>
      </c>
      <c r="EO221" s="34" t="n">
        <f aca="false">IF(EO$8=1,IF(Reales!$C$46="PYG",IF(EO$10&gt;0,N(Reales!EO46)/EO$10,0),N(Reales!EO46)),(SUMIF(Inv_Q,140,Inv_R)+SUMIF(Inv_Q,140,Inv_M)*(1+V_dCapex))*EO$9)</f>
        <v>0</v>
      </c>
      <c r="EP221" s="34" t="n">
        <f aca="false">IF(EP$8=1,IF(Reales!$C$46="PYG",IF(EP$10&gt;0,N(Reales!EP46)/EP$10,0),N(Reales!EP46)),(SUMIF(Inv_Q,141,Inv_R)+SUMIF(Inv_Q,141,Inv_M)*(1+V_dCapex))*EP$9)</f>
        <v>0</v>
      </c>
      <c r="EQ221" s="34" t="n">
        <f aca="false">IF(EQ$8=1,IF(Reales!$C$46="PYG",IF(EQ$10&gt;0,N(Reales!EQ46)/EQ$10,0),N(Reales!EQ46)),(SUMIF(Inv_Q,142,Inv_R)+SUMIF(Inv_Q,142,Inv_M)*(1+V_dCapex))*EQ$9)</f>
        <v>0</v>
      </c>
      <c r="ER221" s="34" t="n">
        <f aca="false">IF(ER$8=1,IF(Reales!$C$46="PYG",IF(ER$10&gt;0,N(Reales!ER46)/ER$10,0),N(Reales!ER46)),(SUMIF(Inv_Q,143,Inv_R)+SUMIF(Inv_Q,143,Inv_M)*(1+V_dCapex))*ER$9)</f>
        <v>0</v>
      </c>
      <c r="ES221" s="34" t="n">
        <f aca="false">IF(ES$8=1,IF(Reales!$C$46="PYG",IF(ES$10&gt;0,N(Reales!ES46)/ES$10,0),N(Reales!ES46)),(SUMIF(Inv_Q,144,Inv_R)+SUMIF(Inv_Q,144,Inv_M)*(1+V_dCapex))*ES$9)</f>
        <v>0</v>
      </c>
    </row>
    <row r="222" customFormat="false" ht="15" hidden="false" customHeight="false" outlineLevel="0" collapsed="false">
      <c r="A222" s="2" t="s">
        <v>834</v>
      </c>
      <c r="B222" s="6" t="s">
        <v>669</v>
      </c>
      <c r="C222" s="6" t="s">
        <v>250</v>
      </c>
      <c r="E222" s="40" t="n">
        <f aca="false">INDEX(F222:ES222,1,MIN(144,Fin))</f>
        <v>10000.0000000009</v>
      </c>
      <c r="F222" s="34" t="n">
        <f aca="false">0+F$221-F$207</f>
        <v>649078.072583333</v>
      </c>
      <c r="G222" s="34" t="n">
        <f aca="false">F$222+G$221-G$207</f>
        <v>643112.055166667</v>
      </c>
      <c r="H222" s="34" t="n">
        <f aca="false">G$222+H$221-H$207</f>
        <v>637146.03775</v>
      </c>
      <c r="I222" s="34" t="n">
        <f aca="false">H$222+I$221-I$207</f>
        <v>631180.020333334</v>
      </c>
      <c r="J222" s="34" t="n">
        <f aca="false">I$222+J$221-J$207</f>
        <v>625214.002916667</v>
      </c>
      <c r="K222" s="34" t="n">
        <f aca="false">J$222+K$221-K$207</f>
        <v>619247.9855</v>
      </c>
      <c r="L222" s="34" t="n">
        <f aca="false">K$222+L$221-L$207</f>
        <v>613281.968083334</v>
      </c>
      <c r="M222" s="34" t="n">
        <f aca="false">L$222+M$221-M$207</f>
        <v>607315.950666667</v>
      </c>
      <c r="N222" s="34" t="n">
        <f aca="false">M$222+N$221-N$207</f>
        <v>601349.933250001</v>
      </c>
      <c r="O222" s="34" t="n">
        <f aca="false">N$222+O$221-O$207</f>
        <v>595383.915833334</v>
      </c>
      <c r="P222" s="34" t="n">
        <f aca="false">O$222+P$221-P$207</f>
        <v>589417.898416667</v>
      </c>
      <c r="Q222" s="34" t="n">
        <f aca="false">P$222+Q$221-Q$207</f>
        <v>583451.881000001</v>
      </c>
      <c r="R222" s="34" t="n">
        <f aca="false">Q$222+R$221-R$207</f>
        <v>676652.530250001</v>
      </c>
      <c r="S222" s="34" t="n">
        <f aca="false">R$222+S$221-S$207</f>
        <v>669853.179500001</v>
      </c>
      <c r="T222" s="34" t="n">
        <f aca="false">S$222+T$221-T$207</f>
        <v>663053.828750001</v>
      </c>
      <c r="U222" s="34" t="n">
        <f aca="false">T$222+U$221-U$207</f>
        <v>656254.478000001</v>
      </c>
      <c r="V222" s="34" t="n">
        <f aca="false">U$222+V$221-V$207</f>
        <v>649455.127250001</v>
      </c>
      <c r="W222" s="34" t="n">
        <f aca="false">V$222+W$221-W$207</f>
        <v>642655.776500001</v>
      </c>
      <c r="X222" s="34" t="n">
        <f aca="false">W$222+X$221-X$207</f>
        <v>635856.425750001</v>
      </c>
      <c r="Y222" s="34" t="n">
        <f aca="false">X$222+Y$221-Y$207</f>
        <v>629057.075000001</v>
      </c>
      <c r="Z222" s="34" t="n">
        <f aca="false">Y$222+Z$221-Z$207</f>
        <v>622257.724250001</v>
      </c>
      <c r="AA222" s="34" t="n">
        <f aca="false">Z$222+AA$221-AA$207</f>
        <v>615458.373500001</v>
      </c>
      <c r="AB222" s="34" t="n">
        <f aca="false">AA$222+AB$221-AB$207</f>
        <v>608659.022750001</v>
      </c>
      <c r="AC222" s="34" t="n">
        <f aca="false">AB$222+AC$221-AC$207</f>
        <v>601859.672000001</v>
      </c>
      <c r="AD222" s="34" t="n">
        <f aca="false">AC$222+AD$221-AD$207</f>
        <v>595060.321250001</v>
      </c>
      <c r="AE222" s="34" t="n">
        <f aca="false">AD$222+AE$221-AE$207</f>
        <v>588260.970500001</v>
      </c>
      <c r="AF222" s="34" t="n">
        <f aca="false">AE$222+AF$221-AF$207</f>
        <v>581461.619750001</v>
      </c>
      <c r="AG222" s="34" t="n">
        <f aca="false">AF$222+AG$221-AG$207</f>
        <v>574662.269000001</v>
      </c>
      <c r="AH222" s="34" t="n">
        <f aca="false">AG$222+AH$221-AH$207</f>
        <v>567862.918250001</v>
      </c>
      <c r="AI222" s="34" t="n">
        <f aca="false">AH$222+AI$221-AI$207</f>
        <v>561063.567500001</v>
      </c>
      <c r="AJ222" s="34" t="n">
        <f aca="false">AI$222+AJ$221-AJ$207</f>
        <v>554264.216750001</v>
      </c>
      <c r="AK222" s="34" t="n">
        <f aca="false">AJ$222+AK$221-AK$207</f>
        <v>547464.866000001</v>
      </c>
      <c r="AL222" s="34" t="n">
        <f aca="false">AK$222+AL$221-AL$207</f>
        <v>540665.515250001</v>
      </c>
      <c r="AM222" s="34" t="n">
        <f aca="false">AL$222+AM$221-AM$207</f>
        <v>533866.164500001</v>
      </c>
      <c r="AN222" s="34" t="n">
        <f aca="false">AM$222+AN$221-AN$207</f>
        <v>527066.813750001</v>
      </c>
      <c r="AO222" s="34" t="n">
        <f aca="false">AN$222+AO$221-AO$207</f>
        <v>520267.463000001</v>
      </c>
      <c r="AP222" s="34" t="n">
        <f aca="false">AO$222+AP$221-AP$207</f>
        <v>513468.112250001</v>
      </c>
      <c r="AQ222" s="34" t="n">
        <f aca="false">AP$222+AQ$221-AQ$207</f>
        <v>506668.761500001</v>
      </c>
      <c r="AR222" s="34" t="n">
        <f aca="false">AQ$222+AR$221-AR$207</f>
        <v>499869.410750001</v>
      </c>
      <c r="AS222" s="34" t="n">
        <f aca="false">AR$222+AS$221-AS$207</f>
        <v>493070.060000001</v>
      </c>
      <c r="AT222" s="34" t="n">
        <f aca="false">AS$222+AT$221-AT$207</f>
        <v>486270.709250001</v>
      </c>
      <c r="AU222" s="34" t="n">
        <f aca="false">AT$222+AU$221-AU$207</f>
        <v>479471.358500001</v>
      </c>
      <c r="AV222" s="34" t="n">
        <f aca="false">AU$222+AV$221-AV$207</f>
        <v>472672.007750001</v>
      </c>
      <c r="AW222" s="34" t="n">
        <f aca="false">AV$222+AW$221-AW$207</f>
        <v>465872.657000001</v>
      </c>
      <c r="AX222" s="34" t="n">
        <f aca="false">AW$222+AX$221-AX$207</f>
        <v>459073.306250001</v>
      </c>
      <c r="AY222" s="34" t="n">
        <f aca="false">AX$222+AY$221-AY$207</f>
        <v>452273.955500001</v>
      </c>
      <c r="AZ222" s="34" t="n">
        <f aca="false">AY$222+AZ$221-AZ$207</f>
        <v>445474.604750001</v>
      </c>
      <c r="BA222" s="34" t="n">
        <f aca="false">AZ$222+BA$221-BA$207</f>
        <v>438675.254000001</v>
      </c>
      <c r="BB222" s="34" t="n">
        <f aca="false">BA$222+BB$221-BB$207</f>
        <v>431875.903250001</v>
      </c>
      <c r="BC222" s="34" t="n">
        <f aca="false">BB$222+BC$221-BC$207</f>
        <v>425076.552500001</v>
      </c>
      <c r="BD222" s="34" t="n">
        <f aca="false">BC$222+BD$221-BD$207</f>
        <v>418277.201750001</v>
      </c>
      <c r="BE222" s="34" t="n">
        <f aca="false">BD$222+BE$221-BE$207</f>
        <v>411477.851000001</v>
      </c>
      <c r="BF222" s="34" t="n">
        <f aca="false">BE$222+BF$221-BF$207</f>
        <v>404678.500250001</v>
      </c>
      <c r="BG222" s="34" t="n">
        <f aca="false">BF$222+BG$221-BG$207</f>
        <v>397879.149500001</v>
      </c>
      <c r="BH222" s="34" t="n">
        <f aca="false">BG$222+BH$221-BH$207</f>
        <v>391079.798750001</v>
      </c>
      <c r="BI222" s="34" t="n">
        <f aca="false">BH$222+BI$221-BI$207</f>
        <v>384280.448000001</v>
      </c>
      <c r="BJ222" s="34" t="n">
        <f aca="false">BI$222+BJ$221-BJ$207</f>
        <v>377481.097250001</v>
      </c>
      <c r="BK222" s="34" t="n">
        <f aca="false">BJ$222+BK$221-BK$207</f>
        <v>370681.746500001</v>
      </c>
      <c r="BL222" s="34" t="n">
        <f aca="false">BK$222+BL$221-BL$207</f>
        <v>363882.395750001</v>
      </c>
      <c r="BM222" s="34" t="n">
        <f aca="false">BL$222+BM$221-BM$207</f>
        <v>357083.045000001</v>
      </c>
      <c r="BN222" s="34" t="n">
        <f aca="false">BM$222+BN$221-BN$207</f>
        <v>351298.327583335</v>
      </c>
      <c r="BO222" s="34" t="n">
        <f aca="false">BN$222+BO$221-BO$207</f>
        <v>345513.610166668</v>
      </c>
      <c r="BP222" s="34" t="n">
        <f aca="false">BO$222+BP$221-BP$207</f>
        <v>339728.892750001</v>
      </c>
      <c r="BQ222" s="34" t="n">
        <f aca="false">BP$222+BQ$221-BQ$207</f>
        <v>333944.175333335</v>
      </c>
      <c r="BR222" s="34" t="n">
        <f aca="false">BQ$222+BR$221-BR$207</f>
        <v>328159.457916668</v>
      </c>
      <c r="BS222" s="34" t="n">
        <f aca="false">BR$222+BS$221-BS$207</f>
        <v>322374.740500001</v>
      </c>
      <c r="BT222" s="34" t="n">
        <f aca="false">BS$222+BT$221-BT$207</f>
        <v>316590.023083335</v>
      </c>
      <c r="BU222" s="34" t="n">
        <f aca="false">BT$222+BU$221-BU$207</f>
        <v>310805.305666668</v>
      </c>
      <c r="BV222" s="34" t="n">
        <f aca="false">BU$222+BV$221-BV$207</f>
        <v>305020.588250001</v>
      </c>
      <c r="BW222" s="34" t="n">
        <f aca="false">BV$222+BW$221-BW$207</f>
        <v>299235.870833335</v>
      </c>
      <c r="BX222" s="34" t="n">
        <f aca="false">BW$222+BX$221-BX$207</f>
        <v>293451.153416668</v>
      </c>
      <c r="BY222" s="34" t="n">
        <f aca="false">BX$222+BY$221-BY$207</f>
        <v>287666.436000001</v>
      </c>
      <c r="BZ222" s="34" t="n">
        <f aca="false">BY$222+BZ$221-BZ$207</f>
        <v>281881.718583335</v>
      </c>
      <c r="CA222" s="34" t="n">
        <f aca="false">BZ$222+CA$221-CA$207</f>
        <v>276097.001166668</v>
      </c>
      <c r="CB222" s="34" t="n">
        <f aca="false">CA$222+CB$221-CB$207</f>
        <v>270312.283750001</v>
      </c>
      <c r="CC222" s="34" t="n">
        <f aca="false">CB$222+CC$221-CC$207</f>
        <v>264527.566333335</v>
      </c>
      <c r="CD222" s="34" t="n">
        <f aca="false">CC$222+CD$221-CD$207</f>
        <v>258742.848916668</v>
      </c>
      <c r="CE222" s="34" t="n">
        <f aca="false">CD$222+CE$221-CE$207</f>
        <v>252958.131500001</v>
      </c>
      <c r="CF222" s="34" t="n">
        <f aca="false">CE$222+CF$221-CF$207</f>
        <v>247173.414083335</v>
      </c>
      <c r="CG222" s="34" t="n">
        <f aca="false">CF$222+CG$221-CG$207</f>
        <v>241388.696666668</v>
      </c>
      <c r="CH222" s="34" t="n">
        <f aca="false">CG$222+CH$221-CH$207</f>
        <v>235603.979250001</v>
      </c>
      <c r="CI222" s="34" t="n">
        <f aca="false">CH$222+CI$221-CI$207</f>
        <v>229819.261833334</v>
      </c>
      <c r="CJ222" s="34" t="n">
        <f aca="false">CI$222+CJ$221-CJ$207</f>
        <v>224034.544416668</v>
      </c>
      <c r="CK222" s="34" t="n">
        <f aca="false">CJ$222+CK$221-CK$207</f>
        <v>218249.827000001</v>
      </c>
      <c r="CL222" s="34" t="n">
        <f aca="false">CK$222+CL$221-CL$207</f>
        <v>212465.109583334</v>
      </c>
      <c r="CM222" s="34" t="n">
        <f aca="false">CL$222+CM$221-CM$207</f>
        <v>206680.392166668</v>
      </c>
      <c r="CN222" s="34" t="n">
        <f aca="false">CM$222+CN$221-CN$207</f>
        <v>200895.674750001</v>
      </c>
      <c r="CO222" s="34" t="n">
        <f aca="false">CN$222+CO$221-CO$207</f>
        <v>195110.957333334</v>
      </c>
      <c r="CP222" s="34" t="n">
        <f aca="false">CO$222+CP$221-CP$207</f>
        <v>189326.239916668</v>
      </c>
      <c r="CQ222" s="34" t="n">
        <f aca="false">CP$222+CQ$221-CQ$207</f>
        <v>183541.522500001</v>
      </c>
      <c r="CR222" s="34" t="n">
        <f aca="false">CQ$222+CR$221-CR$207</f>
        <v>177756.805083334</v>
      </c>
      <c r="CS222" s="34" t="n">
        <f aca="false">CR$222+CS$221-CS$207</f>
        <v>171972.087666668</v>
      </c>
      <c r="CT222" s="34" t="n">
        <f aca="false">CS$222+CT$221-CT$207</f>
        <v>166187.370250001</v>
      </c>
      <c r="CU222" s="34" t="n">
        <f aca="false">CT$222+CU$221-CU$207</f>
        <v>160402.652833334</v>
      </c>
      <c r="CV222" s="34" t="n">
        <f aca="false">CU$222+CV$221-CV$207</f>
        <v>154617.935416668</v>
      </c>
      <c r="CW222" s="34" t="n">
        <f aca="false">CV$222+CW$221-CW$207</f>
        <v>148833.218000001</v>
      </c>
      <c r="CX222" s="34" t="n">
        <f aca="false">CW$222+CX$221-CX$207</f>
        <v>143048.500583334</v>
      </c>
      <c r="CY222" s="34" t="n">
        <f aca="false">CX$222+CY$221-CY$207</f>
        <v>137263.783166668</v>
      </c>
      <c r="CZ222" s="34" t="n">
        <f aca="false">CY$222+CZ$221-CZ$207</f>
        <v>131479.065750001</v>
      </c>
      <c r="DA222" s="34" t="n">
        <f aca="false">CZ$222+DA$221-DA$207</f>
        <v>125694.348333334</v>
      </c>
      <c r="DB222" s="34" t="n">
        <f aca="false">DA$222+DB$221-DB$207</f>
        <v>119909.630916668</v>
      </c>
      <c r="DC222" s="34" t="n">
        <f aca="false">DB$222+DC$221-DC$207</f>
        <v>114124.913500001</v>
      </c>
      <c r="DD222" s="34" t="n">
        <f aca="false">DC$222+DD$221-DD$207</f>
        <v>108340.196083334</v>
      </c>
      <c r="DE222" s="34" t="n">
        <f aca="false">DD$222+DE$221-DE$207</f>
        <v>102555.478666668</v>
      </c>
      <c r="DF222" s="34" t="n">
        <f aca="false">DE$222+DF$221-DF$207</f>
        <v>96770.7612500009</v>
      </c>
      <c r="DG222" s="34" t="n">
        <f aca="false">DF$222+DG$221-DG$207</f>
        <v>90986.0438333342</v>
      </c>
      <c r="DH222" s="34" t="n">
        <f aca="false">DG$222+DH$221-DH$207</f>
        <v>85201.3264166676</v>
      </c>
      <c r="DI222" s="34" t="n">
        <f aca="false">DH$222+DI$221-DI$207</f>
        <v>79416.6090000009</v>
      </c>
      <c r="DJ222" s="34" t="n">
        <f aca="false">DI$222+DJ$221-DJ$207</f>
        <v>73631.8915833342</v>
      </c>
      <c r="DK222" s="34" t="n">
        <f aca="false">DJ$222+DK$221-DK$207</f>
        <v>67847.1741666676</v>
      </c>
      <c r="DL222" s="34" t="n">
        <f aca="false">DK$222+DL$221-DL$207</f>
        <v>62062.4567500009</v>
      </c>
      <c r="DM222" s="34" t="n">
        <f aca="false">DL$222+DM$221-DM$207</f>
        <v>56277.7393333342</v>
      </c>
      <c r="DN222" s="34" t="n">
        <f aca="false">DM$222+DN$221-DN$207</f>
        <v>50493.0219166676</v>
      </c>
      <c r="DO222" s="34" t="n">
        <f aca="false">DN$222+DO$221-DO$207</f>
        <v>44708.3045000009</v>
      </c>
      <c r="DP222" s="34" t="n">
        <f aca="false">DO$222+DP$221-DP$207</f>
        <v>38923.5870833342</v>
      </c>
      <c r="DQ222" s="34" t="n">
        <f aca="false">DP$222+DQ$221-DQ$207</f>
        <v>33138.8696666676</v>
      </c>
      <c r="DR222" s="34" t="n">
        <f aca="false">DQ$222+DR$221-DR$207</f>
        <v>27354.1522500009</v>
      </c>
      <c r="DS222" s="34" t="n">
        <f aca="false">DR$222+DS$221-DS$207</f>
        <v>21569.4348333342</v>
      </c>
      <c r="DT222" s="34" t="n">
        <f aca="false">DS$222+DT$221-DT$207</f>
        <v>15784.7174166676</v>
      </c>
      <c r="DU222" s="34" t="n">
        <f aca="false">DT$222+DU$221-DU$207</f>
        <v>10000.0000000009</v>
      </c>
      <c r="DV222" s="34" t="n">
        <f aca="false">DU$222+DV$221-DV$207</f>
        <v>10000.0000000009</v>
      </c>
      <c r="DW222" s="34" t="n">
        <f aca="false">DV$222+DW$221-DW$207</f>
        <v>10000.0000000009</v>
      </c>
      <c r="DX222" s="34" t="n">
        <f aca="false">DW$222+DX$221-DX$207</f>
        <v>10000.0000000009</v>
      </c>
      <c r="DY222" s="34" t="n">
        <f aca="false">DX$222+DY$221-DY$207</f>
        <v>10000.0000000009</v>
      </c>
      <c r="DZ222" s="34" t="n">
        <f aca="false">DY$222+DZ$221-DZ$207</f>
        <v>10000.0000000009</v>
      </c>
      <c r="EA222" s="34" t="n">
        <f aca="false">DZ$222+EA$221-EA$207</f>
        <v>10000.0000000009</v>
      </c>
      <c r="EB222" s="34" t="n">
        <f aca="false">EA$222+EB$221-EB$207</f>
        <v>10000.0000000009</v>
      </c>
      <c r="EC222" s="34" t="n">
        <f aca="false">EB$222+EC$221-EC$207</f>
        <v>10000.0000000009</v>
      </c>
      <c r="ED222" s="34" t="n">
        <f aca="false">EC$222+ED$221-ED$207</f>
        <v>10000.0000000009</v>
      </c>
      <c r="EE222" s="34" t="n">
        <f aca="false">ED$222+EE$221-EE$207</f>
        <v>10000.0000000009</v>
      </c>
      <c r="EF222" s="34" t="n">
        <f aca="false">EE$222+EF$221-EF$207</f>
        <v>10000.0000000009</v>
      </c>
      <c r="EG222" s="34" t="n">
        <f aca="false">EF$222+EG$221-EG$207</f>
        <v>10000.0000000009</v>
      </c>
      <c r="EH222" s="34" t="n">
        <f aca="false">EG$222+EH$221-EH$207</f>
        <v>10000.0000000009</v>
      </c>
      <c r="EI222" s="34" t="n">
        <f aca="false">EH$222+EI$221-EI$207</f>
        <v>10000.0000000009</v>
      </c>
      <c r="EJ222" s="34" t="n">
        <f aca="false">EI$222+EJ$221-EJ$207</f>
        <v>10000.0000000009</v>
      </c>
      <c r="EK222" s="34" t="n">
        <f aca="false">EJ$222+EK$221-EK$207</f>
        <v>10000.0000000009</v>
      </c>
      <c r="EL222" s="34" t="n">
        <f aca="false">EK$222+EL$221-EL$207</f>
        <v>10000.0000000009</v>
      </c>
      <c r="EM222" s="34" t="n">
        <f aca="false">EL$222+EM$221-EM$207</f>
        <v>10000.0000000009</v>
      </c>
      <c r="EN222" s="34" t="n">
        <f aca="false">EM$222+EN$221-EN$207</f>
        <v>10000.0000000009</v>
      </c>
      <c r="EO222" s="34" t="n">
        <f aca="false">EN$222+EO$221-EO$207</f>
        <v>10000.0000000009</v>
      </c>
      <c r="EP222" s="34" t="n">
        <f aca="false">EO$222+EP$221-EP$207</f>
        <v>10000.0000000009</v>
      </c>
      <c r="EQ222" s="34" t="n">
        <f aca="false">EP$222+EQ$221-EQ$207</f>
        <v>10000.0000000009</v>
      </c>
      <c r="ER222" s="34" t="n">
        <f aca="false">EQ$222+ER$221-ER$207</f>
        <v>10000.0000000009</v>
      </c>
      <c r="ES222" s="34" t="n">
        <f aca="false">ER$222+ES$221-ES$207</f>
        <v>10000.0000000009</v>
      </c>
    </row>
    <row r="223" customFormat="false" ht="15" hidden="false" customHeight="false" outlineLevel="0" collapsed="false">
      <c r="A223" s="2" t="s">
        <v>835</v>
      </c>
      <c r="B223" s="6" t="s">
        <v>671</v>
      </c>
      <c r="C223" s="6" t="s">
        <v>250</v>
      </c>
      <c r="E223" s="40" t="n">
        <f aca="false">SUM(F223:ES223)</f>
        <v>4509762.51732228</v>
      </c>
      <c r="F223" s="34" t="n">
        <f aca="false">IF(1=Fin,F$217*V_RealCT+F$222*V_RealAF,0)</f>
        <v>0</v>
      </c>
      <c r="G223" s="34" t="n">
        <f aca="false">IF(2=Fin,G$217*V_RealCT+G$222*V_RealAF,0)</f>
        <v>0</v>
      </c>
      <c r="H223" s="34" t="n">
        <f aca="false">IF(3=Fin,H$217*V_RealCT+H$222*V_RealAF,0)</f>
        <v>0</v>
      </c>
      <c r="I223" s="34" t="n">
        <f aca="false">IF(4=Fin,I$217*V_RealCT+I$222*V_RealAF,0)</f>
        <v>0</v>
      </c>
      <c r="J223" s="34" t="n">
        <f aca="false">IF(5=Fin,J$217*V_RealCT+J$222*V_RealAF,0)</f>
        <v>0</v>
      </c>
      <c r="K223" s="34" t="n">
        <f aca="false">IF(6=Fin,K$217*V_RealCT+K$222*V_RealAF,0)</f>
        <v>0</v>
      </c>
      <c r="L223" s="34" t="n">
        <f aca="false">IF(7=Fin,L$217*V_RealCT+L$222*V_RealAF,0)</f>
        <v>0</v>
      </c>
      <c r="M223" s="34" t="n">
        <f aca="false">IF(8=Fin,M$217*V_RealCT+M$222*V_RealAF,0)</f>
        <v>0</v>
      </c>
      <c r="N223" s="34" t="n">
        <f aca="false">IF(9=Fin,N$217*V_RealCT+N$222*V_RealAF,0)</f>
        <v>0</v>
      </c>
      <c r="O223" s="34" t="n">
        <f aca="false">IF(10=Fin,O$217*V_RealCT+O$222*V_RealAF,0)</f>
        <v>0</v>
      </c>
      <c r="P223" s="34" t="n">
        <f aca="false">IF(11=Fin,P$217*V_RealCT+P$222*V_RealAF,0)</f>
        <v>0</v>
      </c>
      <c r="Q223" s="34" t="n">
        <f aca="false">IF(12=Fin,Q$217*V_RealCT+Q$222*V_RealAF,0)</f>
        <v>0</v>
      </c>
      <c r="R223" s="34" t="n">
        <f aca="false">IF(13=Fin,R$217*V_RealCT+R$222*V_RealAF,0)</f>
        <v>0</v>
      </c>
      <c r="S223" s="34" t="n">
        <f aca="false">IF(14=Fin,S$217*V_RealCT+S$222*V_RealAF,0)</f>
        <v>0</v>
      </c>
      <c r="T223" s="34" t="n">
        <f aca="false">IF(15=Fin,T$217*V_RealCT+T$222*V_RealAF,0)</f>
        <v>0</v>
      </c>
      <c r="U223" s="34" t="n">
        <f aca="false">IF(16=Fin,U$217*V_RealCT+U$222*V_RealAF,0)</f>
        <v>0</v>
      </c>
      <c r="V223" s="34" t="n">
        <f aca="false">IF(17=Fin,V$217*V_RealCT+V$222*V_RealAF,0)</f>
        <v>0</v>
      </c>
      <c r="W223" s="34" t="n">
        <f aca="false">IF(18=Fin,W$217*V_RealCT+W$222*V_RealAF,0)</f>
        <v>0</v>
      </c>
      <c r="X223" s="34" t="n">
        <f aca="false">IF(19=Fin,X$217*V_RealCT+X$222*V_RealAF,0)</f>
        <v>0</v>
      </c>
      <c r="Y223" s="34" t="n">
        <f aca="false">IF(20=Fin,Y$217*V_RealCT+Y$222*V_RealAF,0)</f>
        <v>0</v>
      </c>
      <c r="Z223" s="34" t="n">
        <f aca="false">IF(21=Fin,Z$217*V_RealCT+Z$222*V_RealAF,0)</f>
        <v>0</v>
      </c>
      <c r="AA223" s="34" t="n">
        <f aca="false">IF(22=Fin,AA$217*V_RealCT+AA$222*V_RealAF,0)</f>
        <v>0</v>
      </c>
      <c r="AB223" s="34" t="n">
        <f aca="false">IF(23=Fin,AB$217*V_RealCT+AB$222*V_RealAF,0)</f>
        <v>0</v>
      </c>
      <c r="AC223" s="34" t="n">
        <f aca="false">IF(24=Fin,AC$217*V_RealCT+AC$222*V_RealAF,0)</f>
        <v>0</v>
      </c>
      <c r="AD223" s="34" t="n">
        <f aca="false">IF(25=Fin,AD$217*V_RealCT+AD$222*V_RealAF,0)</f>
        <v>0</v>
      </c>
      <c r="AE223" s="34" t="n">
        <f aca="false">IF(26=Fin,AE$217*V_RealCT+AE$222*V_RealAF,0)</f>
        <v>0</v>
      </c>
      <c r="AF223" s="34" t="n">
        <f aca="false">IF(27=Fin,AF$217*V_RealCT+AF$222*V_RealAF,0)</f>
        <v>0</v>
      </c>
      <c r="AG223" s="34" t="n">
        <f aca="false">IF(28=Fin,AG$217*V_RealCT+AG$222*V_RealAF,0)</f>
        <v>0</v>
      </c>
      <c r="AH223" s="34" t="n">
        <f aca="false">IF(29=Fin,AH$217*V_RealCT+AH$222*V_RealAF,0)</f>
        <v>0</v>
      </c>
      <c r="AI223" s="34" t="n">
        <f aca="false">IF(30=Fin,AI$217*V_RealCT+AI$222*V_RealAF,0)</f>
        <v>0</v>
      </c>
      <c r="AJ223" s="34" t="n">
        <f aca="false">IF(31=Fin,AJ$217*V_RealCT+AJ$222*V_RealAF,0)</f>
        <v>0</v>
      </c>
      <c r="AK223" s="34" t="n">
        <f aca="false">IF(32=Fin,AK$217*V_RealCT+AK$222*V_RealAF,0)</f>
        <v>0</v>
      </c>
      <c r="AL223" s="34" t="n">
        <f aca="false">IF(33=Fin,AL$217*V_RealCT+AL$222*V_RealAF,0)</f>
        <v>0</v>
      </c>
      <c r="AM223" s="34" t="n">
        <f aca="false">IF(34=Fin,AM$217*V_RealCT+AM$222*V_RealAF,0)</f>
        <v>0</v>
      </c>
      <c r="AN223" s="34" t="n">
        <f aca="false">IF(35=Fin,AN$217*V_RealCT+AN$222*V_RealAF,0)</f>
        <v>0</v>
      </c>
      <c r="AO223" s="34" t="n">
        <f aca="false">IF(36=Fin,AO$217*V_RealCT+AO$222*V_RealAF,0)</f>
        <v>0</v>
      </c>
      <c r="AP223" s="34" t="n">
        <f aca="false">IF(37=Fin,AP$217*V_RealCT+AP$222*V_RealAF,0)</f>
        <v>0</v>
      </c>
      <c r="AQ223" s="34" t="n">
        <f aca="false">IF(38=Fin,AQ$217*V_RealCT+AQ$222*V_RealAF,0)</f>
        <v>0</v>
      </c>
      <c r="AR223" s="34" t="n">
        <f aca="false">IF(39=Fin,AR$217*V_RealCT+AR$222*V_RealAF,0)</f>
        <v>0</v>
      </c>
      <c r="AS223" s="34" t="n">
        <f aca="false">IF(40=Fin,AS$217*V_RealCT+AS$222*V_RealAF,0)</f>
        <v>0</v>
      </c>
      <c r="AT223" s="34" t="n">
        <f aca="false">IF(41=Fin,AT$217*V_RealCT+AT$222*V_RealAF,0)</f>
        <v>0</v>
      </c>
      <c r="AU223" s="34" t="n">
        <f aca="false">IF(42=Fin,AU$217*V_RealCT+AU$222*V_RealAF,0)</f>
        <v>0</v>
      </c>
      <c r="AV223" s="34" t="n">
        <f aca="false">IF(43=Fin,AV$217*V_RealCT+AV$222*V_RealAF,0)</f>
        <v>0</v>
      </c>
      <c r="AW223" s="34" t="n">
        <f aca="false">IF(44=Fin,AW$217*V_RealCT+AW$222*V_RealAF,0)</f>
        <v>0</v>
      </c>
      <c r="AX223" s="34" t="n">
        <f aca="false">IF(45=Fin,AX$217*V_RealCT+AX$222*V_RealAF,0)</f>
        <v>0</v>
      </c>
      <c r="AY223" s="34" t="n">
        <f aca="false">IF(46=Fin,AY$217*V_RealCT+AY$222*V_RealAF,0)</f>
        <v>0</v>
      </c>
      <c r="AZ223" s="34" t="n">
        <f aca="false">IF(47=Fin,AZ$217*V_RealCT+AZ$222*V_RealAF,0)</f>
        <v>0</v>
      </c>
      <c r="BA223" s="34" t="n">
        <f aca="false">IF(48=Fin,BA$217*V_RealCT+BA$222*V_RealAF,0)</f>
        <v>0</v>
      </c>
      <c r="BB223" s="34" t="n">
        <f aca="false">IF(49=Fin,BB$217*V_RealCT+BB$222*V_RealAF,0)</f>
        <v>0</v>
      </c>
      <c r="BC223" s="34" t="n">
        <f aca="false">IF(50=Fin,BC$217*V_RealCT+BC$222*V_RealAF,0)</f>
        <v>0</v>
      </c>
      <c r="BD223" s="34" t="n">
        <f aca="false">IF(51=Fin,BD$217*V_RealCT+BD$222*V_RealAF,0)</f>
        <v>0</v>
      </c>
      <c r="BE223" s="34" t="n">
        <f aca="false">IF(52=Fin,BE$217*V_RealCT+BE$222*V_RealAF,0)</f>
        <v>0</v>
      </c>
      <c r="BF223" s="34" t="n">
        <f aca="false">IF(53=Fin,BF$217*V_RealCT+BF$222*V_RealAF,0)</f>
        <v>0</v>
      </c>
      <c r="BG223" s="34" t="n">
        <f aca="false">IF(54=Fin,BG$217*V_RealCT+BG$222*V_RealAF,0)</f>
        <v>0</v>
      </c>
      <c r="BH223" s="34" t="n">
        <f aca="false">IF(55=Fin,BH$217*V_RealCT+BH$222*V_RealAF,0)</f>
        <v>0</v>
      </c>
      <c r="BI223" s="34" t="n">
        <f aca="false">IF(56=Fin,BI$217*V_RealCT+BI$222*V_RealAF,0)</f>
        <v>0</v>
      </c>
      <c r="BJ223" s="34" t="n">
        <f aca="false">IF(57=Fin,BJ$217*V_RealCT+BJ$222*V_RealAF,0)</f>
        <v>0</v>
      </c>
      <c r="BK223" s="34" t="n">
        <f aca="false">IF(58=Fin,BK$217*V_RealCT+BK$222*V_RealAF,0)</f>
        <v>0</v>
      </c>
      <c r="BL223" s="34" t="n">
        <f aca="false">IF(59=Fin,BL$217*V_RealCT+BL$222*V_RealAF,0)</f>
        <v>0</v>
      </c>
      <c r="BM223" s="34" t="n">
        <f aca="false">IF(60=Fin,BM$217*V_RealCT+BM$222*V_RealAF,0)</f>
        <v>0</v>
      </c>
      <c r="BN223" s="34" t="n">
        <f aca="false">IF(61=Fin,BN$217*V_RealCT+BN$222*V_RealAF,0)</f>
        <v>0</v>
      </c>
      <c r="BO223" s="34" t="n">
        <f aca="false">IF(62=Fin,BO$217*V_RealCT+BO$222*V_RealAF,0)</f>
        <v>0</v>
      </c>
      <c r="BP223" s="34" t="n">
        <f aca="false">IF(63=Fin,BP$217*V_RealCT+BP$222*V_RealAF,0)</f>
        <v>0</v>
      </c>
      <c r="BQ223" s="34" t="n">
        <f aca="false">IF(64=Fin,BQ$217*V_RealCT+BQ$222*V_RealAF,0)</f>
        <v>0</v>
      </c>
      <c r="BR223" s="34" t="n">
        <f aca="false">IF(65=Fin,BR$217*V_RealCT+BR$222*V_RealAF,0)</f>
        <v>0</v>
      </c>
      <c r="BS223" s="34" t="n">
        <f aca="false">IF(66=Fin,BS$217*V_RealCT+BS$222*V_RealAF,0)</f>
        <v>0</v>
      </c>
      <c r="BT223" s="34" t="n">
        <f aca="false">IF(67=Fin,BT$217*V_RealCT+BT$222*V_RealAF,0)</f>
        <v>0</v>
      </c>
      <c r="BU223" s="34" t="n">
        <f aca="false">IF(68=Fin,BU$217*V_RealCT+BU$222*V_RealAF,0)</f>
        <v>0</v>
      </c>
      <c r="BV223" s="34" t="n">
        <f aca="false">IF(69=Fin,BV$217*V_RealCT+BV$222*V_RealAF,0)</f>
        <v>0</v>
      </c>
      <c r="BW223" s="34" t="n">
        <f aca="false">IF(70=Fin,BW$217*V_RealCT+BW$222*V_RealAF,0)</f>
        <v>0</v>
      </c>
      <c r="BX223" s="34" t="n">
        <f aca="false">IF(71=Fin,BX$217*V_RealCT+BX$222*V_RealAF,0)</f>
        <v>0</v>
      </c>
      <c r="BY223" s="34" t="n">
        <f aca="false">IF(72=Fin,BY$217*V_RealCT+BY$222*V_RealAF,0)</f>
        <v>0</v>
      </c>
      <c r="BZ223" s="34" t="n">
        <f aca="false">IF(73=Fin,BZ$217*V_RealCT+BZ$222*V_RealAF,0)</f>
        <v>0</v>
      </c>
      <c r="CA223" s="34" t="n">
        <f aca="false">IF(74=Fin,CA$217*V_RealCT+CA$222*V_RealAF,0)</f>
        <v>0</v>
      </c>
      <c r="CB223" s="34" t="n">
        <f aca="false">IF(75=Fin,CB$217*V_RealCT+CB$222*V_RealAF,0)</f>
        <v>0</v>
      </c>
      <c r="CC223" s="34" t="n">
        <f aca="false">IF(76=Fin,CC$217*V_RealCT+CC$222*V_RealAF,0)</f>
        <v>0</v>
      </c>
      <c r="CD223" s="34" t="n">
        <f aca="false">IF(77=Fin,CD$217*V_RealCT+CD$222*V_RealAF,0)</f>
        <v>0</v>
      </c>
      <c r="CE223" s="34" t="n">
        <f aca="false">IF(78=Fin,CE$217*V_RealCT+CE$222*V_RealAF,0)</f>
        <v>0</v>
      </c>
      <c r="CF223" s="34" t="n">
        <f aca="false">IF(79=Fin,CF$217*V_RealCT+CF$222*V_RealAF,0)</f>
        <v>0</v>
      </c>
      <c r="CG223" s="34" t="n">
        <f aca="false">IF(80=Fin,CG$217*V_RealCT+CG$222*V_RealAF,0)</f>
        <v>0</v>
      </c>
      <c r="CH223" s="34" t="n">
        <f aca="false">IF(81=Fin,CH$217*V_RealCT+CH$222*V_RealAF,0)</f>
        <v>0</v>
      </c>
      <c r="CI223" s="34" t="n">
        <f aca="false">IF(82=Fin,CI$217*V_RealCT+CI$222*V_RealAF,0)</f>
        <v>0</v>
      </c>
      <c r="CJ223" s="34" t="n">
        <f aca="false">IF(83=Fin,CJ$217*V_RealCT+CJ$222*V_RealAF,0)</f>
        <v>0</v>
      </c>
      <c r="CK223" s="34" t="n">
        <f aca="false">IF(84=Fin,CK$217*V_RealCT+CK$222*V_RealAF,0)</f>
        <v>0</v>
      </c>
      <c r="CL223" s="34" t="n">
        <f aca="false">IF(85=Fin,CL$217*V_RealCT+CL$222*V_RealAF,0)</f>
        <v>0</v>
      </c>
      <c r="CM223" s="34" t="n">
        <f aca="false">IF(86=Fin,CM$217*V_RealCT+CM$222*V_RealAF,0)</f>
        <v>0</v>
      </c>
      <c r="CN223" s="34" t="n">
        <f aca="false">IF(87=Fin,CN$217*V_RealCT+CN$222*V_RealAF,0)</f>
        <v>0</v>
      </c>
      <c r="CO223" s="34" t="n">
        <f aca="false">IF(88=Fin,CO$217*V_RealCT+CO$222*V_RealAF,0)</f>
        <v>0</v>
      </c>
      <c r="CP223" s="34" t="n">
        <f aca="false">IF(89=Fin,CP$217*V_RealCT+CP$222*V_RealAF,0)</f>
        <v>0</v>
      </c>
      <c r="CQ223" s="34" t="n">
        <f aca="false">IF(90=Fin,CQ$217*V_RealCT+CQ$222*V_RealAF,0)</f>
        <v>0</v>
      </c>
      <c r="CR223" s="34" t="n">
        <f aca="false">IF(91=Fin,CR$217*V_RealCT+CR$222*V_RealAF,0)</f>
        <v>0</v>
      </c>
      <c r="CS223" s="34" t="n">
        <f aca="false">IF(92=Fin,CS$217*V_RealCT+CS$222*V_RealAF,0)</f>
        <v>0</v>
      </c>
      <c r="CT223" s="34" t="n">
        <f aca="false">IF(93=Fin,CT$217*V_RealCT+CT$222*V_RealAF,0)</f>
        <v>0</v>
      </c>
      <c r="CU223" s="34" t="n">
        <f aca="false">IF(94=Fin,CU$217*V_RealCT+CU$222*V_RealAF,0)</f>
        <v>0</v>
      </c>
      <c r="CV223" s="34" t="n">
        <f aca="false">IF(95=Fin,CV$217*V_RealCT+CV$222*V_RealAF,0)</f>
        <v>0</v>
      </c>
      <c r="CW223" s="34" t="n">
        <f aca="false">IF(96=Fin,CW$217*V_RealCT+CW$222*V_RealAF,0)</f>
        <v>0</v>
      </c>
      <c r="CX223" s="34" t="n">
        <f aca="false">IF(97=Fin,CX$217*V_RealCT+CX$222*V_RealAF,0)</f>
        <v>0</v>
      </c>
      <c r="CY223" s="34" t="n">
        <f aca="false">IF(98=Fin,CY$217*V_RealCT+CY$222*V_RealAF,0)</f>
        <v>0</v>
      </c>
      <c r="CZ223" s="34" t="n">
        <f aca="false">IF(99=Fin,CZ$217*V_RealCT+CZ$222*V_RealAF,0)</f>
        <v>0</v>
      </c>
      <c r="DA223" s="34" t="n">
        <f aca="false">IF(100=Fin,DA$217*V_RealCT+DA$222*V_RealAF,0)</f>
        <v>0</v>
      </c>
      <c r="DB223" s="34" t="n">
        <f aca="false">IF(101=Fin,DB$217*V_RealCT+DB$222*V_RealAF,0)</f>
        <v>0</v>
      </c>
      <c r="DC223" s="34" t="n">
        <f aca="false">IF(102=Fin,DC$217*V_RealCT+DC$222*V_RealAF,0)</f>
        <v>0</v>
      </c>
      <c r="DD223" s="34" t="n">
        <f aca="false">IF(103=Fin,DD$217*V_RealCT+DD$222*V_RealAF,0)</f>
        <v>0</v>
      </c>
      <c r="DE223" s="34" t="n">
        <f aca="false">IF(104=Fin,DE$217*V_RealCT+DE$222*V_RealAF,0)</f>
        <v>0</v>
      </c>
      <c r="DF223" s="34" t="n">
        <f aca="false">IF(105=Fin,DF$217*V_RealCT+DF$222*V_RealAF,0)</f>
        <v>0</v>
      </c>
      <c r="DG223" s="34" t="n">
        <f aca="false">IF(106=Fin,DG$217*V_RealCT+DG$222*V_RealAF,0)</f>
        <v>0</v>
      </c>
      <c r="DH223" s="34" t="n">
        <f aca="false">IF(107=Fin,DH$217*V_RealCT+DH$222*V_RealAF,0)</f>
        <v>0</v>
      </c>
      <c r="DI223" s="34" t="n">
        <f aca="false">IF(108=Fin,DI$217*V_RealCT+DI$222*V_RealAF,0)</f>
        <v>0</v>
      </c>
      <c r="DJ223" s="34" t="n">
        <f aca="false">IF(109=Fin,DJ$217*V_RealCT+DJ$222*V_RealAF,0)</f>
        <v>0</v>
      </c>
      <c r="DK223" s="34" t="n">
        <f aca="false">IF(110=Fin,DK$217*V_RealCT+DK$222*V_RealAF,0)</f>
        <v>0</v>
      </c>
      <c r="DL223" s="34" t="n">
        <f aca="false">IF(111=Fin,DL$217*V_RealCT+DL$222*V_RealAF,0)</f>
        <v>0</v>
      </c>
      <c r="DM223" s="34" t="n">
        <f aca="false">IF(112=Fin,DM$217*V_RealCT+DM$222*V_RealAF,0)</f>
        <v>0</v>
      </c>
      <c r="DN223" s="34" t="n">
        <f aca="false">IF(113=Fin,DN$217*V_RealCT+DN$222*V_RealAF,0)</f>
        <v>0</v>
      </c>
      <c r="DO223" s="34" t="n">
        <f aca="false">IF(114=Fin,DO$217*V_RealCT+DO$222*V_RealAF,0)</f>
        <v>0</v>
      </c>
      <c r="DP223" s="34" t="n">
        <f aca="false">IF(115=Fin,DP$217*V_RealCT+DP$222*V_RealAF,0)</f>
        <v>0</v>
      </c>
      <c r="DQ223" s="34" t="n">
        <f aca="false">IF(116=Fin,DQ$217*V_RealCT+DQ$222*V_RealAF,0)</f>
        <v>0</v>
      </c>
      <c r="DR223" s="34" t="n">
        <f aca="false">IF(117=Fin,DR$217*V_RealCT+DR$222*V_RealAF,0)</f>
        <v>0</v>
      </c>
      <c r="DS223" s="34" t="n">
        <f aca="false">IF(118=Fin,DS$217*V_RealCT+DS$222*V_RealAF,0)</f>
        <v>0</v>
      </c>
      <c r="DT223" s="34" t="n">
        <f aca="false">IF(119=Fin,DT$217*V_RealCT+DT$222*V_RealAF,0)</f>
        <v>0</v>
      </c>
      <c r="DU223" s="34" t="n">
        <f aca="false">IF(120=Fin,DU$217*V_RealCT+DU$222*V_RealAF,0)</f>
        <v>4509762.51732228</v>
      </c>
      <c r="DV223" s="34" t="n">
        <f aca="false">IF(121=Fin,DV$217*V_RealCT+DV$222*V_RealAF,0)</f>
        <v>0</v>
      </c>
      <c r="DW223" s="34" t="n">
        <f aca="false">IF(122=Fin,DW$217*V_RealCT+DW$222*V_RealAF,0)</f>
        <v>0</v>
      </c>
      <c r="DX223" s="34" t="n">
        <f aca="false">IF(123=Fin,DX$217*V_RealCT+DX$222*V_RealAF,0)</f>
        <v>0</v>
      </c>
      <c r="DY223" s="34" t="n">
        <f aca="false">IF(124=Fin,DY$217*V_RealCT+DY$222*V_RealAF,0)</f>
        <v>0</v>
      </c>
      <c r="DZ223" s="34" t="n">
        <f aca="false">IF(125=Fin,DZ$217*V_RealCT+DZ$222*V_RealAF,0)</f>
        <v>0</v>
      </c>
      <c r="EA223" s="34" t="n">
        <f aca="false">IF(126=Fin,EA$217*V_RealCT+EA$222*V_RealAF,0)</f>
        <v>0</v>
      </c>
      <c r="EB223" s="34" t="n">
        <f aca="false">IF(127=Fin,EB$217*V_RealCT+EB$222*V_RealAF,0)</f>
        <v>0</v>
      </c>
      <c r="EC223" s="34" t="n">
        <f aca="false">IF(128=Fin,EC$217*V_RealCT+EC$222*V_RealAF,0)</f>
        <v>0</v>
      </c>
      <c r="ED223" s="34" t="n">
        <f aca="false">IF(129=Fin,ED$217*V_RealCT+ED$222*V_RealAF,0)</f>
        <v>0</v>
      </c>
      <c r="EE223" s="34" t="n">
        <f aca="false">IF(130=Fin,EE$217*V_RealCT+EE$222*V_RealAF,0)</f>
        <v>0</v>
      </c>
      <c r="EF223" s="34" t="n">
        <f aca="false">IF(131=Fin,EF$217*V_RealCT+EF$222*V_RealAF,0)</f>
        <v>0</v>
      </c>
      <c r="EG223" s="34" t="n">
        <f aca="false">IF(132=Fin,EG$217*V_RealCT+EG$222*V_RealAF,0)</f>
        <v>0</v>
      </c>
      <c r="EH223" s="34" t="n">
        <f aca="false">IF(133=Fin,EH$217*V_RealCT+EH$222*V_RealAF,0)</f>
        <v>0</v>
      </c>
      <c r="EI223" s="34" t="n">
        <f aca="false">IF(134=Fin,EI$217*V_RealCT+EI$222*V_RealAF,0)</f>
        <v>0</v>
      </c>
      <c r="EJ223" s="34" t="n">
        <f aca="false">IF(135=Fin,EJ$217*V_RealCT+EJ$222*V_RealAF,0)</f>
        <v>0</v>
      </c>
      <c r="EK223" s="34" t="n">
        <f aca="false">IF(136=Fin,EK$217*V_RealCT+EK$222*V_RealAF,0)</f>
        <v>0</v>
      </c>
      <c r="EL223" s="34" t="n">
        <f aca="false">IF(137=Fin,EL$217*V_RealCT+EL$222*V_RealAF,0)</f>
        <v>0</v>
      </c>
      <c r="EM223" s="34" t="n">
        <f aca="false">IF(138=Fin,EM$217*V_RealCT+EM$222*V_RealAF,0)</f>
        <v>0</v>
      </c>
      <c r="EN223" s="34" t="n">
        <f aca="false">IF(139=Fin,EN$217*V_RealCT+EN$222*V_RealAF,0)</f>
        <v>0</v>
      </c>
      <c r="EO223" s="34" t="n">
        <f aca="false">IF(140=Fin,EO$217*V_RealCT+EO$222*V_RealAF,0)</f>
        <v>0</v>
      </c>
      <c r="EP223" s="34" t="n">
        <f aca="false">IF(141=Fin,EP$217*V_RealCT+EP$222*V_RealAF,0)</f>
        <v>0</v>
      </c>
      <c r="EQ223" s="34" t="n">
        <f aca="false">IF(142=Fin,EQ$217*V_RealCT+EQ$222*V_RealAF,0)</f>
        <v>0</v>
      </c>
      <c r="ER223" s="34" t="n">
        <f aca="false">IF(143=Fin,ER$217*V_RealCT+ER$222*V_RealAF,0)</f>
        <v>0</v>
      </c>
      <c r="ES223" s="34" t="n">
        <f aca="false">IF(144=Fin,ES$217*V_RealCT+ES$222*V_RealAF,0)</f>
        <v>0</v>
      </c>
    </row>
    <row r="224" customFormat="false" ht="15" hidden="false" customHeight="false" outlineLevel="0" collapsed="false">
      <c r="A224" s="2" t="s">
        <v>836</v>
      </c>
      <c r="B224" s="52" t="s">
        <v>673</v>
      </c>
      <c r="C224" s="6" t="s">
        <v>250</v>
      </c>
      <c r="E224" s="40" t="n">
        <f aca="false">SUM(F224:ES224)</f>
        <v>15564459.926261</v>
      </c>
      <c r="F224" s="10" t="n">
        <f aca="false">F$220-F$221+F$223</f>
        <v>-3000610.47688344</v>
      </c>
      <c r="G224" s="10" t="n">
        <f aca="false">G$220-G$221+G$223</f>
        <v>42497.5004755897</v>
      </c>
      <c r="H224" s="10" t="n">
        <f aca="false">H$220-H$221+H$223</f>
        <v>42497.5004755897</v>
      </c>
      <c r="I224" s="10" t="n">
        <f aca="false">I$220-I$221+I$223</f>
        <v>42497.5004755897</v>
      </c>
      <c r="J224" s="10" t="n">
        <f aca="false">J$220-J$221+J$223</f>
        <v>42497.5004755897</v>
      </c>
      <c r="K224" s="10" t="n">
        <f aca="false">K$220-K$221+K$223</f>
        <v>42497.5004755897</v>
      </c>
      <c r="L224" s="10" t="n">
        <f aca="false">L$220-L$221+L$223</f>
        <v>42497.5004755897</v>
      </c>
      <c r="M224" s="10" t="n">
        <f aca="false">M$220-M$221+M$223</f>
        <v>42497.5004755897</v>
      </c>
      <c r="N224" s="10" t="n">
        <f aca="false">N$220-N$221+N$223</f>
        <v>42497.5004755897</v>
      </c>
      <c r="O224" s="10" t="n">
        <f aca="false">O$220-O$221+O$223</f>
        <v>42497.5004755897</v>
      </c>
      <c r="P224" s="10" t="n">
        <f aca="false">P$220-P$221+P$223</f>
        <v>42497.5004755897</v>
      </c>
      <c r="Q224" s="10" t="n">
        <f aca="false">Q$220-Q$221+Q$223</f>
        <v>42497.5004755897</v>
      </c>
      <c r="R224" s="10" t="n">
        <f aca="false">R$220-R$221+R$223</f>
        <v>-674649.041401679</v>
      </c>
      <c r="S224" s="10" t="n">
        <f aca="false">S$220-S$221+S$223</f>
        <v>80496.4029939648</v>
      </c>
      <c r="T224" s="10" t="n">
        <f aca="false">T$220-T$221+T$223</f>
        <v>80496.4029939648</v>
      </c>
      <c r="U224" s="10" t="n">
        <f aca="false">U$220-U$221+U$223</f>
        <v>80496.4029939648</v>
      </c>
      <c r="V224" s="10" t="n">
        <f aca="false">V$220-V$221+V$223</f>
        <v>80496.4029939648</v>
      </c>
      <c r="W224" s="10" t="n">
        <f aca="false">W$220-W$221+W$223</f>
        <v>80496.4029939648</v>
      </c>
      <c r="X224" s="10" t="n">
        <f aca="false">X$220-X$221+X$223</f>
        <v>80496.4029939648</v>
      </c>
      <c r="Y224" s="10" t="n">
        <f aca="false">Y$220-Y$221+Y$223</f>
        <v>80496.4029939648</v>
      </c>
      <c r="Z224" s="10" t="n">
        <f aca="false">Z$220-Z$221+Z$223</f>
        <v>80496.4029939648</v>
      </c>
      <c r="AA224" s="10" t="n">
        <f aca="false">AA$220-AA$221+AA$223</f>
        <v>80496.4029939648</v>
      </c>
      <c r="AB224" s="10" t="n">
        <f aca="false">AB$220-AB$221+AB$223</f>
        <v>80496.4029939648</v>
      </c>
      <c r="AC224" s="10" t="n">
        <f aca="false">AC$220-AC$221+AC$223</f>
        <v>80496.4029939648</v>
      </c>
      <c r="AD224" s="10" t="n">
        <f aca="false">AD$220-AD$221+AD$223</f>
        <v>-550241.899767298</v>
      </c>
      <c r="AE224" s="10" t="n">
        <f aca="false">AE$220-AE$221+AE$223</f>
        <v>117085.030865125</v>
      </c>
      <c r="AF224" s="10" t="n">
        <f aca="false">AF$220-AF$221+AF$223</f>
        <v>117085.030865125</v>
      </c>
      <c r="AG224" s="10" t="n">
        <f aca="false">AG$220-AG$221+AG$223</f>
        <v>117085.030865125</v>
      </c>
      <c r="AH224" s="10" t="n">
        <f aca="false">AH$220-AH$221+AH$223</f>
        <v>117085.030865125</v>
      </c>
      <c r="AI224" s="10" t="n">
        <f aca="false">AI$220-AI$221+AI$223</f>
        <v>117085.030865125</v>
      </c>
      <c r="AJ224" s="10" t="n">
        <f aca="false">AJ$220-AJ$221+AJ$223</f>
        <v>117085.030865125</v>
      </c>
      <c r="AK224" s="10" t="n">
        <f aca="false">AK$220-AK$221+AK$223</f>
        <v>117085.030865125</v>
      </c>
      <c r="AL224" s="10" t="n">
        <f aca="false">AL$220-AL$221+AL$223</f>
        <v>117085.030865125</v>
      </c>
      <c r="AM224" s="10" t="n">
        <f aca="false">AM$220-AM$221+AM$223</f>
        <v>117085.030865125</v>
      </c>
      <c r="AN224" s="10" t="n">
        <f aca="false">AN$220-AN$221+AN$223</f>
        <v>117085.030865125</v>
      </c>
      <c r="AO224" s="10" t="n">
        <f aca="false">AO$220-AO$221+AO$223</f>
        <v>117085.030865125</v>
      </c>
      <c r="AP224" s="10" t="n">
        <f aca="false">AP$220-AP$221+AP$223</f>
        <v>-408915.490053455</v>
      </c>
      <c r="AQ224" s="10" t="n">
        <f aca="false">AQ$220-AQ$221+AQ$223</f>
        <v>149893.579879858</v>
      </c>
      <c r="AR224" s="10" t="n">
        <f aca="false">AR$220-AR$221+AR$223</f>
        <v>149893.579879858</v>
      </c>
      <c r="AS224" s="10" t="n">
        <f aca="false">AS$220-AS$221+AS$223</f>
        <v>149893.579879858</v>
      </c>
      <c r="AT224" s="10" t="n">
        <f aca="false">AT$220-AT$221+AT$223</f>
        <v>149893.579879858</v>
      </c>
      <c r="AU224" s="10" t="n">
        <f aca="false">AU$220-AU$221+AU$223</f>
        <v>149893.579879858</v>
      </c>
      <c r="AV224" s="10" t="n">
        <f aca="false">AV$220-AV$221+AV$223</f>
        <v>149893.579879858</v>
      </c>
      <c r="AW224" s="10" t="n">
        <f aca="false">AW$220-AW$221+AW$223</f>
        <v>149893.579879858</v>
      </c>
      <c r="AX224" s="10" t="n">
        <f aca="false">AX$220-AX$221+AX$223</f>
        <v>149893.579879858</v>
      </c>
      <c r="AY224" s="10" t="n">
        <f aca="false">AY$220-AY$221+AY$223</f>
        <v>149893.579879858</v>
      </c>
      <c r="AZ224" s="10" t="n">
        <f aca="false">AZ$220-AZ$221+AZ$223</f>
        <v>149893.579879858</v>
      </c>
      <c r="BA224" s="10" t="n">
        <f aca="false">BA$220-BA$221+BA$223</f>
        <v>149893.579879858</v>
      </c>
      <c r="BB224" s="10" t="n">
        <f aca="false">BB$220-BB$221+BB$223</f>
        <v>113103.617170514</v>
      </c>
      <c r="BC224" s="10" t="n">
        <f aca="false">BC$220-BC$221+BC$223</f>
        <v>151213.164876374</v>
      </c>
      <c r="BD224" s="10" t="n">
        <f aca="false">BD$220-BD$221+BD$223</f>
        <v>151213.164876374</v>
      </c>
      <c r="BE224" s="10" t="n">
        <f aca="false">BE$220-BE$221+BE$223</f>
        <v>151213.164876374</v>
      </c>
      <c r="BF224" s="10" t="n">
        <f aca="false">BF$220-BF$221+BF$223</f>
        <v>151213.164876374</v>
      </c>
      <c r="BG224" s="10" t="n">
        <f aca="false">BG$220-BG$221+BG$223</f>
        <v>151213.164876374</v>
      </c>
      <c r="BH224" s="10" t="n">
        <f aca="false">BH$220-BH$221+BH$223</f>
        <v>151213.164876374</v>
      </c>
      <c r="BI224" s="10" t="n">
        <f aca="false">BI$220-BI$221+BI$223</f>
        <v>151213.164876374</v>
      </c>
      <c r="BJ224" s="10" t="n">
        <f aca="false">BJ$220-BJ$221+BJ$223</f>
        <v>151213.164876374</v>
      </c>
      <c r="BK224" s="10" t="n">
        <f aca="false">BK$220-BK$221+BK$223</f>
        <v>151213.164876374</v>
      </c>
      <c r="BL224" s="10" t="n">
        <f aca="false">BL$220-BL$221+BL$223</f>
        <v>151213.164876374</v>
      </c>
      <c r="BM224" s="10" t="n">
        <f aca="false">BM$220-BM$221+BM$223</f>
        <v>151213.164876374</v>
      </c>
      <c r="BN224" s="10" t="n">
        <f aca="false">BN$220-BN$221+BN$223</f>
        <v>117575.58532923</v>
      </c>
      <c r="BO224" s="10" t="n">
        <f aca="false">BO$220-BO$221+BO$223</f>
        <v>155300.441797826</v>
      </c>
      <c r="BP224" s="10" t="n">
        <f aca="false">BP$220-BP$221+BP$223</f>
        <v>155300.441797826</v>
      </c>
      <c r="BQ224" s="10" t="n">
        <f aca="false">BQ$220-BQ$221+BQ$223</f>
        <v>155300.441797826</v>
      </c>
      <c r="BR224" s="10" t="n">
        <f aca="false">BR$220-BR$221+BR$223</f>
        <v>155300.441797826</v>
      </c>
      <c r="BS224" s="10" t="n">
        <f aca="false">BS$220-BS$221+BS$223</f>
        <v>155300.441797826</v>
      </c>
      <c r="BT224" s="10" t="n">
        <f aca="false">BT$220-BT$221+BT$223</f>
        <v>155300.441797826</v>
      </c>
      <c r="BU224" s="10" t="n">
        <f aca="false">BU$220-BU$221+BU$223</f>
        <v>155300.441797826</v>
      </c>
      <c r="BV224" s="10" t="n">
        <f aca="false">BV$220-BV$221+BV$223</f>
        <v>155300.441797826</v>
      </c>
      <c r="BW224" s="10" t="n">
        <f aca="false">BW$220-BW$221+BW$223</f>
        <v>155300.441797826</v>
      </c>
      <c r="BX224" s="10" t="n">
        <f aca="false">BX$220-BX$221+BX$223</f>
        <v>155300.441797826</v>
      </c>
      <c r="BY224" s="10" t="n">
        <f aca="false">BY$220-BY$221+BY$223</f>
        <v>155300.441797826</v>
      </c>
      <c r="BZ224" s="10" t="n">
        <f aca="false">BZ$220-BZ$221+BZ$223</f>
        <v>121326.129264619</v>
      </c>
      <c r="CA224" s="10" t="n">
        <f aca="false">CA$220-CA$221+CA$223</f>
        <v>159416.0224894</v>
      </c>
      <c r="CB224" s="10" t="n">
        <f aca="false">CB$220-CB$221+CB$223</f>
        <v>159416.0224894</v>
      </c>
      <c r="CC224" s="10" t="n">
        <f aca="false">CC$220-CC$221+CC$223</f>
        <v>159416.0224894</v>
      </c>
      <c r="CD224" s="10" t="n">
        <f aca="false">CD$220-CD$221+CD$223</f>
        <v>159416.0224894</v>
      </c>
      <c r="CE224" s="10" t="n">
        <f aca="false">CE$220-CE$221+CE$223</f>
        <v>159416.0224894</v>
      </c>
      <c r="CF224" s="10" t="n">
        <f aca="false">CF$220-CF$221+CF$223</f>
        <v>159416.0224894</v>
      </c>
      <c r="CG224" s="10" t="n">
        <f aca="false">CG$220-CG$221+CG$223</f>
        <v>159416.0224894</v>
      </c>
      <c r="CH224" s="10" t="n">
        <f aca="false">CH$220-CH$221+CH$223</f>
        <v>159416.0224894</v>
      </c>
      <c r="CI224" s="10" t="n">
        <f aca="false">CI$220-CI$221+CI$223</f>
        <v>159416.0224894</v>
      </c>
      <c r="CJ224" s="10" t="n">
        <f aca="false">CJ$220-CJ$221+CJ$223</f>
        <v>159416.0224894</v>
      </c>
      <c r="CK224" s="10" t="n">
        <f aca="false">CK$220-CK$221+CK$223</f>
        <v>159416.0224894</v>
      </c>
      <c r="CL224" s="10" t="n">
        <f aca="false">CL$220-CL$221+CL$223</f>
        <v>125101.600851768</v>
      </c>
      <c r="CM224" s="10" t="n">
        <f aca="false">CM$220-CM$221+CM$223</f>
        <v>163559.818546288</v>
      </c>
      <c r="CN224" s="10" t="n">
        <f aca="false">CN$220-CN$221+CN$223</f>
        <v>163559.818546288</v>
      </c>
      <c r="CO224" s="10" t="n">
        <f aca="false">CO$220-CO$221+CO$223</f>
        <v>163559.818546288</v>
      </c>
      <c r="CP224" s="10" t="n">
        <f aca="false">CP$220-CP$221+CP$223</f>
        <v>163559.818546288</v>
      </c>
      <c r="CQ224" s="10" t="n">
        <f aca="false">CQ$220-CQ$221+CQ$223</f>
        <v>163559.818546288</v>
      </c>
      <c r="CR224" s="10" t="n">
        <f aca="false">CR$220-CR$221+CR$223</f>
        <v>163559.818546288</v>
      </c>
      <c r="CS224" s="10" t="n">
        <f aca="false">CS$220-CS$221+CS$223</f>
        <v>163559.818546288</v>
      </c>
      <c r="CT224" s="10" t="n">
        <f aca="false">CT$220-CT$221+CT$223</f>
        <v>163559.818546288</v>
      </c>
      <c r="CU224" s="10" t="n">
        <f aca="false">CU$220-CU$221+CU$223</f>
        <v>163559.818546288</v>
      </c>
      <c r="CV224" s="10" t="n">
        <f aca="false">CV$220-CV$221+CV$223</f>
        <v>163559.818546288</v>
      </c>
      <c r="CW224" s="10" t="n">
        <f aca="false">CW$220-CW$221+CW$223</f>
        <v>163559.818546288</v>
      </c>
      <c r="CX224" s="10" t="n">
        <f aca="false">CX$220-CX$221+CX$223</f>
        <v>128901.877699572</v>
      </c>
      <c r="CY224" s="10" t="n">
        <f aca="false">CY$220-CY$221+CY$223</f>
        <v>167731.729648908</v>
      </c>
      <c r="CZ224" s="10" t="n">
        <f aca="false">CZ$220-CZ$221+CZ$223</f>
        <v>167731.729648908</v>
      </c>
      <c r="DA224" s="10" t="n">
        <f aca="false">DA$220-DA$221+DA$223</f>
        <v>167731.729648908</v>
      </c>
      <c r="DB224" s="10" t="n">
        <f aca="false">DB$220-DB$221+DB$223</f>
        <v>167731.729648908</v>
      </c>
      <c r="DC224" s="10" t="n">
        <f aca="false">DC$220-DC$221+DC$223</f>
        <v>167731.729648908</v>
      </c>
      <c r="DD224" s="10" t="n">
        <f aca="false">DD$220-DD$221+DD$223</f>
        <v>167731.729648908</v>
      </c>
      <c r="DE224" s="10" t="n">
        <f aca="false">DE$220-DE$221+DE$223</f>
        <v>167731.729648908</v>
      </c>
      <c r="DF224" s="10" t="n">
        <f aca="false">DF$220-DF$221+DF$223</f>
        <v>167731.729648908</v>
      </c>
      <c r="DG224" s="10" t="n">
        <f aca="false">DG$220-DG$221+DG$223</f>
        <v>167731.729648908</v>
      </c>
      <c r="DH224" s="10" t="n">
        <f aca="false">DH$220-DH$221+DH$223</f>
        <v>167731.729648908</v>
      </c>
      <c r="DI224" s="10" t="n">
        <f aca="false">DI$220-DI$221+DI$223</f>
        <v>167731.729648908</v>
      </c>
      <c r="DJ224" s="10" t="n">
        <f aca="false">DJ$220-DJ$221+DJ$223</f>
        <v>132726.825156308</v>
      </c>
      <c r="DK224" s="10" t="n">
        <f aca="false">DK$220-DK$221+DK$223</f>
        <v>171931.643115086</v>
      </c>
      <c r="DL224" s="10" t="n">
        <f aca="false">DL$220-DL$221+DL$223</f>
        <v>171931.643115086</v>
      </c>
      <c r="DM224" s="10" t="n">
        <f aca="false">DM$220-DM$221+DM$223</f>
        <v>171931.643115086</v>
      </c>
      <c r="DN224" s="10" t="n">
        <f aca="false">DN$220-DN$221+DN$223</f>
        <v>171931.643115086</v>
      </c>
      <c r="DO224" s="10" t="n">
        <f aca="false">DO$220-DO$221+DO$223</f>
        <v>171931.643115086</v>
      </c>
      <c r="DP224" s="10" t="n">
        <f aca="false">DP$220-DP$221+DP$223</f>
        <v>171931.643115086</v>
      </c>
      <c r="DQ224" s="10" t="n">
        <f aca="false">DQ$220-DQ$221+DQ$223</f>
        <v>171931.643115086</v>
      </c>
      <c r="DR224" s="10" t="n">
        <f aca="false">DR$220-DR$221+DR$223</f>
        <v>171931.643115086</v>
      </c>
      <c r="DS224" s="10" t="n">
        <f aca="false">DS$220-DS$221+DS$223</f>
        <v>171931.643115086</v>
      </c>
      <c r="DT224" s="10" t="n">
        <f aca="false">DT$220-DT$221+DT$223</f>
        <v>171931.643115086</v>
      </c>
      <c r="DU224" s="10" t="n">
        <f aca="false">DU$220-DU$221+DU$223</f>
        <v>4681694.16043737</v>
      </c>
      <c r="DV224" s="10" t="n">
        <f aca="false">DV$220-DV$221+DV$223</f>
        <v>0</v>
      </c>
      <c r="DW224" s="10" t="n">
        <f aca="false">DW$220-DW$221+DW$223</f>
        <v>0</v>
      </c>
      <c r="DX224" s="10" t="n">
        <f aca="false">DX$220-DX$221+DX$223</f>
        <v>0</v>
      </c>
      <c r="DY224" s="10" t="n">
        <f aca="false">DY$220-DY$221+DY$223</f>
        <v>0</v>
      </c>
      <c r="DZ224" s="10" t="n">
        <f aca="false">DZ$220-DZ$221+DZ$223</f>
        <v>0</v>
      </c>
      <c r="EA224" s="10" t="n">
        <f aca="false">EA$220-EA$221+EA$223</f>
        <v>0</v>
      </c>
      <c r="EB224" s="10" t="n">
        <f aca="false">EB$220-EB$221+EB$223</f>
        <v>0</v>
      </c>
      <c r="EC224" s="10" t="n">
        <f aca="false">EC$220-EC$221+EC$223</f>
        <v>0</v>
      </c>
      <c r="ED224" s="10" t="n">
        <f aca="false">ED$220-ED$221+ED$223</f>
        <v>0</v>
      </c>
      <c r="EE224" s="10" t="n">
        <f aca="false">EE$220-EE$221+EE$223</f>
        <v>0</v>
      </c>
      <c r="EF224" s="10" t="n">
        <f aca="false">EF$220-EF$221+EF$223</f>
        <v>0</v>
      </c>
      <c r="EG224" s="10" t="n">
        <f aca="false">EG$220-EG$221+EG$223</f>
        <v>0</v>
      </c>
      <c r="EH224" s="10" t="n">
        <f aca="false">EH$220-EH$221+EH$223</f>
        <v>0</v>
      </c>
      <c r="EI224" s="10" t="n">
        <f aca="false">EI$220-EI$221+EI$223</f>
        <v>0</v>
      </c>
      <c r="EJ224" s="10" t="n">
        <f aca="false">EJ$220-EJ$221+EJ$223</f>
        <v>0</v>
      </c>
      <c r="EK224" s="10" t="n">
        <f aca="false">EK$220-EK$221+EK$223</f>
        <v>0</v>
      </c>
      <c r="EL224" s="10" t="n">
        <f aca="false">EL$220-EL$221+EL$223</f>
        <v>0</v>
      </c>
      <c r="EM224" s="10" t="n">
        <f aca="false">EM$220-EM$221+EM$223</f>
        <v>0</v>
      </c>
      <c r="EN224" s="10" t="n">
        <f aca="false">EN$220-EN$221+EN$223</f>
        <v>0</v>
      </c>
      <c r="EO224" s="10" t="n">
        <f aca="false">EO$220-EO$221+EO$223</f>
        <v>0</v>
      </c>
      <c r="EP224" s="10" t="n">
        <f aca="false">EP$220-EP$221+EP$223</f>
        <v>0</v>
      </c>
      <c r="EQ224" s="10" t="n">
        <f aca="false">EQ$220-EQ$221+EQ$223</f>
        <v>0</v>
      </c>
      <c r="ER224" s="10" t="n">
        <f aca="false">ER$220-ER$221+ER$223</f>
        <v>0</v>
      </c>
      <c r="ES224" s="10" t="n">
        <f aca="false">ES$220-ES$221+ES$223</f>
        <v>0</v>
      </c>
    </row>
    <row r="225" customFormat="false" ht="15" hidden="false" customHeight="false" outlineLevel="0" collapsed="false">
      <c r="A225" s="2" t="s">
        <v>837</v>
      </c>
      <c r="B225" s="6" t="s">
        <v>675</v>
      </c>
      <c r="C225" s="6" t="s">
        <v>250</v>
      </c>
      <c r="E225" s="40" t="n">
        <f aca="false">MIN(F225:ES225)</f>
        <v>-3207787.01305363</v>
      </c>
      <c r="F225" s="34" t="n">
        <f aca="false">0+F$220-F$221</f>
        <v>-3000610.47688344</v>
      </c>
      <c r="G225" s="34" t="n">
        <f aca="false">F$225+G$220-G$221</f>
        <v>-2958112.97640785</v>
      </c>
      <c r="H225" s="34" t="n">
        <f aca="false">G$225+H$220-H$221</f>
        <v>-2915615.47593226</v>
      </c>
      <c r="I225" s="34" t="n">
        <f aca="false">H$225+I$220-I$221</f>
        <v>-2873117.97545667</v>
      </c>
      <c r="J225" s="34" t="n">
        <f aca="false">I$225+J$220-J$221</f>
        <v>-2830620.47498108</v>
      </c>
      <c r="K225" s="34" t="n">
        <f aca="false">J$225+K$220-K$221</f>
        <v>-2788122.97450549</v>
      </c>
      <c r="L225" s="34" t="n">
        <f aca="false">K$225+L$220-L$221</f>
        <v>-2745625.4740299</v>
      </c>
      <c r="M225" s="34" t="n">
        <f aca="false">L$225+M$220-M$221</f>
        <v>-2703127.97355431</v>
      </c>
      <c r="N225" s="34" t="n">
        <f aca="false">M$225+N$220-N$221</f>
        <v>-2660630.47307872</v>
      </c>
      <c r="O225" s="34" t="n">
        <f aca="false">N$225+O$220-O$221</f>
        <v>-2618132.97260313</v>
      </c>
      <c r="P225" s="34" t="n">
        <f aca="false">O$225+P$220-P$221</f>
        <v>-2575635.47212754</v>
      </c>
      <c r="Q225" s="34" t="n">
        <f aca="false">P$225+Q$220-Q$221</f>
        <v>-2533137.97165195</v>
      </c>
      <c r="R225" s="34" t="n">
        <f aca="false">Q$225+R$220-R$221</f>
        <v>-3207787.01305363</v>
      </c>
      <c r="S225" s="34" t="n">
        <f aca="false">R$225+S$220-S$221</f>
        <v>-3127290.61005967</v>
      </c>
      <c r="T225" s="34" t="n">
        <f aca="false">S$225+T$220-T$221</f>
        <v>-3046794.2070657</v>
      </c>
      <c r="U225" s="34" t="n">
        <f aca="false">T$225+U$220-U$221</f>
        <v>-2966297.80407174</v>
      </c>
      <c r="V225" s="34" t="n">
        <f aca="false">U$225+V$220-V$221</f>
        <v>-2885801.40107777</v>
      </c>
      <c r="W225" s="34" t="n">
        <f aca="false">V$225+W$220-W$221</f>
        <v>-2805304.99808381</v>
      </c>
      <c r="X225" s="34" t="n">
        <f aca="false">W$225+X$220-X$221</f>
        <v>-2724808.59508984</v>
      </c>
      <c r="Y225" s="34" t="n">
        <f aca="false">X$225+Y$220-Y$221</f>
        <v>-2644312.19209588</v>
      </c>
      <c r="Z225" s="34" t="n">
        <f aca="false">Y$225+Z$220-Z$221</f>
        <v>-2563815.78910191</v>
      </c>
      <c r="AA225" s="34" t="n">
        <f aca="false">Z$225+AA$220-AA$221</f>
        <v>-2483319.38610795</v>
      </c>
      <c r="AB225" s="34" t="n">
        <f aca="false">AA$225+AB$220-AB$221</f>
        <v>-2402822.98311398</v>
      </c>
      <c r="AC225" s="34" t="n">
        <f aca="false">AB$225+AC$220-AC$221</f>
        <v>-2322326.58012002</v>
      </c>
      <c r="AD225" s="34" t="n">
        <f aca="false">AC$225+AD$220-AD$221</f>
        <v>-2872568.47988732</v>
      </c>
      <c r="AE225" s="34" t="n">
        <f aca="false">AD$225+AE$220-AE$221</f>
        <v>-2755483.44902219</v>
      </c>
      <c r="AF225" s="34" t="n">
        <f aca="false">AE$225+AF$220-AF$221</f>
        <v>-2638398.41815707</v>
      </c>
      <c r="AG225" s="34" t="n">
        <f aca="false">AF$225+AG$220-AG$221</f>
        <v>-2521313.38729194</v>
      </c>
      <c r="AH225" s="34" t="n">
        <f aca="false">AG$225+AH$220-AH$221</f>
        <v>-2404228.35642682</v>
      </c>
      <c r="AI225" s="34" t="n">
        <f aca="false">AH$225+AI$220-AI$221</f>
        <v>-2287143.32556169</v>
      </c>
      <c r="AJ225" s="34" t="n">
        <f aca="false">AI$225+AJ$220-AJ$221</f>
        <v>-2170058.29469657</v>
      </c>
      <c r="AK225" s="34" t="n">
        <f aca="false">AJ$225+AK$220-AK$221</f>
        <v>-2052973.26383144</v>
      </c>
      <c r="AL225" s="34" t="n">
        <f aca="false">AK$225+AL$220-AL$221</f>
        <v>-1935888.23296632</v>
      </c>
      <c r="AM225" s="34" t="n">
        <f aca="false">AL$225+AM$220-AM$221</f>
        <v>-1818803.20210119</v>
      </c>
      <c r="AN225" s="34" t="n">
        <f aca="false">AM$225+AN$220-AN$221</f>
        <v>-1701718.17123607</v>
      </c>
      <c r="AO225" s="34" t="n">
        <f aca="false">AN$225+AO$220-AO$221</f>
        <v>-1584633.14037094</v>
      </c>
      <c r="AP225" s="34" t="n">
        <f aca="false">AO$225+AP$220-AP$221</f>
        <v>-1993548.6304244</v>
      </c>
      <c r="AQ225" s="34" t="n">
        <f aca="false">AP$225+AQ$220-AQ$221</f>
        <v>-1843655.05054454</v>
      </c>
      <c r="AR225" s="34" t="n">
        <f aca="false">AQ$225+AR$220-AR$221</f>
        <v>-1693761.47066468</v>
      </c>
      <c r="AS225" s="34" t="n">
        <f aca="false">AR$225+AS$220-AS$221</f>
        <v>-1543867.89078482</v>
      </c>
      <c r="AT225" s="34" t="n">
        <f aca="false">AS$225+AT$220-AT$221</f>
        <v>-1393974.31090497</v>
      </c>
      <c r="AU225" s="34" t="n">
        <f aca="false">AT$225+AU$220-AU$221</f>
        <v>-1244080.73102511</v>
      </c>
      <c r="AV225" s="34" t="n">
        <f aca="false">AU$225+AV$220-AV$221</f>
        <v>-1094187.15114525</v>
      </c>
      <c r="AW225" s="34" t="n">
        <f aca="false">AV$225+AW$220-AW$221</f>
        <v>-944293.571265391</v>
      </c>
      <c r="AX225" s="34" t="n">
        <f aca="false">AW$225+AX$220-AX$221</f>
        <v>-794399.991385533</v>
      </c>
      <c r="AY225" s="34" t="n">
        <f aca="false">AX$225+AY$220-AY$221</f>
        <v>-644506.411505674</v>
      </c>
      <c r="AZ225" s="34" t="n">
        <f aca="false">AY$225+AZ$220-AZ$221</f>
        <v>-494612.831625816</v>
      </c>
      <c r="BA225" s="34" t="n">
        <f aca="false">AZ$225+BA$220-BA$221</f>
        <v>-344719.251745958</v>
      </c>
      <c r="BB225" s="34" t="n">
        <f aca="false">BA$225+BB$220-BB$221</f>
        <v>-231615.634575444</v>
      </c>
      <c r="BC225" s="34" t="n">
        <f aca="false">BB$225+BC$220-BC$221</f>
        <v>-80402.4696990702</v>
      </c>
      <c r="BD225" s="34" t="n">
        <f aca="false">BC$225+BD$220-BD$221</f>
        <v>70810.6951773035</v>
      </c>
      <c r="BE225" s="34" t="n">
        <f aca="false">BD$225+BE$220-BE$221</f>
        <v>222023.860053677</v>
      </c>
      <c r="BF225" s="34" t="n">
        <f aca="false">BE$225+BF$220-BF$221</f>
        <v>373237.024930051</v>
      </c>
      <c r="BG225" s="34" t="n">
        <f aca="false">BF$225+BG$220-BG$221</f>
        <v>524450.189806425</v>
      </c>
      <c r="BH225" s="34" t="n">
        <f aca="false">BG$225+BH$220-BH$221</f>
        <v>675663.354682798</v>
      </c>
      <c r="BI225" s="34" t="n">
        <f aca="false">BH$225+BI$220-BI$221</f>
        <v>826876.519559172</v>
      </c>
      <c r="BJ225" s="34" t="n">
        <f aca="false">BI$225+BJ$220-BJ$221</f>
        <v>978089.684435546</v>
      </c>
      <c r="BK225" s="34" t="n">
        <f aca="false">BJ$225+BK$220-BK$221</f>
        <v>1129302.84931192</v>
      </c>
      <c r="BL225" s="34" t="n">
        <f aca="false">BK$225+BL$220-BL$221</f>
        <v>1280516.01418829</v>
      </c>
      <c r="BM225" s="34" t="n">
        <f aca="false">BL$225+BM$220-BM$221</f>
        <v>1431729.17906467</v>
      </c>
      <c r="BN225" s="34" t="n">
        <f aca="false">BM$225+BN$220-BN$221</f>
        <v>1549304.7643939</v>
      </c>
      <c r="BO225" s="34" t="n">
        <f aca="false">BN$225+BO$220-BO$221</f>
        <v>1704605.20619172</v>
      </c>
      <c r="BP225" s="34" t="n">
        <f aca="false">BO$225+BP$220-BP$221</f>
        <v>1859905.64798955</v>
      </c>
      <c r="BQ225" s="34" t="n">
        <f aca="false">BP$225+BQ$220-BQ$221</f>
        <v>2015206.08978738</v>
      </c>
      <c r="BR225" s="34" t="n">
        <f aca="false">BQ$225+BR$220-BR$221</f>
        <v>2170506.5315852</v>
      </c>
      <c r="BS225" s="34" t="n">
        <f aca="false">BR$225+BS$220-BS$221</f>
        <v>2325806.97338303</v>
      </c>
      <c r="BT225" s="34" t="n">
        <f aca="false">BS$225+BT$220-BT$221</f>
        <v>2481107.41518085</v>
      </c>
      <c r="BU225" s="34" t="n">
        <f aca="false">BT$225+BU$220-BU$221</f>
        <v>2636407.85697868</v>
      </c>
      <c r="BV225" s="34" t="n">
        <f aca="false">BU$225+BV$220-BV$221</f>
        <v>2791708.29877651</v>
      </c>
      <c r="BW225" s="34" t="n">
        <f aca="false">BV$225+BW$220-BW$221</f>
        <v>2947008.74057433</v>
      </c>
      <c r="BX225" s="34" t="n">
        <f aca="false">BW$225+BX$220-BX$221</f>
        <v>3102309.18237216</v>
      </c>
      <c r="BY225" s="34" t="n">
        <f aca="false">BX$225+BY$220-BY$221</f>
        <v>3257609.62416998</v>
      </c>
      <c r="BZ225" s="34" t="n">
        <f aca="false">BY$225+BZ$220-BZ$221</f>
        <v>3378935.7534346</v>
      </c>
      <c r="CA225" s="34" t="n">
        <f aca="false">BZ$225+CA$220-CA$221</f>
        <v>3538351.775924</v>
      </c>
      <c r="CB225" s="34" t="n">
        <f aca="false">CA$225+CB$220-CB$221</f>
        <v>3697767.7984134</v>
      </c>
      <c r="CC225" s="34" t="n">
        <f aca="false">CB$225+CC$220-CC$221</f>
        <v>3857183.8209028</v>
      </c>
      <c r="CD225" s="34" t="n">
        <f aca="false">CC$225+CD$220-CD$221</f>
        <v>4016599.8433922</v>
      </c>
      <c r="CE225" s="34" t="n">
        <f aca="false">CD$225+CE$220-CE$221</f>
        <v>4176015.8658816</v>
      </c>
      <c r="CF225" s="34" t="n">
        <f aca="false">CE$225+CF$220-CF$221</f>
        <v>4335431.888371</v>
      </c>
      <c r="CG225" s="34" t="n">
        <f aca="false">CF$225+CG$220-CG$221</f>
        <v>4494847.9108604</v>
      </c>
      <c r="CH225" s="34" t="n">
        <f aca="false">CG$225+CH$220-CH$221</f>
        <v>4654263.9333498</v>
      </c>
      <c r="CI225" s="34" t="n">
        <f aca="false">CH$225+CI$220-CI$221</f>
        <v>4813679.9558392</v>
      </c>
      <c r="CJ225" s="34" t="n">
        <f aca="false">CI$225+CJ$220-CJ$221</f>
        <v>4973095.9783286</v>
      </c>
      <c r="CK225" s="34" t="n">
        <f aca="false">CJ$225+CK$220-CK$221</f>
        <v>5132512.000818</v>
      </c>
      <c r="CL225" s="34" t="n">
        <f aca="false">CK$225+CL$220-CL$221</f>
        <v>5257613.60166977</v>
      </c>
      <c r="CM225" s="34" t="n">
        <f aca="false">CL$225+CM$220-CM$221</f>
        <v>5421173.42021606</v>
      </c>
      <c r="CN225" s="34" t="n">
        <f aca="false">CM$225+CN$220-CN$221</f>
        <v>5584733.23876234</v>
      </c>
      <c r="CO225" s="34" t="n">
        <f aca="false">CN$225+CO$220-CO$221</f>
        <v>5748293.05730863</v>
      </c>
      <c r="CP225" s="34" t="n">
        <f aca="false">CO$225+CP$220-CP$221</f>
        <v>5911852.87585492</v>
      </c>
      <c r="CQ225" s="34" t="n">
        <f aca="false">CP$225+CQ$220-CQ$221</f>
        <v>6075412.69440121</v>
      </c>
      <c r="CR225" s="34" t="n">
        <f aca="false">CQ$225+CR$220-CR$221</f>
        <v>6238972.51294749</v>
      </c>
      <c r="CS225" s="34" t="n">
        <f aca="false">CR$225+CS$220-CS$221</f>
        <v>6402532.33149378</v>
      </c>
      <c r="CT225" s="34" t="n">
        <f aca="false">CS$225+CT$220-CT$221</f>
        <v>6566092.15004007</v>
      </c>
      <c r="CU225" s="34" t="n">
        <f aca="false">CT$225+CU$220-CU$221</f>
        <v>6729651.96858636</v>
      </c>
      <c r="CV225" s="34" t="n">
        <f aca="false">CU$225+CV$220-CV$221</f>
        <v>6893211.78713264</v>
      </c>
      <c r="CW225" s="34" t="n">
        <f aca="false">CV$225+CW$220-CW$221</f>
        <v>7056771.60567893</v>
      </c>
      <c r="CX225" s="34" t="n">
        <f aca="false">CW$225+CX$220-CX$221</f>
        <v>7185673.4833785</v>
      </c>
      <c r="CY225" s="34" t="n">
        <f aca="false">CX$225+CY$220-CY$221</f>
        <v>7353405.21302741</v>
      </c>
      <c r="CZ225" s="34" t="n">
        <f aca="false">CY$225+CZ$220-CZ$221</f>
        <v>7521136.94267632</v>
      </c>
      <c r="DA225" s="34" t="n">
        <f aca="false">CZ$225+DA$220-DA$221</f>
        <v>7688868.67232523</v>
      </c>
      <c r="DB225" s="34" t="n">
        <f aca="false">DA$225+DB$220-DB$221</f>
        <v>7856600.40197413</v>
      </c>
      <c r="DC225" s="34" t="n">
        <f aca="false">DB$225+DC$220-DC$221</f>
        <v>8024332.13162304</v>
      </c>
      <c r="DD225" s="34" t="n">
        <f aca="false">DC$225+DD$220-DD$221</f>
        <v>8192063.86127195</v>
      </c>
      <c r="DE225" s="34" t="n">
        <f aca="false">DD$225+DE$220-DE$221</f>
        <v>8359795.59092086</v>
      </c>
      <c r="DF225" s="34" t="n">
        <f aca="false">DE$225+DF$220-DF$221</f>
        <v>8527527.32056977</v>
      </c>
      <c r="DG225" s="34" t="n">
        <f aca="false">DF$225+DG$220-DG$221</f>
        <v>8695259.05021867</v>
      </c>
      <c r="DH225" s="34" t="n">
        <f aca="false">DG$225+DH$220-DH$221</f>
        <v>8862990.77986758</v>
      </c>
      <c r="DI225" s="34" t="n">
        <f aca="false">DH$225+DI$220-DI$221</f>
        <v>9030722.50951649</v>
      </c>
      <c r="DJ225" s="34" t="n">
        <f aca="false">DI$225+DJ$220-DJ$221</f>
        <v>9163449.33467279</v>
      </c>
      <c r="DK225" s="34" t="n">
        <f aca="false">DJ$225+DK$220-DK$221</f>
        <v>9335380.97778788</v>
      </c>
      <c r="DL225" s="34" t="n">
        <f aca="false">DK$225+DL$220-DL$221</f>
        <v>9507312.62090297</v>
      </c>
      <c r="DM225" s="34" t="n">
        <f aca="false">DL$225+DM$220-DM$221</f>
        <v>9679244.26401805</v>
      </c>
      <c r="DN225" s="34" t="n">
        <f aca="false">DM$225+DN$220-DN$221</f>
        <v>9851175.90713314</v>
      </c>
      <c r="DO225" s="34" t="n">
        <f aca="false">DN$225+DO$220-DO$221</f>
        <v>10023107.5502482</v>
      </c>
      <c r="DP225" s="34" t="n">
        <f aca="false">DO$225+DP$220-DP$221</f>
        <v>10195039.1933633</v>
      </c>
      <c r="DQ225" s="34" t="n">
        <f aca="false">DP$225+DQ$220-DQ$221</f>
        <v>10366970.8364784</v>
      </c>
      <c r="DR225" s="34" t="n">
        <f aca="false">DQ$225+DR$220-DR$221</f>
        <v>10538902.4795935</v>
      </c>
      <c r="DS225" s="34" t="n">
        <f aca="false">DR$225+DS$220-DS$221</f>
        <v>10710834.1227086</v>
      </c>
      <c r="DT225" s="34" t="n">
        <f aca="false">DS$225+DT$220-DT$221</f>
        <v>10882765.7658237</v>
      </c>
      <c r="DU225" s="34" t="n">
        <f aca="false">DT$225+DU$220-DU$221</f>
        <v>11054697.4089387</v>
      </c>
      <c r="DV225" s="34" t="n">
        <f aca="false">DU$225+DV$220-DV$221</f>
        <v>11054697.4089387</v>
      </c>
      <c r="DW225" s="34" t="n">
        <f aca="false">DV$225+DW$220-DW$221</f>
        <v>11054697.4089387</v>
      </c>
      <c r="DX225" s="34" t="n">
        <f aca="false">DW$225+DX$220-DX$221</f>
        <v>11054697.4089387</v>
      </c>
      <c r="DY225" s="34" t="n">
        <f aca="false">DX$225+DY$220-DY$221</f>
        <v>11054697.4089387</v>
      </c>
      <c r="DZ225" s="34" t="n">
        <f aca="false">DY$225+DZ$220-DZ$221</f>
        <v>11054697.4089387</v>
      </c>
      <c r="EA225" s="34" t="n">
        <f aca="false">DZ$225+EA$220-EA$221</f>
        <v>11054697.4089387</v>
      </c>
      <c r="EB225" s="34" t="n">
        <f aca="false">EA$225+EB$220-EB$221</f>
        <v>11054697.4089387</v>
      </c>
      <c r="EC225" s="34" t="n">
        <f aca="false">EB$225+EC$220-EC$221</f>
        <v>11054697.4089387</v>
      </c>
      <c r="ED225" s="34" t="n">
        <f aca="false">EC$225+ED$220-ED$221</f>
        <v>11054697.4089387</v>
      </c>
      <c r="EE225" s="34" t="n">
        <f aca="false">ED$225+EE$220-EE$221</f>
        <v>11054697.4089387</v>
      </c>
      <c r="EF225" s="34" t="n">
        <f aca="false">EE$225+EF$220-EF$221</f>
        <v>11054697.4089387</v>
      </c>
      <c r="EG225" s="34" t="n">
        <f aca="false">EF$225+EG$220-EG$221</f>
        <v>11054697.4089387</v>
      </c>
      <c r="EH225" s="34" t="n">
        <f aca="false">EG$225+EH$220-EH$221</f>
        <v>11054697.4089387</v>
      </c>
      <c r="EI225" s="34" t="n">
        <f aca="false">EH$225+EI$220-EI$221</f>
        <v>11054697.4089387</v>
      </c>
      <c r="EJ225" s="34" t="n">
        <f aca="false">EI$225+EJ$220-EJ$221</f>
        <v>11054697.4089387</v>
      </c>
      <c r="EK225" s="34" t="n">
        <f aca="false">EJ$225+EK$220-EK$221</f>
        <v>11054697.4089387</v>
      </c>
      <c r="EL225" s="34" t="n">
        <f aca="false">EK$225+EL$220-EL$221</f>
        <v>11054697.4089387</v>
      </c>
      <c r="EM225" s="34" t="n">
        <f aca="false">EL$225+EM$220-EM$221</f>
        <v>11054697.4089387</v>
      </c>
      <c r="EN225" s="34" t="n">
        <f aca="false">EM$225+EN$220-EN$221</f>
        <v>11054697.4089387</v>
      </c>
      <c r="EO225" s="34" t="n">
        <f aca="false">EN$225+EO$220-EO$221</f>
        <v>11054697.4089387</v>
      </c>
      <c r="EP225" s="34" t="n">
        <f aca="false">EO$225+EP$220-EP$221</f>
        <v>11054697.4089387</v>
      </c>
      <c r="EQ225" s="34" t="n">
        <f aca="false">EP$225+EQ$220-EQ$221</f>
        <v>11054697.4089387</v>
      </c>
      <c r="ER225" s="34" t="n">
        <f aca="false">EQ$225+ER$220-ER$221</f>
        <v>11054697.4089387</v>
      </c>
      <c r="ES225" s="34" t="n">
        <f aca="false">ER$225+ES$220-ES$221</f>
        <v>11054697.4089387</v>
      </c>
    </row>
    <row r="226" customFormat="false" ht="15" hidden="false" customHeight="false" outlineLevel="0" collapsed="false">
      <c r="A226" s="4"/>
      <c r="B226" s="3" t="s">
        <v>676</v>
      </c>
      <c r="C226" s="4"/>
      <c r="D226" s="4"/>
      <c r="E226" s="4"/>
    </row>
    <row r="227" customFormat="false" ht="15" hidden="false" customHeight="false" outlineLevel="0" collapsed="false">
      <c r="A227" s="2" t="s">
        <v>838</v>
      </c>
      <c r="B227" s="6" t="s">
        <v>678</v>
      </c>
      <c r="C227" s="6" t="s">
        <v>250</v>
      </c>
      <c r="E227" s="40" t="n">
        <f aca="false">SUM(F227:ES227)</f>
        <v>2791587</v>
      </c>
      <c r="F227" s="34" t="n">
        <f aca="false">IF((1-N(V_L1_Mes)+1)=1,N(V_L1_Monto),0)*F$9</f>
        <v>2791587</v>
      </c>
      <c r="G227" s="34" t="n">
        <f aca="false">IF((2-N(V_L1_Mes)+1)=1,N(V_L1_Monto),0)*G$9</f>
        <v>0</v>
      </c>
      <c r="H227" s="34" t="n">
        <f aca="false">IF((3-N(V_L1_Mes)+1)=1,N(V_L1_Monto),0)*H$9</f>
        <v>0</v>
      </c>
      <c r="I227" s="34" t="n">
        <f aca="false">IF((4-N(V_L1_Mes)+1)=1,N(V_L1_Monto),0)*I$9</f>
        <v>0</v>
      </c>
      <c r="J227" s="34" t="n">
        <f aca="false">IF((5-N(V_L1_Mes)+1)=1,N(V_L1_Monto),0)*J$9</f>
        <v>0</v>
      </c>
      <c r="K227" s="34" t="n">
        <f aca="false">IF((6-N(V_L1_Mes)+1)=1,N(V_L1_Monto),0)*K$9</f>
        <v>0</v>
      </c>
      <c r="L227" s="34" t="n">
        <f aca="false">IF((7-N(V_L1_Mes)+1)=1,N(V_L1_Monto),0)*L$9</f>
        <v>0</v>
      </c>
      <c r="M227" s="34" t="n">
        <f aca="false">IF((8-N(V_L1_Mes)+1)=1,N(V_L1_Monto),0)*M$9</f>
        <v>0</v>
      </c>
      <c r="N227" s="34" t="n">
        <f aca="false">IF((9-N(V_L1_Mes)+1)=1,N(V_L1_Monto),0)*N$9</f>
        <v>0</v>
      </c>
      <c r="O227" s="34" t="n">
        <f aca="false">IF((10-N(V_L1_Mes)+1)=1,N(V_L1_Monto),0)*O$9</f>
        <v>0</v>
      </c>
      <c r="P227" s="34" t="n">
        <f aca="false">IF((11-N(V_L1_Mes)+1)=1,N(V_L1_Monto),0)*P$9</f>
        <v>0</v>
      </c>
      <c r="Q227" s="34" t="n">
        <f aca="false">IF((12-N(V_L1_Mes)+1)=1,N(V_L1_Monto),0)*Q$9</f>
        <v>0</v>
      </c>
      <c r="R227" s="34" t="n">
        <f aca="false">IF((13-N(V_L1_Mes)+1)=1,N(V_L1_Monto),0)*R$9</f>
        <v>0</v>
      </c>
      <c r="S227" s="34" t="n">
        <f aca="false">IF((14-N(V_L1_Mes)+1)=1,N(V_L1_Monto),0)*S$9</f>
        <v>0</v>
      </c>
      <c r="T227" s="34" t="n">
        <f aca="false">IF((15-N(V_L1_Mes)+1)=1,N(V_L1_Monto),0)*T$9</f>
        <v>0</v>
      </c>
      <c r="U227" s="34" t="n">
        <f aca="false">IF((16-N(V_L1_Mes)+1)=1,N(V_L1_Monto),0)*U$9</f>
        <v>0</v>
      </c>
      <c r="V227" s="34" t="n">
        <f aca="false">IF((17-N(V_L1_Mes)+1)=1,N(V_L1_Monto),0)*V$9</f>
        <v>0</v>
      </c>
      <c r="W227" s="34" t="n">
        <f aca="false">IF((18-N(V_L1_Mes)+1)=1,N(V_L1_Monto),0)*W$9</f>
        <v>0</v>
      </c>
      <c r="X227" s="34" t="n">
        <f aca="false">IF((19-N(V_L1_Mes)+1)=1,N(V_L1_Monto),0)*X$9</f>
        <v>0</v>
      </c>
      <c r="Y227" s="34" t="n">
        <f aca="false">IF((20-N(V_L1_Mes)+1)=1,N(V_L1_Monto),0)*Y$9</f>
        <v>0</v>
      </c>
      <c r="Z227" s="34" t="n">
        <f aca="false">IF((21-N(V_L1_Mes)+1)=1,N(V_L1_Monto),0)*Z$9</f>
        <v>0</v>
      </c>
      <c r="AA227" s="34" t="n">
        <f aca="false">IF((22-N(V_L1_Mes)+1)=1,N(V_L1_Monto),0)*AA$9</f>
        <v>0</v>
      </c>
      <c r="AB227" s="34" t="n">
        <f aca="false">IF((23-N(V_L1_Mes)+1)=1,N(V_L1_Monto),0)*AB$9</f>
        <v>0</v>
      </c>
      <c r="AC227" s="34" t="n">
        <f aca="false">IF((24-N(V_L1_Mes)+1)=1,N(V_L1_Monto),0)*AC$9</f>
        <v>0</v>
      </c>
      <c r="AD227" s="34" t="n">
        <f aca="false">IF((25-N(V_L1_Mes)+1)=1,N(V_L1_Monto),0)*AD$9</f>
        <v>0</v>
      </c>
      <c r="AE227" s="34" t="n">
        <f aca="false">IF((26-N(V_L1_Mes)+1)=1,N(V_L1_Monto),0)*AE$9</f>
        <v>0</v>
      </c>
      <c r="AF227" s="34" t="n">
        <f aca="false">IF((27-N(V_L1_Mes)+1)=1,N(V_L1_Monto),0)*AF$9</f>
        <v>0</v>
      </c>
      <c r="AG227" s="34" t="n">
        <f aca="false">IF((28-N(V_L1_Mes)+1)=1,N(V_L1_Monto),0)*AG$9</f>
        <v>0</v>
      </c>
      <c r="AH227" s="34" t="n">
        <f aca="false">IF((29-N(V_L1_Mes)+1)=1,N(V_L1_Monto),0)*AH$9</f>
        <v>0</v>
      </c>
      <c r="AI227" s="34" t="n">
        <f aca="false">IF((30-N(V_L1_Mes)+1)=1,N(V_L1_Monto),0)*AI$9</f>
        <v>0</v>
      </c>
      <c r="AJ227" s="34" t="n">
        <f aca="false">IF((31-N(V_L1_Mes)+1)=1,N(V_L1_Monto),0)*AJ$9</f>
        <v>0</v>
      </c>
      <c r="AK227" s="34" t="n">
        <f aca="false">IF((32-N(V_L1_Mes)+1)=1,N(V_L1_Monto),0)*AK$9</f>
        <v>0</v>
      </c>
      <c r="AL227" s="34" t="n">
        <f aca="false">IF((33-N(V_L1_Mes)+1)=1,N(V_L1_Monto),0)*AL$9</f>
        <v>0</v>
      </c>
      <c r="AM227" s="34" t="n">
        <f aca="false">IF((34-N(V_L1_Mes)+1)=1,N(V_L1_Monto),0)*AM$9</f>
        <v>0</v>
      </c>
      <c r="AN227" s="34" t="n">
        <f aca="false">IF((35-N(V_L1_Mes)+1)=1,N(V_L1_Monto),0)*AN$9</f>
        <v>0</v>
      </c>
      <c r="AO227" s="34" t="n">
        <f aca="false">IF((36-N(V_L1_Mes)+1)=1,N(V_L1_Monto),0)*AO$9</f>
        <v>0</v>
      </c>
      <c r="AP227" s="34" t="n">
        <f aca="false">IF((37-N(V_L1_Mes)+1)=1,N(V_L1_Monto),0)*AP$9</f>
        <v>0</v>
      </c>
      <c r="AQ227" s="34" t="n">
        <f aca="false">IF((38-N(V_L1_Mes)+1)=1,N(V_L1_Monto),0)*AQ$9</f>
        <v>0</v>
      </c>
      <c r="AR227" s="34" t="n">
        <f aca="false">IF((39-N(V_L1_Mes)+1)=1,N(V_L1_Monto),0)*AR$9</f>
        <v>0</v>
      </c>
      <c r="AS227" s="34" t="n">
        <f aca="false">IF((40-N(V_L1_Mes)+1)=1,N(V_L1_Monto),0)*AS$9</f>
        <v>0</v>
      </c>
      <c r="AT227" s="34" t="n">
        <f aca="false">IF((41-N(V_L1_Mes)+1)=1,N(V_L1_Monto),0)*AT$9</f>
        <v>0</v>
      </c>
      <c r="AU227" s="34" t="n">
        <f aca="false">IF((42-N(V_L1_Mes)+1)=1,N(V_L1_Monto),0)*AU$9</f>
        <v>0</v>
      </c>
      <c r="AV227" s="34" t="n">
        <f aca="false">IF((43-N(V_L1_Mes)+1)=1,N(V_L1_Monto),0)*AV$9</f>
        <v>0</v>
      </c>
      <c r="AW227" s="34" t="n">
        <f aca="false">IF((44-N(V_L1_Mes)+1)=1,N(V_L1_Monto),0)*AW$9</f>
        <v>0</v>
      </c>
      <c r="AX227" s="34" t="n">
        <f aca="false">IF((45-N(V_L1_Mes)+1)=1,N(V_L1_Monto),0)*AX$9</f>
        <v>0</v>
      </c>
      <c r="AY227" s="34" t="n">
        <f aca="false">IF((46-N(V_L1_Mes)+1)=1,N(V_L1_Monto),0)*AY$9</f>
        <v>0</v>
      </c>
      <c r="AZ227" s="34" t="n">
        <f aca="false">IF((47-N(V_L1_Mes)+1)=1,N(V_L1_Monto),0)*AZ$9</f>
        <v>0</v>
      </c>
      <c r="BA227" s="34" t="n">
        <f aca="false">IF((48-N(V_L1_Mes)+1)=1,N(V_L1_Monto),0)*BA$9</f>
        <v>0</v>
      </c>
      <c r="BB227" s="34" t="n">
        <f aca="false">IF((49-N(V_L1_Mes)+1)=1,N(V_L1_Monto),0)*BB$9</f>
        <v>0</v>
      </c>
      <c r="BC227" s="34" t="n">
        <f aca="false">IF((50-N(V_L1_Mes)+1)=1,N(V_L1_Monto),0)*BC$9</f>
        <v>0</v>
      </c>
      <c r="BD227" s="34" t="n">
        <f aca="false">IF((51-N(V_L1_Mes)+1)=1,N(V_L1_Monto),0)*BD$9</f>
        <v>0</v>
      </c>
      <c r="BE227" s="34" t="n">
        <f aca="false">IF((52-N(V_L1_Mes)+1)=1,N(V_L1_Monto),0)*BE$9</f>
        <v>0</v>
      </c>
      <c r="BF227" s="34" t="n">
        <f aca="false">IF((53-N(V_L1_Mes)+1)=1,N(V_L1_Monto),0)*BF$9</f>
        <v>0</v>
      </c>
      <c r="BG227" s="34" t="n">
        <f aca="false">IF((54-N(V_L1_Mes)+1)=1,N(V_L1_Monto),0)*BG$9</f>
        <v>0</v>
      </c>
      <c r="BH227" s="34" t="n">
        <f aca="false">IF((55-N(V_L1_Mes)+1)=1,N(V_L1_Monto),0)*BH$9</f>
        <v>0</v>
      </c>
      <c r="BI227" s="34" t="n">
        <f aca="false">IF((56-N(V_L1_Mes)+1)=1,N(V_L1_Monto),0)*BI$9</f>
        <v>0</v>
      </c>
      <c r="BJ227" s="34" t="n">
        <f aca="false">IF((57-N(V_L1_Mes)+1)=1,N(V_L1_Monto),0)*BJ$9</f>
        <v>0</v>
      </c>
      <c r="BK227" s="34" t="n">
        <f aca="false">IF((58-N(V_L1_Mes)+1)=1,N(V_L1_Monto),0)*BK$9</f>
        <v>0</v>
      </c>
      <c r="BL227" s="34" t="n">
        <f aca="false">IF((59-N(V_L1_Mes)+1)=1,N(V_L1_Monto),0)*BL$9</f>
        <v>0</v>
      </c>
      <c r="BM227" s="34" t="n">
        <f aca="false">IF((60-N(V_L1_Mes)+1)=1,N(V_L1_Monto),0)*BM$9</f>
        <v>0</v>
      </c>
      <c r="BN227" s="34" t="n">
        <f aca="false">IF((61-N(V_L1_Mes)+1)=1,N(V_L1_Monto),0)*BN$9</f>
        <v>0</v>
      </c>
      <c r="BO227" s="34" t="n">
        <f aca="false">IF((62-N(V_L1_Mes)+1)=1,N(V_L1_Monto),0)*BO$9</f>
        <v>0</v>
      </c>
      <c r="BP227" s="34" t="n">
        <f aca="false">IF((63-N(V_L1_Mes)+1)=1,N(V_L1_Monto),0)*BP$9</f>
        <v>0</v>
      </c>
      <c r="BQ227" s="34" t="n">
        <f aca="false">IF((64-N(V_L1_Mes)+1)=1,N(V_L1_Monto),0)*BQ$9</f>
        <v>0</v>
      </c>
      <c r="BR227" s="34" t="n">
        <f aca="false">IF((65-N(V_L1_Mes)+1)=1,N(V_L1_Monto),0)*BR$9</f>
        <v>0</v>
      </c>
      <c r="BS227" s="34" t="n">
        <f aca="false">IF((66-N(V_L1_Mes)+1)=1,N(V_L1_Monto),0)*BS$9</f>
        <v>0</v>
      </c>
      <c r="BT227" s="34" t="n">
        <f aca="false">IF((67-N(V_L1_Mes)+1)=1,N(V_L1_Monto),0)*BT$9</f>
        <v>0</v>
      </c>
      <c r="BU227" s="34" t="n">
        <f aca="false">IF((68-N(V_L1_Mes)+1)=1,N(V_L1_Monto),0)*BU$9</f>
        <v>0</v>
      </c>
      <c r="BV227" s="34" t="n">
        <f aca="false">IF((69-N(V_L1_Mes)+1)=1,N(V_L1_Monto),0)*BV$9</f>
        <v>0</v>
      </c>
      <c r="BW227" s="34" t="n">
        <f aca="false">IF((70-N(V_L1_Mes)+1)=1,N(V_L1_Monto),0)*BW$9</f>
        <v>0</v>
      </c>
      <c r="BX227" s="34" t="n">
        <f aca="false">IF((71-N(V_L1_Mes)+1)=1,N(V_L1_Monto),0)*BX$9</f>
        <v>0</v>
      </c>
      <c r="BY227" s="34" t="n">
        <f aca="false">IF((72-N(V_L1_Mes)+1)=1,N(V_L1_Monto),0)*BY$9</f>
        <v>0</v>
      </c>
      <c r="BZ227" s="34" t="n">
        <f aca="false">IF((73-N(V_L1_Mes)+1)=1,N(V_L1_Monto),0)*BZ$9</f>
        <v>0</v>
      </c>
      <c r="CA227" s="34" t="n">
        <f aca="false">IF((74-N(V_L1_Mes)+1)=1,N(V_L1_Monto),0)*CA$9</f>
        <v>0</v>
      </c>
      <c r="CB227" s="34" t="n">
        <f aca="false">IF((75-N(V_L1_Mes)+1)=1,N(V_L1_Monto),0)*CB$9</f>
        <v>0</v>
      </c>
      <c r="CC227" s="34" t="n">
        <f aca="false">IF((76-N(V_L1_Mes)+1)=1,N(V_L1_Monto),0)*CC$9</f>
        <v>0</v>
      </c>
      <c r="CD227" s="34" t="n">
        <f aca="false">IF((77-N(V_L1_Mes)+1)=1,N(V_L1_Monto),0)*CD$9</f>
        <v>0</v>
      </c>
      <c r="CE227" s="34" t="n">
        <f aca="false">IF((78-N(V_L1_Mes)+1)=1,N(V_L1_Monto),0)*CE$9</f>
        <v>0</v>
      </c>
      <c r="CF227" s="34" t="n">
        <f aca="false">IF((79-N(V_L1_Mes)+1)=1,N(V_L1_Monto),0)*CF$9</f>
        <v>0</v>
      </c>
      <c r="CG227" s="34" t="n">
        <f aca="false">IF((80-N(V_L1_Mes)+1)=1,N(V_L1_Monto),0)*CG$9</f>
        <v>0</v>
      </c>
      <c r="CH227" s="34" t="n">
        <f aca="false">IF((81-N(V_L1_Mes)+1)=1,N(V_L1_Monto),0)*CH$9</f>
        <v>0</v>
      </c>
      <c r="CI227" s="34" t="n">
        <f aca="false">IF((82-N(V_L1_Mes)+1)=1,N(V_L1_Monto),0)*CI$9</f>
        <v>0</v>
      </c>
      <c r="CJ227" s="34" t="n">
        <f aca="false">IF((83-N(V_L1_Mes)+1)=1,N(V_L1_Monto),0)*CJ$9</f>
        <v>0</v>
      </c>
      <c r="CK227" s="34" t="n">
        <f aca="false">IF((84-N(V_L1_Mes)+1)=1,N(V_L1_Monto),0)*CK$9</f>
        <v>0</v>
      </c>
      <c r="CL227" s="34" t="n">
        <f aca="false">IF((85-N(V_L1_Mes)+1)=1,N(V_L1_Monto),0)*CL$9</f>
        <v>0</v>
      </c>
      <c r="CM227" s="34" t="n">
        <f aca="false">IF((86-N(V_L1_Mes)+1)=1,N(V_L1_Monto),0)*CM$9</f>
        <v>0</v>
      </c>
      <c r="CN227" s="34" t="n">
        <f aca="false">IF((87-N(V_L1_Mes)+1)=1,N(V_L1_Monto),0)*CN$9</f>
        <v>0</v>
      </c>
      <c r="CO227" s="34" t="n">
        <f aca="false">IF((88-N(V_L1_Mes)+1)=1,N(V_L1_Monto),0)*CO$9</f>
        <v>0</v>
      </c>
      <c r="CP227" s="34" t="n">
        <f aca="false">IF((89-N(V_L1_Mes)+1)=1,N(V_L1_Monto),0)*CP$9</f>
        <v>0</v>
      </c>
      <c r="CQ227" s="34" t="n">
        <f aca="false">IF((90-N(V_L1_Mes)+1)=1,N(V_L1_Monto),0)*CQ$9</f>
        <v>0</v>
      </c>
      <c r="CR227" s="34" t="n">
        <f aca="false">IF((91-N(V_L1_Mes)+1)=1,N(V_L1_Monto),0)*CR$9</f>
        <v>0</v>
      </c>
      <c r="CS227" s="34" t="n">
        <f aca="false">IF((92-N(V_L1_Mes)+1)=1,N(V_L1_Monto),0)*CS$9</f>
        <v>0</v>
      </c>
      <c r="CT227" s="34" t="n">
        <f aca="false">IF((93-N(V_L1_Mes)+1)=1,N(V_L1_Monto),0)*CT$9</f>
        <v>0</v>
      </c>
      <c r="CU227" s="34" t="n">
        <f aca="false">IF((94-N(V_L1_Mes)+1)=1,N(V_L1_Monto),0)*CU$9</f>
        <v>0</v>
      </c>
      <c r="CV227" s="34" t="n">
        <f aca="false">IF((95-N(V_L1_Mes)+1)=1,N(V_L1_Monto),0)*CV$9</f>
        <v>0</v>
      </c>
      <c r="CW227" s="34" t="n">
        <f aca="false">IF((96-N(V_L1_Mes)+1)=1,N(V_L1_Monto),0)*CW$9</f>
        <v>0</v>
      </c>
      <c r="CX227" s="34" t="n">
        <f aca="false">IF((97-N(V_L1_Mes)+1)=1,N(V_L1_Monto),0)*CX$9</f>
        <v>0</v>
      </c>
      <c r="CY227" s="34" t="n">
        <f aca="false">IF((98-N(V_L1_Mes)+1)=1,N(V_L1_Monto),0)*CY$9</f>
        <v>0</v>
      </c>
      <c r="CZ227" s="34" t="n">
        <f aca="false">IF((99-N(V_L1_Mes)+1)=1,N(V_L1_Monto),0)*CZ$9</f>
        <v>0</v>
      </c>
      <c r="DA227" s="34" t="n">
        <f aca="false">IF((100-N(V_L1_Mes)+1)=1,N(V_L1_Monto),0)*DA$9</f>
        <v>0</v>
      </c>
      <c r="DB227" s="34" t="n">
        <f aca="false">IF((101-N(V_L1_Mes)+1)=1,N(V_L1_Monto),0)*DB$9</f>
        <v>0</v>
      </c>
      <c r="DC227" s="34" t="n">
        <f aca="false">IF((102-N(V_L1_Mes)+1)=1,N(V_L1_Monto),0)*DC$9</f>
        <v>0</v>
      </c>
      <c r="DD227" s="34" t="n">
        <f aca="false">IF((103-N(V_L1_Mes)+1)=1,N(V_L1_Monto),0)*DD$9</f>
        <v>0</v>
      </c>
      <c r="DE227" s="34" t="n">
        <f aca="false">IF((104-N(V_L1_Mes)+1)=1,N(V_L1_Monto),0)*DE$9</f>
        <v>0</v>
      </c>
      <c r="DF227" s="34" t="n">
        <f aca="false">IF((105-N(V_L1_Mes)+1)=1,N(V_L1_Monto),0)*DF$9</f>
        <v>0</v>
      </c>
      <c r="DG227" s="34" t="n">
        <f aca="false">IF((106-N(V_L1_Mes)+1)=1,N(V_L1_Monto),0)*DG$9</f>
        <v>0</v>
      </c>
      <c r="DH227" s="34" t="n">
        <f aca="false">IF((107-N(V_L1_Mes)+1)=1,N(V_L1_Monto),0)*DH$9</f>
        <v>0</v>
      </c>
      <c r="DI227" s="34" t="n">
        <f aca="false">IF((108-N(V_L1_Mes)+1)=1,N(V_L1_Monto),0)*DI$9</f>
        <v>0</v>
      </c>
      <c r="DJ227" s="34" t="n">
        <f aca="false">IF((109-N(V_L1_Mes)+1)=1,N(V_L1_Monto),0)*DJ$9</f>
        <v>0</v>
      </c>
      <c r="DK227" s="34" t="n">
        <f aca="false">IF((110-N(V_L1_Mes)+1)=1,N(V_L1_Monto),0)*DK$9</f>
        <v>0</v>
      </c>
      <c r="DL227" s="34" t="n">
        <f aca="false">IF((111-N(V_L1_Mes)+1)=1,N(V_L1_Monto),0)*DL$9</f>
        <v>0</v>
      </c>
      <c r="DM227" s="34" t="n">
        <f aca="false">IF((112-N(V_L1_Mes)+1)=1,N(V_L1_Monto),0)*DM$9</f>
        <v>0</v>
      </c>
      <c r="DN227" s="34" t="n">
        <f aca="false">IF((113-N(V_L1_Mes)+1)=1,N(V_L1_Monto),0)*DN$9</f>
        <v>0</v>
      </c>
      <c r="DO227" s="34" t="n">
        <f aca="false">IF((114-N(V_L1_Mes)+1)=1,N(V_L1_Monto),0)*DO$9</f>
        <v>0</v>
      </c>
      <c r="DP227" s="34" t="n">
        <f aca="false">IF((115-N(V_L1_Mes)+1)=1,N(V_L1_Monto),0)*DP$9</f>
        <v>0</v>
      </c>
      <c r="DQ227" s="34" t="n">
        <f aca="false">IF((116-N(V_L1_Mes)+1)=1,N(V_L1_Monto),0)*DQ$9</f>
        <v>0</v>
      </c>
      <c r="DR227" s="34" t="n">
        <f aca="false">IF((117-N(V_L1_Mes)+1)=1,N(V_L1_Monto),0)*DR$9</f>
        <v>0</v>
      </c>
      <c r="DS227" s="34" t="n">
        <f aca="false">IF((118-N(V_L1_Mes)+1)=1,N(V_L1_Monto),0)*DS$9</f>
        <v>0</v>
      </c>
      <c r="DT227" s="34" t="n">
        <f aca="false">IF((119-N(V_L1_Mes)+1)=1,N(V_L1_Monto),0)*DT$9</f>
        <v>0</v>
      </c>
      <c r="DU227" s="34" t="n">
        <f aca="false">IF((120-N(V_L1_Mes)+1)=1,N(V_L1_Monto),0)*DU$9</f>
        <v>0</v>
      </c>
      <c r="DV227" s="34" t="n">
        <f aca="false">IF((121-N(V_L1_Mes)+1)=1,N(V_L1_Monto),0)*DV$9</f>
        <v>0</v>
      </c>
      <c r="DW227" s="34" t="n">
        <f aca="false">IF((122-N(V_L1_Mes)+1)=1,N(V_L1_Monto),0)*DW$9</f>
        <v>0</v>
      </c>
      <c r="DX227" s="34" t="n">
        <f aca="false">IF((123-N(V_L1_Mes)+1)=1,N(V_L1_Monto),0)*DX$9</f>
        <v>0</v>
      </c>
      <c r="DY227" s="34" t="n">
        <f aca="false">IF((124-N(V_L1_Mes)+1)=1,N(V_L1_Monto),0)*DY$9</f>
        <v>0</v>
      </c>
      <c r="DZ227" s="34" t="n">
        <f aca="false">IF((125-N(V_L1_Mes)+1)=1,N(V_L1_Monto),0)*DZ$9</f>
        <v>0</v>
      </c>
      <c r="EA227" s="34" t="n">
        <f aca="false">IF((126-N(V_L1_Mes)+1)=1,N(V_L1_Monto),0)*EA$9</f>
        <v>0</v>
      </c>
      <c r="EB227" s="34" t="n">
        <f aca="false">IF((127-N(V_L1_Mes)+1)=1,N(V_L1_Monto),0)*EB$9</f>
        <v>0</v>
      </c>
      <c r="EC227" s="34" t="n">
        <f aca="false">IF((128-N(V_L1_Mes)+1)=1,N(V_L1_Monto),0)*EC$9</f>
        <v>0</v>
      </c>
      <c r="ED227" s="34" t="n">
        <f aca="false">IF((129-N(V_L1_Mes)+1)=1,N(V_L1_Monto),0)*ED$9</f>
        <v>0</v>
      </c>
      <c r="EE227" s="34" t="n">
        <f aca="false">IF((130-N(V_L1_Mes)+1)=1,N(V_L1_Monto),0)*EE$9</f>
        <v>0</v>
      </c>
      <c r="EF227" s="34" t="n">
        <f aca="false">IF((131-N(V_L1_Mes)+1)=1,N(V_L1_Monto),0)*EF$9</f>
        <v>0</v>
      </c>
      <c r="EG227" s="34" t="n">
        <f aca="false">IF((132-N(V_L1_Mes)+1)=1,N(V_L1_Monto),0)*EG$9</f>
        <v>0</v>
      </c>
      <c r="EH227" s="34" t="n">
        <f aca="false">IF((133-N(V_L1_Mes)+1)=1,N(V_L1_Monto),0)*EH$9</f>
        <v>0</v>
      </c>
      <c r="EI227" s="34" t="n">
        <f aca="false">IF((134-N(V_L1_Mes)+1)=1,N(V_L1_Monto),0)*EI$9</f>
        <v>0</v>
      </c>
      <c r="EJ227" s="34" t="n">
        <f aca="false">IF((135-N(V_L1_Mes)+1)=1,N(V_L1_Monto),0)*EJ$9</f>
        <v>0</v>
      </c>
      <c r="EK227" s="34" t="n">
        <f aca="false">IF((136-N(V_L1_Mes)+1)=1,N(V_L1_Monto),0)*EK$9</f>
        <v>0</v>
      </c>
      <c r="EL227" s="34" t="n">
        <f aca="false">IF((137-N(V_L1_Mes)+1)=1,N(V_L1_Monto),0)*EL$9</f>
        <v>0</v>
      </c>
      <c r="EM227" s="34" t="n">
        <f aca="false">IF((138-N(V_L1_Mes)+1)=1,N(V_L1_Monto),0)*EM$9</f>
        <v>0</v>
      </c>
      <c r="EN227" s="34" t="n">
        <f aca="false">IF((139-N(V_L1_Mes)+1)=1,N(V_L1_Monto),0)*EN$9</f>
        <v>0</v>
      </c>
      <c r="EO227" s="34" t="n">
        <f aca="false">IF((140-N(V_L1_Mes)+1)=1,N(V_L1_Monto),0)*EO$9</f>
        <v>0</v>
      </c>
      <c r="EP227" s="34" t="n">
        <f aca="false">IF((141-N(V_L1_Mes)+1)=1,N(V_L1_Monto),0)*EP$9</f>
        <v>0</v>
      </c>
      <c r="EQ227" s="34" t="n">
        <f aca="false">IF((142-N(V_L1_Mes)+1)=1,N(V_L1_Monto),0)*EQ$9</f>
        <v>0</v>
      </c>
      <c r="ER227" s="34" t="n">
        <f aca="false">IF((143-N(V_L1_Mes)+1)=1,N(V_L1_Monto),0)*ER$9</f>
        <v>0</v>
      </c>
      <c r="ES227" s="34" t="n">
        <f aca="false">IF((144-N(V_L1_Mes)+1)=1,N(V_L1_Monto),0)*ES$9</f>
        <v>0</v>
      </c>
    </row>
    <row r="228" customFormat="false" ht="15" hidden="false" customHeight="false" outlineLevel="0" collapsed="false">
      <c r="A228" s="2" t="s">
        <v>839</v>
      </c>
      <c r="B228" s="6" t="s">
        <v>680</v>
      </c>
      <c r="C228" s="6" t="s">
        <v>250</v>
      </c>
      <c r="E228" s="40" t="n">
        <f aca="false">SUM(F228:ES228)</f>
        <v>739285.57111314</v>
      </c>
      <c r="F228" s="34" t="n">
        <f aca="false">IF((1-N(V_L1_Mes)+1)&gt;=1,IF((1-N(V_L1_Mes)+1)=1,N(V_L1_Monto),0)*N(V_L1_Tasa)/12,0)*F$9</f>
        <v>20936.9025</v>
      </c>
      <c r="G228" s="34" t="n">
        <f aca="false">IF((2-N(V_L1_Mes)+1)&gt;=1,IF((2-N(V_L1_Mes)+1)=1,N(V_L1_Monto),F$230)*N(V_L1_Tasa)/12,0)*G$9</f>
        <v>20936.9025</v>
      </c>
      <c r="H228" s="34" t="n">
        <f aca="false">IF((3-N(V_L1_Mes)+1)&gt;=1,IF((3-N(V_L1_Mes)+1)=1,N(V_L1_Monto),G$230)*N(V_L1_Tasa)/12,0)*H$9</f>
        <v>20936.9025</v>
      </c>
      <c r="I228" s="34" t="n">
        <f aca="false">IF((4-N(V_L1_Mes)+1)&gt;=1,IF((4-N(V_L1_Mes)+1)=1,N(V_L1_Monto),H$230)*N(V_L1_Tasa)/12,0)*I$9</f>
        <v>20936.9025</v>
      </c>
      <c r="J228" s="34" t="n">
        <f aca="false">IF((5-N(V_L1_Mes)+1)&gt;=1,IF((5-N(V_L1_Mes)+1)=1,N(V_L1_Monto),I$230)*N(V_L1_Tasa)/12,0)*J$9</f>
        <v>20936.9025</v>
      </c>
      <c r="K228" s="34" t="n">
        <f aca="false">IF((6-N(V_L1_Mes)+1)&gt;=1,IF((6-N(V_L1_Mes)+1)=1,N(V_L1_Monto),J$230)*N(V_L1_Tasa)/12,0)*K$9</f>
        <v>20936.9025</v>
      </c>
      <c r="L228" s="34" t="n">
        <f aca="false">IF((7-N(V_L1_Mes)+1)&gt;=1,IF((7-N(V_L1_Mes)+1)=1,N(V_L1_Monto),K$230)*N(V_L1_Tasa)/12,0)*L$9</f>
        <v>20936.9025</v>
      </c>
      <c r="M228" s="34" t="n">
        <f aca="false">IF((8-N(V_L1_Mes)+1)&gt;=1,IF((8-N(V_L1_Mes)+1)=1,N(V_L1_Monto),L$230)*N(V_L1_Tasa)/12,0)*M$9</f>
        <v>20620.9777192898</v>
      </c>
      <c r="N228" s="34" t="n">
        <f aca="false">IF((9-N(V_L1_Mes)+1)&gt;=1,IF((9-N(V_L1_Mes)+1)=1,N(V_L1_Monto),M$230)*N(V_L1_Tasa)/12,0)*N$9</f>
        <v>20302.6835027244</v>
      </c>
      <c r="O228" s="34" t="n">
        <f aca="false">IF((10-N(V_L1_Mes)+1)&gt;=1,IF((10-N(V_L1_Mes)+1)=1,N(V_L1_Monto),N$230)*N(V_L1_Tasa)/12,0)*O$9</f>
        <v>19982.0020795346</v>
      </c>
      <c r="P228" s="34" t="n">
        <f aca="false">IF((11-N(V_L1_Mes)+1)&gt;=1,IF((11-N(V_L1_Mes)+1)=1,N(V_L1_Monto),O$230)*N(V_L1_Tasa)/12,0)*P$9</f>
        <v>19658.915545671</v>
      </c>
      <c r="Q228" s="34" t="n">
        <f aca="false">IF((12-N(V_L1_Mes)+1)&gt;=1,IF((12-N(V_L1_Mes)+1)=1,N(V_L1_Monto),P$230)*N(V_L1_Tasa)/12,0)*Q$9</f>
        <v>19333.4058628034</v>
      </c>
      <c r="R228" s="34" t="n">
        <f aca="false">IF((13-N(V_L1_Mes)+1)&gt;=1,IF((13-N(V_L1_Mes)+1)=1,N(V_L1_Monto),Q$230)*N(V_L1_Tasa)/12,0)*R$9</f>
        <v>19005.4548573142</v>
      </c>
      <c r="S228" s="34" t="n">
        <f aca="false">IF((14-N(V_L1_Mes)+1)&gt;=1,IF((14-N(V_L1_Mes)+1)=1,N(V_L1_Monto),R$230)*N(V_L1_Tasa)/12,0)*S$9</f>
        <v>18675.0442192839</v>
      </c>
      <c r="T228" s="34" t="n">
        <f aca="false">IF((15-N(V_L1_Mes)+1)&gt;=1,IF((15-N(V_L1_Mes)+1)=1,N(V_L1_Monto),S$230)*N(V_L1_Tasa)/12,0)*T$9</f>
        <v>18342.1555014684</v>
      </c>
      <c r="U228" s="34" t="n">
        <f aca="false">IF((16-N(V_L1_Mes)+1)&gt;=1,IF((16-N(V_L1_Mes)+1)=1,N(V_L1_Monto),T$230)*N(V_L1_Tasa)/12,0)*U$9</f>
        <v>18006.7701182693</v>
      </c>
      <c r="V228" s="34" t="n">
        <f aca="false">IF((17-N(V_L1_Mes)+1)&gt;=1,IF((17-N(V_L1_Mes)+1)=1,N(V_L1_Monto),U$230)*N(V_L1_Tasa)/12,0)*V$9</f>
        <v>17668.8693446961</v>
      </c>
      <c r="W228" s="34" t="n">
        <f aca="false">IF((18-N(V_L1_Mes)+1)&gt;=1,IF((18-N(V_L1_Mes)+1)=1,N(V_L1_Monto),V$230)*N(V_L1_Tasa)/12,0)*W$9</f>
        <v>17328.4343153212</v>
      </c>
      <c r="X228" s="34" t="n">
        <f aca="false">IF((19-N(V_L1_Mes)+1)&gt;=1,IF((19-N(V_L1_Mes)+1)=1,N(V_L1_Monto),W$230)*N(V_L1_Tasa)/12,0)*X$9</f>
        <v>16985.4460232259</v>
      </c>
      <c r="Y228" s="34" t="n">
        <f aca="false">IF((20-N(V_L1_Mes)+1)&gt;=1,IF((20-N(V_L1_Mes)+1)=1,N(V_L1_Monto),X$230)*N(V_L1_Tasa)/12,0)*Y$9</f>
        <v>16639.88531894</v>
      </c>
      <c r="Z228" s="34" t="n">
        <f aca="false">IF((21-N(V_L1_Mes)+1)&gt;=1,IF((21-N(V_L1_Mes)+1)=1,N(V_L1_Monto),Y$230)*N(V_L1_Tasa)/12,0)*Z$9</f>
        <v>16291.7329093719</v>
      </c>
      <c r="AA228" s="34" t="n">
        <f aca="false">IF((22-N(V_L1_Mes)+1)&gt;=1,IF((22-N(V_L1_Mes)+1)=1,N(V_L1_Monto),Z$230)*N(V_L1_Tasa)/12,0)*AA$9</f>
        <v>15940.969356732</v>
      </c>
      <c r="AB228" s="34" t="n">
        <f aca="false">IF((23-N(V_L1_Mes)+1)&gt;=1,IF((23-N(V_L1_Mes)+1)=1,N(V_L1_Monto),AA$230)*N(V_L1_Tasa)/12,0)*AB$9</f>
        <v>15587.5750774473</v>
      </c>
      <c r="AC228" s="34" t="n">
        <f aca="false">IF((24-N(V_L1_Mes)+1)&gt;=1,IF((24-N(V_L1_Mes)+1)=1,N(V_L1_Monto),AB$230)*N(V_L1_Tasa)/12,0)*AC$9</f>
        <v>15231.530341068</v>
      </c>
      <c r="AD228" s="34" t="n">
        <f aca="false">IF((25-N(V_L1_Mes)+1)&gt;=1,IF((25-N(V_L1_Mes)+1)=1,N(V_L1_Monto),AC$230)*N(V_L1_Tasa)/12,0)*AD$9</f>
        <v>14872.8152691659</v>
      </c>
      <c r="AE228" s="34" t="n">
        <f aca="false">IF((26-N(V_L1_Mes)+1)&gt;=1,IF((26-N(V_L1_Mes)+1)=1,N(V_L1_Monto),AD$230)*N(V_L1_Tasa)/12,0)*AE$9</f>
        <v>14511.4098342245</v>
      </c>
      <c r="AF228" s="34" t="n">
        <f aca="false">IF((27-N(V_L1_Mes)+1)&gt;=1,IF((27-N(V_L1_Mes)+1)=1,N(V_L1_Monto),AE$230)*N(V_L1_Tasa)/12,0)*AF$9</f>
        <v>14147.293858521</v>
      </c>
      <c r="AG228" s="34" t="n">
        <f aca="false">IF((28-N(V_L1_Mes)+1)&gt;=1,IF((28-N(V_L1_Mes)+1)=1,N(V_L1_Monto),AF$230)*N(V_L1_Tasa)/12,0)*AG$9</f>
        <v>13780.4470129997</v>
      </c>
      <c r="AH228" s="34" t="n">
        <f aca="false">IF((29-N(V_L1_Mes)+1)&gt;=1,IF((29-N(V_L1_Mes)+1)=1,N(V_L1_Monto),AG$230)*N(V_L1_Tasa)/12,0)*AH$9</f>
        <v>13410.8488161371</v>
      </c>
      <c r="AI228" s="34" t="n">
        <f aca="false">IF((30-N(V_L1_Mes)+1)&gt;=1,IF((30-N(V_L1_Mes)+1)=1,N(V_L1_Monto),AH$230)*N(V_L1_Tasa)/12,0)*AI$9</f>
        <v>13038.4786327979</v>
      </c>
      <c r="AJ228" s="34" t="n">
        <f aca="false">IF((31-N(V_L1_Mes)+1)&gt;=1,IF((31-N(V_L1_Mes)+1)=1,N(V_L1_Monto),AI$230)*N(V_L1_Tasa)/12,0)*AJ$9</f>
        <v>12663.3156730838</v>
      </c>
      <c r="AK228" s="34" t="n">
        <f aca="false">IF((32-N(V_L1_Mes)+1)&gt;=1,IF((32-N(V_L1_Mes)+1)=1,N(V_L1_Monto),AJ$230)*N(V_L1_Tasa)/12,0)*AK$9</f>
        <v>12285.3389911717</v>
      </c>
      <c r="AL228" s="34" t="n">
        <f aca="false">IF((33-N(V_L1_Mes)+1)&gt;=1,IF((33-N(V_L1_Mes)+1)=1,N(V_L1_Monto),AK$230)*N(V_L1_Tasa)/12,0)*AL$9</f>
        <v>11904.5274841454</v>
      </c>
      <c r="AM228" s="34" t="n">
        <f aca="false">IF((34-N(V_L1_Mes)+1)&gt;=1,IF((34-N(V_L1_Mes)+1)=1,N(V_L1_Monto),AL$230)*N(V_L1_Tasa)/12,0)*AM$9</f>
        <v>11520.8598908163</v>
      </c>
      <c r="AN228" s="34" t="n">
        <f aca="false">IF((35-N(V_L1_Mes)+1)&gt;=1,IF((35-N(V_L1_Mes)+1)=1,N(V_L1_Monto),AM$230)*N(V_L1_Tasa)/12,0)*AN$9</f>
        <v>11134.3147905373</v>
      </c>
      <c r="AO228" s="34" t="n">
        <f aca="false">IF((36-N(V_L1_Mes)+1)&gt;=1,IF((36-N(V_L1_Mes)+1)=1,N(V_L1_Monto),AN$230)*N(V_L1_Tasa)/12,0)*AO$9</f>
        <v>10744.8706020061</v>
      </c>
      <c r="AP228" s="34" t="n">
        <f aca="false">IF((37-N(V_L1_Mes)+1)&gt;=1,IF((37-N(V_L1_Mes)+1)=1,N(V_L1_Monto),AO$230)*N(V_L1_Tasa)/12,0)*AP$9</f>
        <v>10352.505582061</v>
      </c>
      <c r="AQ228" s="34" t="n">
        <f aca="false">IF((38-N(V_L1_Mes)+1)&gt;=1,IF((38-N(V_L1_Mes)+1)=1,N(V_L1_Monto),AP$230)*N(V_L1_Tasa)/12,0)*AQ$9</f>
        <v>9957.19782446632</v>
      </c>
      <c r="AR228" s="34" t="n">
        <f aca="false">IF((39-N(V_L1_Mes)+1)&gt;=1,IF((39-N(V_L1_Mes)+1)=1,N(V_L1_Monto),AQ$230)*N(V_L1_Tasa)/12,0)*AR$9</f>
        <v>9558.92525868966</v>
      </c>
      <c r="AS228" s="34" t="n">
        <f aca="false">IF((40-N(V_L1_Mes)+1)&gt;=1,IF((40-N(V_L1_Mes)+1)=1,N(V_L1_Monto),AR$230)*N(V_L1_Tasa)/12,0)*AS$9</f>
        <v>9157.66564866968</v>
      </c>
      <c r="AT228" s="34" t="n">
        <f aca="false">IF((41-N(V_L1_Mes)+1)&gt;=1,IF((41-N(V_L1_Mes)+1)=1,N(V_L1_Monto),AS$230)*N(V_L1_Tasa)/12,0)*AT$9</f>
        <v>8753.39659157454</v>
      </c>
      <c r="AU228" s="34" t="n">
        <f aca="false">IF((42-N(V_L1_Mes)+1)&gt;=1,IF((42-N(V_L1_Mes)+1)=1,N(V_L1_Monto),AT$230)*N(V_L1_Tasa)/12,0)*AU$9</f>
        <v>8346.09551655119</v>
      </c>
      <c r="AV228" s="34" t="n">
        <f aca="false">IF((43-N(V_L1_Mes)+1)&gt;=1,IF((43-N(V_L1_Mes)+1)=1,N(V_L1_Monto),AU$230)*N(V_L1_Tasa)/12,0)*AV$9</f>
        <v>7935.73968346517</v>
      </c>
      <c r="AW228" s="34" t="n">
        <f aca="false">IF((44-N(V_L1_Mes)+1)&gt;=1,IF((44-N(V_L1_Mes)+1)=1,N(V_L1_Monto),AV$230)*N(V_L1_Tasa)/12,0)*AW$9</f>
        <v>7522.306181631</v>
      </c>
      <c r="AX228" s="34" t="n">
        <f aca="false">IF((45-N(V_L1_Mes)+1)&gt;=1,IF((45-N(V_L1_Mes)+1)=1,N(V_L1_Monto),AW$230)*N(V_L1_Tasa)/12,0)*AX$9</f>
        <v>7105.77192853307</v>
      </c>
      <c r="AY228" s="34" t="n">
        <f aca="false">IF((46-N(V_L1_Mes)+1)&gt;=1,IF((46-N(V_L1_Mes)+1)=1,N(V_L1_Monto),AX$230)*N(V_L1_Tasa)/12,0)*AY$9</f>
        <v>6686.11366853691</v>
      </c>
      <c r="AZ228" s="34" t="n">
        <f aca="false">IF((47-N(V_L1_Mes)+1)&gt;=1,IF((47-N(V_L1_Mes)+1)=1,N(V_L1_Monto),AY$230)*N(V_L1_Tasa)/12,0)*AZ$9</f>
        <v>6263.30797159078</v>
      </c>
      <c r="BA228" s="34" t="n">
        <f aca="false">IF((48-N(V_L1_Mes)+1)&gt;=1,IF((48-N(V_L1_Mes)+1)=1,N(V_L1_Monto),AZ$230)*N(V_L1_Tasa)/12,0)*BA$9</f>
        <v>5837.33123191755</v>
      </c>
      <c r="BB228" s="34" t="n">
        <f aca="false">IF((49-N(V_L1_Mes)+1)&gt;=1,IF((49-N(V_L1_Mes)+1)=1,N(V_L1_Monto),BA$230)*N(V_L1_Tasa)/12,0)*BB$9</f>
        <v>5408.15966669678</v>
      </c>
      <c r="BC228" s="34" t="n">
        <f aca="false">IF((50-N(V_L1_Mes)+1)&gt;=1,IF((50-N(V_L1_Mes)+1)=1,N(V_L1_Monto),BB$230)*N(V_L1_Tasa)/12,0)*BC$9</f>
        <v>4975.76931473684</v>
      </c>
      <c r="BD228" s="34" t="n">
        <f aca="false">IF((51-N(V_L1_Mes)+1)&gt;=1,IF((51-N(V_L1_Mes)+1)=1,N(V_L1_Monto),BC$230)*N(V_L1_Tasa)/12,0)*BD$9</f>
        <v>4540.13603513721</v>
      </c>
      <c r="BE228" s="34" t="n">
        <f aca="false">IF((52-N(V_L1_Mes)+1)&gt;=1,IF((52-N(V_L1_Mes)+1)=1,N(V_L1_Monto),BD$230)*N(V_L1_Tasa)/12,0)*BE$9</f>
        <v>4101.23550594058</v>
      </c>
      <c r="BF228" s="34" t="n">
        <f aca="false">IF((53-N(V_L1_Mes)+1)&gt;=1,IF((53-N(V_L1_Mes)+1)=1,N(V_L1_Monto),BE$230)*N(V_L1_Tasa)/12,0)*BF$9</f>
        <v>3659.04322277498</v>
      </c>
      <c r="BG228" s="34" t="n">
        <f aca="false">IF((54-N(V_L1_Mes)+1)&gt;=1,IF((54-N(V_L1_Mes)+1)=1,N(V_L1_Monto),BF$230)*N(V_L1_Tasa)/12,0)*BG$9</f>
        <v>3213.53449748563</v>
      </c>
      <c r="BH228" s="34" t="n">
        <f aca="false">IF((55-N(V_L1_Mes)+1)&gt;=1,IF((55-N(V_L1_Mes)+1)=1,N(V_L1_Monto),BG$230)*N(V_L1_Tasa)/12,0)*BH$9</f>
        <v>2764.68445675662</v>
      </c>
      <c r="BI228" s="34" t="n">
        <f aca="false">IF((56-N(V_L1_Mes)+1)&gt;=1,IF((56-N(V_L1_Mes)+1)=1,N(V_L1_Monto),BH$230)*N(V_L1_Tasa)/12,0)*BI$9</f>
        <v>2312.46804072213</v>
      </c>
      <c r="BJ228" s="34" t="n">
        <f aca="false">IF((57-N(V_L1_Mes)+1)&gt;=1,IF((57-N(V_L1_Mes)+1)=1,N(V_L1_Monto),BI$230)*N(V_L1_Tasa)/12,0)*BJ$9</f>
        <v>1856.86000156739</v>
      </c>
      <c r="BK228" s="34" t="n">
        <f aca="false">IF((58-N(V_L1_Mes)+1)&gt;=1,IF((58-N(V_L1_Mes)+1)=1,N(V_L1_Monto),BJ$230)*N(V_L1_Tasa)/12,0)*BK$9</f>
        <v>1397.83490211899</v>
      </c>
      <c r="BL228" s="34" t="n">
        <f aca="false">IF((59-N(V_L1_Mes)+1)&gt;=1,IF((59-N(V_L1_Mes)+1)=1,N(V_L1_Monto),BK$230)*N(V_L1_Tasa)/12,0)*BL$9</f>
        <v>935.367114424723</v>
      </c>
      <c r="BM228" s="34" t="n">
        <f aca="false">IF((60-N(V_L1_Mes)+1)&gt;=1,IF((60-N(V_L1_Mes)+1)=1,N(V_L1_Monto),BL$230)*N(V_L1_Tasa)/12,0)*BM$9</f>
        <v>469.43081832275</v>
      </c>
      <c r="BN228" s="34" t="n">
        <f aca="false">IF((61-N(V_L1_Mes)+1)&gt;=1,IF((61-N(V_L1_Mes)+1)=1,N(V_L1_Monto),BM$230)*N(V_L1_Tasa)/12,0)*BN$9</f>
        <v>0</v>
      </c>
      <c r="BO228" s="34" t="n">
        <f aca="false">IF((62-N(V_L1_Mes)+1)&gt;=1,IF((62-N(V_L1_Mes)+1)=1,N(V_L1_Monto),BN$230)*N(V_L1_Tasa)/12,0)*BO$9</f>
        <v>0</v>
      </c>
      <c r="BP228" s="34" t="n">
        <f aca="false">IF((63-N(V_L1_Mes)+1)&gt;=1,IF((63-N(V_L1_Mes)+1)=1,N(V_L1_Monto),BO$230)*N(V_L1_Tasa)/12,0)*BP$9</f>
        <v>0</v>
      </c>
      <c r="BQ228" s="34" t="n">
        <f aca="false">IF((64-N(V_L1_Mes)+1)&gt;=1,IF((64-N(V_L1_Mes)+1)=1,N(V_L1_Monto),BP$230)*N(V_L1_Tasa)/12,0)*BQ$9</f>
        <v>0</v>
      </c>
      <c r="BR228" s="34" t="n">
        <f aca="false">IF((65-N(V_L1_Mes)+1)&gt;=1,IF((65-N(V_L1_Mes)+1)=1,N(V_L1_Monto),BQ$230)*N(V_L1_Tasa)/12,0)*BR$9</f>
        <v>0</v>
      </c>
      <c r="BS228" s="34" t="n">
        <f aca="false">IF((66-N(V_L1_Mes)+1)&gt;=1,IF((66-N(V_L1_Mes)+1)=1,N(V_L1_Monto),BR$230)*N(V_L1_Tasa)/12,0)*BS$9</f>
        <v>0</v>
      </c>
      <c r="BT228" s="34" t="n">
        <f aca="false">IF((67-N(V_L1_Mes)+1)&gt;=1,IF((67-N(V_L1_Mes)+1)=1,N(V_L1_Monto),BS$230)*N(V_L1_Tasa)/12,0)*BT$9</f>
        <v>0</v>
      </c>
      <c r="BU228" s="34" t="n">
        <f aca="false">IF((68-N(V_L1_Mes)+1)&gt;=1,IF((68-N(V_L1_Mes)+1)=1,N(V_L1_Monto),BT$230)*N(V_L1_Tasa)/12,0)*BU$9</f>
        <v>0</v>
      </c>
      <c r="BV228" s="34" t="n">
        <f aca="false">IF((69-N(V_L1_Mes)+1)&gt;=1,IF((69-N(V_L1_Mes)+1)=1,N(V_L1_Monto),BU$230)*N(V_L1_Tasa)/12,0)*BV$9</f>
        <v>0</v>
      </c>
      <c r="BW228" s="34" t="n">
        <f aca="false">IF((70-N(V_L1_Mes)+1)&gt;=1,IF((70-N(V_L1_Mes)+1)=1,N(V_L1_Monto),BV$230)*N(V_L1_Tasa)/12,0)*BW$9</f>
        <v>0</v>
      </c>
      <c r="BX228" s="34" t="n">
        <f aca="false">IF((71-N(V_L1_Mes)+1)&gt;=1,IF((71-N(V_L1_Mes)+1)=1,N(V_L1_Monto),BW$230)*N(V_L1_Tasa)/12,0)*BX$9</f>
        <v>0</v>
      </c>
      <c r="BY228" s="34" t="n">
        <f aca="false">IF((72-N(V_L1_Mes)+1)&gt;=1,IF((72-N(V_L1_Mes)+1)=1,N(V_L1_Monto),BX$230)*N(V_L1_Tasa)/12,0)*BY$9</f>
        <v>0</v>
      </c>
      <c r="BZ228" s="34" t="n">
        <f aca="false">IF((73-N(V_L1_Mes)+1)&gt;=1,IF((73-N(V_L1_Mes)+1)=1,N(V_L1_Monto),BY$230)*N(V_L1_Tasa)/12,0)*BZ$9</f>
        <v>0</v>
      </c>
      <c r="CA228" s="34" t="n">
        <f aca="false">IF((74-N(V_L1_Mes)+1)&gt;=1,IF((74-N(V_L1_Mes)+1)=1,N(V_L1_Monto),BZ$230)*N(V_L1_Tasa)/12,0)*CA$9</f>
        <v>0</v>
      </c>
      <c r="CB228" s="34" t="n">
        <f aca="false">IF((75-N(V_L1_Mes)+1)&gt;=1,IF((75-N(V_L1_Mes)+1)=1,N(V_L1_Monto),CA$230)*N(V_L1_Tasa)/12,0)*CB$9</f>
        <v>0</v>
      </c>
      <c r="CC228" s="34" t="n">
        <f aca="false">IF((76-N(V_L1_Mes)+1)&gt;=1,IF((76-N(V_L1_Mes)+1)=1,N(V_L1_Monto),CB$230)*N(V_L1_Tasa)/12,0)*CC$9</f>
        <v>0</v>
      </c>
      <c r="CD228" s="34" t="n">
        <f aca="false">IF((77-N(V_L1_Mes)+1)&gt;=1,IF((77-N(V_L1_Mes)+1)=1,N(V_L1_Monto),CC$230)*N(V_L1_Tasa)/12,0)*CD$9</f>
        <v>0</v>
      </c>
      <c r="CE228" s="34" t="n">
        <f aca="false">IF((78-N(V_L1_Mes)+1)&gt;=1,IF((78-N(V_L1_Mes)+1)=1,N(V_L1_Monto),CD$230)*N(V_L1_Tasa)/12,0)*CE$9</f>
        <v>0</v>
      </c>
      <c r="CF228" s="34" t="n">
        <f aca="false">IF((79-N(V_L1_Mes)+1)&gt;=1,IF((79-N(V_L1_Mes)+1)=1,N(V_L1_Monto),CE$230)*N(V_L1_Tasa)/12,0)*CF$9</f>
        <v>0</v>
      </c>
      <c r="CG228" s="34" t="n">
        <f aca="false">IF((80-N(V_L1_Mes)+1)&gt;=1,IF((80-N(V_L1_Mes)+1)=1,N(V_L1_Monto),CF$230)*N(V_L1_Tasa)/12,0)*CG$9</f>
        <v>0</v>
      </c>
      <c r="CH228" s="34" t="n">
        <f aca="false">IF((81-N(V_L1_Mes)+1)&gt;=1,IF((81-N(V_L1_Mes)+1)=1,N(V_L1_Monto),CG$230)*N(V_L1_Tasa)/12,0)*CH$9</f>
        <v>0</v>
      </c>
      <c r="CI228" s="34" t="n">
        <f aca="false">IF((82-N(V_L1_Mes)+1)&gt;=1,IF((82-N(V_L1_Mes)+1)=1,N(V_L1_Monto),CH$230)*N(V_L1_Tasa)/12,0)*CI$9</f>
        <v>0</v>
      </c>
      <c r="CJ228" s="34" t="n">
        <f aca="false">IF((83-N(V_L1_Mes)+1)&gt;=1,IF((83-N(V_L1_Mes)+1)=1,N(V_L1_Monto),CI$230)*N(V_L1_Tasa)/12,0)*CJ$9</f>
        <v>0</v>
      </c>
      <c r="CK228" s="34" t="n">
        <f aca="false">IF((84-N(V_L1_Mes)+1)&gt;=1,IF((84-N(V_L1_Mes)+1)=1,N(V_L1_Monto),CJ$230)*N(V_L1_Tasa)/12,0)*CK$9</f>
        <v>0</v>
      </c>
      <c r="CL228" s="34" t="n">
        <f aca="false">IF((85-N(V_L1_Mes)+1)&gt;=1,IF((85-N(V_L1_Mes)+1)=1,N(V_L1_Monto),CK$230)*N(V_L1_Tasa)/12,0)*CL$9</f>
        <v>0</v>
      </c>
      <c r="CM228" s="34" t="n">
        <f aca="false">IF((86-N(V_L1_Mes)+1)&gt;=1,IF((86-N(V_L1_Mes)+1)=1,N(V_L1_Monto),CL$230)*N(V_L1_Tasa)/12,0)*CM$9</f>
        <v>0</v>
      </c>
      <c r="CN228" s="34" t="n">
        <f aca="false">IF((87-N(V_L1_Mes)+1)&gt;=1,IF((87-N(V_L1_Mes)+1)=1,N(V_L1_Monto),CM$230)*N(V_L1_Tasa)/12,0)*CN$9</f>
        <v>0</v>
      </c>
      <c r="CO228" s="34" t="n">
        <f aca="false">IF((88-N(V_L1_Mes)+1)&gt;=1,IF((88-N(V_L1_Mes)+1)=1,N(V_L1_Monto),CN$230)*N(V_L1_Tasa)/12,0)*CO$9</f>
        <v>0</v>
      </c>
      <c r="CP228" s="34" t="n">
        <f aca="false">IF((89-N(V_L1_Mes)+1)&gt;=1,IF((89-N(V_L1_Mes)+1)=1,N(V_L1_Monto),CO$230)*N(V_L1_Tasa)/12,0)*CP$9</f>
        <v>0</v>
      </c>
      <c r="CQ228" s="34" t="n">
        <f aca="false">IF((90-N(V_L1_Mes)+1)&gt;=1,IF((90-N(V_L1_Mes)+1)=1,N(V_L1_Monto),CP$230)*N(V_L1_Tasa)/12,0)*CQ$9</f>
        <v>0</v>
      </c>
      <c r="CR228" s="34" t="n">
        <f aca="false">IF((91-N(V_L1_Mes)+1)&gt;=1,IF((91-N(V_L1_Mes)+1)=1,N(V_L1_Monto),CQ$230)*N(V_L1_Tasa)/12,0)*CR$9</f>
        <v>0</v>
      </c>
      <c r="CS228" s="34" t="n">
        <f aca="false">IF((92-N(V_L1_Mes)+1)&gt;=1,IF((92-N(V_L1_Mes)+1)=1,N(V_L1_Monto),CR$230)*N(V_L1_Tasa)/12,0)*CS$9</f>
        <v>0</v>
      </c>
      <c r="CT228" s="34" t="n">
        <f aca="false">IF((93-N(V_L1_Mes)+1)&gt;=1,IF((93-N(V_L1_Mes)+1)=1,N(V_L1_Monto),CS$230)*N(V_L1_Tasa)/12,0)*CT$9</f>
        <v>0</v>
      </c>
      <c r="CU228" s="34" t="n">
        <f aca="false">IF((94-N(V_L1_Mes)+1)&gt;=1,IF((94-N(V_L1_Mes)+1)=1,N(V_L1_Monto),CT$230)*N(V_L1_Tasa)/12,0)*CU$9</f>
        <v>0</v>
      </c>
      <c r="CV228" s="34" t="n">
        <f aca="false">IF((95-N(V_L1_Mes)+1)&gt;=1,IF((95-N(V_L1_Mes)+1)=1,N(V_L1_Monto),CU$230)*N(V_L1_Tasa)/12,0)*CV$9</f>
        <v>0</v>
      </c>
      <c r="CW228" s="34" t="n">
        <f aca="false">IF((96-N(V_L1_Mes)+1)&gt;=1,IF((96-N(V_L1_Mes)+1)=1,N(V_L1_Monto),CV$230)*N(V_L1_Tasa)/12,0)*CW$9</f>
        <v>0</v>
      </c>
      <c r="CX228" s="34" t="n">
        <f aca="false">IF((97-N(V_L1_Mes)+1)&gt;=1,IF((97-N(V_L1_Mes)+1)=1,N(V_L1_Monto),CW$230)*N(V_L1_Tasa)/12,0)*CX$9</f>
        <v>0</v>
      </c>
      <c r="CY228" s="34" t="n">
        <f aca="false">IF((98-N(V_L1_Mes)+1)&gt;=1,IF((98-N(V_L1_Mes)+1)=1,N(V_L1_Monto),CX$230)*N(V_L1_Tasa)/12,0)*CY$9</f>
        <v>0</v>
      </c>
      <c r="CZ228" s="34" t="n">
        <f aca="false">IF((99-N(V_L1_Mes)+1)&gt;=1,IF((99-N(V_L1_Mes)+1)=1,N(V_L1_Monto),CY$230)*N(V_L1_Tasa)/12,0)*CZ$9</f>
        <v>0</v>
      </c>
      <c r="DA228" s="34" t="n">
        <f aca="false">IF((100-N(V_L1_Mes)+1)&gt;=1,IF((100-N(V_L1_Mes)+1)=1,N(V_L1_Monto),CZ$230)*N(V_L1_Tasa)/12,0)*DA$9</f>
        <v>0</v>
      </c>
      <c r="DB228" s="34" t="n">
        <f aca="false">IF((101-N(V_L1_Mes)+1)&gt;=1,IF((101-N(V_L1_Mes)+1)=1,N(V_L1_Monto),DA$230)*N(V_L1_Tasa)/12,0)*DB$9</f>
        <v>0</v>
      </c>
      <c r="DC228" s="34" t="n">
        <f aca="false">IF((102-N(V_L1_Mes)+1)&gt;=1,IF((102-N(V_L1_Mes)+1)=1,N(V_L1_Monto),DB$230)*N(V_L1_Tasa)/12,0)*DC$9</f>
        <v>0</v>
      </c>
      <c r="DD228" s="34" t="n">
        <f aca="false">IF((103-N(V_L1_Mes)+1)&gt;=1,IF((103-N(V_L1_Mes)+1)=1,N(V_L1_Monto),DC$230)*N(V_L1_Tasa)/12,0)*DD$9</f>
        <v>0</v>
      </c>
      <c r="DE228" s="34" t="n">
        <f aca="false">IF((104-N(V_L1_Mes)+1)&gt;=1,IF((104-N(V_L1_Mes)+1)=1,N(V_L1_Monto),DD$230)*N(V_L1_Tasa)/12,0)*DE$9</f>
        <v>0</v>
      </c>
      <c r="DF228" s="34" t="n">
        <f aca="false">IF((105-N(V_L1_Mes)+1)&gt;=1,IF((105-N(V_L1_Mes)+1)=1,N(V_L1_Monto),DE$230)*N(V_L1_Tasa)/12,0)*DF$9</f>
        <v>0</v>
      </c>
      <c r="DG228" s="34" t="n">
        <f aca="false">IF((106-N(V_L1_Mes)+1)&gt;=1,IF((106-N(V_L1_Mes)+1)=1,N(V_L1_Monto),DF$230)*N(V_L1_Tasa)/12,0)*DG$9</f>
        <v>0</v>
      </c>
      <c r="DH228" s="34" t="n">
        <f aca="false">IF((107-N(V_L1_Mes)+1)&gt;=1,IF((107-N(V_L1_Mes)+1)=1,N(V_L1_Monto),DG$230)*N(V_L1_Tasa)/12,0)*DH$9</f>
        <v>0</v>
      </c>
      <c r="DI228" s="34" t="n">
        <f aca="false">IF((108-N(V_L1_Mes)+1)&gt;=1,IF((108-N(V_L1_Mes)+1)=1,N(V_L1_Monto),DH$230)*N(V_L1_Tasa)/12,0)*DI$9</f>
        <v>0</v>
      </c>
      <c r="DJ228" s="34" t="n">
        <f aca="false">IF((109-N(V_L1_Mes)+1)&gt;=1,IF((109-N(V_L1_Mes)+1)=1,N(V_L1_Monto),DI$230)*N(V_L1_Tasa)/12,0)*DJ$9</f>
        <v>0</v>
      </c>
      <c r="DK228" s="34" t="n">
        <f aca="false">IF((110-N(V_L1_Mes)+1)&gt;=1,IF((110-N(V_L1_Mes)+1)=1,N(V_L1_Monto),DJ$230)*N(V_L1_Tasa)/12,0)*DK$9</f>
        <v>0</v>
      </c>
      <c r="DL228" s="34" t="n">
        <f aca="false">IF((111-N(V_L1_Mes)+1)&gt;=1,IF((111-N(V_L1_Mes)+1)=1,N(V_L1_Monto),DK$230)*N(V_L1_Tasa)/12,0)*DL$9</f>
        <v>0</v>
      </c>
      <c r="DM228" s="34" t="n">
        <f aca="false">IF((112-N(V_L1_Mes)+1)&gt;=1,IF((112-N(V_L1_Mes)+1)=1,N(V_L1_Monto),DL$230)*N(V_L1_Tasa)/12,0)*DM$9</f>
        <v>0</v>
      </c>
      <c r="DN228" s="34" t="n">
        <f aca="false">IF((113-N(V_L1_Mes)+1)&gt;=1,IF((113-N(V_L1_Mes)+1)=1,N(V_L1_Monto),DM$230)*N(V_L1_Tasa)/12,0)*DN$9</f>
        <v>0</v>
      </c>
      <c r="DO228" s="34" t="n">
        <f aca="false">IF((114-N(V_L1_Mes)+1)&gt;=1,IF((114-N(V_L1_Mes)+1)=1,N(V_L1_Monto),DN$230)*N(V_L1_Tasa)/12,0)*DO$9</f>
        <v>0</v>
      </c>
      <c r="DP228" s="34" t="n">
        <f aca="false">IF((115-N(V_L1_Mes)+1)&gt;=1,IF((115-N(V_L1_Mes)+1)=1,N(V_L1_Monto),DO$230)*N(V_L1_Tasa)/12,0)*DP$9</f>
        <v>0</v>
      </c>
      <c r="DQ228" s="34" t="n">
        <f aca="false">IF((116-N(V_L1_Mes)+1)&gt;=1,IF((116-N(V_L1_Mes)+1)=1,N(V_L1_Monto),DP$230)*N(V_L1_Tasa)/12,0)*DQ$9</f>
        <v>0</v>
      </c>
      <c r="DR228" s="34" t="n">
        <f aca="false">IF((117-N(V_L1_Mes)+1)&gt;=1,IF((117-N(V_L1_Mes)+1)=1,N(V_L1_Monto),DQ$230)*N(V_L1_Tasa)/12,0)*DR$9</f>
        <v>0</v>
      </c>
      <c r="DS228" s="34" t="n">
        <f aca="false">IF((118-N(V_L1_Mes)+1)&gt;=1,IF((118-N(V_L1_Mes)+1)=1,N(V_L1_Monto),DR$230)*N(V_L1_Tasa)/12,0)*DS$9</f>
        <v>0</v>
      </c>
      <c r="DT228" s="34" t="n">
        <f aca="false">IF((119-N(V_L1_Mes)+1)&gt;=1,IF((119-N(V_L1_Mes)+1)=1,N(V_L1_Monto),DS$230)*N(V_L1_Tasa)/12,0)*DT$9</f>
        <v>0</v>
      </c>
      <c r="DU228" s="34" t="n">
        <f aca="false">IF((120-N(V_L1_Mes)+1)&gt;=1,IF((120-N(V_L1_Mes)+1)=1,N(V_L1_Monto),DT$230)*N(V_L1_Tasa)/12,0)*DU$9</f>
        <v>0</v>
      </c>
      <c r="DV228" s="34" t="n">
        <f aca="false">IF((121-N(V_L1_Mes)+1)&gt;=1,IF((121-N(V_L1_Mes)+1)=1,N(V_L1_Monto),DU$230)*N(V_L1_Tasa)/12,0)*DV$9</f>
        <v>0</v>
      </c>
      <c r="DW228" s="34" t="n">
        <f aca="false">IF((122-N(V_L1_Mes)+1)&gt;=1,IF((122-N(V_L1_Mes)+1)=1,N(V_L1_Monto),DV$230)*N(V_L1_Tasa)/12,0)*DW$9</f>
        <v>0</v>
      </c>
      <c r="DX228" s="34" t="n">
        <f aca="false">IF((123-N(V_L1_Mes)+1)&gt;=1,IF((123-N(V_L1_Mes)+1)=1,N(V_L1_Monto),DW$230)*N(V_L1_Tasa)/12,0)*DX$9</f>
        <v>0</v>
      </c>
      <c r="DY228" s="34" t="n">
        <f aca="false">IF((124-N(V_L1_Mes)+1)&gt;=1,IF((124-N(V_L1_Mes)+1)=1,N(V_L1_Monto),DX$230)*N(V_L1_Tasa)/12,0)*DY$9</f>
        <v>0</v>
      </c>
      <c r="DZ228" s="34" t="n">
        <f aca="false">IF((125-N(V_L1_Mes)+1)&gt;=1,IF((125-N(V_L1_Mes)+1)=1,N(V_L1_Monto),DY$230)*N(V_L1_Tasa)/12,0)*DZ$9</f>
        <v>0</v>
      </c>
      <c r="EA228" s="34" t="n">
        <f aca="false">IF((126-N(V_L1_Mes)+1)&gt;=1,IF((126-N(V_L1_Mes)+1)=1,N(V_L1_Monto),DZ$230)*N(V_L1_Tasa)/12,0)*EA$9</f>
        <v>0</v>
      </c>
      <c r="EB228" s="34" t="n">
        <f aca="false">IF((127-N(V_L1_Mes)+1)&gt;=1,IF((127-N(V_L1_Mes)+1)=1,N(V_L1_Monto),EA$230)*N(V_L1_Tasa)/12,0)*EB$9</f>
        <v>0</v>
      </c>
      <c r="EC228" s="34" t="n">
        <f aca="false">IF((128-N(V_L1_Mes)+1)&gt;=1,IF((128-N(V_L1_Mes)+1)=1,N(V_L1_Monto),EB$230)*N(V_L1_Tasa)/12,0)*EC$9</f>
        <v>0</v>
      </c>
      <c r="ED228" s="34" t="n">
        <f aca="false">IF((129-N(V_L1_Mes)+1)&gt;=1,IF((129-N(V_L1_Mes)+1)=1,N(V_L1_Monto),EC$230)*N(V_L1_Tasa)/12,0)*ED$9</f>
        <v>0</v>
      </c>
      <c r="EE228" s="34" t="n">
        <f aca="false">IF((130-N(V_L1_Mes)+1)&gt;=1,IF((130-N(V_L1_Mes)+1)=1,N(V_L1_Monto),ED$230)*N(V_L1_Tasa)/12,0)*EE$9</f>
        <v>0</v>
      </c>
      <c r="EF228" s="34" t="n">
        <f aca="false">IF((131-N(V_L1_Mes)+1)&gt;=1,IF((131-N(V_L1_Mes)+1)=1,N(V_L1_Monto),EE$230)*N(V_L1_Tasa)/12,0)*EF$9</f>
        <v>0</v>
      </c>
      <c r="EG228" s="34" t="n">
        <f aca="false">IF((132-N(V_L1_Mes)+1)&gt;=1,IF((132-N(V_L1_Mes)+1)=1,N(V_L1_Monto),EF$230)*N(V_L1_Tasa)/12,0)*EG$9</f>
        <v>0</v>
      </c>
      <c r="EH228" s="34" t="n">
        <f aca="false">IF((133-N(V_L1_Mes)+1)&gt;=1,IF((133-N(V_L1_Mes)+1)=1,N(V_L1_Monto),EG$230)*N(V_L1_Tasa)/12,0)*EH$9</f>
        <v>0</v>
      </c>
      <c r="EI228" s="34" t="n">
        <f aca="false">IF((134-N(V_L1_Mes)+1)&gt;=1,IF((134-N(V_L1_Mes)+1)=1,N(V_L1_Monto),EH$230)*N(V_L1_Tasa)/12,0)*EI$9</f>
        <v>0</v>
      </c>
      <c r="EJ228" s="34" t="n">
        <f aca="false">IF((135-N(V_L1_Mes)+1)&gt;=1,IF((135-N(V_L1_Mes)+1)=1,N(V_L1_Monto),EI$230)*N(V_L1_Tasa)/12,0)*EJ$9</f>
        <v>0</v>
      </c>
      <c r="EK228" s="34" t="n">
        <f aca="false">IF((136-N(V_L1_Mes)+1)&gt;=1,IF((136-N(V_L1_Mes)+1)=1,N(V_L1_Monto),EJ$230)*N(V_L1_Tasa)/12,0)*EK$9</f>
        <v>0</v>
      </c>
      <c r="EL228" s="34" t="n">
        <f aca="false">IF((137-N(V_L1_Mes)+1)&gt;=1,IF((137-N(V_L1_Mes)+1)=1,N(V_L1_Monto),EK$230)*N(V_L1_Tasa)/12,0)*EL$9</f>
        <v>0</v>
      </c>
      <c r="EM228" s="34" t="n">
        <f aca="false">IF((138-N(V_L1_Mes)+1)&gt;=1,IF((138-N(V_L1_Mes)+1)=1,N(V_L1_Monto),EL$230)*N(V_L1_Tasa)/12,0)*EM$9</f>
        <v>0</v>
      </c>
      <c r="EN228" s="34" t="n">
        <f aca="false">IF((139-N(V_L1_Mes)+1)&gt;=1,IF((139-N(V_L1_Mes)+1)=1,N(V_L1_Monto),EM$230)*N(V_L1_Tasa)/12,0)*EN$9</f>
        <v>0</v>
      </c>
      <c r="EO228" s="34" t="n">
        <f aca="false">IF((140-N(V_L1_Mes)+1)&gt;=1,IF((140-N(V_L1_Mes)+1)=1,N(V_L1_Monto),EN$230)*N(V_L1_Tasa)/12,0)*EO$9</f>
        <v>0</v>
      </c>
      <c r="EP228" s="34" t="n">
        <f aca="false">IF((141-N(V_L1_Mes)+1)&gt;=1,IF((141-N(V_L1_Mes)+1)=1,N(V_L1_Monto),EO$230)*N(V_L1_Tasa)/12,0)*EP$9</f>
        <v>0</v>
      </c>
      <c r="EQ228" s="34" t="n">
        <f aca="false">IF((142-N(V_L1_Mes)+1)&gt;=1,IF((142-N(V_L1_Mes)+1)=1,N(V_L1_Monto),EP$230)*N(V_L1_Tasa)/12,0)*EQ$9</f>
        <v>0</v>
      </c>
      <c r="ER228" s="34" t="n">
        <f aca="false">IF((143-N(V_L1_Mes)+1)&gt;=1,IF((143-N(V_L1_Mes)+1)=1,N(V_L1_Monto),EQ$230)*N(V_L1_Tasa)/12,0)*ER$9</f>
        <v>0</v>
      </c>
      <c r="ES228" s="34" t="n">
        <f aca="false">IF((144-N(V_L1_Mes)+1)&gt;=1,IF((144-N(V_L1_Mes)+1)=1,N(V_L1_Monto),ER$230)*N(V_L1_Tasa)/12,0)*ES$9</f>
        <v>0</v>
      </c>
    </row>
    <row r="229" customFormat="false" ht="15" hidden="false" customHeight="false" outlineLevel="0" collapsed="false">
      <c r="A229" s="2" t="s">
        <v>840</v>
      </c>
      <c r="B229" s="6" t="s">
        <v>682</v>
      </c>
      <c r="C229" s="6" t="s">
        <v>250</v>
      </c>
      <c r="E229" s="40" t="n">
        <f aca="false">SUM(F229:ES229)</f>
        <v>2791587</v>
      </c>
      <c r="F229" s="34" t="n">
        <f aca="false">IF(AND((1-N(V_L1_Mes)+1)&gt;N(V_L1_Gracia),(1-N(V_L1_Mes)+1)&lt;=N(V_L1_Gracia)+N(V_L1_Cuotas),N(V_L1_Cuotas)&gt;0),IF((1-N(V_L1_Mes)+1)=N(V_L1_Gracia)+N(V_L1_Cuotas),IF((1-N(V_L1_Mes)+1)=1,N(V_L1_Monto),0),PMT(N(V_L1_Tasa)/12,N(V_L1_Cuotas),-N(V_L1_Monto))-F$228),0)*F$9</f>
        <v>0</v>
      </c>
      <c r="G229" s="34" t="n">
        <f aca="false">IF(AND((2-N(V_L1_Mes)+1)&gt;N(V_L1_Gracia),(2-N(V_L1_Mes)+1)&lt;=N(V_L1_Gracia)+N(V_L1_Cuotas),N(V_L1_Cuotas)&gt;0),IF((2-N(V_L1_Mes)+1)=N(V_L1_Gracia)+N(V_L1_Cuotas),IF((2-N(V_L1_Mes)+1)=1,N(V_L1_Monto),F$230),PMT(N(V_L1_Tasa)/12,N(V_L1_Cuotas),-N(V_L1_Monto))-G$228),0)*G$9</f>
        <v>0</v>
      </c>
      <c r="H229" s="34" t="n">
        <f aca="false">IF(AND((3-N(V_L1_Mes)+1)&gt;N(V_L1_Gracia),(3-N(V_L1_Mes)+1)&lt;=N(V_L1_Gracia)+N(V_L1_Cuotas),N(V_L1_Cuotas)&gt;0),IF((3-N(V_L1_Mes)+1)=N(V_L1_Gracia)+N(V_L1_Cuotas),IF((3-N(V_L1_Mes)+1)=1,N(V_L1_Monto),G$230),PMT(N(V_L1_Tasa)/12,N(V_L1_Cuotas),-N(V_L1_Monto))-H$228),0)*H$9</f>
        <v>0</v>
      </c>
      <c r="I229" s="34" t="n">
        <f aca="false">IF(AND((4-N(V_L1_Mes)+1)&gt;N(V_L1_Gracia),(4-N(V_L1_Mes)+1)&lt;=N(V_L1_Gracia)+N(V_L1_Cuotas),N(V_L1_Cuotas)&gt;0),IF((4-N(V_L1_Mes)+1)=N(V_L1_Gracia)+N(V_L1_Cuotas),IF((4-N(V_L1_Mes)+1)=1,N(V_L1_Monto),H$230),PMT(N(V_L1_Tasa)/12,N(V_L1_Cuotas),-N(V_L1_Monto))-I$228),0)*I$9</f>
        <v>0</v>
      </c>
      <c r="J229" s="34" t="n">
        <f aca="false">IF(AND((5-N(V_L1_Mes)+1)&gt;N(V_L1_Gracia),(5-N(V_L1_Mes)+1)&lt;=N(V_L1_Gracia)+N(V_L1_Cuotas),N(V_L1_Cuotas)&gt;0),IF((5-N(V_L1_Mes)+1)=N(V_L1_Gracia)+N(V_L1_Cuotas),IF((5-N(V_L1_Mes)+1)=1,N(V_L1_Monto),I$230),PMT(N(V_L1_Tasa)/12,N(V_L1_Cuotas),-N(V_L1_Monto))-J$228),0)*J$9</f>
        <v>0</v>
      </c>
      <c r="K229" s="34" t="n">
        <f aca="false">IF(AND((6-N(V_L1_Mes)+1)&gt;N(V_L1_Gracia),(6-N(V_L1_Mes)+1)&lt;=N(V_L1_Gracia)+N(V_L1_Cuotas),N(V_L1_Cuotas)&gt;0),IF((6-N(V_L1_Mes)+1)=N(V_L1_Gracia)+N(V_L1_Cuotas),IF((6-N(V_L1_Mes)+1)=1,N(V_L1_Monto),J$230),PMT(N(V_L1_Tasa)/12,N(V_L1_Cuotas),-N(V_L1_Monto))-K$228),0)*K$9</f>
        <v>0</v>
      </c>
      <c r="L229" s="34" t="n">
        <f aca="false">IF(AND((7-N(V_L1_Mes)+1)&gt;N(V_L1_Gracia),(7-N(V_L1_Mes)+1)&lt;=N(V_L1_Gracia)+N(V_L1_Cuotas),N(V_L1_Cuotas)&gt;0),IF((7-N(V_L1_Mes)+1)=N(V_L1_Gracia)+N(V_L1_Cuotas),IF((7-N(V_L1_Mes)+1)=1,N(V_L1_Monto),K$230),PMT(N(V_L1_Tasa)/12,N(V_L1_Cuotas),-N(V_L1_Monto))-L$228),0)*L$9</f>
        <v>42123.3040946878</v>
      </c>
      <c r="M229" s="34" t="n">
        <f aca="false">IF(AND((8-N(V_L1_Mes)+1)&gt;N(V_L1_Gracia),(8-N(V_L1_Mes)+1)&lt;=N(V_L1_Gracia)+N(V_L1_Cuotas),N(V_L1_Cuotas)&gt;0),IF((8-N(V_L1_Mes)+1)=N(V_L1_Gracia)+N(V_L1_Cuotas),IF((8-N(V_L1_Mes)+1)=1,N(V_L1_Monto),L$230),PMT(N(V_L1_Tasa)/12,N(V_L1_Cuotas),-N(V_L1_Monto))-M$228),0)*M$9</f>
        <v>42439.2288753979</v>
      </c>
      <c r="N229" s="34" t="n">
        <f aca="false">IF(AND((9-N(V_L1_Mes)+1)&gt;N(V_L1_Gracia),(9-N(V_L1_Mes)+1)&lt;=N(V_L1_Gracia)+N(V_L1_Cuotas),N(V_L1_Cuotas)&gt;0),IF((9-N(V_L1_Mes)+1)=N(V_L1_Gracia)+N(V_L1_Cuotas),IF((9-N(V_L1_Mes)+1)=1,N(V_L1_Monto),M$230),PMT(N(V_L1_Tasa)/12,N(V_L1_Cuotas),-N(V_L1_Monto))-N$228),0)*N$9</f>
        <v>42757.5230919634</v>
      </c>
      <c r="O229" s="34" t="n">
        <f aca="false">IF(AND((10-N(V_L1_Mes)+1)&gt;N(V_L1_Gracia),(10-N(V_L1_Mes)+1)&lt;=N(V_L1_Gracia)+N(V_L1_Cuotas),N(V_L1_Cuotas)&gt;0),IF((10-N(V_L1_Mes)+1)=N(V_L1_Gracia)+N(V_L1_Cuotas),IF((10-N(V_L1_Mes)+1)=1,N(V_L1_Monto),N$230),PMT(N(V_L1_Tasa)/12,N(V_L1_Cuotas),-N(V_L1_Monto))-O$228),0)*O$9</f>
        <v>43078.2045151531</v>
      </c>
      <c r="P229" s="34" t="n">
        <f aca="false">IF(AND((11-N(V_L1_Mes)+1)&gt;N(V_L1_Gracia),(11-N(V_L1_Mes)+1)&lt;=N(V_L1_Gracia)+N(V_L1_Cuotas),N(V_L1_Cuotas)&gt;0),IF((11-N(V_L1_Mes)+1)=N(V_L1_Gracia)+N(V_L1_Cuotas),IF((11-N(V_L1_Mes)+1)=1,N(V_L1_Monto),O$230),PMT(N(V_L1_Tasa)/12,N(V_L1_Cuotas),-N(V_L1_Monto))-P$228),0)*P$9</f>
        <v>43401.2910490168</v>
      </c>
      <c r="Q229" s="34" t="n">
        <f aca="false">IF(AND((12-N(V_L1_Mes)+1)&gt;N(V_L1_Gracia),(12-N(V_L1_Mes)+1)&lt;=N(V_L1_Gracia)+N(V_L1_Cuotas),N(V_L1_Cuotas)&gt;0),IF((12-N(V_L1_Mes)+1)=N(V_L1_Gracia)+N(V_L1_Cuotas),IF((12-N(V_L1_Mes)+1)=1,N(V_L1_Monto),P$230),PMT(N(V_L1_Tasa)/12,N(V_L1_Cuotas),-N(V_L1_Monto))-Q$228),0)*Q$9</f>
        <v>43726.8007318844</v>
      </c>
      <c r="R229" s="34" t="n">
        <f aca="false">IF(AND((13-N(V_L1_Mes)+1)&gt;N(V_L1_Gracia),(13-N(V_L1_Mes)+1)&lt;=N(V_L1_Gracia)+N(V_L1_Cuotas),N(V_L1_Cuotas)&gt;0),IF((13-N(V_L1_Mes)+1)=N(V_L1_Gracia)+N(V_L1_Cuotas),IF((13-N(V_L1_Mes)+1)=1,N(V_L1_Monto),Q$230),PMT(N(V_L1_Tasa)/12,N(V_L1_Cuotas),-N(V_L1_Monto))-R$228),0)*R$9</f>
        <v>44054.7517373735</v>
      </c>
      <c r="S229" s="34" t="n">
        <f aca="false">IF(AND((14-N(V_L1_Mes)+1)&gt;N(V_L1_Gracia),(14-N(V_L1_Mes)+1)&lt;=N(V_L1_Gracia)+N(V_L1_Cuotas),N(V_L1_Cuotas)&gt;0),IF((14-N(V_L1_Mes)+1)=N(V_L1_Gracia)+N(V_L1_Cuotas),IF((14-N(V_L1_Mes)+1)=1,N(V_L1_Monto),R$230),PMT(N(V_L1_Tasa)/12,N(V_L1_Cuotas),-N(V_L1_Monto))-S$228),0)*S$9</f>
        <v>44385.1623754038</v>
      </c>
      <c r="T229" s="34" t="n">
        <f aca="false">IF(AND((15-N(V_L1_Mes)+1)&gt;N(V_L1_Gracia),(15-N(V_L1_Mes)+1)&lt;=N(V_L1_Gracia)+N(V_L1_Cuotas),N(V_L1_Cuotas)&gt;0),IF((15-N(V_L1_Mes)+1)=N(V_L1_Gracia)+N(V_L1_Cuotas),IF((15-N(V_L1_Mes)+1)=1,N(V_L1_Monto),S$230),PMT(N(V_L1_Tasa)/12,N(V_L1_Cuotas),-N(V_L1_Monto))-T$228),0)*T$9</f>
        <v>44718.0510932194</v>
      </c>
      <c r="U229" s="34" t="n">
        <f aca="false">IF(AND((16-N(V_L1_Mes)+1)&gt;N(V_L1_Gracia),(16-N(V_L1_Mes)+1)&lt;=N(V_L1_Gracia)+N(V_L1_Cuotas),N(V_L1_Cuotas)&gt;0),IF((16-N(V_L1_Mes)+1)=N(V_L1_Gracia)+N(V_L1_Cuotas),IF((16-N(V_L1_Mes)+1)=1,N(V_L1_Monto),T$230),PMT(N(V_L1_Tasa)/12,N(V_L1_Cuotas),-N(V_L1_Monto))-U$228),0)*U$9</f>
        <v>45053.4364764185</v>
      </c>
      <c r="V229" s="34" t="n">
        <f aca="false">IF(AND((17-N(V_L1_Mes)+1)&gt;N(V_L1_Gracia),(17-N(V_L1_Mes)+1)&lt;=N(V_L1_Gracia)+N(V_L1_Cuotas),N(V_L1_Cuotas)&gt;0),IF((17-N(V_L1_Mes)+1)=N(V_L1_Gracia)+N(V_L1_Cuotas),IF((17-N(V_L1_Mes)+1)=1,N(V_L1_Monto),U$230),PMT(N(V_L1_Tasa)/12,N(V_L1_Cuotas),-N(V_L1_Monto))-V$228),0)*V$9</f>
        <v>45391.3372499916</v>
      </c>
      <c r="W229" s="34" t="n">
        <f aca="false">IF(AND((18-N(V_L1_Mes)+1)&gt;N(V_L1_Gracia),(18-N(V_L1_Mes)+1)&lt;=N(V_L1_Gracia)+N(V_L1_Cuotas),N(V_L1_Cuotas)&gt;0),IF((18-N(V_L1_Mes)+1)=N(V_L1_Gracia)+N(V_L1_Cuotas),IF((18-N(V_L1_Mes)+1)=1,N(V_L1_Monto),V$230),PMT(N(V_L1_Tasa)/12,N(V_L1_Cuotas),-N(V_L1_Monto))-W$228),0)*W$9</f>
        <v>45731.7722793666</v>
      </c>
      <c r="X229" s="34" t="n">
        <f aca="false">IF(AND((19-N(V_L1_Mes)+1)&gt;N(V_L1_Gracia),(19-N(V_L1_Mes)+1)&lt;=N(V_L1_Gracia)+N(V_L1_Cuotas),N(V_L1_Cuotas)&gt;0),IF((19-N(V_L1_Mes)+1)=N(V_L1_Gracia)+N(V_L1_Cuotas),IF((19-N(V_L1_Mes)+1)=1,N(V_L1_Monto),W$230),PMT(N(V_L1_Tasa)/12,N(V_L1_Cuotas),-N(V_L1_Monto))-X$228),0)*X$9</f>
        <v>46074.7605714618</v>
      </c>
      <c r="Y229" s="34" t="n">
        <f aca="false">IF(AND((20-N(V_L1_Mes)+1)&gt;N(V_L1_Gracia),(20-N(V_L1_Mes)+1)&lt;=N(V_L1_Gracia)+N(V_L1_Cuotas),N(V_L1_Cuotas)&gt;0),IF((20-N(V_L1_Mes)+1)=N(V_L1_Gracia)+N(V_L1_Cuotas),IF((20-N(V_L1_Mes)+1)=1,N(V_L1_Monto),X$230),PMT(N(V_L1_Tasa)/12,N(V_L1_Cuotas),-N(V_L1_Monto))-Y$228),0)*Y$9</f>
        <v>46420.3212757478</v>
      </c>
      <c r="Z229" s="34" t="n">
        <f aca="false">IF(AND((21-N(V_L1_Mes)+1)&gt;N(V_L1_Gracia),(21-N(V_L1_Mes)+1)&lt;=N(V_L1_Gracia)+N(V_L1_Cuotas),N(V_L1_Cuotas)&gt;0),IF((21-N(V_L1_Mes)+1)=N(V_L1_Gracia)+N(V_L1_Cuotas),IF((21-N(V_L1_Mes)+1)=1,N(V_L1_Monto),Y$230),PMT(N(V_L1_Tasa)/12,N(V_L1_Cuotas),-N(V_L1_Monto))-Z$228),0)*Z$9</f>
        <v>46768.4736853159</v>
      </c>
      <c r="AA229" s="34" t="n">
        <f aca="false">IF(AND((22-N(V_L1_Mes)+1)&gt;N(V_L1_Gracia),(22-N(V_L1_Mes)+1)&lt;=N(V_L1_Gracia)+N(V_L1_Cuotas),N(V_L1_Cuotas)&gt;0),IF((22-N(V_L1_Mes)+1)=N(V_L1_Gracia)+N(V_L1_Cuotas),IF((22-N(V_L1_Mes)+1)=1,N(V_L1_Monto),Z$230),PMT(N(V_L1_Tasa)/12,N(V_L1_Cuotas),-N(V_L1_Monto))-AA$228),0)*AA$9</f>
        <v>47119.2372379558</v>
      </c>
      <c r="AB229" s="34" t="n">
        <f aca="false">IF(AND((23-N(V_L1_Mes)+1)&gt;N(V_L1_Gracia),(23-N(V_L1_Mes)+1)&lt;=N(V_L1_Gracia)+N(V_L1_Cuotas),N(V_L1_Cuotas)&gt;0),IF((23-N(V_L1_Mes)+1)=N(V_L1_Gracia)+N(V_L1_Cuotas),IF((23-N(V_L1_Mes)+1)=1,N(V_L1_Monto),AA$230),PMT(N(V_L1_Tasa)/12,N(V_L1_Cuotas),-N(V_L1_Monto))-AB$228),0)*AB$9</f>
        <v>47472.6315172404</v>
      </c>
      <c r="AC229" s="34" t="n">
        <f aca="false">IF(AND((24-N(V_L1_Mes)+1)&gt;N(V_L1_Gracia),(24-N(V_L1_Mes)+1)&lt;=N(V_L1_Gracia)+N(V_L1_Cuotas),N(V_L1_Cuotas)&gt;0),IF((24-N(V_L1_Mes)+1)=N(V_L1_Gracia)+N(V_L1_Cuotas),IF((24-N(V_L1_Mes)+1)=1,N(V_L1_Monto),AB$230),PMT(N(V_L1_Tasa)/12,N(V_L1_Cuotas),-N(V_L1_Monto))-AC$228),0)*AC$9</f>
        <v>47828.6762536197</v>
      </c>
      <c r="AD229" s="34" t="n">
        <f aca="false">IF(AND((25-N(V_L1_Mes)+1)&gt;N(V_L1_Gracia),(25-N(V_L1_Mes)+1)&lt;=N(V_L1_Gracia)+N(V_L1_Cuotas),N(V_L1_Cuotas)&gt;0),IF((25-N(V_L1_Mes)+1)=N(V_L1_Gracia)+N(V_L1_Cuotas),IF((25-N(V_L1_Mes)+1)=1,N(V_L1_Monto),AC$230),PMT(N(V_L1_Tasa)/12,N(V_L1_Cuotas),-N(V_L1_Monto))-AD$228),0)*AD$9</f>
        <v>48187.3913255219</v>
      </c>
      <c r="AE229" s="34" t="n">
        <f aca="false">IF(AND((26-N(V_L1_Mes)+1)&gt;N(V_L1_Gracia),(26-N(V_L1_Mes)+1)&lt;=N(V_L1_Gracia)+N(V_L1_Cuotas),N(V_L1_Cuotas)&gt;0),IF((26-N(V_L1_Mes)+1)=N(V_L1_Gracia)+N(V_L1_Cuotas),IF((26-N(V_L1_Mes)+1)=1,N(V_L1_Monto),AD$230),PMT(N(V_L1_Tasa)/12,N(V_L1_Cuotas),-N(V_L1_Monto))-AE$228),0)*AE$9</f>
        <v>48548.7967604633</v>
      </c>
      <c r="AF229" s="34" t="n">
        <f aca="false">IF(AND((27-N(V_L1_Mes)+1)&gt;N(V_L1_Gracia),(27-N(V_L1_Mes)+1)&lt;=N(V_L1_Gracia)+N(V_L1_Cuotas),N(V_L1_Cuotas)&gt;0),IF((27-N(V_L1_Mes)+1)=N(V_L1_Gracia)+N(V_L1_Cuotas),IF((27-N(V_L1_Mes)+1)=1,N(V_L1_Monto),AE$230),PMT(N(V_L1_Tasa)/12,N(V_L1_Cuotas),-N(V_L1_Monto))-AF$228),0)*AF$9</f>
        <v>48912.9127361668</v>
      </c>
      <c r="AG229" s="34" t="n">
        <f aca="false">IF(AND((28-N(V_L1_Mes)+1)&gt;N(V_L1_Gracia),(28-N(V_L1_Mes)+1)&lt;=N(V_L1_Gracia)+N(V_L1_Cuotas),N(V_L1_Cuotas)&gt;0),IF((28-N(V_L1_Mes)+1)=N(V_L1_Gracia)+N(V_L1_Cuotas),IF((28-N(V_L1_Mes)+1)=1,N(V_L1_Monto),AF$230),PMT(N(V_L1_Tasa)/12,N(V_L1_Cuotas),-N(V_L1_Monto))-AG$228),0)*AG$9</f>
        <v>49279.759581688</v>
      </c>
      <c r="AH229" s="34" t="n">
        <f aca="false">IF(AND((29-N(V_L1_Mes)+1)&gt;N(V_L1_Gracia),(29-N(V_L1_Mes)+1)&lt;=N(V_L1_Gracia)+N(V_L1_Cuotas),N(V_L1_Cuotas)&gt;0),IF((29-N(V_L1_Mes)+1)=N(V_L1_Gracia)+N(V_L1_Cuotas),IF((29-N(V_L1_Mes)+1)=1,N(V_L1_Monto),AG$230),PMT(N(V_L1_Tasa)/12,N(V_L1_Cuotas),-N(V_L1_Monto))-AH$228),0)*AH$9</f>
        <v>49649.3577785507</v>
      </c>
      <c r="AI229" s="34" t="n">
        <f aca="false">IF(AND((30-N(V_L1_Mes)+1)&gt;N(V_L1_Gracia),(30-N(V_L1_Mes)+1)&lt;=N(V_L1_Gracia)+N(V_L1_Cuotas),N(V_L1_Cuotas)&gt;0),IF((30-N(V_L1_Mes)+1)=N(V_L1_Gracia)+N(V_L1_Cuotas),IF((30-N(V_L1_Mes)+1)=1,N(V_L1_Monto),AH$230),PMT(N(V_L1_Tasa)/12,N(V_L1_Cuotas),-N(V_L1_Monto))-AI$228),0)*AI$9</f>
        <v>50021.7279618898</v>
      </c>
      <c r="AJ229" s="34" t="n">
        <f aca="false">IF(AND((31-N(V_L1_Mes)+1)&gt;N(V_L1_Gracia),(31-N(V_L1_Mes)+1)&lt;=N(V_L1_Gracia)+N(V_L1_Cuotas),N(V_L1_Cuotas)&gt;0),IF((31-N(V_L1_Mes)+1)=N(V_L1_Gracia)+N(V_L1_Cuotas),IF((31-N(V_L1_Mes)+1)=1,N(V_L1_Monto),AI$230),PMT(N(V_L1_Tasa)/12,N(V_L1_Cuotas),-N(V_L1_Monto))-AJ$228),0)*AJ$9</f>
        <v>50396.890921604</v>
      </c>
      <c r="AK229" s="34" t="n">
        <f aca="false">IF(AND((32-N(V_L1_Mes)+1)&gt;N(V_L1_Gracia),(32-N(V_L1_Mes)+1)&lt;=N(V_L1_Gracia)+N(V_L1_Cuotas),N(V_L1_Cuotas)&gt;0),IF((32-N(V_L1_Mes)+1)=N(V_L1_Gracia)+N(V_L1_Cuotas),IF((32-N(V_L1_Mes)+1)=1,N(V_L1_Monto),AJ$230),PMT(N(V_L1_Tasa)/12,N(V_L1_Cuotas),-N(V_L1_Monto))-AK$228),0)*AK$9</f>
        <v>50774.867603516</v>
      </c>
      <c r="AL229" s="34" t="n">
        <f aca="false">IF(AND((33-N(V_L1_Mes)+1)&gt;N(V_L1_Gracia),(33-N(V_L1_Mes)+1)&lt;=N(V_L1_Gracia)+N(V_L1_Cuotas),N(V_L1_Cuotas)&gt;0),IF((33-N(V_L1_Mes)+1)=N(V_L1_Gracia)+N(V_L1_Cuotas),IF((33-N(V_L1_Mes)+1)=1,N(V_L1_Monto),AK$230),PMT(N(V_L1_Tasa)/12,N(V_L1_Cuotas),-N(V_L1_Monto))-AL$228),0)*AL$9</f>
        <v>51155.6791105424</v>
      </c>
      <c r="AM229" s="34" t="n">
        <f aca="false">IF(AND((34-N(V_L1_Mes)+1)&gt;N(V_L1_Gracia),(34-N(V_L1_Mes)+1)&lt;=N(V_L1_Gracia)+N(V_L1_Cuotas),N(V_L1_Cuotas)&gt;0),IF((34-N(V_L1_Mes)+1)=N(V_L1_Gracia)+N(V_L1_Cuotas),IF((34-N(V_L1_Mes)+1)=1,N(V_L1_Monto),AL$230),PMT(N(V_L1_Tasa)/12,N(V_L1_Cuotas),-N(V_L1_Monto))-AM$228),0)*AM$9</f>
        <v>51539.3467038715</v>
      </c>
      <c r="AN229" s="34" t="n">
        <f aca="false">IF(AND((35-N(V_L1_Mes)+1)&gt;N(V_L1_Gracia),(35-N(V_L1_Mes)+1)&lt;=N(V_L1_Gracia)+N(V_L1_Cuotas),N(V_L1_Cuotas)&gt;0),IF((35-N(V_L1_Mes)+1)=N(V_L1_Gracia)+N(V_L1_Cuotas),IF((35-N(V_L1_Mes)+1)=1,N(V_L1_Monto),AM$230),PMT(N(V_L1_Tasa)/12,N(V_L1_Cuotas),-N(V_L1_Monto))-AN$228),0)*AN$9</f>
        <v>51925.8918041505</v>
      </c>
      <c r="AO229" s="34" t="n">
        <f aca="false">IF(AND((36-N(V_L1_Mes)+1)&gt;N(V_L1_Gracia),(36-N(V_L1_Mes)+1)&lt;=N(V_L1_Gracia)+N(V_L1_Cuotas),N(V_L1_Cuotas)&gt;0),IF((36-N(V_L1_Mes)+1)=N(V_L1_Gracia)+N(V_L1_Cuotas),IF((36-N(V_L1_Mes)+1)=1,N(V_L1_Monto),AN$230),PMT(N(V_L1_Tasa)/12,N(V_L1_Cuotas),-N(V_L1_Monto))-AO$228),0)*AO$9</f>
        <v>52315.3359926816</v>
      </c>
      <c r="AP229" s="34" t="n">
        <f aca="false">IF(AND((37-N(V_L1_Mes)+1)&gt;N(V_L1_Gracia),(37-N(V_L1_Mes)+1)&lt;=N(V_L1_Gracia)+N(V_L1_Cuotas),N(V_L1_Cuotas)&gt;0),IF((37-N(V_L1_Mes)+1)=N(V_L1_Gracia)+N(V_L1_Cuotas),IF((37-N(V_L1_Mes)+1)=1,N(V_L1_Monto),AO$230),PMT(N(V_L1_Tasa)/12,N(V_L1_Cuotas),-N(V_L1_Monto))-AP$228),0)*AP$9</f>
        <v>52707.7010126267</v>
      </c>
      <c r="AQ229" s="34" t="n">
        <f aca="false">IF(AND((38-N(V_L1_Mes)+1)&gt;N(V_L1_Gracia),(38-N(V_L1_Mes)+1)&lt;=N(V_L1_Gracia)+N(V_L1_Cuotas),N(V_L1_Cuotas)&gt;0),IF((38-N(V_L1_Mes)+1)=N(V_L1_Gracia)+N(V_L1_Cuotas),IF((38-N(V_L1_Mes)+1)=1,N(V_L1_Monto),AP$230),PMT(N(V_L1_Tasa)/12,N(V_L1_Cuotas),-N(V_L1_Monto))-AQ$228),0)*AQ$9</f>
        <v>53103.0087702214</v>
      </c>
      <c r="AR229" s="34" t="n">
        <f aca="false">IF(AND((39-N(V_L1_Mes)+1)&gt;N(V_L1_Gracia),(39-N(V_L1_Mes)+1)&lt;=N(V_L1_Gracia)+N(V_L1_Cuotas),N(V_L1_Cuotas)&gt;0),IF((39-N(V_L1_Mes)+1)=N(V_L1_Gracia)+N(V_L1_Cuotas),IF((39-N(V_L1_Mes)+1)=1,N(V_L1_Monto),AQ$230),PMT(N(V_L1_Tasa)/12,N(V_L1_Cuotas),-N(V_L1_Monto))-AR$228),0)*AR$9</f>
        <v>53501.2813359981</v>
      </c>
      <c r="AS229" s="34" t="n">
        <f aca="false">IF(AND((40-N(V_L1_Mes)+1)&gt;N(V_L1_Gracia),(40-N(V_L1_Mes)+1)&lt;=N(V_L1_Gracia)+N(V_L1_Cuotas),N(V_L1_Cuotas)&gt;0),IF((40-N(V_L1_Mes)+1)=N(V_L1_Gracia)+N(V_L1_Cuotas),IF((40-N(V_L1_Mes)+1)=1,N(V_L1_Monto),AR$230),PMT(N(V_L1_Tasa)/12,N(V_L1_Cuotas),-N(V_L1_Monto))-AS$228),0)*AS$9</f>
        <v>53902.5409460181</v>
      </c>
      <c r="AT229" s="34" t="n">
        <f aca="false">IF(AND((41-N(V_L1_Mes)+1)&gt;N(V_L1_Gracia),(41-N(V_L1_Mes)+1)&lt;=N(V_L1_Gracia)+N(V_L1_Cuotas),N(V_L1_Cuotas)&gt;0),IF((41-N(V_L1_Mes)+1)=N(V_L1_Gracia)+N(V_L1_Cuotas),IF((41-N(V_L1_Mes)+1)=1,N(V_L1_Monto),AS$230),PMT(N(V_L1_Tasa)/12,N(V_L1_Cuotas),-N(V_L1_Monto))-AT$228),0)*AT$9</f>
        <v>54306.8100031132</v>
      </c>
      <c r="AU229" s="34" t="n">
        <f aca="false">IF(AND((42-N(V_L1_Mes)+1)&gt;N(V_L1_Gracia),(42-N(V_L1_Mes)+1)&lt;=N(V_L1_Gracia)+N(V_L1_Cuotas),N(V_L1_Cuotas)&gt;0),IF((42-N(V_L1_Mes)+1)=N(V_L1_Gracia)+N(V_L1_Cuotas),IF((42-N(V_L1_Mes)+1)=1,N(V_L1_Monto),AT$230),PMT(N(V_L1_Tasa)/12,N(V_L1_Cuotas),-N(V_L1_Monto))-AU$228),0)*AU$9</f>
        <v>54714.1110781366</v>
      </c>
      <c r="AV229" s="34" t="n">
        <f aca="false">IF(AND((43-N(V_L1_Mes)+1)&gt;N(V_L1_Gracia),(43-N(V_L1_Mes)+1)&lt;=N(V_L1_Gracia)+N(V_L1_Cuotas),N(V_L1_Cuotas)&gt;0),IF((43-N(V_L1_Mes)+1)=N(V_L1_Gracia)+N(V_L1_Cuotas),IF((43-N(V_L1_Mes)+1)=1,N(V_L1_Monto),AU$230),PMT(N(V_L1_Tasa)/12,N(V_L1_Cuotas),-N(V_L1_Monto))-AV$228),0)*AV$9</f>
        <v>55124.4669112226</v>
      </c>
      <c r="AW229" s="34" t="n">
        <f aca="false">IF(AND((44-N(V_L1_Mes)+1)&gt;N(V_L1_Gracia),(44-N(V_L1_Mes)+1)&lt;=N(V_L1_Gracia)+N(V_L1_Cuotas),N(V_L1_Cuotas)&gt;0),IF((44-N(V_L1_Mes)+1)=N(V_L1_Gracia)+N(V_L1_Cuotas),IF((44-N(V_L1_Mes)+1)=1,N(V_L1_Monto),AV$230),PMT(N(V_L1_Tasa)/12,N(V_L1_Cuotas),-N(V_L1_Monto))-AW$228),0)*AW$9</f>
        <v>55537.9004130568</v>
      </c>
      <c r="AX229" s="34" t="n">
        <f aca="false">IF(AND((45-N(V_L1_Mes)+1)&gt;N(V_L1_Gracia),(45-N(V_L1_Mes)+1)&lt;=N(V_L1_Gracia)+N(V_L1_Cuotas),N(V_L1_Cuotas)&gt;0),IF((45-N(V_L1_Mes)+1)=N(V_L1_Gracia)+N(V_L1_Cuotas),IF((45-N(V_L1_Mes)+1)=1,N(V_L1_Monto),AW$230),PMT(N(V_L1_Tasa)/12,N(V_L1_Cuotas),-N(V_L1_Monto))-AX$228),0)*AX$9</f>
        <v>55954.4346661547</v>
      </c>
      <c r="AY229" s="34" t="n">
        <f aca="false">IF(AND((46-N(V_L1_Mes)+1)&gt;N(V_L1_Gracia),(46-N(V_L1_Mes)+1)&lt;=N(V_L1_Gracia)+N(V_L1_Cuotas),N(V_L1_Cuotas)&gt;0),IF((46-N(V_L1_Mes)+1)=N(V_L1_Gracia)+N(V_L1_Cuotas),IF((46-N(V_L1_Mes)+1)=1,N(V_L1_Monto),AX$230),PMT(N(V_L1_Tasa)/12,N(V_L1_Cuotas),-N(V_L1_Monto))-AY$228),0)*AY$9</f>
        <v>56374.0929261509</v>
      </c>
      <c r="AZ229" s="34" t="n">
        <f aca="false">IF(AND((47-N(V_L1_Mes)+1)&gt;N(V_L1_Gracia),(47-N(V_L1_Mes)+1)&lt;=N(V_L1_Gracia)+N(V_L1_Cuotas),N(V_L1_Cuotas)&gt;0),IF((47-N(V_L1_Mes)+1)=N(V_L1_Gracia)+N(V_L1_Cuotas),IF((47-N(V_L1_Mes)+1)=1,N(V_L1_Monto),AY$230),PMT(N(V_L1_Tasa)/12,N(V_L1_Cuotas),-N(V_L1_Monto))-AZ$228),0)*AZ$9</f>
        <v>56796.898623097</v>
      </c>
      <c r="BA229" s="34" t="n">
        <f aca="false">IF(AND((48-N(V_L1_Mes)+1)&gt;N(V_L1_Gracia),(48-N(V_L1_Mes)+1)&lt;=N(V_L1_Gracia)+N(V_L1_Cuotas),N(V_L1_Cuotas)&gt;0),IF((48-N(V_L1_Mes)+1)=N(V_L1_Gracia)+N(V_L1_Cuotas),IF((48-N(V_L1_Mes)+1)=1,N(V_L1_Monto),AZ$230),PMT(N(V_L1_Tasa)/12,N(V_L1_Cuotas),-N(V_L1_Monto))-BA$228),0)*BA$9</f>
        <v>57222.8753627702</v>
      </c>
      <c r="BB229" s="34" t="n">
        <f aca="false">IF(AND((49-N(V_L1_Mes)+1)&gt;N(V_L1_Gracia),(49-N(V_L1_Mes)+1)&lt;=N(V_L1_Gracia)+N(V_L1_Cuotas),N(V_L1_Cuotas)&gt;0),IF((49-N(V_L1_Mes)+1)=N(V_L1_Gracia)+N(V_L1_Cuotas),IF((49-N(V_L1_Mes)+1)=1,N(V_L1_Monto),BA$230),PMT(N(V_L1_Tasa)/12,N(V_L1_Cuotas),-N(V_L1_Monto))-BB$228),0)*BB$9</f>
        <v>57652.046927991</v>
      </c>
      <c r="BC229" s="34" t="n">
        <f aca="false">IF(AND((50-N(V_L1_Mes)+1)&gt;N(V_L1_Gracia),(50-N(V_L1_Mes)+1)&lt;=N(V_L1_Gracia)+N(V_L1_Cuotas),N(V_L1_Cuotas)&gt;0),IF((50-N(V_L1_Mes)+1)=N(V_L1_Gracia)+N(V_L1_Cuotas),IF((50-N(V_L1_Mes)+1)=1,N(V_L1_Monto),BB$230),PMT(N(V_L1_Tasa)/12,N(V_L1_Cuotas),-N(V_L1_Monto))-BC$228),0)*BC$9</f>
        <v>58084.4372799509</v>
      </c>
      <c r="BD229" s="34" t="n">
        <f aca="false">IF(AND((51-N(V_L1_Mes)+1)&gt;N(V_L1_Gracia),(51-N(V_L1_Mes)+1)&lt;=N(V_L1_Gracia)+N(V_L1_Cuotas),N(V_L1_Cuotas)&gt;0),IF((51-N(V_L1_Mes)+1)=N(V_L1_Gracia)+N(V_L1_Cuotas),IF((51-N(V_L1_Mes)+1)=1,N(V_L1_Monto),BC$230),PMT(N(V_L1_Tasa)/12,N(V_L1_Cuotas),-N(V_L1_Monto))-BD$228),0)*BD$9</f>
        <v>58520.0705595506</v>
      </c>
      <c r="BE229" s="34" t="n">
        <f aca="false">IF(AND((52-N(V_L1_Mes)+1)&gt;N(V_L1_Gracia),(52-N(V_L1_Mes)+1)&lt;=N(V_L1_Gracia)+N(V_L1_Cuotas),N(V_L1_Cuotas)&gt;0),IF((52-N(V_L1_Mes)+1)=N(V_L1_Gracia)+N(V_L1_Cuotas),IF((52-N(V_L1_Mes)+1)=1,N(V_L1_Monto),BD$230),PMT(N(V_L1_Tasa)/12,N(V_L1_Cuotas),-N(V_L1_Monto))-BE$228),0)*BE$9</f>
        <v>58958.9710887472</v>
      </c>
      <c r="BF229" s="34" t="n">
        <f aca="false">IF(AND((53-N(V_L1_Mes)+1)&gt;N(V_L1_Gracia),(53-N(V_L1_Mes)+1)&lt;=N(V_L1_Gracia)+N(V_L1_Cuotas),N(V_L1_Cuotas)&gt;0),IF((53-N(V_L1_Mes)+1)=N(V_L1_Gracia)+N(V_L1_Cuotas),IF((53-N(V_L1_Mes)+1)=1,N(V_L1_Monto),BE$230),PMT(N(V_L1_Tasa)/12,N(V_L1_Cuotas),-N(V_L1_Monto))-BF$228),0)*BF$9</f>
        <v>59401.1633719128</v>
      </c>
      <c r="BG229" s="34" t="n">
        <f aca="false">IF(AND((54-N(V_L1_Mes)+1)&gt;N(V_L1_Gracia),(54-N(V_L1_Mes)+1)&lt;=N(V_L1_Gracia)+N(V_L1_Cuotas),N(V_L1_Cuotas)&gt;0),IF((54-N(V_L1_Mes)+1)=N(V_L1_Gracia)+N(V_L1_Cuotas),IF((54-N(V_L1_Mes)+1)=1,N(V_L1_Monto),BF$230),PMT(N(V_L1_Tasa)/12,N(V_L1_Cuotas),-N(V_L1_Monto))-BG$228),0)*BG$9</f>
        <v>59846.6720972021</v>
      </c>
      <c r="BH229" s="34" t="n">
        <f aca="false">IF(AND((55-N(V_L1_Mes)+1)&gt;N(V_L1_Gracia),(55-N(V_L1_Mes)+1)&lt;=N(V_L1_Gracia)+N(V_L1_Cuotas),N(V_L1_Cuotas)&gt;0),IF((55-N(V_L1_Mes)+1)=N(V_L1_Gracia)+N(V_L1_Cuotas),IF((55-N(V_L1_Mes)+1)=1,N(V_L1_Monto),BG$230),PMT(N(V_L1_Tasa)/12,N(V_L1_Cuotas),-N(V_L1_Monto))-BH$228),0)*BH$9</f>
        <v>60295.5221379312</v>
      </c>
      <c r="BI229" s="34" t="n">
        <f aca="false">IF(AND((56-N(V_L1_Mes)+1)&gt;N(V_L1_Gracia),(56-N(V_L1_Mes)+1)&lt;=N(V_L1_Gracia)+N(V_L1_Cuotas),N(V_L1_Cuotas)&gt;0),IF((56-N(V_L1_Mes)+1)=N(V_L1_Gracia)+N(V_L1_Cuotas),IF((56-N(V_L1_Mes)+1)=1,N(V_L1_Monto),BH$230),PMT(N(V_L1_Tasa)/12,N(V_L1_Cuotas),-N(V_L1_Monto))-BI$228),0)*BI$9</f>
        <v>60747.7385539656</v>
      </c>
      <c r="BJ229" s="34" t="n">
        <f aca="false">IF(AND((57-N(V_L1_Mes)+1)&gt;N(V_L1_Gracia),(57-N(V_L1_Mes)+1)&lt;=N(V_L1_Gracia)+N(V_L1_Cuotas),N(V_L1_Cuotas)&gt;0),IF((57-N(V_L1_Mes)+1)=N(V_L1_Gracia)+N(V_L1_Cuotas),IF((57-N(V_L1_Mes)+1)=1,N(V_L1_Monto),BI$230),PMT(N(V_L1_Tasa)/12,N(V_L1_Cuotas),-N(V_L1_Monto))-BJ$228),0)*BJ$9</f>
        <v>61203.3465931204</v>
      </c>
      <c r="BK229" s="34" t="n">
        <f aca="false">IF(AND((58-N(V_L1_Mes)+1)&gt;N(V_L1_Gracia),(58-N(V_L1_Mes)+1)&lt;=N(V_L1_Gracia)+N(V_L1_Cuotas),N(V_L1_Cuotas)&gt;0),IF((58-N(V_L1_Mes)+1)=N(V_L1_Gracia)+N(V_L1_Cuotas),IF((58-N(V_L1_Mes)+1)=1,N(V_L1_Monto),BJ$230),PMT(N(V_L1_Tasa)/12,N(V_L1_Cuotas),-N(V_L1_Monto))-BK$228),0)*BK$9</f>
        <v>61662.3716925688</v>
      </c>
      <c r="BL229" s="34" t="n">
        <f aca="false">IF(AND((59-N(V_L1_Mes)+1)&gt;N(V_L1_Gracia),(59-N(V_L1_Mes)+1)&lt;=N(V_L1_Gracia)+N(V_L1_Cuotas),N(V_L1_Cuotas)&gt;0),IF((59-N(V_L1_Mes)+1)=N(V_L1_Gracia)+N(V_L1_Cuotas),IF((59-N(V_L1_Mes)+1)=1,N(V_L1_Monto),BK$230),PMT(N(V_L1_Tasa)/12,N(V_L1_Cuotas),-N(V_L1_Monto))-BL$228),0)*BL$9</f>
        <v>62124.839480263</v>
      </c>
      <c r="BM229" s="34" t="n">
        <f aca="false">IF(AND((60-N(V_L1_Mes)+1)&gt;N(V_L1_Gracia),(60-N(V_L1_Mes)+1)&lt;=N(V_L1_Gracia)+N(V_L1_Cuotas),N(V_L1_Cuotas)&gt;0),IF((60-N(V_L1_Mes)+1)=N(V_L1_Gracia)+N(V_L1_Cuotas),IF((60-N(V_L1_Mes)+1)=1,N(V_L1_Monto),BL$230),PMT(N(V_L1_Tasa)/12,N(V_L1_Cuotas),-N(V_L1_Monto))-BM$228),0)*BM$9</f>
        <v>62590.7757763667</v>
      </c>
      <c r="BN229" s="34" t="n">
        <f aca="false">IF(AND((61-N(V_L1_Mes)+1)&gt;N(V_L1_Gracia),(61-N(V_L1_Mes)+1)&lt;=N(V_L1_Gracia)+N(V_L1_Cuotas),N(V_L1_Cuotas)&gt;0),IF((61-N(V_L1_Mes)+1)=N(V_L1_Gracia)+N(V_L1_Cuotas),IF((61-N(V_L1_Mes)+1)=1,N(V_L1_Monto),BM$230),PMT(N(V_L1_Tasa)/12,N(V_L1_Cuotas),-N(V_L1_Monto))-BN$228),0)*BN$9</f>
        <v>0</v>
      </c>
      <c r="BO229" s="34" t="n">
        <f aca="false">IF(AND((62-N(V_L1_Mes)+1)&gt;N(V_L1_Gracia),(62-N(V_L1_Mes)+1)&lt;=N(V_L1_Gracia)+N(V_L1_Cuotas),N(V_L1_Cuotas)&gt;0),IF((62-N(V_L1_Mes)+1)=N(V_L1_Gracia)+N(V_L1_Cuotas),IF((62-N(V_L1_Mes)+1)=1,N(V_L1_Monto),BN$230),PMT(N(V_L1_Tasa)/12,N(V_L1_Cuotas),-N(V_L1_Monto))-BO$228),0)*BO$9</f>
        <v>0</v>
      </c>
      <c r="BP229" s="34" t="n">
        <f aca="false">IF(AND((63-N(V_L1_Mes)+1)&gt;N(V_L1_Gracia),(63-N(V_L1_Mes)+1)&lt;=N(V_L1_Gracia)+N(V_L1_Cuotas),N(V_L1_Cuotas)&gt;0),IF((63-N(V_L1_Mes)+1)=N(V_L1_Gracia)+N(V_L1_Cuotas),IF((63-N(V_L1_Mes)+1)=1,N(V_L1_Monto),BO$230),PMT(N(V_L1_Tasa)/12,N(V_L1_Cuotas),-N(V_L1_Monto))-BP$228),0)*BP$9</f>
        <v>0</v>
      </c>
      <c r="BQ229" s="34" t="n">
        <f aca="false">IF(AND((64-N(V_L1_Mes)+1)&gt;N(V_L1_Gracia),(64-N(V_L1_Mes)+1)&lt;=N(V_L1_Gracia)+N(V_L1_Cuotas),N(V_L1_Cuotas)&gt;0),IF((64-N(V_L1_Mes)+1)=N(V_L1_Gracia)+N(V_L1_Cuotas),IF((64-N(V_L1_Mes)+1)=1,N(V_L1_Monto),BP$230),PMT(N(V_L1_Tasa)/12,N(V_L1_Cuotas),-N(V_L1_Monto))-BQ$228),0)*BQ$9</f>
        <v>0</v>
      </c>
      <c r="BR229" s="34" t="n">
        <f aca="false">IF(AND((65-N(V_L1_Mes)+1)&gt;N(V_L1_Gracia),(65-N(V_L1_Mes)+1)&lt;=N(V_L1_Gracia)+N(V_L1_Cuotas),N(V_L1_Cuotas)&gt;0),IF((65-N(V_L1_Mes)+1)=N(V_L1_Gracia)+N(V_L1_Cuotas),IF((65-N(V_L1_Mes)+1)=1,N(V_L1_Monto),BQ$230),PMT(N(V_L1_Tasa)/12,N(V_L1_Cuotas),-N(V_L1_Monto))-BR$228),0)*BR$9</f>
        <v>0</v>
      </c>
      <c r="BS229" s="34" t="n">
        <f aca="false">IF(AND((66-N(V_L1_Mes)+1)&gt;N(V_L1_Gracia),(66-N(V_L1_Mes)+1)&lt;=N(V_L1_Gracia)+N(V_L1_Cuotas),N(V_L1_Cuotas)&gt;0),IF((66-N(V_L1_Mes)+1)=N(V_L1_Gracia)+N(V_L1_Cuotas),IF((66-N(V_L1_Mes)+1)=1,N(V_L1_Monto),BR$230),PMT(N(V_L1_Tasa)/12,N(V_L1_Cuotas),-N(V_L1_Monto))-BS$228),0)*BS$9</f>
        <v>0</v>
      </c>
      <c r="BT229" s="34" t="n">
        <f aca="false">IF(AND((67-N(V_L1_Mes)+1)&gt;N(V_L1_Gracia),(67-N(V_L1_Mes)+1)&lt;=N(V_L1_Gracia)+N(V_L1_Cuotas),N(V_L1_Cuotas)&gt;0),IF((67-N(V_L1_Mes)+1)=N(V_L1_Gracia)+N(V_L1_Cuotas),IF((67-N(V_L1_Mes)+1)=1,N(V_L1_Monto),BS$230),PMT(N(V_L1_Tasa)/12,N(V_L1_Cuotas),-N(V_L1_Monto))-BT$228),0)*BT$9</f>
        <v>0</v>
      </c>
      <c r="BU229" s="34" t="n">
        <f aca="false">IF(AND((68-N(V_L1_Mes)+1)&gt;N(V_L1_Gracia),(68-N(V_L1_Mes)+1)&lt;=N(V_L1_Gracia)+N(V_L1_Cuotas),N(V_L1_Cuotas)&gt;0),IF((68-N(V_L1_Mes)+1)=N(V_L1_Gracia)+N(V_L1_Cuotas),IF((68-N(V_L1_Mes)+1)=1,N(V_L1_Monto),BT$230),PMT(N(V_L1_Tasa)/12,N(V_L1_Cuotas),-N(V_L1_Monto))-BU$228),0)*BU$9</f>
        <v>0</v>
      </c>
      <c r="BV229" s="34" t="n">
        <f aca="false">IF(AND((69-N(V_L1_Mes)+1)&gt;N(V_L1_Gracia),(69-N(V_L1_Mes)+1)&lt;=N(V_L1_Gracia)+N(V_L1_Cuotas),N(V_L1_Cuotas)&gt;0),IF((69-N(V_L1_Mes)+1)=N(V_L1_Gracia)+N(V_L1_Cuotas),IF((69-N(V_L1_Mes)+1)=1,N(V_L1_Monto),BU$230),PMT(N(V_L1_Tasa)/12,N(V_L1_Cuotas),-N(V_L1_Monto))-BV$228),0)*BV$9</f>
        <v>0</v>
      </c>
      <c r="BW229" s="34" t="n">
        <f aca="false">IF(AND((70-N(V_L1_Mes)+1)&gt;N(V_L1_Gracia),(70-N(V_L1_Mes)+1)&lt;=N(V_L1_Gracia)+N(V_L1_Cuotas),N(V_L1_Cuotas)&gt;0),IF((70-N(V_L1_Mes)+1)=N(V_L1_Gracia)+N(V_L1_Cuotas),IF((70-N(V_L1_Mes)+1)=1,N(V_L1_Monto),BV$230),PMT(N(V_L1_Tasa)/12,N(V_L1_Cuotas),-N(V_L1_Monto))-BW$228),0)*BW$9</f>
        <v>0</v>
      </c>
      <c r="BX229" s="34" t="n">
        <f aca="false">IF(AND((71-N(V_L1_Mes)+1)&gt;N(V_L1_Gracia),(71-N(V_L1_Mes)+1)&lt;=N(V_L1_Gracia)+N(V_L1_Cuotas),N(V_L1_Cuotas)&gt;0),IF((71-N(V_L1_Mes)+1)=N(V_L1_Gracia)+N(V_L1_Cuotas),IF((71-N(V_L1_Mes)+1)=1,N(V_L1_Monto),BW$230),PMT(N(V_L1_Tasa)/12,N(V_L1_Cuotas),-N(V_L1_Monto))-BX$228),0)*BX$9</f>
        <v>0</v>
      </c>
      <c r="BY229" s="34" t="n">
        <f aca="false">IF(AND((72-N(V_L1_Mes)+1)&gt;N(V_L1_Gracia),(72-N(V_L1_Mes)+1)&lt;=N(V_L1_Gracia)+N(V_L1_Cuotas),N(V_L1_Cuotas)&gt;0),IF((72-N(V_L1_Mes)+1)=N(V_L1_Gracia)+N(V_L1_Cuotas),IF((72-N(V_L1_Mes)+1)=1,N(V_L1_Monto),BX$230),PMT(N(V_L1_Tasa)/12,N(V_L1_Cuotas),-N(V_L1_Monto))-BY$228),0)*BY$9</f>
        <v>0</v>
      </c>
      <c r="BZ229" s="34" t="n">
        <f aca="false">IF(AND((73-N(V_L1_Mes)+1)&gt;N(V_L1_Gracia),(73-N(V_L1_Mes)+1)&lt;=N(V_L1_Gracia)+N(V_L1_Cuotas),N(V_L1_Cuotas)&gt;0),IF((73-N(V_L1_Mes)+1)=N(V_L1_Gracia)+N(V_L1_Cuotas),IF((73-N(V_L1_Mes)+1)=1,N(V_L1_Monto),BY$230),PMT(N(V_L1_Tasa)/12,N(V_L1_Cuotas),-N(V_L1_Monto))-BZ$228),0)*BZ$9</f>
        <v>0</v>
      </c>
      <c r="CA229" s="34" t="n">
        <f aca="false">IF(AND((74-N(V_L1_Mes)+1)&gt;N(V_L1_Gracia),(74-N(V_L1_Mes)+1)&lt;=N(V_L1_Gracia)+N(V_L1_Cuotas),N(V_L1_Cuotas)&gt;0),IF((74-N(V_L1_Mes)+1)=N(V_L1_Gracia)+N(V_L1_Cuotas),IF((74-N(V_L1_Mes)+1)=1,N(V_L1_Monto),BZ$230),PMT(N(V_L1_Tasa)/12,N(V_L1_Cuotas),-N(V_L1_Monto))-CA$228),0)*CA$9</f>
        <v>0</v>
      </c>
      <c r="CB229" s="34" t="n">
        <f aca="false">IF(AND((75-N(V_L1_Mes)+1)&gt;N(V_L1_Gracia),(75-N(V_L1_Mes)+1)&lt;=N(V_L1_Gracia)+N(V_L1_Cuotas),N(V_L1_Cuotas)&gt;0),IF((75-N(V_L1_Mes)+1)=N(V_L1_Gracia)+N(V_L1_Cuotas),IF((75-N(V_L1_Mes)+1)=1,N(V_L1_Monto),CA$230),PMT(N(V_L1_Tasa)/12,N(V_L1_Cuotas),-N(V_L1_Monto))-CB$228),0)*CB$9</f>
        <v>0</v>
      </c>
      <c r="CC229" s="34" t="n">
        <f aca="false">IF(AND((76-N(V_L1_Mes)+1)&gt;N(V_L1_Gracia),(76-N(V_L1_Mes)+1)&lt;=N(V_L1_Gracia)+N(V_L1_Cuotas),N(V_L1_Cuotas)&gt;0),IF((76-N(V_L1_Mes)+1)=N(V_L1_Gracia)+N(V_L1_Cuotas),IF((76-N(V_L1_Mes)+1)=1,N(V_L1_Monto),CB$230),PMT(N(V_L1_Tasa)/12,N(V_L1_Cuotas),-N(V_L1_Monto))-CC$228),0)*CC$9</f>
        <v>0</v>
      </c>
      <c r="CD229" s="34" t="n">
        <f aca="false">IF(AND((77-N(V_L1_Mes)+1)&gt;N(V_L1_Gracia),(77-N(V_L1_Mes)+1)&lt;=N(V_L1_Gracia)+N(V_L1_Cuotas),N(V_L1_Cuotas)&gt;0),IF((77-N(V_L1_Mes)+1)=N(V_L1_Gracia)+N(V_L1_Cuotas),IF((77-N(V_L1_Mes)+1)=1,N(V_L1_Monto),CC$230),PMT(N(V_L1_Tasa)/12,N(V_L1_Cuotas),-N(V_L1_Monto))-CD$228),0)*CD$9</f>
        <v>0</v>
      </c>
      <c r="CE229" s="34" t="n">
        <f aca="false">IF(AND((78-N(V_L1_Mes)+1)&gt;N(V_L1_Gracia),(78-N(V_L1_Mes)+1)&lt;=N(V_L1_Gracia)+N(V_L1_Cuotas),N(V_L1_Cuotas)&gt;0),IF((78-N(V_L1_Mes)+1)=N(V_L1_Gracia)+N(V_L1_Cuotas),IF((78-N(V_L1_Mes)+1)=1,N(V_L1_Monto),CD$230),PMT(N(V_L1_Tasa)/12,N(V_L1_Cuotas),-N(V_L1_Monto))-CE$228),0)*CE$9</f>
        <v>0</v>
      </c>
      <c r="CF229" s="34" t="n">
        <f aca="false">IF(AND((79-N(V_L1_Mes)+1)&gt;N(V_L1_Gracia),(79-N(V_L1_Mes)+1)&lt;=N(V_L1_Gracia)+N(V_L1_Cuotas),N(V_L1_Cuotas)&gt;0),IF((79-N(V_L1_Mes)+1)=N(V_L1_Gracia)+N(V_L1_Cuotas),IF((79-N(V_L1_Mes)+1)=1,N(V_L1_Monto),CE$230),PMT(N(V_L1_Tasa)/12,N(V_L1_Cuotas),-N(V_L1_Monto))-CF$228),0)*CF$9</f>
        <v>0</v>
      </c>
      <c r="CG229" s="34" t="n">
        <f aca="false">IF(AND((80-N(V_L1_Mes)+1)&gt;N(V_L1_Gracia),(80-N(V_L1_Mes)+1)&lt;=N(V_L1_Gracia)+N(V_L1_Cuotas),N(V_L1_Cuotas)&gt;0),IF((80-N(V_L1_Mes)+1)=N(V_L1_Gracia)+N(V_L1_Cuotas),IF((80-N(V_L1_Mes)+1)=1,N(V_L1_Monto),CF$230),PMT(N(V_L1_Tasa)/12,N(V_L1_Cuotas),-N(V_L1_Monto))-CG$228),0)*CG$9</f>
        <v>0</v>
      </c>
      <c r="CH229" s="34" t="n">
        <f aca="false">IF(AND((81-N(V_L1_Mes)+1)&gt;N(V_L1_Gracia),(81-N(V_L1_Mes)+1)&lt;=N(V_L1_Gracia)+N(V_L1_Cuotas),N(V_L1_Cuotas)&gt;0),IF((81-N(V_L1_Mes)+1)=N(V_L1_Gracia)+N(V_L1_Cuotas),IF((81-N(V_L1_Mes)+1)=1,N(V_L1_Monto),CG$230),PMT(N(V_L1_Tasa)/12,N(V_L1_Cuotas),-N(V_L1_Monto))-CH$228),0)*CH$9</f>
        <v>0</v>
      </c>
      <c r="CI229" s="34" t="n">
        <f aca="false">IF(AND((82-N(V_L1_Mes)+1)&gt;N(V_L1_Gracia),(82-N(V_L1_Mes)+1)&lt;=N(V_L1_Gracia)+N(V_L1_Cuotas),N(V_L1_Cuotas)&gt;0),IF((82-N(V_L1_Mes)+1)=N(V_L1_Gracia)+N(V_L1_Cuotas),IF((82-N(V_L1_Mes)+1)=1,N(V_L1_Monto),CH$230),PMT(N(V_L1_Tasa)/12,N(V_L1_Cuotas),-N(V_L1_Monto))-CI$228),0)*CI$9</f>
        <v>0</v>
      </c>
      <c r="CJ229" s="34" t="n">
        <f aca="false">IF(AND((83-N(V_L1_Mes)+1)&gt;N(V_L1_Gracia),(83-N(V_L1_Mes)+1)&lt;=N(V_L1_Gracia)+N(V_L1_Cuotas),N(V_L1_Cuotas)&gt;0),IF((83-N(V_L1_Mes)+1)=N(V_L1_Gracia)+N(V_L1_Cuotas),IF((83-N(V_L1_Mes)+1)=1,N(V_L1_Monto),CI$230),PMT(N(V_L1_Tasa)/12,N(V_L1_Cuotas),-N(V_L1_Monto))-CJ$228),0)*CJ$9</f>
        <v>0</v>
      </c>
      <c r="CK229" s="34" t="n">
        <f aca="false">IF(AND((84-N(V_L1_Mes)+1)&gt;N(V_L1_Gracia),(84-N(V_L1_Mes)+1)&lt;=N(V_L1_Gracia)+N(V_L1_Cuotas),N(V_L1_Cuotas)&gt;0),IF((84-N(V_L1_Mes)+1)=N(V_L1_Gracia)+N(V_L1_Cuotas),IF((84-N(V_L1_Mes)+1)=1,N(V_L1_Monto),CJ$230),PMT(N(V_L1_Tasa)/12,N(V_L1_Cuotas),-N(V_L1_Monto))-CK$228),0)*CK$9</f>
        <v>0</v>
      </c>
      <c r="CL229" s="34" t="n">
        <f aca="false">IF(AND((85-N(V_L1_Mes)+1)&gt;N(V_L1_Gracia),(85-N(V_L1_Mes)+1)&lt;=N(V_L1_Gracia)+N(V_L1_Cuotas),N(V_L1_Cuotas)&gt;0),IF((85-N(V_L1_Mes)+1)=N(V_L1_Gracia)+N(V_L1_Cuotas),IF((85-N(V_L1_Mes)+1)=1,N(V_L1_Monto),CK$230),PMT(N(V_L1_Tasa)/12,N(V_L1_Cuotas),-N(V_L1_Monto))-CL$228),0)*CL$9</f>
        <v>0</v>
      </c>
      <c r="CM229" s="34" t="n">
        <f aca="false">IF(AND((86-N(V_L1_Mes)+1)&gt;N(V_L1_Gracia),(86-N(V_L1_Mes)+1)&lt;=N(V_L1_Gracia)+N(V_L1_Cuotas),N(V_L1_Cuotas)&gt;0),IF((86-N(V_L1_Mes)+1)=N(V_L1_Gracia)+N(V_L1_Cuotas),IF((86-N(V_L1_Mes)+1)=1,N(V_L1_Monto),CL$230),PMT(N(V_L1_Tasa)/12,N(V_L1_Cuotas),-N(V_L1_Monto))-CM$228),0)*CM$9</f>
        <v>0</v>
      </c>
      <c r="CN229" s="34" t="n">
        <f aca="false">IF(AND((87-N(V_L1_Mes)+1)&gt;N(V_L1_Gracia),(87-N(V_L1_Mes)+1)&lt;=N(V_L1_Gracia)+N(V_L1_Cuotas),N(V_L1_Cuotas)&gt;0),IF((87-N(V_L1_Mes)+1)=N(V_L1_Gracia)+N(V_L1_Cuotas),IF((87-N(V_L1_Mes)+1)=1,N(V_L1_Monto),CM$230),PMT(N(V_L1_Tasa)/12,N(V_L1_Cuotas),-N(V_L1_Monto))-CN$228),0)*CN$9</f>
        <v>0</v>
      </c>
      <c r="CO229" s="34" t="n">
        <f aca="false">IF(AND((88-N(V_L1_Mes)+1)&gt;N(V_L1_Gracia),(88-N(V_L1_Mes)+1)&lt;=N(V_L1_Gracia)+N(V_L1_Cuotas),N(V_L1_Cuotas)&gt;0),IF((88-N(V_L1_Mes)+1)=N(V_L1_Gracia)+N(V_L1_Cuotas),IF((88-N(V_L1_Mes)+1)=1,N(V_L1_Monto),CN$230),PMT(N(V_L1_Tasa)/12,N(V_L1_Cuotas),-N(V_L1_Monto))-CO$228),0)*CO$9</f>
        <v>0</v>
      </c>
      <c r="CP229" s="34" t="n">
        <f aca="false">IF(AND((89-N(V_L1_Mes)+1)&gt;N(V_L1_Gracia),(89-N(V_L1_Mes)+1)&lt;=N(V_L1_Gracia)+N(V_L1_Cuotas),N(V_L1_Cuotas)&gt;0),IF((89-N(V_L1_Mes)+1)=N(V_L1_Gracia)+N(V_L1_Cuotas),IF((89-N(V_L1_Mes)+1)=1,N(V_L1_Monto),CO$230),PMT(N(V_L1_Tasa)/12,N(V_L1_Cuotas),-N(V_L1_Monto))-CP$228),0)*CP$9</f>
        <v>0</v>
      </c>
      <c r="CQ229" s="34" t="n">
        <f aca="false">IF(AND((90-N(V_L1_Mes)+1)&gt;N(V_L1_Gracia),(90-N(V_L1_Mes)+1)&lt;=N(V_L1_Gracia)+N(V_L1_Cuotas),N(V_L1_Cuotas)&gt;0),IF((90-N(V_L1_Mes)+1)=N(V_L1_Gracia)+N(V_L1_Cuotas),IF((90-N(V_L1_Mes)+1)=1,N(V_L1_Monto),CP$230),PMT(N(V_L1_Tasa)/12,N(V_L1_Cuotas),-N(V_L1_Monto))-CQ$228),0)*CQ$9</f>
        <v>0</v>
      </c>
      <c r="CR229" s="34" t="n">
        <f aca="false">IF(AND((91-N(V_L1_Mes)+1)&gt;N(V_L1_Gracia),(91-N(V_L1_Mes)+1)&lt;=N(V_L1_Gracia)+N(V_L1_Cuotas),N(V_L1_Cuotas)&gt;0),IF((91-N(V_L1_Mes)+1)=N(V_L1_Gracia)+N(V_L1_Cuotas),IF((91-N(V_L1_Mes)+1)=1,N(V_L1_Monto),CQ$230),PMT(N(V_L1_Tasa)/12,N(V_L1_Cuotas),-N(V_L1_Monto))-CR$228),0)*CR$9</f>
        <v>0</v>
      </c>
      <c r="CS229" s="34" t="n">
        <f aca="false">IF(AND((92-N(V_L1_Mes)+1)&gt;N(V_L1_Gracia),(92-N(V_L1_Mes)+1)&lt;=N(V_L1_Gracia)+N(V_L1_Cuotas),N(V_L1_Cuotas)&gt;0),IF((92-N(V_L1_Mes)+1)=N(V_L1_Gracia)+N(V_L1_Cuotas),IF((92-N(V_L1_Mes)+1)=1,N(V_L1_Monto),CR$230),PMT(N(V_L1_Tasa)/12,N(V_L1_Cuotas),-N(V_L1_Monto))-CS$228),0)*CS$9</f>
        <v>0</v>
      </c>
      <c r="CT229" s="34" t="n">
        <f aca="false">IF(AND((93-N(V_L1_Mes)+1)&gt;N(V_L1_Gracia),(93-N(V_L1_Mes)+1)&lt;=N(V_L1_Gracia)+N(V_L1_Cuotas),N(V_L1_Cuotas)&gt;0),IF((93-N(V_L1_Mes)+1)=N(V_L1_Gracia)+N(V_L1_Cuotas),IF((93-N(V_L1_Mes)+1)=1,N(V_L1_Monto),CS$230),PMT(N(V_L1_Tasa)/12,N(V_L1_Cuotas),-N(V_L1_Monto))-CT$228),0)*CT$9</f>
        <v>0</v>
      </c>
      <c r="CU229" s="34" t="n">
        <f aca="false">IF(AND((94-N(V_L1_Mes)+1)&gt;N(V_L1_Gracia),(94-N(V_L1_Mes)+1)&lt;=N(V_L1_Gracia)+N(V_L1_Cuotas),N(V_L1_Cuotas)&gt;0),IF((94-N(V_L1_Mes)+1)=N(V_L1_Gracia)+N(V_L1_Cuotas),IF((94-N(V_L1_Mes)+1)=1,N(V_L1_Monto),CT$230),PMT(N(V_L1_Tasa)/12,N(V_L1_Cuotas),-N(V_L1_Monto))-CU$228),0)*CU$9</f>
        <v>0</v>
      </c>
      <c r="CV229" s="34" t="n">
        <f aca="false">IF(AND((95-N(V_L1_Mes)+1)&gt;N(V_L1_Gracia),(95-N(V_L1_Mes)+1)&lt;=N(V_L1_Gracia)+N(V_L1_Cuotas),N(V_L1_Cuotas)&gt;0),IF((95-N(V_L1_Mes)+1)=N(V_L1_Gracia)+N(V_L1_Cuotas),IF((95-N(V_L1_Mes)+1)=1,N(V_L1_Monto),CU$230),PMT(N(V_L1_Tasa)/12,N(V_L1_Cuotas),-N(V_L1_Monto))-CV$228),0)*CV$9</f>
        <v>0</v>
      </c>
      <c r="CW229" s="34" t="n">
        <f aca="false">IF(AND((96-N(V_L1_Mes)+1)&gt;N(V_L1_Gracia),(96-N(V_L1_Mes)+1)&lt;=N(V_L1_Gracia)+N(V_L1_Cuotas),N(V_L1_Cuotas)&gt;0),IF((96-N(V_L1_Mes)+1)=N(V_L1_Gracia)+N(V_L1_Cuotas),IF((96-N(V_L1_Mes)+1)=1,N(V_L1_Monto),CV$230),PMT(N(V_L1_Tasa)/12,N(V_L1_Cuotas),-N(V_L1_Monto))-CW$228),0)*CW$9</f>
        <v>0</v>
      </c>
      <c r="CX229" s="34" t="n">
        <f aca="false">IF(AND((97-N(V_L1_Mes)+1)&gt;N(V_L1_Gracia),(97-N(V_L1_Mes)+1)&lt;=N(V_L1_Gracia)+N(V_L1_Cuotas),N(V_L1_Cuotas)&gt;0),IF((97-N(V_L1_Mes)+1)=N(V_L1_Gracia)+N(V_L1_Cuotas),IF((97-N(V_L1_Mes)+1)=1,N(V_L1_Monto),CW$230),PMT(N(V_L1_Tasa)/12,N(V_L1_Cuotas),-N(V_L1_Monto))-CX$228),0)*CX$9</f>
        <v>0</v>
      </c>
      <c r="CY229" s="34" t="n">
        <f aca="false">IF(AND((98-N(V_L1_Mes)+1)&gt;N(V_L1_Gracia),(98-N(V_L1_Mes)+1)&lt;=N(V_L1_Gracia)+N(V_L1_Cuotas),N(V_L1_Cuotas)&gt;0),IF((98-N(V_L1_Mes)+1)=N(V_L1_Gracia)+N(V_L1_Cuotas),IF((98-N(V_L1_Mes)+1)=1,N(V_L1_Monto),CX$230),PMT(N(V_L1_Tasa)/12,N(V_L1_Cuotas),-N(V_L1_Monto))-CY$228),0)*CY$9</f>
        <v>0</v>
      </c>
      <c r="CZ229" s="34" t="n">
        <f aca="false">IF(AND((99-N(V_L1_Mes)+1)&gt;N(V_L1_Gracia),(99-N(V_L1_Mes)+1)&lt;=N(V_L1_Gracia)+N(V_L1_Cuotas),N(V_L1_Cuotas)&gt;0),IF((99-N(V_L1_Mes)+1)=N(V_L1_Gracia)+N(V_L1_Cuotas),IF((99-N(V_L1_Mes)+1)=1,N(V_L1_Monto),CY$230),PMT(N(V_L1_Tasa)/12,N(V_L1_Cuotas),-N(V_L1_Monto))-CZ$228),0)*CZ$9</f>
        <v>0</v>
      </c>
      <c r="DA229" s="34" t="n">
        <f aca="false">IF(AND((100-N(V_L1_Mes)+1)&gt;N(V_L1_Gracia),(100-N(V_L1_Mes)+1)&lt;=N(V_L1_Gracia)+N(V_L1_Cuotas),N(V_L1_Cuotas)&gt;0),IF((100-N(V_L1_Mes)+1)=N(V_L1_Gracia)+N(V_L1_Cuotas),IF((100-N(V_L1_Mes)+1)=1,N(V_L1_Monto),CZ$230),PMT(N(V_L1_Tasa)/12,N(V_L1_Cuotas),-N(V_L1_Monto))-DA$228),0)*DA$9</f>
        <v>0</v>
      </c>
      <c r="DB229" s="34" t="n">
        <f aca="false">IF(AND((101-N(V_L1_Mes)+1)&gt;N(V_L1_Gracia),(101-N(V_L1_Mes)+1)&lt;=N(V_L1_Gracia)+N(V_L1_Cuotas),N(V_L1_Cuotas)&gt;0),IF((101-N(V_L1_Mes)+1)=N(V_L1_Gracia)+N(V_L1_Cuotas),IF((101-N(V_L1_Mes)+1)=1,N(V_L1_Monto),DA$230),PMT(N(V_L1_Tasa)/12,N(V_L1_Cuotas),-N(V_L1_Monto))-DB$228),0)*DB$9</f>
        <v>0</v>
      </c>
      <c r="DC229" s="34" t="n">
        <f aca="false">IF(AND((102-N(V_L1_Mes)+1)&gt;N(V_L1_Gracia),(102-N(V_L1_Mes)+1)&lt;=N(V_L1_Gracia)+N(V_L1_Cuotas),N(V_L1_Cuotas)&gt;0),IF((102-N(V_L1_Mes)+1)=N(V_L1_Gracia)+N(V_L1_Cuotas),IF((102-N(V_L1_Mes)+1)=1,N(V_L1_Monto),DB$230),PMT(N(V_L1_Tasa)/12,N(V_L1_Cuotas),-N(V_L1_Monto))-DC$228),0)*DC$9</f>
        <v>0</v>
      </c>
      <c r="DD229" s="34" t="n">
        <f aca="false">IF(AND((103-N(V_L1_Mes)+1)&gt;N(V_L1_Gracia),(103-N(V_L1_Mes)+1)&lt;=N(V_L1_Gracia)+N(V_L1_Cuotas),N(V_L1_Cuotas)&gt;0),IF((103-N(V_L1_Mes)+1)=N(V_L1_Gracia)+N(V_L1_Cuotas),IF((103-N(V_L1_Mes)+1)=1,N(V_L1_Monto),DC$230),PMT(N(V_L1_Tasa)/12,N(V_L1_Cuotas),-N(V_L1_Monto))-DD$228),0)*DD$9</f>
        <v>0</v>
      </c>
      <c r="DE229" s="34" t="n">
        <f aca="false">IF(AND((104-N(V_L1_Mes)+1)&gt;N(V_L1_Gracia),(104-N(V_L1_Mes)+1)&lt;=N(V_L1_Gracia)+N(V_L1_Cuotas),N(V_L1_Cuotas)&gt;0),IF((104-N(V_L1_Mes)+1)=N(V_L1_Gracia)+N(V_L1_Cuotas),IF((104-N(V_L1_Mes)+1)=1,N(V_L1_Monto),DD$230),PMT(N(V_L1_Tasa)/12,N(V_L1_Cuotas),-N(V_L1_Monto))-DE$228),0)*DE$9</f>
        <v>0</v>
      </c>
      <c r="DF229" s="34" t="n">
        <f aca="false">IF(AND((105-N(V_L1_Mes)+1)&gt;N(V_L1_Gracia),(105-N(V_L1_Mes)+1)&lt;=N(V_L1_Gracia)+N(V_L1_Cuotas),N(V_L1_Cuotas)&gt;0),IF((105-N(V_L1_Mes)+1)=N(V_L1_Gracia)+N(V_L1_Cuotas),IF((105-N(V_L1_Mes)+1)=1,N(V_L1_Monto),DE$230),PMT(N(V_L1_Tasa)/12,N(V_L1_Cuotas),-N(V_L1_Monto))-DF$228),0)*DF$9</f>
        <v>0</v>
      </c>
      <c r="DG229" s="34" t="n">
        <f aca="false">IF(AND((106-N(V_L1_Mes)+1)&gt;N(V_L1_Gracia),(106-N(V_L1_Mes)+1)&lt;=N(V_L1_Gracia)+N(V_L1_Cuotas),N(V_L1_Cuotas)&gt;0),IF((106-N(V_L1_Mes)+1)=N(V_L1_Gracia)+N(V_L1_Cuotas),IF((106-N(V_L1_Mes)+1)=1,N(V_L1_Monto),DF$230),PMT(N(V_L1_Tasa)/12,N(V_L1_Cuotas),-N(V_L1_Monto))-DG$228),0)*DG$9</f>
        <v>0</v>
      </c>
      <c r="DH229" s="34" t="n">
        <f aca="false">IF(AND((107-N(V_L1_Mes)+1)&gt;N(V_L1_Gracia),(107-N(V_L1_Mes)+1)&lt;=N(V_L1_Gracia)+N(V_L1_Cuotas),N(V_L1_Cuotas)&gt;0),IF((107-N(V_L1_Mes)+1)=N(V_L1_Gracia)+N(V_L1_Cuotas),IF((107-N(V_L1_Mes)+1)=1,N(V_L1_Monto),DG$230),PMT(N(V_L1_Tasa)/12,N(V_L1_Cuotas),-N(V_L1_Monto))-DH$228),0)*DH$9</f>
        <v>0</v>
      </c>
      <c r="DI229" s="34" t="n">
        <f aca="false">IF(AND((108-N(V_L1_Mes)+1)&gt;N(V_L1_Gracia),(108-N(V_L1_Mes)+1)&lt;=N(V_L1_Gracia)+N(V_L1_Cuotas),N(V_L1_Cuotas)&gt;0),IF((108-N(V_L1_Mes)+1)=N(V_L1_Gracia)+N(V_L1_Cuotas),IF((108-N(V_L1_Mes)+1)=1,N(V_L1_Monto),DH$230),PMT(N(V_L1_Tasa)/12,N(V_L1_Cuotas),-N(V_L1_Monto))-DI$228),0)*DI$9</f>
        <v>0</v>
      </c>
      <c r="DJ229" s="34" t="n">
        <f aca="false">IF(AND((109-N(V_L1_Mes)+1)&gt;N(V_L1_Gracia),(109-N(V_L1_Mes)+1)&lt;=N(V_L1_Gracia)+N(V_L1_Cuotas),N(V_L1_Cuotas)&gt;0),IF((109-N(V_L1_Mes)+1)=N(V_L1_Gracia)+N(V_L1_Cuotas),IF((109-N(V_L1_Mes)+1)=1,N(V_L1_Monto),DI$230),PMT(N(V_L1_Tasa)/12,N(V_L1_Cuotas),-N(V_L1_Monto))-DJ$228),0)*DJ$9</f>
        <v>0</v>
      </c>
      <c r="DK229" s="34" t="n">
        <f aca="false">IF(AND((110-N(V_L1_Mes)+1)&gt;N(V_L1_Gracia),(110-N(V_L1_Mes)+1)&lt;=N(V_L1_Gracia)+N(V_L1_Cuotas),N(V_L1_Cuotas)&gt;0),IF((110-N(V_L1_Mes)+1)=N(V_L1_Gracia)+N(V_L1_Cuotas),IF((110-N(V_L1_Mes)+1)=1,N(V_L1_Monto),DJ$230),PMT(N(V_L1_Tasa)/12,N(V_L1_Cuotas),-N(V_L1_Monto))-DK$228),0)*DK$9</f>
        <v>0</v>
      </c>
      <c r="DL229" s="34" t="n">
        <f aca="false">IF(AND((111-N(V_L1_Mes)+1)&gt;N(V_L1_Gracia),(111-N(V_L1_Mes)+1)&lt;=N(V_L1_Gracia)+N(V_L1_Cuotas),N(V_L1_Cuotas)&gt;0),IF((111-N(V_L1_Mes)+1)=N(V_L1_Gracia)+N(V_L1_Cuotas),IF((111-N(V_L1_Mes)+1)=1,N(V_L1_Monto),DK$230),PMT(N(V_L1_Tasa)/12,N(V_L1_Cuotas),-N(V_L1_Monto))-DL$228),0)*DL$9</f>
        <v>0</v>
      </c>
      <c r="DM229" s="34" t="n">
        <f aca="false">IF(AND((112-N(V_L1_Mes)+1)&gt;N(V_L1_Gracia),(112-N(V_L1_Mes)+1)&lt;=N(V_L1_Gracia)+N(V_L1_Cuotas),N(V_L1_Cuotas)&gt;0),IF((112-N(V_L1_Mes)+1)=N(V_L1_Gracia)+N(V_L1_Cuotas),IF((112-N(V_L1_Mes)+1)=1,N(V_L1_Monto),DL$230),PMT(N(V_L1_Tasa)/12,N(V_L1_Cuotas),-N(V_L1_Monto))-DM$228),0)*DM$9</f>
        <v>0</v>
      </c>
      <c r="DN229" s="34" t="n">
        <f aca="false">IF(AND((113-N(V_L1_Mes)+1)&gt;N(V_L1_Gracia),(113-N(V_L1_Mes)+1)&lt;=N(V_L1_Gracia)+N(V_L1_Cuotas),N(V_L1_Cuotas)&gt;0),IF((113-N(V_L1_Mes)+1)=N(V_L1_Gracia)+N(V_L1_Cuotas),IF((113-N(V_L1_Mes)+1)=1,N(V_L1_Monto),DM$230),PMT(N(V_L1_Tasa)/12,N(V_L1_Cuotas),-N(V_L1_Monto))-DN$228),0)*DN$9</f>
        <v>0</v>
      </c>
      <c r="DO229" s="34" t="n">
        <f aca="false">IF(AND((114-N(V_L1_Mes)+1)&gt;N(V_L1_Gracia),(114-N(V_L1_Mes)+1)&lt;=N(V_L1_Gracia)+N(V_L1_Cuotas),N(V_L1_Cuotas)&gt;0),IF((114-N(V_L1_Mes)+1)=N(V_L1_Gracia)+N(V_L1_Cuotas),IF((114-N(V_L1_Mes)+1)=1,N(V_L1_Monto),DN$230),PMT(N(V_L1_Tasa)/12,N(V_L1_Cuotas),-N(V_L1_Monto))-DO$228),0)*DO$9</f>
        <v>0</v>
      </c>
      <c r="DP229" s="34" t="n">
        <f aca="false">IF(AND((115-N(V_L1_Mes)+1)&gt;N(V_L1_Gracia),(115-N(V_L1_Mes)+1)&lt;=N(V_L1_Gracia)+N(V_L1_Cuotas),N(V_L1_Cuotas)&gt;0),IF((115-N(V_L1_Mes)+1)=N(V_L1_Gracia)+N(V_L1_Cuotas),IF((115-N(V_L1_Mes)+1)=1,N(V_L1_Monto),DO$230),PMT(N(V_L1_Tasa)/12,N(V_L1_Cuotas),-N(V_L1_Monto))-DP$228),0)*DP$9</f>
        <v>0</v>
      </c>
      <c r="DQ229" s="34" t="n">
        <f aca="false">IF(AND((116-N(V_L1_Mes)+1)&gt;N(V_L1_Gracia),(116-N(V_L1_Mes)+1)&lt;=N(V_L1_Gracia)+N(V_L1_Cuotas),N(V_L1_Cuotas)&gt;0),IF((116-N(V_L1_Mes)+1)=N(V_L1_Gracia)+N(V_L1_Cuotas),IF((116-N(V_L1_Mes)+1)=1,N(V_L1_Monto),DP$230),PMT(N(V_L1_Tasa)/12,N(V_L1_Cuotas),-N(V_L1_Monto))-DQ$228),0)*DQ$9</f>
        <v>0</v>
      </c>
      <c r="DR229" s="34" t="n">
        <f aca="false">IF(AND((117-N(V_L1_Mes)+1)&gt;N(V_L1_Gracia),(117-N(V_L1_Mes)+1)&lt;=N(V_L1_Gracia)+N(V_L1_Cuotas),N(V_L1_Cuotas)&gt;0),IF((117-N(V_L1_Mes)+1)=N(V_L1_Gracia)+N(V_L1_Cuotas),IF((117-N(V_L1_Mes)+1)=1,N(V_L1_Monto),DQ$230),PMT(N(V_L1_Tasa)/12,N(V_L1_Cuotas),-N(V_L1_Monto))-DR$228),0)*DR$9</f>
        <v>0</v>
      </c>
      <c r="DS229" s="34" t="n">
        <f aca="false">IF(AND((118-N(V_L1_Mes)+1)&gt;N(V_L1_Gracia),(118-N(V_L1_Mes)+1)&lt;=N(V_L1_Gracia)+N(V_L1_Cuotas),N(V_L1_Cuotas)&gt;0),IF((118-N(V_L1_Mes)+1)=N(V_L1_Gracia)+N(V_L1_Cuotas),IF((118-N(V_L1_Mes)+1)=1,N(V_L1_Monto),DR$230),PMT(N(V_L1_Tasa)/12,N(V_L1_Cuotas),-N(V_L1_Monto))-DS$228),0)*DS$9</f>
        <v>0</v>
      </c>
      <c r="DT229" s="34" t="n">
        <f aca="false">IF(AND((119-N(V_L1_Mes)+1)&gt;N(V_L1_Gracia),(119-N(V_L1_Mes)+1)&lt;=N(V_L1_Gracia)+N(V_L1_Cuotas),N(V_L1_Cuotas)&gt;0),IF((119-N(V_L1_Mes)+1)=N(V_L1_Gracia)+N(V_L1_Cuotas),IF((119-N(V_L1_Mes)+1)=1,N(V_L1_Monto),DS$230),PMT(N(V_L1_Tasa)/12,N(V_L1_Cuotas),-N(V_L1_Monto))-DT$228),0)*DT$9</f>
        <v>0</v>
      </c>
      <c r="DU229" s="34" t="n">
        <f aca="false">IF(AND((120-N(V_L1_Mes)+1)&gt;N(V_L1_Gracia),(120-N(V_L1_Mes)+1)&lt;=N(V_L1_Gracia)+N(V_L1_Cuotas),N(V_L1_Cuotas)&gt;0),IF((120-N(V_L1_Mes)+1)=N(V_L1_Gracia)+N(V_L1_Cuotas),IF((120-N(V_L1_Mes)+1)=1,N(V_L1_Monto),DT$230),PMT(N(V_L1_Tasa)/12,N(V_L1_Cuotas),-N(V_L1_Monto))-DU$228),0)*DU$9</f>
        <v>0</v>
      </c>
      <c r="DV229" s="34" t="n">
        <f aca="false">IF(AND((121-N(V_L1_Mes)+1)&gt;N(V_L1_Gracia),(121-N(V_L1_Mes)+1)&lt;=N(V_L1_Gracia)+N(V_L1_Cuotas),N(V_L1_Cuotas)&gt;0),IF((121-N(V_L1_Mes)+1)=N(V_L1_Gracia)+N(V_L1_Cuotas),IF((121-N(V_L1_Mes)+1)=1,N(V_L1_Monto),DU$230),PMT(N(V_L1_Tasa)/12,N(V_L1_Cuotas),-N(V_L1_Monto))-DV$228),0)*DV$9</f>
        <v>0</v>
      </c>
      <c r="DW229" s="34" t="n">
        <f aca="false">IF(AND((122-N(V_L1_Mes)+1)&gt;N(V_L1_Gracia),(122-N(V_L1_Mes)+1)&lt;=N(V_L1_Gracia)+N(V_L1_Cuotas),N(V_L1_Cuotas)&gt;0),IF((122-N(V_L1_Mes)+1)=N(V_L1_Gracia)+N(V_L1_Cuotas),IF((122-N(V_L1_Mes)+1)=1,N(V_L1_Monto),DV$230),PMT(N(V_L1_Tasa)/12,N(V_L1_Cuotas),-N(V_L1_Monto))-DW$228),0)*DW$9</f>
        <v>0</v>
      </c>
      <c r="DX229" s="34" t="n">
        <f aca="false">IF(AND((123-N(V_L1_Mes)+1)&gt;N(V_L1_Gracia),(123-N(V_L1_Mes)+1)&lt;=N(V_L1_Gracia)+N(V_L1_Cuotas),N(V_L1_Cuotas)&gt;0),IF((123-N(V_L1_Mes)+1)=N(V_L1_Gracia)+N(V_L1_Cuotas),IF((123-N(V_L1_Mes)+1)=1,N(V_L1_Monto),DW$230),PMT(N(V_L1_Tasa)/12,N(V_L1_Cuotas),-N(V_L1_Monto))-DX$228),0)*DX$9</f>
        <v>0</v>
      </c>
      <c r="DY229" s="34" t="n">
        <f aca="false">IF(AND((124-N(V_L1_Mes)+1)&gt;N(V_L1_Gracia),(124-N(V_L1_Mes)+1)&lt;=N(V_L1_Gracia)+N(V_L1_Cuotas),N(V_L1_Cuotas)&gt;0),IF((124-N(V_L1_Mes)+1)=N(V_L1_Gracia)+N(V_L1_Cuotas),IF((124-N(V_L1_Mes)+1)=1,N(V_L1_Monto),DX$230),PMT(N(V_L1_Tasa)/12,N(V_L1_Cuotas),-N(V_L1_Monto))-DY$228),0)*DY$9</f>
        <v>0</v>
      </c>
      <c r="DZ229" s="34" t="n">
        <f aca="false">IF(AND((125-N(V_L1_Mes)+1)&gt;N(V_L1_Gracia),(125-N(V_L1_Mes)+1)&lt;=N(V_L1_Gracia)+N(V_L1_Cuotas),N(V_L1_Cuotas)&gt;0),IF((125-N(V_L1_Mes)+1)=N(V_L1_Gracia)+N(V_L1_Cuotas),IF((125-N(V_L1_Mes)+1)=1,N(V_L1_Monto),DY$230),PMT(N(V_L1_Tasa)/12,N(V_L1_Cuotas),-N(V_L1_Monto))-DZ$228),0)*DZ$9</f>
        <v>0</v>
      </c>
      <c r="EA229" s="34" t="n">
        <f aca="false">IF(AND((126-N(V_L1_Mes)+1)&gt;N(V_L1_Gracia),(126-N(V_L1_Mes)+1)&lt;=N(V_L1_Gracia)+N(V_L1_Cuotas),N(V_L1_Cuotas)&gt;0),IF((126-N(V_L1_Mes)+1)=N(V_L1_Gracia)+N(V_L1_Cuotas),IF((126-N(V_L1_Mes)+1)=1,N(V_L1_Monto),DZ$230),PMT(N(V_L1_Tasa)/12,N(V_L1_Cuotas),-N(V_L1_Monto))-EA$228),0)*EA$9</f>
        <v>0</v>
      </c>
      <c r="EB229" s="34" t="n">
        <f aca="false">IF(AND((127-N(V_L1_Mes)+1)&gt;N(V_L1_Gracia),(127-N(V_L1_Mes)+1)&lt;=N(V_L1_Gracia)+N(V_L1_Cuotas),N(V_L1_Cuotas)&gt;0),IF((127-N(V_L1_Mes)+1)=N(V_L1_Gracia)+N(V_L1_Cuotas),IF((127-N(V_L1_Mes)+1)=1,N(V_L1_Monto),EA$230),PMT(N(V_L1_Tasa)/12,N(V_L1_Cuotas),-N(V_L1_Monto))-EB$228),0)*EB$9</f>
        <v>0</v>
      </c>
      <c r="EC229" s="34" t="n">
        <f aca="false">IF(AND((128-N(V_L1_Mes)+1)&gt;N(V_L1_Gracia),(128-N(V_L1_Mes)+1)&lt;=N(V_L1_Gracia)+N(V_L1_Cuotas),N(V_L1_Cuotas)&gt;0),IF((128-N(V_L1_Mes)+1)=N(V_L1_Gracia)+N(V_L1_Cuotas),IF((128-N(V_L1_Mes)+1)=1,N(V_L1_Monto),EB$230),PMT(N(V_L1_Tasa)/12,N(V_L1_Cuotas),-N(V_L1_Monto))-EC$228),0)*EC$9</f>
        <v>0</v>
      </c>
      <c r="ED229" s="34" t="n">
        <f aca="false">IF(AND((129-N(V_L1_Mes)+1)&gt;N(V_L1_Gracia),(129-N(V_L1_Mes)+1)&lt;=N(V_L1_Gracia)+N(V_L1_Cuotas),N(V_L1_Cuotas)&gt;0),IF((129-N(V_L1_Mes)+1)=N(V_L1_Gracia)+N(V_L1_Cuotas),IF((129-N(V_L1_Mes)+1)=1,N(V_L1_Monto),EC$230),PMT(N(V_L1_Tasa)/12,N(V_L1_Cuotas),-N(V_L1_Monto))-ED$228),0)*ED$9</f>
        <v>0</v>
      </c>
      <c r="EE229" s="34" t="n">
        <f aca="false">IF(AND((130-N(V_L1_Mes)+1)&gt;N(V_L1_Gracia),(130-N(V_L1_Mes)+1)&lt;=N(V_L1_Gracia)+N(V_L1_Cuotas),N(V_L1_Cuotas)&gt;0),IF((130-N(V_L1_Mes)+1)=N(V_L1_Gracia)+N(V_L1_Cuotas),IF((130-N(V_L1_Mes)+1)=1,N(V_L1_Monto),ED$230),PMT(N(V_L1_Tasa)/12,N(V_L1_Cuotas),-N(V_L1_Monto))-EE$228),0)*EE$9</f>
        <v>0</v>
      </c>
      <c r="EF229" s="34" t="n">
        <f aca="false">IF(AND((131-N(V_L1_Mes)+1)&gt;N(V_L1_Gracia),(131-N(V_L1_Mes)+1)&lt;=N(V_L1_Gracia)+N(V_L1_Cuotas),N(V_L1_Cuotas)&gt;0),IF((131-N(V_L1_Mes)+1)=N(V_L1_Gracia)+N(V_L1_Cuotas),IF((131-N(V_L1_Mes)+1)=1,N(V_L1_Monto),EE$230),PMT(N(V_L1_Tasa)/12,N(V_L1_Cuotas),-N(V_L1_Monto))-EF$228),0)*EF$9</f>
        <v>0</v>
      </c>
      <c r="EG229" s="34" t="n">
        <f aca="false">IF(AND((132-N(V_L1_Mes)+1)&gt;N(V_L1_Gracia),(132-N(V_L1_Mes)+1)&lt;=N(V_L1_Gracia)+N(V_L1_Cuotas),N(V_L1_Cuotas)&gt;0),IF((132-N(V_L1_Mes)+1)=N(V_L1_Gracia)+N(V_L1_Cuotas),IF((132-N(V_L1_Mes)+1)=1,N(V_L1_Monto),EF$230),PMT(N(V_L1_Tasa)/12,N(V_L1_Cuotas),-N(V_L1_Monto))-EG$228),0)*EG$9</f>
        <v>0</v>
      </c>
      <c r="EH229" s="34" t="n">
        <f aca="false">IF(AND((133-N(V_L1_Mes)+1)&gt;N(V_L1_Gracia),(133-N(V_L1_Mes)+1)&lt;=N(V_L1_Gracia)+N(V_L1_Cuotas),N(V_L1_Cuotas)&gt;0),IF((133-N(V_L1_Mes)+1)=N(V_L1_Gracia)+N(V_L1_Cuotas),IF((133-N(V_L1_Mes)+1)=1,N(V_L1_Monto),EG$230),PMT(N(V_L1_Tasa)/12,N(V_L1_Cuotas),-N(V_L1_Monto))-EH$228),0)*EH$9</f>
        <v>0</v>
      </c>
      <c r="EI229" s="34" t="n">
        <f aca="false">IF(AND((134-N(V_L1_Mes)+1)&gt;N(V_L1_Gracia),(134-N(V_L1_Mes)+1)&lt;=N(V_L1_Gracia)+N(V_L1_Cuotas),N(V_L1_Cuotas)&gt;0),IF((134-N(V_L1_Mes)+1)=N(V_L1_Gracia)+N(V_L1_Cuotas),IF((134-N(V_L1_Mes)+1)=1,N(V_L1_Monto),EH$230),PMT(N(V_L1_Tasa)/12,N(V_L1_Cuotas),-N(V_L1_Monto))-EI$228),0)*EI$9</f>
        <v>0</v>
      </c>
      <c r="EJ229" s="34" t="n">
        <f aca="false">IF(AND((135-N(V_L1_Mes)+1)&gt;N(V_L1_Gracia),(135-N(V_L1_Mes)+1)&lt;=N(V_L1_Gracia)+N(V_L1_Cuotas),N(V_L1_Cuotas)&gt;0),IF((135-N(V_L1_Mes)+1)=N(V_L1_Gracia)+N(V_L1_Cuotas),IF((135-N(V_L1_Mes)+1)=1,N(V_L1_Monto),EI$230),PMT(N(V_L1_Tasa)/12,N(V_L1_Cuotas),-N(V_L1_Monto))-EJ$228),0)*EJ$9</f>
        <v>0</v>
      </c>
      <c r="EK229" s="34" t="n">
        <f aca="false">IF(AND((136-N(V_L1_Mes)+1)&gt;N(V_L1_Gracia),(136-N(V_L1_Mes)+1)&lt;=N(V_L1_Gracia)+N(V_L1_Cuotas),N(V_L1_Cuotas)&gt;0),IF((136-N(V_L1_Mes)+1)=N(V_L1_Gracia)+N(V_L1_Cuotas),IF((136-N(V_L1_Mes)+1)=1,N(V_L1_Monto),EJ$230),PMT(N(V_L1_Tasa)/12,N(V_L1_Cuotas),-N(V_L1_Monto))-EK$228),0)*EK$9</f>
        <v>0</v>
      </c>
      <c r="EL229" s="34" t="n">
        <f aca="false">IF(AND((137-N(V_L1_Mes)+1)&gt;N(V_L1_Gracia),(137-N(V_L1_Mes)+1)&lt;=N(V_L1_Gracia)+N(V_L1_Cuotas),N(V_L1_Cuotas)&gt;0),IF((137-N(V_L1_Mes)+1)=N(V_L1_Gracia)+N(V_L1_Cuotas),IF((137-N(V_L1_Mes)+1)=1,N(V_L1_Monto),EK$230),PMT(N(V_L1_Tasa)/12,N(V_L1_Cuotas),-N(V_L1_Monto))-EL$228),0)*EL$9</f>
        <v>0</v>
      </c>
      <c r="EM229" s="34" t="n">
        <f aca="false">IF(AND((138-N(V_L1_Mes)+1)&gt;N(V_L1_Gracia),(138-N(V_L1_Mes)+1)&lt;=N(V_L1_Gracia)+N(V_L1_Cuotas),N(V_L1_Cuotas)&gt;0),IF((138-N(V_L1_Mes)+1)=N(V_L1_Gracia)+N(V_L1_Cuotas),IF((138-N(V_L1_Mes)+1)=1,N(V_L1_Monto),EL$230),PMT(N(V_L1_Tasa)/12,N(V_L1_Cuotas),-N(V_L1_Monto))-EM$228),0)*EM$9</f>
        <v>0</v>
      </c>
      <c r="EN229" s="34" t="n">
        <f aca="false">IF(AND((139-N(V_L1_Mes)+1)&gt;N(V_L1_Gracia),(139-N(V_L1_Mes)+1)&lt;=N(V_L1_Gracia)+N(V_L1_Cuotas),N(V_L1_Cuotas)&gt;0),IF((139-N(V_L1_Mes)+1)=N(V_L1_Gracia)+N(V_L1_Cuotas),IF((139-N(V_L1_Mes)+1)=1,N(V_L1_Monto),EM$230),PMT(N(V_L1_Tasa)/12,N(V_L1_Cuotas),-N(V_L1_Monto))-EN$228),0)*EN$9</f>
        <v>0</v>
      </c>
      <c r="EO229" s="34" t="n">
        <f aca="false">IF(AND((140-N(V_L1_Mes)+1)&gt;N(V_L1_Gracia),(140-N(V_L1_Mes)+1)&lt;=N(V_L1_Gracia)+N(V_L1_Cuotas),N(V_L1_Cuotas)&gt;0),IF((140-N(V_L1_Mes)+1)=N(V_L1_Gracia)+N(V_L1_Cuotas),IF((140-N(V_L1_Mes)+1)=1,N(V_L1_Monto),EN$230),PMT(N(V_L1_Tasa)/12,N(V_L1_Cuotas),-N(V_L1_Monto))-EO$228),0)*EO$9</f>
        <v>0</v>
      </c>
      <c r="EP229" s="34" t="n">
        <f aca="false">IF(AND((141-N(V_L1_Mes)+1)&gt;N(V_L1_Gracia),(141-N(V_L1_Mes)+1)&lt;=N(V_L1_Gracia)+N(V_L1_Cuotas),N(V_L1_Cuotas)&gt;0),IF((141-N(V_L1_Mes)+1)=N(V_L1_Gracia)+N(V_L1_Cuotas),IF((141-N(V_L1_Mes)+1)=1,N(V_L1_Monto),EO$230),PMT(N(V_L1_Tasa)/12,N(V_L1_Cuotas),-N(V_L1_Monto))-EP$228),0)*EP$9</f>
        <v>0</v>
      </c>
      <c r="EQ229" s="34" t="n">
        <f aca="false">IF(AND((142-N(V_L1_Mes)+1)&gt;N(V_L1_Gracia),(142-N(V_L1_Mes)+1)&lt;=N(V_L1_Gracia)+N(V_L1_Cuotas),N(V_L1_Cuotas)&gt;0),IF((142-N(V_L1_Mes)+1)=N(V_L1_Gracia)+N(V_L1_Cuotas),IF((142-N(V_L1_Mes)+1)=1,N(V_L1_Monto),EP$230),PMT(N(V_L1_Tasa)/12,N(V_L1_Cuotas),-N(V_L1_Monto))-EQ$228),0)*EQ$9</f>
        <v>0</v>
      </c>
      <c r="ER229" s="34" t="n">
        <f aca="false">IF(AND((143-N(V_L1_Mes)+1)&gt;N(V_L1_Gracia),(143-N(V_L1_Mes)+1)&lt;=N(V_L1_Gracia)+N(V_L1_Cuotas),N(V_L1_Cuotas)&gt;0),IF((143-N(V_L1_Mes)+1)=N(V_L1_Gracia)+N(V_L1_Cuotas),IF((143-N(V_L1_Mes)+1)=1,N(V_L1_Monto),EQ$230),PMT(N(V_L1_Tasa)/12,N(V_L1_Cuotas),-N(V_L1_Monto))-ER$228),0)*ER$9</f>
        <v>0</v>
      </c>
      <c r="ES229" s="34" t="n">
        <f aca="false">IF(AND((144-N(V_L1_Mes)+1)&gt;N(V_L1_Gracia),(144-N(V_L1_Mes)+1)&lt;=N(V_L1_Gracia)+N(V_L1_Cuotas),N(V_L1_Cuotas)&gt;0),IF((144-N(V_L1_Mes)+1)=N(V_L1_Gracia)+N(V_L1_Cuotas),IF((144-N(V_L1_Mes)+1)=1,N(V_L1_Monto),ER$230),PMT(N(V_L1_Tasa)/12,N(V_L1_Cuotas),-N(V_L1_Monto))-ES$228),0)*ES$9</f>
        <v>0</v>
      </c>
    </row>
    <row r="230" customFormat="false" ht="15" hidden="false" customHeight="false" outlineLevel="0" collapsed="false">
      <c r="A230" s="2" t="s">
        <v>841</v>
      </c>
      <c r="B230" s="6" t="s">
        <v>684</v>
      </c>
      <c r="C230" s="6" t="s">
        <v>250</v>
      </c>
      <c r="E230" s="40" t="n">
        <f aca="false">INDEX(F230:ES230,1,MIN(144,Fin))</f>
        <v>0</v>
      </c>
      <c r="F230" s="34" t="n">
        <f aca="false">IF((1-N(V_L1_Mes)+1)&lt;1,0,IF((1-N(V_L1_Mes)+1)=1,N(V_L1_Monto),0)-F$229)</f>
        <v>2791587</v>
      </c>
      <c r="G230" s="34" t="n">
        <f aca="false">IF((2-N(V_L1_Mes)+1)&lt;1,0,IF((2-N(V_L1_Mes)+1)=1,N(V_L1_Monto),F$230)-G$229)</f>
        <v>2791587</v>
      </c>
      <c r="H230" s="34" t="n">
        <f aca="false">IF((3-N(V_L1_Mes)+1)&lt;1,0,IF((3-N(V_L1_Mes)+1)=1,N(V_L1_Monto),G$230)-H$229)</f>
        <v>2791587</v>
      </c>
      <c r="I230" s="34" t="n">
        <f aca="false">IF((4-N(V_L1_Mes)+1)&lt;1,0,IF((4-N(V_L1_Mes)+1)=1,N(V_L1_Monto),H$230)-I$229)</f>
        <v>2791587</v>
      </c>
      <c r="J230" s="34" t="n">
        <f aca="false">IF((5-N(V_L1_Mes)+1)&lt;1,0,IF((5-N(V_L1_Mes)+1)=1,N(V_L1_Monto),I$230)-J$229)</f>
        <v>2791587</v>
      </c>
      <c r="K230" s="34" t="n">
        <f aca="false">IF((6-N(V_L1_Mes)+1)&lt;1,0,IF((6-N(V_L1_Mes)+1)=1,N(V_L1_Monto),J$230)-K$229)</f>
        <v>2791587</v>
      </c>
      <c r="L230" s="34" t="n">
        <f aca="false">IF((7-N(V_L1_Mes)+1)&lt;1,0,IF((7-N(V_L1_Mes)+1)=1,N(V_L1_Monto),K$230)-L$229)</f>
        <v>2749463.69590531</v>
      </c>
      <c r="M230" s="34" t="n">
        <f aca="false">IF((8-N(V_L1_Mes)+1)&lt;1,0,IF((8-N(V_L1_Mes)+1)=1,N(V_L1_Monto),L$230)-M$229)</f>
        <v>2707024.46702991</v>
      </c>
      <c r="N230" s="34" t="n">
        <f aca="false">IF((9-N(V_L1_Mes)+1)&lt;1,0,IF((9-N(V_L1_Mes)+1)=1,N(V_L1_Monto),M$230)-N$229)</f>
        <v>2664266.94393795</v>
      </c>
      <c r="O230" s="34" t="n">
        <f aca="false">IF((10-N(V_L1_Mes)+1)&lt;1,0,IF((10-N(V_L1_Mes)+1)=1,N(V_L1_Monto),N$230)-O$229)</f>
        <v>2621188.7394228</v>
      </c>
      <c r="P230" s="34" t="n">
        <f aca="false">IF((11-N(V_L1_Mes)+1)&lt;1,0,IF((11-N(V_L1_Mes)+1)=1,N(V_L1_Monto),O$230)-P$229)</f>
        <v>2577787.44837378</v>
      </c>
      <c r="Q230" s="34" t="n">
        <f aca="false">IF((12-N(V_L1_Mes)+1)&lt;1,0,IF((12-N(V_L1_Mes)+1)=1,N(V_L1_Monto),P$230)-Q$229)</f>
        <v>2534060.6476419</v>
      </c>
      <c r="R230" s="34" t="n">
        <f aca="false">IF((13-N(V_L1_Mes)+1)&lt;1,0,IF((13-N(V_L1_Mes)+1)=1,N(V_L1_Monto),Q$230)-R$229)</f>
        <v>2490005.89590452</v>
      </c>
      <c r="S230" s="34" t="n">
        <f aca="false">IF((14-N(V_L1_Mes)+1)&lt;1,0,IF((14-N(V_L1_Mes)+1)=1,N(V_L1_Monto),R$230)-S$229)</f>
        <v>2445620.73352912</v>
      </c>
      <c r="T230" s="34" t="n">
        <f aca="false">IF((15-N(V_L1_Mes)+1)&lt;1,0,IF((15-N(V_L1_Mes)+1)=1,N(V_L1_Monto),S$230)-T$229)</f>
        <v>2400902.6824359</v>
      </c>
      <c r="U230" s="34" t="n">
        <f aca="false">IF((16-N(V_L1_Mes)+1)&lt;1,0,IF((16-N(V_L1_Mes)+1)=1,N(V_L1_Monto),T$230)-U$229)</f>
        <v>2355849.24595948</v>
      </c>
      <c r="V230" s="34" t="n">
        <f aca="false">IF((17-N(V_L1_Mes)+1)&lt;1,0,IF((17-N(V_L1_Mes)+1)=1,N(V_L1_Monto),U$230)-V$229)</f>
        <v>2310457.90870949</v>
      </c>
      <c r="W230" s="34" t="n">
        <f aca="false">IF((18-N(V_L1_Mes)+1)&lt;1,0,IF((18-N(V_L1_Mes)+1)=1,N(V_L1_Monto),V$230)-W$229)</f>
        <v>2264726.13643012</v>
      </c>
      <c r="X230" s="34" t="n">
        <f aca="false">IF((19-N(V_L1_Mes)+1)&lt;1,0,IF((19-N(V_L1_Mes)+1)=1,N(V_L1_Monto),W$230)-X$229)</f>
        <v>2218651.37585866</v>
      </c>
      <c r="Y230" s="34" t="n">
        <f aca="false">IF((20-N(V_L1_Mes)+1)&lt;1,0,IF((20-N(V_L1_Mes)+1)=1,N(V_L1_Monto),X$230)-Y$229)</f>
        <v>2172231.05458292</v>
      </c>
      <c r="Z230" s="34" t="n">
        <f aca="false">IF((21-N(V_L1_Mes)+1)&lt;1,0,IF((21-N(V_L1_Mes)+1)=1,N(V_L1_Monto),Y$230)-Z$229)</f>
        <v>2125462.5808976</v>
      </c>
      <c r="AA230" s="34" t="n">
        <f aca="false">IF((22-N(V_L1_Mes)+1)&lt;1,0,IF((22-N(V_L1_Mes)+1)=1,N(V_L1_Monto),Z$230)-AA$229)</f>
        <v>2078343.34365964</v>
      </c>
      <c r="AB230" s="34" t="n">
        <f aca="false">IF((23-N(V_L1_Mes)+1)&lt;1,0,IF((23-N(V_L1_Mes)+1)=1,N(V_L1_Monto),AA$230)-AB$229)</f>
        <v>2030870.7121424</v>
      </c>
      <c r="AC230" s="34" t="n">
        <f aca="false">IF((24-N(V_L1_Mes)+1)&lt;1,0,IF((24-N(V_L1_Mes)+1)=1,N(V_L1_Monto),AB$230)-AC$229)</f>
        <v>1983042.03588878</v>
      </c>
      <c r="AD230" s="34" t="n">
        <f aca="false">IF((25-N(V_L1_Mes)+1)&lt;1,0,IF((25-N(V_L1_Mes)+1)=1,N(V_L1_Monto),AC$230)-AD$229)</f>
        <v>1934854.64456326</v>
      </c>
      <c r="AE230" s="34" t="n">
        <f aca="false">IF((26-N(V_L1_Mes)+1)&lt;1,0,IF((26-N(V_L1_Mes)+1)=1,N(V_L1_Monto),AD$230)-AE$229)</f>
        <v>1886305.8478028</v>
      </c>
      <c r="AF230" s="34" t="n">
        <f aca="false">IF((27-N(V_L1_Mes)+1)&lt;1,0,IF((27-N(V_L1_Mes)+1)=1,N(V_L1_Monto),AE$230)-AF$229)</f>
        <v>1837392.93506663</v>
      </c>
      <c r="AG230" s="34" t="n">
        <f aca="false">IF((28-N(V_L1_Mes)+1)&lt;1,0,IF((28-N(V_L1_Mes)+1)=1,N(V_L1_Monto),AF$230)-AG$229)</f>
        <v>1788113.17548494</v>
      </c>
      <c r="AH230" s="34" t="n">
        <f aca="false">IF((29-N(V_L1_Mes)+1)&lt;1,0,IF((29-N(V_L1_Mes)+1)=1,N(V_L1_Monto),AG$230)-AH$229)</f>
        <v>1738463.81770639</v>
      </c>
      <c r="AI230" s="34" t="n">
        <f aca="false">IF((30-N(V_L1_Mes)+1)&lt;1,0,IF((30-N(V_L1_Mes)+1)=1,N(V_L1_Monto),AH$230)-AI$229)</f>
        <v>1688442.0897445</v>
      </c>
      <c r="AJ230" s="34" t="n">
        <f aca="false">IF((31-N(V_L1_Mes)+1)&lt;1,0,IF((31-N(V_L1_Mes)+1)=1,N(V_L1_Monto),AI$230)-AJ$229)</f>
        <v>1638045.1988229</v>
      </c>
      <c r="AK230" s="34" t="n">
        <f aca="false">IF((32-N(V_L1_Mes)+1)&lt;1,0,IF((32-N(V_L1_Mes)+1)=1,N(V_L1_Monto),AJ$230)-AK$229)</f>
        <v>1587270.33121938</v>
      </c>
      <c r="AL230" s="34" t="n">
        <f aca="false">IF((33-N(V_L1_Mes)+1)&lt;1,0,IF((33-N(V_L1_Mes)+1)=1,N(V_L1_Monto),AK$230)-AL$229)</f>
        <v>1536114.65210884</v>
      </c>
      <c r="AM230" s="34" t="n">
        <f aca="false">IF((34-N(V_L1_Mes)+1)&lt;1,0,IF((34-N(V_L1_Mes)+1)=1,N(V_L1_Monto),AL$230)-AM$229)</f>
        <v>1484575.30540497</v>
      </c>
      <c r="AN230" s="34" t="n">
        <f aca="false">IF((35-N(V_L1_Mes)+1)&lt;1,0,IF((35-N(V_L1_Mes)+1)=1,N(V_L1_Monto),AM$230)-AN$229)</f>
        <v>1432649.41360082</v>
      </c>
      <c r="AO230" s="34" t="n">
        <f aca="false">IF((36-N(V_L1_Mes)+1)&lt;1,0,IF((36-N(V_L1_Mes)+1)=1,N(V_L1_Monto),AN$230)-AO$229)</f>
        <v>1380334.07760814</v>
      </c>
      <c r="AP230" s="34" t="n">
        <f aca="false">IF((37-N(V_L1_Mes)+1)&lt;1,0,IF((37-N(V_L1_Mes)+1)=1,N(V_L1_Monto),AO$230)-AP$229)</f>
        <v>1327626.37659551</v>
      </c>
      <c r="AQ230" s="34" t="n">
        <f aca="false">IF((38-N(V_L1_Mes)+1)&lt;1,0,IF((38-N(V_L1_Mes)+1)=1,N(V_L1_Monto),AP$230)-AQ$229)</f>
        <v>1274523.36782529</v>
      </c>
      <c r="AR230" s="34" t="n">
        <f aca="false">IF((39-N(V_L1_Mes)+1)&lt;1,0,IF((39-N(V_L1_Mes)+1)=1,N(V_L1_Monto),AQ$230)-AR$229)</f>
        <v>1221022.08648929</v>
      </c>
      <c r="AS230" s="34" t="n">
        <f aca="false">IF((40-N(V_L1_Mes)+1)&lt;1,0,IF((40-N(V_L1_Mes)+1)=1,N(V_L1_Monto),AR$230)-AS$229)</f>
        <v>1167119.54554327</v>
      </c>
      <c r="AT230" s="34" t="n">
        <f aca="false">IF((41-N(V_L1_Mes)+1)&lt;1,0,IF((41-N(V_L1_Mes)+1)=1,N(V_L1_Monto),AS$230)-AT$229)</f>
        <v>1112812.73554016</v>
      </c>
      <c r="AU230" s="34" t="n">
        <f aca="false">IF((42-N(V_L1_Mes)+1)&lt;1,0,IF((42-N(V_L1_Mes)+1)=1,N(V_L1_Monto),AT$230)-AU$229)</f>
        <v>1058098.62446202</v>
      </c>
      <c r="AV230" s="34" t="n">
        <f aca="false">IF((43-N(V_L1_Mes)+1)&lt;1,0,IF((43-N(V_L1_Mes)+1)=1,N(V_L1_Monto),AU$230)-AV$229)</f>
        <v>1002974.1575508</v>
      </c>
      <c r="AW230" s="34" t="n">
        <f aca="false">IF((44-N(V_L1_Mes)+1)&lt;1,0,IF((44-N(V_L1_Mes)+1)=1,N(V_L1_Monto),AV$230)-AW$229)</f>
        <v>947436.257137743</v>
      </c>
      <c r="AX230" s="34" t="n">
        <f aca="false">IF((45-N(V_L1_Mes)+1)&lt;1,0,IF((45-N(V_L1_Mes)+1)=1,N(V_L1_Monto),AW$230)-AX$229)</f>
        <v>891481.822471588</v>
      </c>
      <c r="AY230" s="34" t="n">
        <f aca="false">IF((46-N(V_L1_Mes)+1)&lt;1,0,IF((46-N(V_L1_Mes)+1)=1,N(V_L1_Monto),AX$230)-AY$229)</f>
        <v>835107.729545437</v>
      </c>
      <c r="AZ230" s="34" t="n">
        <f aca="false">IF((47-N(V_L1_Mes)+1)&lt;1,0,IF((47-N(V_L1_Mes)+1)=1,N(V_L1_Monto),AY$230)-AZ$229)</f>
        <v>778310.83092234</v>
      </c>
      <c r="BA230" s="34" t="n">
        <f aca="false">IF((48-N(V_L1_Mes)+1)&lt;1,0,IF((48-N(V_L1_Mes)+1)=1,N(V_L1_Monto),AZ$230)-BA$229)</f>
        <v>721087.95555957</v>
      </c>
      <c r="BB230" s="34" t="n">
        <f aca="false">IF((49-N(V_L1_Mes)+1)&lt;1,0,IF((49-N(V_L1_Mes)+1)=1,N(V_L1_Monto),BA$230)-BB$229)</f>
        <v>663435.908631579</v>
      </c>
      <c r="BC230" s="34" t="n">
        <f aca="false">IF((50-N(V_L1_Mes)+1)&lt;1,0,IF((50-N(V_L1_Mes)+1)=1,N(V_L1_Monto),BB$230)-BC$229)</f>
        <v>605351.471351628</v>
      </c>
      <c r="BD230" s="34" t="n">
        <f aca="false">IF((51-N(V_L1_Mes)+1)&lt;1,0,IF((51-N(V_L1_Mes)+1)=1,N(V_L1_Monto),BC$230)-BD$229)</f>
        <v>546831.400792078</v>
      </c>
      <c r="BE230" s="34" t="n">
        <f aca="false">IF((52-N(V_L1_Mes)+1)&lt;1,0,IF((52-N(V_L1_Mes)+1)=1,N(V_L1_Monto),BD$230)-BE$229)</f>
        <v>487872.429703331</v>
      </c>
      <c r="BF230" s="34" t="n">
        <f aca="false">IF((53-N(V_L1_Mes)+1)&lt;1,0,IF((53-N(V_L1_Mes)+1)=1,N(V_L1_Monto),BE$230)-BF$229)</f>
        <v>428471.266331418</v>
      </c>
      <c r="BG230" s="34" t="n">
        <f aca="false">IF((54-N(V_L1_Mes)+1)&lt;1,0,IF((54-N(V_L1_Mes)+1)=1,N(V_L1_Monto),BF$230)-BG$229)</f>
        <v>368624.594234216</v>
      </c>
      <c r="BH230" s="34" t="n">
        <f aca="false">IF((55-N(V_L1_Mes)+1)&lt;1,0,IF((55-N(V_L1_Mes)+1)=1,N(V_L1_Monto),BG$230)-BH$229)</f>
        <v>308329.072096285</v>
      </c>
      <c r="BI230" s="34" t="n">
        <f aca="false">IF((56-N(V_L1_Mes)+1)&lt;1,0,IF((56-N(V_L1_Mes)+1)=1,N(V_L1_Monto),BH$230)-BI$229)</f>
        <v>247581.333542319</v>
      </c>
      <c r="BJ230" s="34" t="n">
        <f aca="false">IF((57-N(V_L1_Mes)+1)&lt;1,0,IF((57-N(V_L1_Mes)+1)=1,N(V_L1_Monto),BI$230)-BJ$229)</f>
        <v>186377.986949199</v>
      </c>
      <c r="BK230" s="34" t="n">
        <f aca="false">IF((58-N(V_L1_Mes)+1)&lt;1,0,IF((58-N(V_L1_Mes)+1)=1,N(V_L1_Monto),BJ$230)-BK$229)</f>
        <v>124715.61525663</v>
      </c>
      <c r="BL230" s="34" t="n">
        <f aca="false">IF((59-N(V_L1_Mes)+1)&lt;1,0,IF((59-N(V_L1_Mes)+1)=1,N(V_L1_Monto),BK$230)-BL$229)</f>
        <v>62590.7757763667</v>
      </c>
      <c r="BM230" s="34" t="n">
        <f aca="false">IF((60-N(V_L1_Mes)+1)&lt;1,0,IF((60-N(V_L1_Mes)+1)=1,N(V_L1_Monto),BL$230)-BM$229)</f>
        <v>0</v>
      </c>
      <c r="BN230" s="34" t="n">
        <f aca="false">IF((61-N(V_L1_Mes)+1)&lt;1,0,IF((61-N(V_L1_Mes)+1)=1,N(V_L1_Monto),BM$230)-BN$229)</f>
        <v>0</v>
      </c>
      <c r="BO230" s="34" t="n">
        <f aca="false">IF((62-N(V_L1_Mes)+1)&lt;1,0,IF((62-N(V_L1_Mes)+1)=1,N(V_L1_Monto),BN$230)-BO$229)</f>
        <v>0</v>
      </c>
      <c r="BP230" s="34" t="n">
        <f aca="false">IF((63-N(V_L1_Mes)+1)&lt;1,0,IF((63-N(V_L1_Mes)+1)=1,N(V_L1_Monto),BO$230)-BP$229)</f>
        <v>0</v>
      </c>
      <c r="BQ230" s="34" t="n">
        <f aca="false">IF((64-N(V_L1_Mes)+1)&lt;1,0,IF((64-N(V_L1_Mes)+1)=1,N(V_L1_Monto),BP$230)-BQ$229)</f>
        <v>0</v>
      </c>
      <c r="BR230" s="34" t="n">
        <f aca="false">IF((65-N(V_L1_Mes)+1)&lt;1,0,IF((65-N(V_L1_Mes)+1)=1,N(V_L1_Monto),BQ$230)-BR$229)</f>
        <v>0</v>
      </c>
      <c r="BS230" s="34" t="n">
        <f aca="false">IF((66-N(V_L1_Mes)+1)&lt;1,0,IF((66-N(V_L1_Mes)+1)=1,N(V_L1_Monto),BR$230)-BS$229)</f>
        <v>0</v>
      </c>
      <c r="BT230" s="34" t="n">
        <f aca="false">IF((67-N(V_L1_Mes)+1)&lt;1,0,IF((67-N(V_L1_Mes)+1)=1,N(V_L1_Monto),BS$230)-BT$229)</f>
        <v>0</v>
      </c>
      <c r="BU230" s="34" t="n">
        <f aca="false">IF((68-N(V_L1_Mes)+1)&lt;1,0,IF((68-N(V_L1_Mes)+1)=1,N(V_L1_Monto),BT$230)-BU$229)</f>
        <v>0</v>
      </c>
      <c r="BV230" s="34" t="n">
        <f aca="false">IF((69-N(V_L1_Mes)+1)&lt;1,0,IF((69-N(V_L1_Mes)+1)=1,N(V_L1_Monto),BU$230)-BV$229)</f>
        <v>0</v>
      </c>
      <c r="BW230" s="34" t="n">
        <f aca="false">IF((70-N(V_L1_Mes)+1)&lt;1,0,IF((70-N(V_L1_Mes)+1)=1,N(V_L1_Monto),BV$230)-BW$229)</f>
        <v>0</v>
      </c>
      <c r="BX230" s="34" t="n">
        <f aca="false">IF((71-N(V_L1_Mes)+1)&lt;1,0,IF((71-N(V_L1_Mes)+1)=1,N(V_L1_Monto),BW$230)-BX$229)</f>
        <v>0</v>
      </c>
      <c r="BY230" s="34" t="n">
        <f aca="false">IF((72-N(V_L1_Mes)+1)&lt;1,0,IF((72-N(V_L1_Mes)+1)=1,N(V_L1_Monto),BX$230)-BY$229)</f>
        <v>0</v>
      </c>
      <c r="BZ230" s="34" t="n">
        <f aca="false">IF((73-N(V_L1_Mes)+1)&lt;1,0,IF((73-N(V_L1_Mes)+1)=1,N(V_L1_Monto),BY$230)-BZ$229)</f>
        <v>0</v>
      </c>
      <c r="CA230" s="34" t="n">
        <f aca="false">IF((74-N(V_L1_Mes)+1)&lt;1,0,IF((74-N(V_L1_Mes)+1)=1,N(V_L1_Monto),BZ$230)-CA$229)</f>
        <v>0</v>
      </c>
      <c r="CB230" s="34" t="n">
        <f aca="false">IF((75-N(V_L1_Mes)+1)&lt;1,0,IF((75-N(V_L1_Mes)+1)=1,N(V_L1_Monto),CA$230)-CB$229)</f>
        <v>0</v>
      </c>
      <c r="CC230" s="34" t="n">
        <f aca="false">IF((76-N(V_L1_Mes)+1)&lt;1,0,IF((76-N(V_L1_Mes)+1)=1,N(V_L1_Monto),CB$230)-CC$229)</f>
        <v>0</v>
      </c>
      <c r="CD230" s="34" t="n">
        <f aca="false">IF((77-N(V_L1_Mes)+1)&lt;1,0,IF((77-N(V_L1_Mes)+1)=1,N(V_L1_Monto),CC$230)-CD$229)</f>
        <v>0</v>
      </c>
      <c r="CE230" s="34" t="n">
        <f aca="false">IF((78-N(V_L1_Mes)+1)&lt;1,0,IF((78-N(V_L1_Mes)+1)=1,N(V_L1_Monto),CD$230)-CE$229)</f>
        <v>0</v>
      </c>
      <c r="CF230" s="34" t="n">
        <f aca="false">IF((79-N(V_L1_Mes)+1)&lt;1,0,IF((79-N(V_L1_Mes)+1)=1,N(V_L1_Monto),CE$230)-CF$229)</f>
        <v>0</v>
      </c>
      <c r="CG230" s="34" t="n">
        <f aca="false">IF((80-N(V_L1_Mes)+1)&lt;1,0,IF((80-N(V_L1_Mes)+1)=1,N(V_L1_Monto),CF$230)-CG$229)</f>
        <v>0</v>
      </c>
      <c r="CH230" s="34" t="n">
        <f aca="false">IF((81-N(V_L1_Mes)+1)&lt;1,0,IF((81-N(V_L1_Mes)+1)=1,N(V_L1_Monto),CG$230)-CH$229)</f>
        <v>0</v>
      </c>
      <c r="CI230" s="34" t="n">
        <f aca="false">IF((82-N(V_L1_Mes)+1)&lt;1,0,IF((82-N(V_L1_Mes)+1)=1,N(V_L1_Monto),CH$230)-CI$229)</f>
        <v>0</v>
      </c>
      <c r="CJ230" s="34" t="n">
        <f aca="false">IF((83-N(V_L1_Mes)+1)&lt;1,0,IF((83-N(V_L1_Mes)+1)=1,N(V_L1_Monto),CI$230)-CJ$229)</f>
        <v>0</v>
      </c>
      <c r="CK230" s="34" t="n">
        <f aca="false">IF((84-N(V_L1_Mes)+1)&lt;1,0,IF((84-N(V_L1_Mes)+1)=1,N(V_L1_Monto),CJ$230)-CK$229)</f>
        <v>0</v>
      </c>
      <c r="CL230" s="34" t="n">
        <f aca="false">IF((85-N(V_L1_Mes)+1)&lt;1,0,IF((85-N(V_L1_Mes)+1)=1,N(V_L1_Monto),CK$230)-CL$229)</f>
        <v>0</v>
      </c>
      <c r="CM230" s="34" t="n">
        <f aca="false">IF((86-N(V_L1_Mes)+1)&lt;1,0,IF((86-N(V_L1_Mes)+1)=1,N(V_L1_Monto),CL$230)-CM$229)</f>
        <v>0</v>
      </c>
      <c r="CN230" s="34" t="n">
        <f aca="false">IF((87-N(V_L1_Mes)+1)&lt;1,0,IF((87-N(V_L1_Mes)+1)=1,N(V_L1_Monto),CM$230)-CN$229)</f>
        <v>0</v>
      </c>
      <c r="CO230" s="34" t="n">
        <f aca="false">IF((88-N(V_L1_Mes)+1)&lt;1,0,IF((88-N(V_L1_Mes)+1)=1,N(V_L1_Monto),CN$230)-CO$229)</f>
        <v>0</v>
      </c>
      <c r="CP230" s="34" t="n">
        <f aca="false">IF((89-N(V_L1_Mes)+1)&lt;1,0,IF((89-N(V_L1_Mes)+1)=1,N(V_L1_Monto),CO$230)-CP$229)</f>
        <v>0</v>
      </c>
      <c r="CQ230" s="34" t="n">
        <f aca="false">IF((90-N(V_L1_Mes)+1)&lt;1,0,IF((90-N(V_L1_Mes)+1)=1,N(V_L1_Monto),CP$230)-CQ$229)</f>
        <v>0</v>
      </c>
      <c r="CR230" s="34" t="n">
        <f aca="false">IF((91-N(V_L1_Mes)+1)&lt;1,0,IF((91-N(V_L1_Mes)+1)=1,N(V_L1_Monto),CQ$230)-CR$229)</f>
        <v>0</v>
      </c>
      <c r="CS230" s="34" t="n">
        <f aca="false">IF((92-N(V_L1_Mes)+1)&lt;1,0,IF((92-N(V_L1_Mes)+1)=1,N(V_L1_Monto),CR$230)-CS$229)</f>
        <v>0</v>
      </c>
      <c r="CT230" s="34" t="n">
        <f aca="false">IF((93-N(V_L1_Mes)+1)&lt;1,0,IF((93-N(V_L1_Mes)+1)=1,N(V_L1_Monto),CS$230)-CT$229)</f>
        <v>0</v>
      </c>
      <c r="CU230" s="34" t="n">
        <f aca="false">IF((94-N(V_L1_Mes)+1)&lt;1,0,IF((94-N(V_L1_Mes)+1)=1,N(V_L1_Monto),CT$230)-CU$229)</f>
        <v>0</v>
      </c>
      <c r="CV230" s="34" t="n">
        <f aca="false">IF((95-N(V_L1_Mes)+1)&lt;1,0,IF((95-N(V_L1_Mes)+1)=1,N(V_L1_Monto),CU$230)-CV$229)</f>
        <v>0</v>
      </c>
      <c r="CW230" s="34" t="n">
        <f aca="false">IF((96-N(V_L1_Mes)+1)&lt;1,0,IF((96-N(V_L1_Mes)+1)=1,N(V_L1_Monto),CV$230)-CW$229)</f>
        <v>0</v>
      </c>
      <c r="CX230" s="34" t="n">
        <f aca="false">IF((97-N(V_L1_Mes)+1)&lt;1,0,IF((97-N(V_L1_Mes)+1)=1,N(V_L1_Monto),CW$230)-CX$229)</f>
        <v>0</v>
      </c>
      <c r="CY230" s="34" t="n">
        <f aca="false">IF((98-N(V_L1_Mes)+1)&lt;1,0,IF((98-N(V_L1_Mes)+1)=1,N(V_L1_Monto),CX$230)-CY$229)</f>
        <v>0</v>
      </c>
      <c r="CZ230" s="34" t="n">
        <f aca="false">IF((99-N(V_L1_Mes)+1)&lt;1,0,IF((99-N(V_L1_Mes)+1)=1,N(V_L1_Monto),CY$230)-CZ$229)</f>
        <v>0</v>
      </c>
      <c r="DA230" s="34" t="n">
        <f aca="false">IF((100-N(V_L1_Mes)+1)&lt;1,0,IF((100-N(V_L1_Mes)+1)=1,N(V_L1_Monto),CZ$230)-DA$229)</f>
        <v>0</v>
      </c>
      <c r="DB230" s="34" t="n">
        <f aca="false">IF((101-N(V_L1_Mes)+1)&lt;1,0,IF((101-N(V_L1_Mes)+1)=1,N(V_L1_Monto),DA$230)-DB$229)</f>
        <v>0</v>
      </c>
      <c r="DC230" s="34" t="n">
        <f aca="false">IF((102-N(V_L1_Mes)+1)&lt;1,0,IF((102-N(V_L1_Mes)+1)=1,N(V_L1_Monto),DB$230)-DC$229)</f>
        <v>0</v>
      </c>
      <c r="DD230" s="34" t="n">
        <f aca="false">IF((103-N(V_L1_Mes)+1)&lt;1,0,IF((103-N(V_L1_Mes)+1)=1,N(V_L1_Monto),DC$230)-DD$229)</f>
        <v>0</v>
      </c>
      <c r="DE230" s="34" t="n">
        <f aca="false">IF((104-N(V_L1_Mes)+1)&lt;1,0,IF((104-N(V_L1_Mes)+1)=1,N(V_L1_Monto),DD$230)-DE$229)</f>
        <v>0</v>
      </c>
      <c r="DF230" s="34" t="n">
        <f aca="false">IF((105-N(V_L1_Mes)+1)&lt;1,0,IF((105-N(V_L1_Mes)+1)=1,N(V_L1_Monto),DE$230)-DF$229)</f>
        <v>0</v>
      </c>
      <c r="DG230" s="34" t="n">
        <f aca="false">IF((106-N(V_L1_Mes)+1)&lt;1,0,IF((106-N(V_L1_Mes)+1)=1,N(V_L1_Monto),DF$230)-DG$229)</f>
        <v>0</v>
      </c>
      <c r="DH230" s="34" t="n">
        <f aca="false">IF((107-N(V_L1_Mes)+1)&lt;1,0,IF((107-N(V_L1_Mes)+1)=1,N(V_L1_Monto),DG$230)-DH$229)</f>
        <v>0</v>
      </c>
      <c r="DI230" s="34" t="n">
        <f aca="false">IF((108-N(V_L1_Mes)+1)&lt;1,0,IF((108-N(V_L1_Mes)+1)=1,N(V_L1_Monto),DH$230)-DI$229)</f>
        <v>0</v>
      </c>
      <c r="DJ230" s="34" t="n">
        <f aca="false">IF((109-N(V_L1_Mes)+1)&lt;1,0,IF((109-N(V_L1_Mes)+1)=1,N(V_L1_Monto),DI$230)-DJ$229)</f>
        <v>0</v>
      </c>
      <c r="DK230" s="34" t="n">
        <f aca="false">IF((110-N(V_L1_Mes)+1)&lt;1,0,IF((110-N(V_L1_Mes)+1)=1,N(V_L1_Monto),DJ$230)-DK$229)</f>
        <v>0</v>
      </c>
      <c r="DL230" s="34" t="n">
        <f aca="false">IF((111-N(V_L1_Mes)+1)&lt;1,0,IF((111-N(V_L1_Mes)+1)=1,N(V_L1_Monto),DK$230)-DL$229)</f>
        <v>0</v>
      </c>
      <c r="DM230" s="34" t="n">
        <f aca="false">IF((112-N(V_L1_Mes)+1)&lt;1,0,IF((112-N(V_L1_Mes)+1)=1,N(V_L1_Monto),DL$230)-DM$229)</f>
        <v>0</v>
      </c>
      <c r="DN230" s="34" t="n">
        <f aca="false">IF((113-N(V_L1_Mes)+1)&lt;1,0,IF((113-N(V_L1_Mes)+1)=1,N(V_L1_Monto),DM$230)-DN$229)</f>
        <v>0</v>
      </c>
      <c r="DO230" s="34" t="n">
        <f aca="false">IF((114-N(V_L1_Mes)+1)&lt;1,0,IF((114-N(V_L1_Mes)+1)=1,N(V_L1_Monto),DN$230)-DO$229)</f>
        <v>0</v>
      </c>
      <c r="DP230" s="34" t="n">
        <f aca="false">IF((115-N(V_L1_Mes)+1)&lt;1,0,IF((115-N(V_L1_Mes)+1)=1,N(V_L1_Monto),DO$230)-DP$229)</f>
        <v>0</v>
      </c>
      <c r="DQ230" s="34" t="n">
        <f aca="false">IF((116-N(V_L1_Mes)+1)&lt;1,0,IF((116-N(V_L1_Mes)+1)=1,N(V_L1_Monto),DP$230)-DQ$229)</f>
        <v>0</v>
      </c>
      <c r="DR230" s="34" t="n">
        <f aca="false">IF((117-N(V_L1_Mes)+1)&lt;1,0,IF((117-N(V_L1_Mes)+1)=1,N(V_L1_Monto),DQ$230)-DR$229)</f>
        <v>0</v>
      </c>
      <c r="DS230" s="34" t="n">
        <f aca="false">IF((118-N(V_L1_Mes)+1)&lt;1,0,IF((118-N(V_L1_Mes)+1)=1,N(V_L1_Monto),DR$230)-DS$229)</f>
        <v>0</v>
      </c>
      <c r="DT230" s="34" t="n">
        <f aca="false">IF((119-N(V_L1_Mes)+1)&lt;1,0,IF((119-N(V_L1_Mes)+1)=1,N(V_L1_Monto),DS$230)-DT$229)</f>
        <v>0</v>
      </c>
      <c r="DU230" s="34" t="n">
        <f aca="false">IF((120-N(V_L1_Mes)+1)&lt;1,0,IF((120-N(V_L1_Mes)+1)=1,N(V_L1_Monto),DT$230)-DU$229)</f>
        <v>0</v>
      </c>
      <c r="DV230" s="34" t="n">
        <f aca="false">IF((121-N(V_L1_Mes)+1)&lt;1,0,IF((121-N(V_L1_Mes)+1)=1,N(V_L1_Monto),DU$230)-DV$229)</f>
        <v>0</v>
      </c>
      <c r="DW230" s="34" t="n">
        <f aca="false">IF((122-N(V_L1_Mes)+1)&lt;1,0,IF((122-N(V_L1_Mes)+1)=1,N(V_L1_Monto),DV$230)-DW$229)</f>
        <v>0</v>
      </c>
      <c r="DX230" s="34" t="n">
        <f aca="false">IF((123-N(V_L1_Mes)+1)&lt;1,0,IF((123-N(V_L1_Mes)+1)=1,N(V_L1_Monto),DW$230)-DX$229)</f>
        <v>0</v>
      </c>
      <c r="DY230" s="34" t="n">
        <f aca="false">IF((124-N(V_L1_Mes)+1)&lt;1,0,IF((124-N(V_L1_Mes)+1)=1,N(V_L1_Monto),DX$230)-DY$229)</f>
        <v>0</v>
      </c>
      <c r="DZ230" s="34" t="n">
        <f aca="false">IF((125-N(V_L1_Mes)+1)&lt;1,0,IF((125-N(V_L1_Mes)+1)=1,N(V_L1_Monto),DY$230)-DZ$229)</f>
        <v>0</v>
      </c>
      <c r="EA230" s="34" t="n">
        <f aca="false">IF((126-N(V_L1_Mes)+1)&lt;1,0,IF((126-N(V_L1_Mes)+1)=1,N(V_L1_Monto),DZ$230)-EA$229)</f>
        <v>0</v>
      </c>
      <c r="EB230" s="34" t="n">
        <f aca="false">IF((127-N(V_L1_Mes)+1)&lt;1,0,IF((127-N(V_L1_Mes)+1)=1,N(V_L1_Monto),EA$230)-EB$229)</f>
        <v>0</v>
      </c>
      <c r="EC230" s="34" t="n">
        <f aca="false">IF((128-N(V_L1_Mes)+1)&lt;1,0,IF((128-N(V_L1_Mes)+1)=1,N(V_L1_Monto),EB$230)-EC$229)</f>
        <v>0</v>
      </c>
      <c r="ED230" s="34" t="n">
        <f aca="false">IF((129-N(V_L1_Mes)+1)&lt;1,0,IF((129-N(V_L1_Mes)+1)=1,N(V_L1_Monto),EC$230)-ED$229)</f>
        <v>0</v>
      </c>
      <c r="EE230" s="34" t="n">
        <f aca="false">IF((130-N(V_L1_Mes)+1)&lt;1,0,IF((130-N(V_L1_Mes)+1)=1,N(V_L1_Monto),ED$230)-EE$229)</f>
        <v>0</v>
      </c>
      <c r="EF230" s="34" t="n">
        <f aca="false">IF((131-N(V_L1_Mes)+1)&lt;1,0,IF((131-N(V_L1_Mes)+1)=1,N(V_L1_Monto),EE$230)-EF$229)</f>
        <v>0</v>
      </c>
      <c r="EG230" s="34" t="n">
        <f aca="false">IF((132-N(V_L1_Mes)+1)&lt;1,0,IF((132-N(V_L1_Mes)+1)=1,N(V_L1_Monto),EF$230)-EG$229)</f>
        <v>0</v>
      </c>
      <c r="EH230" s="34" t="n">
        <f aca="false">IF((133-N(V_L1_Mes)+1)&lt;1,0,IF((133-N(V_L1_Mes)+1)=1,N(V_L1_Monto),EG$230)-EH$229)</f>
        <v>0</v>
      </c>
      <c r="EI230" s="34" t="n">
        <f aca="false">IF((134-N(V_L1_Mes)+1)&lt;1,0,IF((134-N(V_L1_Mes)+1)=1,N(V_L1_Monto),EH$230)-EI$229)</f>
        <v>0</v>
      </c>
      <c r="EJ230" s="34" t="n">
        <f aca="false">IF((135-N(V_L1_Mes)+1)&lt;1,0,IF((135-N(V_L1_Mes)+1)=1,N(V_L1_Monto),EI$230)-EJ$229)</f>
        <v>0</v>
      </c>
      <c r="EK230" s="34" t="n">
        <f aca="false">IF((136-N(V_L1_Mes)+1)&lt;1,0,IF((136-N(V_L1_Mes)+1)=1,N(V_L1_Monto),EJ$230)-EK$229)</f>
        <v>0</v>
      </c>
      <c r="EL230" s="34" t="n">
        <f aca="false">IF((137-N(V_L1_Mes)+1)&lt;1,0,IF((137-N(V_L1_Mes)+1)=1,N(V_L1_Monto),EK$230)-EL$229)</f>
        <v>0</v>
      </c>
      <c r="EM230" s="34" t="n">
        <f aca="false">IF((138-N(V_L1_Mes)+1)&lt;1,0,IF((138-N(V_L1_Mes)+1)=1,N(V_L1_Monto),EL$230)-EM$229)</f>
        <v>0</v>
      </c>
      <c r="EN230" s="34" t="n">
        <f aca="false">IF((139-N(V_L1_Mes)+1)&lt;1,0,IF((139-N(V_L1_Mes)+1)=1,N(V_L1_Monto),EM$230)-EN$229)</f>
        <v>0</v>
      </c>
      <c r="EO230" s="34" t="n">
        <f aca="false">IF((140-N(V_L1_Mes)+1)&lt;1,0,IF((140-N(V_L1_Mes)+1)=1,N(V_L1_Monto),EN$230)-EO$229)</f>
        <v>0</v>
      </c>
      <c r="EP230" s="34" t="n">
        <f aca="false">IF((141-N(V_L1_Mes)+1)&lt;1,0,IF((141-N(V_L1_Mes)+1)=1,N(V_L1_Monto),EO$230)-EP$229)</f>
        <v>0</v>
      </c>
      <c r="EQ230" s="34" t="n">
        <f aca="false">IF((142-N(V_L1_Mes)+1)&lt;1,0,IF((142-N(V_L1_Mes)+1)=1,N(V_L1_Monto),EP$230)-EQ$229)</f>
        <v>0</v>
      </c>
      <c r="ER230" s="34" t="n">
        <f aca="false">IF((143-N(V_L1_Mes)+1)&lt;1,0,IF((143-N(V_L1_Mes)+1)=1,N(V_L1_Monto),EQ$230)-ER$229)</f>
        <v>0</v>
      </c>
      <c r="ES230" s="34" t="n">
        <f aca="false">IF((144-N(V_L1_Mes)+1)&lt;1,0,IF((144-N(V_L1_Mes)+1)=1,N(V_L1_Monto),ER$230)-ES$229)</f>
        <v>0</v>
      </c>
    </row>
    <row r="231" customFormat="false" ht="15" hidden="false" customHeight="false" outlineLevel="0" collapsed="false">
      <c r="A231" s="2" t="s">
        <v>842</v>
      </c>
      <c r="B231" s="6" t="s">
        <v>686</v>
      </c>
      <c r="C231" s="6" t="s">
        <v>250</v>
      </c>
      <c r="E231" s="40" t="n">
        <f aca="false">SUM(F231:ES231)</f>
        <v>0</v>
      </c>
      <c r="F231" s="34" t="n">
        <f aca="false">IF((1-N(V_L2_Mes)+1)=1,N(V_L2_Monto),0)*F$9</f>
        <v>0</v>
      </c>
      <c r="G231" s="34" t="n">
        <f aca="false">IF((2-N(V_L2_Mes)+1)=1,N(V_L2_Monto),0)*G$9</f>
        <v>0</v>
      </c>
      <c r="H231" s="34" t="n">
        <f aca="false">IF((3-N(V_L2_Mes)+1)=1,N(V_L2_Monto),0)*H$9</f>
        <v>0</v>
      </c>
      <c r="I231" s="34" t="n">
        <f aca="false">IF((4-N(V_L2_Mes)+1)=1,N(V_L2_Monto),0)*I$9</f>
        <v>0</v>
      </c>
      <c r="J231" s="34" t="n">
        <f aca="false">IF((5-N(V_L2_Mes)+1)=1,N(V_L2_Monto),0)*J$9</f>
        <v>0</v>
      </c>
      <c r="K231" s="34" t="n">
        <f aca="false">IF((6-N(V_L2_Mes)+1)=1,N(V_L2_Monto),0)*K$9</f>
        <v>0</v>
      </c>
      <c r="L231" s="34" t="n">
        <f aca="false">IF((7-N(V_L2_Mes)+1)=1,N(V_L2_Monto),0)*L$9</f>
        <v>0</v>
      </c>
      <c r="M231" s="34" t="n">
        <f aca="false">IF((8-N(V_L2_Mes)+1)=1,N(V_L2_Monto),0)*M$9</f>
        <v>0</v>
      </c>
      <c r="N231" s="34" t="n">
        <f aca="false">IF((9-N(V_L2_Mes)+1)=1,N(V_L2_Monto),0)*N$9</f>
        <v>0</v>
      </c>
      <c r="O231" s="34" t="n">
        <f aca="false">IF((10-N(V_L2_Mes)+1)=1,N(V_L2_Monto),0)*O$9</f>
        <v>0</v>
      </c>
      <c r="P231" s="34" t="n">
        <f aca="false">IF((11-N(V_L2_Mes)+1)=1,N(V_L2_Monto),0)*P$9</f>
        <v>0</v>
      </c>
      <c r="Q231" s="34" t="n">
        <f aca="false">IF((12-N(V_L2_Mes)+1)=1,N(V_L2_Monto),0)*Q$9</f>
        <v>0</v>
      </c>
      <c r="R231" s="34" t="n">
        <f aca="false">IF((13-N(V_L2_Mes)+1)=1,N(V_L2_Monto),0)*R$9</f>
        <v>0</v>
      </c>
      <c r="S231" s="34" t="n">
        <f aca="false">IF((14-N(V_L2_Mes)+1)=1,N(V_L2_Monto),0)*S$9</f>
        <v>0</v>
      </c>
      <c r="T231" s="34" t="n">
        <f aca="false">IF((15-N(V_L2_Mes)+1)=1,N(V_L2_Monto),0)*T$9</f>
        <v>0</v>
      </c>
      <c r="U231" s="34" t="n">
        <f aca="false">IF((16-N(V_L2_Mes)+1)=1,N(V_L2_Monto),0)*U$9</f>
        <v>0</v>
      </c>
      <c r="V231" s="34" t="n">
        <f aca="false">IF((17-N(V_L2_Mes)+1)=1,N(V_L2_Monto),0)*V$9</f>
        <v>0</v>
      </c>
      <c r="W231" s="34" t="n">
        <f aca="false">IF((18-N(V_L2_Mes)+1)=1,N(V_L2_Monto),0)*W$9</f>
        <v>0</v>
      </c>
      <c r="X231" s="34" t="n">
        <f aca="false">IF((19-N(V_L2_Mes)+1)=1,N(V_L2_Monto),0)*X$9</f>
        <v>0</v>
      </c>
      <c r="Y231" s="34" t="n">
        <f aca="false">IF((20-N(V_L2_Mes)+1)=1,N(V_L2_Monto),0)*Y$9</f>
        <v>0</v>
      </c>
      <c r="Z231" s="34" t="n">
        <f aca="false">IF((21-N(V_L2_Mes)+1)=1,N(V_L2_Monto),0)*Z$9</f>
        <v>0</v>
      </c>
      <c r="AA231" s="34" t="n">
        <f aca="false">IF((22-N(V_L2_Mes)+1)=1,N(V_L2_Monto),0)*AA$9</f>
        <v>0</v>
      </c>
      <c r="AB231" s="34" t="n">
        <f aca="false">IF((23-N(V_L2_Mes)+1)=1,N(V_L2_Monto),0)*AB$9</f>
        <v>0</v>
      </c>
      <c r="AC231" s="34" t="n">
        <f aca="false">IF((24-N(V_L2_Mes)+1)=1,N(V_L2_Monto),0)*AC$9</f>
        <v>0</v>
      </c>
      <c r="AD231" s="34" t="n">
        <f aca="false">IF((25-N(V_L2_Mes)+1)=1,N(V_L2_Monto),0)*AD$9</f>
        <v>0</v>
      </c>
      <c r="AE231" s="34" t="n">
        <f aca="false">IF((26-N(V_L2_Mes)+1)=1,N(V_L2_Monto),0)*AE$9</f>
        <v>0</v>
      </c>
      <c r="AF231" s="34" t="n">
        <f aca="false">IF((27-N(V_L2_Mes)+1)=1,N(V_L2_Monto),0)*AF$9</f>
        <v>0</v>
      </c>
      <c r="AG231" s="34" t="n">
        <f aca="false">IF((28-N(V_L2_Mes)+1)=1,N(V_L2_Monto),0)*AG$9</f>
        <v>0</v>
      </c>
      <c r="AH231" s="34" t="n">
        <f aca="false">IF((29-N(V_L2_Mes)+1)=1,N(V_L2_Monto),0)*AH$9</f>
        <v>0</v>
      </c>
      <c r="AI231" s="34" t="n">
        <f aca="false">IF((30-N(V_L2_Mes)+1)=1,N(V_L2_Monto),0)*AI$9</f>
        <v>0</v>
      </c>
      <c r="AJ231" s="34" t="n">
        <f aca="false">IF((31-N(V_L2_Mes)+1)=1,N(V_L2_Monto),0)*AJ$9</f>
        <v>0</v>
      </c>
      <c r="AK231" s="34" t="n">
        <f aca="false">IF((32-N(V_L2_Mes)+1)=1,N(V_L2_Monto),0)*AK$9</f>
        <v>0</v>
      </c>
      <c r="AL231" s="34" t="n">
        <f aca="false">IF((33-N(V_L2_Mes)+1)=1,N(V_L2_Monto),0)*AL$9</f>
        <v>0</v>
      </c>
      <c r="AM231" s="34" t="n">
        <f aca="false">IF((34-N(V_L2_Mes)+1)=1,N(V_L2_Monto),0)*AM$9</f>
        <v>0</v>
      </c>
      <c r="AN231" s="34" t="n">
        <f aca="false">IF((35-N(V_L2_Mes)+1)=1,N(V_L2_Monto),0)*AN$9</f>
        <v>0</v>
      </c>
      <c r="AO231" s="34" t="n">
        <f aca="false">IF((36-N(V_L2_Mes)+1)=1,N(V_L2_Monto),0)*AO$9</f>
        <v>0</v>
      </c>
      <c r="AP231" s="34" t="n">
        <f aca="false">IF((37-N(V_L2_Mes)+1)=1,N(V_L2_Monto),0)*AP$9</f>
        <v>0</v>
      </c>
      <c r="AQ231" s="34" t="n">
        <f aca="false">IF((38-N(V_L2_Mes)+1)=1,N(V_L2_Monto),0)*AQ$9</f>
        <v>0</v>
      </c>
      <c r="AR231" s="34" t="n">
        <f aca="false">IF((39-N(V_L2_Mes)+1)=1,N(V_L2_Monto),0)*AR$9</f>
        <v>0</v>
      </c>
      <c r="AS231" s="34" t="n">
        <f aca="false">IF((40-N(V_L2_Mes)+1)=1,N(V_L2_Monto),0)*AS$9</f>
        <v>0</v>
      </c>
      <c r="AT231" s="34" t="n">
        <f aca="false">IF((41-N(V_L2_Mes)+1)=1,N(V_L2_Monto),0)*AT$9</f>
        <v>0</v>
      </c>
      <c r="AU231" s="34" t="n">
        <f aca="false">IF((42-N(V_L2_Mes)+1)=1,N(V_L2_Monto),0)*AU$9</f>
        <v>0</v>
      </c>
      <c r="AV231" s="34" t="n">
        <f aca="false">IF((43-N(V_L2_Mes)+1)=1,N(V_L2_Monto),0)*AV$9</f>
        <v>0</v>
      </c>
      <c r="AW231" s="34" t="n">
        <f aca="false">IF((44-N(V_L2_Mes)+1)=1,N(V_L2_Monto),0)*AW$9</f>
        <v>0</v>
      </c>
      <c r="AX231" s="34" t="n">
        <f aca="false">IF((45-N(V_L2_Mes)+1)=1,N(V_L2_Monto),0)*AX$9</f>
        <v>0</v>
      </c>
      <c r="AY231" s="34" t="n">
        <f aca="false">IF((46-N(V_L2_Mes)+1)=1,N(V_L2_Monto),0)*AY$9</f>
        <v>0</v>
      </c>
      <c r="AZ231" s="34" t="n">
        <f aca="false">IF((47-N(V_L2_Mes)+1)=1,N(V_L2_Monto),0)*AZ$9</f>
        <v>0</v>
      </c>
      <c r="BA231" s="34" t="n">
        <f aca="false">IF((48-N(V_L2_Mes)+1)=1,N(V_L2_Monto),0)*BA$9</f>
        <v>0</v>
      </c>
      <c r="BB231" s="34" t="n">
        <f aca="false">IF((49-N(V_L2_Mes)+1)=1,N(V_L2_Monto),0)*BB$9</f>
        <v>0</v>
      </c>
      <c r="BC231" s="34" t="n">
        <f aca="false">IF((50-N(V_L2_Mes)+1)=1,N(V_L2_Monto),0)*BC$9</f>
        <v>0</v>
      </c>
      <c r="BD231" s="34" t="n">
        <f aca="false">IF((51-N(V_L2_Mes)+1)=1,N(V_L2_Monto),0)*BD$9</f>
        <v>0</v>
      </c>
      <c r="BE231" s="34" t="n">
        <f aca="false">IF((52-N(V_L2_Mes)+1)=1,N(V_L2_Monto),0)*BE$9</f>
        <v>0</v>
      </c>
      <c r="BF231" s="34" t="n">
        <f aca="false">IF((53-N(V_L2_Mes)+1)=1,N(V_L2_Monto),0)*BF$9</f>
        <v>0</v>
      </c>
      <c r="BG231" s="34" t="n">
        <f aca="false">IF((54-N(V_L2_Mes)+1)=1,N(V_L2_Monto),0)*BG$9</f>
        <v>0</v>
      </c>
      <c r="BH231" s="34" t="n">
        <f aca="false">IF((55-N(V_L2_Mes)+1)=1,N(V_L2_Monto),0)*BH$9</f>
        <v>0</v>
      </c>
      <c r="BI231" s="34" t="n">
        <f aca="false">IF((56-N(V_L2_Mes)+1)=1,N(V_L2_Monto),0)*BI$9</f>
        <v>0</v>
      </c>
      <c r="BJ231" s="34" t="n">
        <f aca="false">IF((57-N(V_L2_Mes)+1)=1,N(V_L2_Monto),0)*BJ$9</f>
        <v>0</v>
      </c>
      <c r="BK231" s="34" t="n">
        <f aca="false">IF((58-N(V_L2_Mes)+1)=1,N(V_L2_Monto),0)*BK$9</f>
        <v>0</v>
      </c>
      <c r="BL231" s="34" t="n">
        <f aca="false">IF((59-N(V_L2_Mes)+1)=1,N(V_L2_Monto),0)*BL$9</f>
        <v>0</v>
      </c>
      <c r="BM231" s="34" t="n">
        <f aca="false">IF((60-N(V_L2_Mes)+1)=1,N(V_L2_Monto),0)*BM$9</f>
        <v>0</v>
      </c>
      <c r="BN231" s="34" t="n">
        <f aca="false">IF((61-N(V_L2_Mes)+1)=1,N(V_L2_Monto),0)*BN$9</f>
        <v>0</v>
      </c>
      <c r="BO231" s="34" t="n">
        <f aca="false">IF((62-N(V_L2_Mes)+1)=1,N(V_L2_Monto),0)*BO$9</f>
        <v>0</v>
      </c>
      <c r="BP231" s="34" t="n">
        <f aca="false">IF((63-N(V_L2_Mes)+1)=1,N(V_L2_Monto),0)*BP$9</f>
        <v>0</v>
      </c>
      <c r="BQ231" s="34" t="n">
        <f aca="false">IF((64-N(V_L2_Mes)+1)=1,N(V_L2_Monto),0)*BQ$9</f>
        <v>0</v>
      </c>
      <c r="BR231" s="34" t="n">
        <f aca="false">IF((65-N(V_L2_Mes)+1)=1,N(V_L2_Monto),0)*BR$9</f>
        <v>0</v>
      </c>
      <c r="BS231" s="34" t="n">
        <f aca="false">IF((66-N(V_L2_Mes)+1)=1,N(V_L2_Monto),0)*BS$9</f>
        <v>0</v>
      </c>
      <c r="BT231" s="34" t="n">
        <f aca="false">IF((67-N(V_L2_Mes)+1)=1,N(V_L2_Monto),0)*BT$9</f>
        <v>0</v>
      </c>
      <c r="BU231" s="34" t="n">
        <f aca="false">IF((68-N(V_L2_Mes)+1)=1,N(V_L2_Monto),0)*BU$9</f>
        <v>0</v>
      </c>
      <c r="BV231" s="34" t="n">
        <f aca="false">IF((69-N(V_L2_Mes)+1)=1,N(V_L2_Monto),0)*BV$9</f>
        <v>0</v>
      </c>
      <c r="BW231" s="34" t="n">
        <f aca="false">IF((70-N(V_L2_Mes)+1)=1,N(V_L2_Monto),0)*BW$9</f>
        <v>0</v>
      </c>
      <c r="BX231" s="34" t="n">
        <f aca="false">IF((71-N(V_L2_Mes)+1)=1,N(V_L2_Monto),0)*BX$9</f>
        <v>0</v>
      </c>
      <c r="BY231" s="34" t="n">
        <f aca="false">IF((72-N(V_L2_Mes)+1)=1,N(V_L2_Monto),0)*BY$9</f>
        <v>0</v>
      </c>
      <c r="BZ231" s="34" t="n">
        <f aca="false">IF((73-N(V_L2_Mes)+1)=1,N(V_L2_Monto),0)*BZ$9</f>
        <v>0</v>
      </c>
      <c r="CA231" s="34" t="n">
        <f aca="false">IF((74-N(V_L2_Mes)+1)=1,N(V_L2_Monto),0)*CA$9</f>
        <v>0</v>
      </c>
      <c r="CB231" s="34" t="n">
        <f aca="false">IF((75-N(V_L2_Mes)+1)=1,N(V_L2_Monto),0)*CB$9</f>
        <v>0</v>
      </c>
      <c r="CC231" s="34" t="n">
        <f aca="false">IF((76-N(V_L2_Mes)+1)=1,N(V_L2_Monto),0)*CC$9</f>
        <v>0</v>
      </c>
      <c r="CD231" s="34" t="n">
        <f aca="false">IF((77-N(V_L2_Mes)+1)=1,N(V_L2_Monto),0)*CD$9</f>
        <v>0</v>
      </c>
      <c r="CE231" s="34" t="n">
        <f aca="false">IF((78-N(V_L2_Mes)+1)=1,N(V_L2_Monto),0)*CE$9</f>
        <v>0</v>
      </c>
      <c r="CF231" s="34" t="n">
        <f aca="false">IF((79-N(V_L2_Mes)+1)=1,N(V_L2_Monto),0)*CF$9</f>
        <v>0</v>
      </c>
      <c r="CG231" s="34" t="n">
        <f aca="false">IF((80-N(V_L2_Mes)+1)=1,N(V_L2_Monto),0)*CG$9</f>
        <v>0</v>
      </c>
      <c r="CH231" s="34" t="n">
        <f aca="false">IF((81-N(V_L2_Mes)+1)=1,N(V_L2_Monto),0)*CH$9</f>
        <v>0</v>
      </c>
      <c r="CI231" s="34" t="n">
        <f aca="false">IF((82-N(V_L2_Mes)+1)=1,N(V_L2_Monto),0)*CI$9</f>
        <v>0</v>
      </c>
      <c r="CJ231" s="34" t="n">
        <f aca="false">IF((83-N(V_L2_Mes)+1)=1,N(V_L2_Monto),0)*CJ$9</f>
        <v>0</v>
      </c>
      <c r="CK231" s="34" t="n">
        <f aca="false">IF((84-N(V_L2_Mes)+1)=1,N(V_L2_Monto),0)*CK$9</f>
        <v>0</v>
      </c>
      <c r="CL231" s="34" t="n">
        <f aca="false">IF((85-N(V_L2_Mes)+1)=1,N(V_L2_Monto),0)*CL$9</f>
        <v>0</v>
      </c>
      <c r="CM231" s="34" t="n">
        <f aca="false">IF((86-N(V_L2_Mes)+1)=1,N(V_L2_Monto),0)*CM$9</f>
        <v>0</v>
      </c>
      <c r="CN231" s="34" t="n">
        <f aca="false">IF((87-N(V_L2_Mes)+1)=1,N(V_L2_Monto),0)*CN$9</f>
        <v>0</v>
      </c>
      <c r="CO231" s="34" t="n">
        <f aca="false">IF((88-N(V_L2_Mes)+1)=1,N(V_L2_Monto),0)*CO$9</f>
        <v>0</v>
      </c>
      <c r="CP231" s="34" t="n">
        <f aca="false">IF((89-N(V_L2_Mes)+1)=1,N(V_L2_Monto),0)*CP$9</f>
        <v>0</v>
      </c>
      <c r="CQ231" s="34" t="n">
        <f aca="false">IF((90-N(V_L2_Mes)+1)=1,N(V_L2_Monto),0)*CQ$9</f>
        <v>0</v>
      </c>
      <c r="CR231" s="34" t="n">
        <f aca="false">IF((91-N(V_L2_Mes)+1)=1,N(V_L2_Monto),0)*CR$9</f>
        <v>0</v>
      </c>
      <c r="CS231" s="34" t="n">
        <f aca="false">IF((92-N(V_L2_Mes)+1)=1,N(V_L2_Monto),0)*CS$9</f>
        <v>0</v>
      </c>
      <c r="CT231" s="34" t="n">
        <f aca="false">IF((93-N(V_L2_Mes)+1)=1,N(V_L2_Monto),0)*CT$9</f>
        <v>0</v>
      </c>
      <c r="CU231" s="34" t="n">
        <f aca="false">IF((94-N(V_L2_Mes)+1)=1,N(V_L2_Monto),0)*CU$9</f>
        <v>0</v>
      </c>
      <c r="CV231" s="34" t="n">
        <f aca="false">IF((95-N(V_L2_Mes)+1)=1,N(V_L2_Monto),0)*CV$9</f>
        <v>0</v>
      </c>
      <c r="CW231" s="34" t="n">
        <f aca="false">IF((96-N(V_L2_Mes)+1)=1,N(V_L2_Monto),0)*CW$9</f>
        <v>0</v>
      </c>
      <c r="CX231" s="34" t="n">
        <f aca="false">IF((97-N(V_L2_Mes)+1)=1,N(V_L2_Monto),0)*CX$9</f>
        <v>0</v>
      </c>
      <c r="CY231" s="34" t="n">
        <f aca="false">IF((98-N(V_L2_Mes)+1)=1,N(V_L2_Monto),0)*CY$9</f>
        <v>0</v>
      </c>
      <c r="CZ231" s="34" t="n">
        <f aca="false">IF((99-N(V_L2_Mes)+1)=1,N(V_L2_Monto),0)*CZ$9</f>
        <v>0</v>
      </c>
      <c r="DA231" s="34" t="n">
        <f aca="false">IF((100-N(V_L2_Mes)+1)=1,N(V_L2_Monto),0)*DA$9</f>
        <v>0</v>
      </c>
      <c r="DB231" s="34" t="n">
        <f aca="false">IF((101-N(V_L2_Mes)+1)=1,N(V_L2_Monto),0)*DB$9</f>
        <v>0</v>
      </c>
      <c r="DC231" s="34" t="n">
        <f aca="false">IF((102-N(V_L2_Mes)+1)=1,N(V_L2_Monto),0)*DC$9</f>
        <v>0</v>
      </c>
      <c r="DD231" s="34" t="n">
        <f aca="false">IF((103-N(V_L2_Mes)+1)=1,N(V_L2_Monto),0)*DD$9</f>
        <v>0</v>
      </c>
      <c r="DE231" s="34" t="n">
        <f aca="false">IF((104-N(V_L2_Mes)+1)=1,N(V_L2_Monto),0)*DE$9</f>
        <v>0</v>
      </c>
      <c r="DF231" s="34" t="n">
        <f aca="false">IF((105-N(V_L2_Mes)+1)=1,N(V_L2_Monto),0)*DF$9</f>
        <v>0</v>
      </c>
      <c r="DG231" s="34" t="n">
        <f aca="false">IF((106-N(V_L2_Mes)+1)=1,N(V_L2_Monto),0)*DG$9</f>
        <v>0</v>
      </c>
      <c r="DH231" s="34" t="n">
        <f aca="false">IF((107-N(V_L2_Mes)+1)=1,N(V_L2_Monto),0)*DH$9</f>
        <v>0</v>
      </c>
      <c r="DI231" s="34" t="n">
        <f aca="false">IF((108-N(V_L2_Mes)+1)=1,N(V_L2_Monto),0)*DI$9</f>
        <v>0</v>
      </c>
      <c r="DJ231" s="34" t="n">
        <f aca="false">IF((109-N(V_L2_Mes)+1)=1,N(V_L2_Monto),0)*DJ$9</f>
        <v>0</v>
      </c>
      <c r="DK231" s="34" t="n">
        <f aca="false">IF((110-N(V_L2_Mes)+1)=1,N(V_L2_Monto),0)*DK$9</f>
        <v>0</v>
      </c>
      <c r="DL231" s="34" t="n">
        <f aca="false">IF((111-N(V_L2_Mes)+1)=1,N(V_L2_Monto),0)*DL$9</f>
        <v>0</v>
      </c>
      <c r="DM231" s="34" t="n">
        <f aca="false">IF((112-N(V_L2_Mes)+1)=1,N(V_L2_Monto),0)*DM$9</f>
        <v>0</v>
      </c>
      <c r="DN231" s="34" t="n">
        <f aca="false">IF((113-N(V_L2_Mes)+1)=1,N(V_L2_Monto),0)*DN$9</f>
        <v>0</v>
      </c>
      <c r="DO231" s="34" t="n">
        <f aca="false">IF((114-N(V_L2_Mes)+1)=1,N(V_L2_Monto),0)*DO$9</f>
        <v>0</v>
      </c>
      <c r="DP231" s="34" t="n">
        <f aca="false">IF((115-N(V_L2_Mes)+1)=1,N(V_L2_Monto),0)*DP$9</f>
        <v>0</v>
      </c>
      <c r="DQ231" s="34" t="n">
        <f aca="false">IF((116-N(V_L2_Mes)+1)=1,N(V_L2_Monto),0)*DQ$9</f>
        <v>0</v>
      </c>
      <c r="DR231" s="34" t="n">
        <f aca="false">IF((117-N(V_L2_Mes)+1)=1,N(V_L2_Monto),0)*DR$9</f>
        <v>0</v>
      </c>
      <c r="DS231" s="34" t="n">
        <f aca="false">IF((118-N(V_L2_Mes)+1)=1,N(V_L2_Monto),0)*DS$9</f>
        <v>0</v>
      </c>
      <c r="DT231" s="34" t="n">
        <f aca="false">IF((119-N(V_L2_Mes)+1)=1,N(V_L2_Monto),0)*DT$9</f>
        <v>0</v>
      </c>
      <c r="DU231" s="34" t="n">
        <f aca="false">IF((120-N(V_L2_Mes)+1)=1,N(V_L2_Monto),0)*DU$9</f>
        <v>0</v>
      </c>
      <c r="DV231" s="34" t="n">
        <f aca="false">IF((121-N(V_L2_Mes)+1)=1,N(V_L2_Monto),0)*DV$9</f>
        <v>0</v>
      </c>
      <c r="DW231" s="34" t="n">
        <f aca="false">IF((122-N(V_L2_Mes)+1)=1,N(V_L2_Monto),0)*DW$9</f>
        <v>0</v>
      </c>
      <c r="DX231" s="34" t="n">
        <f aca="false">IF((123-N(V_L2_Mes)+1)=1,N(V_L2_Monto),0)*DX$9</f>
        <v>0</v>
      </c>
      <c r="DY231" s="34" t="n">
        <f aca="false">IF((124-N(V_L2_Mes)+1)=1,N(V_L2_Monto),0)*DY$9</f>
        <v>0</v>
      </c>
      <c r="DZ231" s="34" t="n">
        <f aca="false">IF((125-N(V_L2_Mes)+1)=1,N(V_L2_Monto),0)*DZ$9</f>
        <v>0</v>
      </c>
      <c r="EA231" s="34" t="n">
        <f aca="false">IF((126-N(V_L2_Mes)+1)=1,N(V_L2_Monto),0)*EA$9</f>
        <v>0</v>
      </c>
      <c r="EB231" s="34" t="n">
        <f aca="false">IF((127-N(V_L2_Mes)+1)=1,N(V_L2_Monto),0)*EB$9</f>
        <v>0</v>
      </c>
      <c r="EC231" s="34" t="n">
        <f aca="false">IF((128-N(V_L2_Mes)+1)=1,N(V_L2_Monto),0)*EC$9</f>
        <v>0</v>
      </c>
      <c r="ED231" s="34" t="n">
        <f aca="false">IF((129-N(V_L2_Mes)+1)=1,N(V_L2_Monto),0)*ED$9</f>
        <v>0</v>
      </c>
      <c r="EE231" s="34" t="n">
        <f aca="false">IF((130-N(V_L2_Mes)+1)=1,N(V_L2_Monto),0)*EE$9</f>
        <v>0</v>
      </c>
      <c r="EF231" s="34" t="n">
        <f aca="false">IF((131-N(V_L2_Mes)+1)=1,N(V_L2_Monto),0)*EF$9</f>
        <v>0</v>
      </c>
      <c r="EG231" s="34" t="n">
        <f aca="false">IF((132-N(V_L2_Mes)+1)=1,N(V_L2_Monto),0)*EG$9</f>
        <v>0</v>
      </c>
      <c r="EH231" s="34" t="n">
        <f aca="false">IF((133-N(V_L2_Mes)+1)=1,N(V_L2_Monto),0)*EH$9</f>
        <v>0</v>
      </c>
      <c r="EI231" s="34" t="n">
        <f aca="false">IF((134-N(V_L2_Mes)+1)=1,N(V_L2_Monto),0)*EI$9</f>
        <v>0</v>
      </c>
      <c r="EJ231" s="34" t="n">
        <f aca="false">IF((135-N(V_L2_Mes)+1)=1,N(V_L2_Monto),0)*EJ$9</f>
        <v>0</v>
      </c>
      <c r="EK231" s="34" t="n">
        <f aca="false">IF((136-N(V_L2_Mes)+1)=1,N(V_L2_Monto),0)*EK$9</f>
        <v>0</v>
      </c>
      <c r="EL231" s="34" t="n">
        <f aca="false">IF((137-N(V_L2_Mes)+1)=1,N(V_L2_Monto),0)*EL$9</f>
        <v>0</v>
      </c>
      <c r="EM231" s="34" t="n">
        <f aca="false">IF((138-N(V_L2_Mes)+1)=1,N(V_L2_Monto),0)*EM$9</f>
        <v>0</v>
      </c>
      <c r="EN231" s="34" t="n">
        <f aca="false">IF((139-N(V_L2_Mes)+1)=1,N(V_L2_Monto),0)*EN$9</f>
        <v>0</v>
      </c>
      <c r="EO231" s="34" t="n">
        <f aca="false">IF((140-N(V_L2_Mes)+1)=1,N(V_L2_Monto),0)*EO$9</f>
        <v>0</v>
      </c>
      <c r="EP231" s="34" t="n">
        <f aca="false">IF((141-N(V_L2_Mes)+1)=1,N(V_L2_Monto),0)*EP$9</f>
        <v>0</v>
      </c>
      <c r="EQ231" s="34" t="n">
        <f aca="false">IF((142-N(V_L2_Mes)+1)=1,N(V_L2_Monto),0)*EQ$9</f>
        <v>0</v>
      </c>
      <c r="ER231" s="34" t="n">
        <f aca="false">IF((143-N(V_L2_Mes)+1)=1,N(V_L2_Monto),0)*ER$9</f>
        <v>0</v>
      </c>
      <c r="ES231" s="34" t="n">
        <f aca="false">IF((144-N(V_L2_Mes)+1)=1,N(V_L2_Monto),0)*ES$9</f>
        <v>0</v>
      </c>
    </row>
    <row r="232" customFormat="false" ht="15" hidden="false" customHeight="false" outlineLevel="0" collapsed="false">
      <c r="A232" s="2" t="s">
        <v>843</v>
      </c>
      <c r="B232" s="6" t="s">
        <v>688</v>
      </c>
      <c r="C232" s="6" t="s">
        <v>250</v>
      </c>
      <c r="E232" s="40" t="n">
        <f aca="false">SUM(F232:ES232)</f>
        <v>0</v>
      </c>
      <c r="F232" s="34" t="n">
        <f aca="false">IF((1-N(V_L2_Mes)+1)&gt;=1,IF((1-N(V_L2_Mes)+1)=1,N(V_L2_Monto),0)*N(V_L2_Tasa)/12,0)*F$9</f>
        <v>0</v>
      </c>
      <c r="G232" s="34" t="n">
        <f aca="false">IF((2-N(V_L2_Mes)+1)&gt;=1,IF((2-N(V_L2_Mes)+1)=1,N(V_L2_Monto),F$234)*N(V_L2_Tasa)/12,0)*G$9</f>
        <v>0</v>
      </c>
      <c r="H232" s="34" t="n">
        <f aca="false">IF((3-N(V_L2_Mes)+1)&gt;=1,IF((3-N(V_L2_Mes)+1)=1,N(V_L2_Monto),G$234)*N(V_L2_Tasa)/12,0)*H$9</f>
        <v>0</v>
      </c>
      <c r="I232" s="34" t="n">
        <f aca="false">IF((4-N(V_L2_Mes)+1)&gt;=1,IF((4-N(V_L2_Mes)+1)=1,N(V_L2_Monto),H$234)*N(V_L2_Tasa)/12,0)*I$9</f>
        <v>0</v>
      </c>
      <c r="J232" s="34" t="n">
        <f aca="false">IF((5-N(V_L2_Mes)+1)&gt;=1,IF((5-N(V_L2_Mes)+1)=1,N(V_L2_Monto),I$234)*N(V_L2_Tasa)/12,0)*J$9</f>
        <v>0</v>
      </c>
      <c r="K232" s="34" t="n">
        <f aca="false">IF((6-N(V_L2_Mes)+1)&gt;=1,IF((6-N(V_L2_Mes)+1)=1,N(V_L2_Monto),J$234)*N(V_L2_Tasa)/12,0)*K$9</f>
        <v>0</v>
      </c>
      <c r="L232" s="34" t="n">
        <f aca="false">IF((7-N(V_L2_Mes)+1)&gt;=1,IF((7-N(V_L2_Mes)+1)=1,N(V_L2_Monto),K$234)*N(V_L2_Tasa)/12,0)*L$9</f>
        <v>0</v>
      </c>
      <c r="M232" s="34" t="n">
        <f aca="false">IF((8-N(V_L2_Mes)+1)&gt;=1,IF((8-N(V_L2_Mes)+1)=1,N(V_L2_Monto),L$234)*N(V_L2_Tasa)/12,0)*M$9</f>
        <v>0</v>
      </c>
      <c r="N232" s="34" t="n">
        <f aca="false">IF((9-N(V_L2_Mes)+1)&gt;=1,IF((9-N(V_L2_Mes)+1)=1,N(V_L2_Monto),M$234)*N(V_L2_Tasa)/12,0)*N$9</f>
        <v>0</v>
      </c>
      <c r="O232" s="34" t="n">
        <f aca="false">IF((10-N(V_L2_Mes)+1)&gt;=1,IF((10-N(V_L2_Mes)+1)=1,N(V_L2_Monto),N$234)*N(V_L2_Tasa)/12,0)*O$9</f>
        <v>0</v>
      </c>
      <c r="P232" s="34" t="n">
        <f aca="false">IF((11-N(V_L2_Mes)+1)&gt;=1,IF((11-N(V_L2_Mes)+1)=1,N(V_L2_Monto),O$234)*N(V_L2_Tasa)/12,0)*P$9</f>
        <v>0</v>
      </c>
      <c r="Q232" s="34" t="n">
        <f aca="false">IF((12-N(V_L2_Mes)+1)&gt;=1,IF((12-N(V_L2_Mes)+1)=1,N(V_L2_Monto),P$234)*N(V_L2_Tasa)/12,0)*Q$9</f>
        <v>0</v>
      </c>
      <c r="R232" s="34" t="n">
        <f aca="false">IF((13-N(V_L2_Mes)+1)&gt;=1,IF((13-N(V_L2_Mes)+1)=1,N(V_L2_Monto),Q$234)*N(V_L2_Tasa)/12,0)*R$9</f>
        <v>0</v>
      </c>
      <c r="S232" s="34" t="n">
        <f aca="false">IF((14-N(V_L2_Mes)+1)&gt;=1,IF((14-N(V_L2_Mes)+1)=1,N(V_L2_Monto),R$234)*N(V_L2_Tasa)/12,0)*S$9</f>
        <v>0</v>
      </c>
      <c r="T232" s="34" t="n">
        <f aca="false">IF((15-N(V_L2_Mes)+1)&gt;=1,IF((15-N(V_L2_Mes)+1)=1,N(V_L2_Monto),S$234)*N(V_L2_Tasa)/12,0)*T$9</f>
        <v>0</v>
      </c>
      <c r="U232" s="34" t="n">
        <f aca="false">IF((16-N(V_L2_Mes)+1)&gt;=1,IF((16-N(V_L2_Mes)+1)=1,N(V_L2_Monto),T$234)*N(V_L2_Tasa)/12,0)*U$9</f>
        <v>0</v>
      </c>
      <c r="V232" s="34" t="n">
        <f aca="false">IF((17-N(V_L2_Mes)+1)&gt;=1,IF((17-N(V_L2_Mes)+1)=1,N(V_L2_Monto),U$234)*N(V_L2_Tasa)/12,0)*V$9</f>
        <v>0</v>
      </c>
      <c r="W232" s="34" t="n">
        <f aca="false">IF((18-N(V_L2_Mes)+1)&gt;=1,IF((18-N(V_L2_Mes)+1)=1,N(V_L2_Monto),V$234)*N(V_L2_Tasa)/12,0)*W$9</f>
        <v>0</v>
      </c>
      <c r="X232" s="34" t="n">
        <f aca="false">IF((19-N(V_L2_Mes)+1)&gt;=1,IF((19-N(V_L2_Mes)+1)=1,N(V_L2_Monto),W$234)*N(V_L2_Tasa)/12,0)*X$9</f>
        <v>0</v>
      </c>
      <c r="Y232" s="34" t="n">
        <f aca="false">IF((20-N(V_L2_Mes)+1)&gt;=1,IF((20-N(V_L2_Mes)+1)=1,N(V_L2_Monto),X$234)*N(V_L2_Tasa)/12,0)*Y$9</f>
        <v>0</v>
      </c>
      <c r="Z232" s="34" t="n">
        <f aca="false">IF((21-N(V_L2_Mes)+1)&gt;=1,IF((21-N(V_L2_Mes)+1)=1,N(V_L2_Monto),Y$234)*N(V_L2_Tasa)/12,0)*Z$9</f>
        <v>0</v>
      </c>
      <c r="AA232" s="34" t="n">
        <f aca="false">IF((22-N(V_L2_Mes)+1)&gt;=1,IF((22-N(V_L2_Mes)+1)=1,N(V_L2_Monto),Z$234)*N(V_L2_Tasa)/12,0)*AA$9</f>
        <v>0</v>
      </c>
      <c r="AB232" s="34" t="n">
        <f aca="false">IF((23-N(V_L2_Mes)+1)&gt;=1,IF((23-N(V_L2_Mes)+1)=1,N(V_L2_Monto),AA$234)*N(V_L2_Tasa)/12,0)*AB$9</f>
        <v>0</v>
      </c>
      <c r="AC232" s="34" t="n">
        <f aca="false">IF((24-N(V_L2_Mes)+1)&gt;=1,IF((24-N(V_L2_Mes)+1)=1,N(V_L2_Monto),AB$234)*N(V_L2_Tasa)/12,0)*AC$9</f>
        <v>0</v>
      </c>
      <c r="AD232" s="34" t="n">
        <f aca="false">IF((25-N(V_L2_Mes)+1)&gt;=1,IF((25-N(V_L2_Mes)+1)=1,N(V_L2_Monto),AC$234)*N(V_L2_Tasa)/12,0)*AD$9</f>
        <v>0</v>
      </c>
      <c r="AE232" s="34" t="n">
        <f aca="false">IF((26-N(V_L2_Mes)+1)&gt;=1,IF((26-N(V_L2_Mes)+1)=1,N(V_L2_Monto),AD$234)*N(V_L2_Tasa)/12,0)*AE$9</f>
        <v>0</v>
      </c>
      <c r="AF232" s="34" t="n">
        <f aca="false">IF((27-N(V_L2_Mes)+1)&gt;=1,IF((27-N(V_L2_Mes)+1)=1,N(V_L2_Monto),AE$234)*N(V_L2_Tasa)/12,0)*AF$9</f>
        <v>0</v>
      </c>
      <c r="AG232" s="34" t="n">
        <f aca="false">IF((28-N(V_L2_Mes)+1)&gt;=1,IF((28-N(V_L2_Mes)+1)=1,N(V_L2_Monto),AF$234)*N(V_L2_Tasa)/12,0)*AG$9</f>
        <v>0</v>
      </c>
      <c r="AH232" s="34" t="n">
        <f aca="false">IF((29-N(V_L2_Mes)+1)&gt;=1,IF((29-N(V_L2_Mes)+1)=1,N(V_L2_Monto),AG$234)*N(V_L2_Tasa)/12,0)*AH$9</f>
        <v>0</v>
      </c>
      <c r="AI232" s="34" t="n">
        <f aca="false">IF((30-N(V_L2_Mes)+1)&gt;=1,IF((30-N(V_L2_Mes)+1)=1,N(V_L2_Monto),AH$234)*N(V_L2_Tasa)/12,0)*AI$9</f>
        <v>0</v>
      </c>
      <c r="AJ232" s="34" t="n">
        <f aca="false">IF((31-N(V_L2_Mes)+1)&gt;=1,IF((31-N(V_L2_Mes)+1)=1,N(V_L2_Monto),AI$234)*N(V_L2_Tasa)/12,0)*AJ$9</f>
        <v>0</v>
      </c>
      <c r="AK232" s="34" t="n">
        <f aca="false">IF((32-N(V_L2_Mes)+1)&gt;=1,IF((32-N(V_L2_Mes)+1)=1,N(V_L2_Monto),AJ$234)*N(V_L2_Tasa)/12,0)*AK$9</f>
        <v>0</v>
      </c>
      <c r="AL232" s="34" t="n">
        <f aca="false">IF((33-N(V_L2_Mes)+1)&gt;=1,IF((33-N(V_L2_Mes)+1)=1,N(V_L2_Monto),AK$234)*N(V_L2_Tasa)/12,0)*AL$9</f>
        <v>0</v>
      </c>
      <c r="AM232" s="34" t="n">
        <f aca="false">IF((34-N(V_L2_Mes)+1)&gt;=1,IF((34-N(V_L2_Mes)+1)=1,N(V_L2_Monto),AL$234)*N(V_L2_Tasa)/12,0)*AM$9</f>
        <v>0</v>
      </c>
      <c r="AN232" s="34" t="n">
        <f aca="false">IF((35-N(V_L2_Mes)+1)&gt;=1,IF((35-N(V_L2_Mes)+1)=1,N(V_L2_Monto),AM$234)*N(V_L2_Tasa)/12,0)*AN$9</f>
        <v>0</v>
      </c>
      <c r="AO232" s="34" t="n">
        <f aca="false">IF((36-N(V_L2_Mes)+1)&gt;=1,IF((36-N(V_L2_Mes)+1)=1,N(V_L2_Monto),AN$234)*N(V_L2_Tasa)/12,0)*AO$9</f>
        <v>0</v>
      </c>
      <c r="AP232" s="34" t="n">
        <f aca="false">IF((37-N(V_L2_Mes)+1)&gt;=1,IF((37-N(V_L2_Mes)+1)=1,N(V_L2_Monto),AO$234)*N(V_L2_Tasa)/12,0)*AP$9</f>
        <v>0</v>
      </c>
      <c r="AQ232" s="34" t="n">
        <f aca="false">IF((38-N(V_L2_Mes)+1)&gt;=1,IF((38-N(V_L2_Mes)+1)=1,N(V_L2_Monto),AP$234)*N(V_L2_Tasa)/12,0)*AQ$9</f>
        <v>0</v>
      </c>
      <c r="AR232" s="34" t="n">
        <f aca="false">IF((39-N(V_L2_Mes)+1)&gt;=1,IF((39-N(V_L2_Mes)+1)=1,N(V_L2_Monto),AQ$234)*N(V_L2_Tasa)/12,0)*AR$9</f>
        <v>0</v>
      </c>
      <c r="AS232" s="34" t="n">
        <f aca="false">IF((40-N(V_L2_Mes)+1)&gt;=1,IF((40-N(V_L2_Mes)+1)=1,N(V_L2_Monto),AR$234)*N(V_L2_Tasa)/12,0)*AS$9</f>
        <v>0</v>
      </c>
      <c r="AT232" s="34" t="n">
        <f aca="false">IF((41-N(V_L2_Mes)+1)&gt;=1,IF((41-N(V_L2_Mes)+1)=1,N(V_L2_Monto),AS$234)*N(V_L2_Tasa)/12,0)*AT$9</f>
        <v>0</v>
      </c>
      <c r="AU232" s="34" t="n">
        <f aca="false">IF((42-N(V_L2_Mes)+1)&gt;=1,IF((42-N(V_L2_Mes)+1)=1,N(V_L2_Monto),AT$234)*N(V_L2_Tasa)/12,0)*AU$9</f>
        <v>0</v>
      </c>
      <c r="AV232" s="34" t="n">
        <f aca="false">IF((43-N(V_L2_Mes)+1)&gt;=1,IF((43-N(V_L2_Mes)+1)=1,N(V_L2_Monto),AU$234)*N(V_L2_Tasa)/12,0)*AV$9</f>
        <v>0</v>
      </c>
      <c r="AW232" s="34" t="n">
        <f aca="false">IF((44-N(V_L2_Mes)+1)&gt;=1,IF((44-N(V_L2_Mes)+1)=1,N(V_L2_Monto),AV$234)*N(V_L2_Tasa)/12,0)*AW$9</f>
        <v>0</v>
      </c>
      <c r="AX232" s="34" t="n">
        <f aca="false">IF((45-N(V_L2_Mes)+1)&gt;=1,IF((45-N(V_L2_Mes)+1)=1,N(V_L2_Monto),AW$234)*N(V_L2_Tasa)/12,0)*AX$9</f>
        <v>0</v>
      </c>
      <c r="AY232" s="34" t="n">
        <f aca="false">IF((46-N(V_L2_Mes)+1)&gt;=1,IF((46-N(V_L2_Mes)+1)=1,N(V_L2_Monto),AX$234)*N(V_L2_Tasa)/12,0)*AY$9</f>
        <v>0</v>
      </c>
      <c r="AZ232" s="34" t="n">
        <f aca="false">IF((47-N(V_L2_Mes)+1)&gt;=1,IF((47-N(V_L2_Mes)+1)=1,N(V_L2_Monto),AY$234)*N(V_L2_Tasa)/12,0)*AZ$9</f>
        <v>0</v>
      </c>
      <c r="BA232" s="34" t="n">
        <f aca="false">IF((48-N(V_L2_Mes)+1)&gt;=1,IF((48-N(V_L2_Mes)+1)=1,N(V_L2_Monto),AZ$234)*N(V_L2_Tasa)/12,0)*BA$9</f>
        <v>0</v>
      </c>
      <c r="BB232" s="34" t="n">
        <f aca="false">IF((49-N(V_L2_Mes)+1)&gt;=1,IF((49-N(V_L2_Mes)+1)=1,N(V_L2_Monto),BA$234)*N(V_L2_Tasa)/12,0)*BB$9</f>
        <v>0</v>
      </c>
      <c r="BC232" s="34" t="n">
        <f aca="false">IF((50-N(V_L2_Mes)+1)&gt;=1,IF((50-N(V_L2_Mes)+1)=1,N(V_L2_Monto),BB$234)*N(V_L2_Tasa)/12,0)*BC$9</f>
        <v>0</v>
      </c>
      <c r="BD232" s="34" t="n">
        <f aca="false">IF((51-N(V_L2_Mes)+1)&gt;=1,IF((51-N(V_L2_Mes)+1)=1,N(V_L2_Monto),BC$234)*N(V_L2_Tasa)/12,0)*BD$9</f>
        <v>0</v>
      </c>
      <c r="BE232" s="34" t="n">
        <f aca="false">IF((52-N(V_L2_Mes)+1)&gt;=1,IF((52-N(V_L2_Mes)+1)=1,N(V_L2_Monto),BD$234)*N(V_L2_Tasa)/12,0)*BE$9</f>
        <v>0</v>
      </c>
      <c r="BF232" s="34" t="n">
        <f aca="false">IF((53-N(V_L2_Mes)+1)&gt;=1,IF((53-N(V_L2_Mes)+1)=1,N(V_L2_Monto),BE$234)*N(V_L2_Tasa)/12,0)*BF$9</f>
        <v>0</v>
      </c>
      <c r="BG232" s="34" t="n">
        <f aca="false">IF((54-N(V_L2_Mes)+1)&gt;=1,IF((54-N(V_L2_Mes)+1)=1,N(V_L2_Monto),BF$234)*N(V_L2_Tasa)/12,0)*BG$9</f>
        <v>0</v>
      </c>
      <c r="BH232" s="34" t="n">
        <f aca="false">IF((55-N(V_L2_Mes)+1)&gt;=1,IF((55-N(V_L2_Mes)+1)=1,N(V_L2_Monto),BG$234)*N(V_L2_Tasa)/12,0)*BH$9</f>
        <v>0</v>
      </c>
      <c r="BI232" s="34" t="n">
        <f aca="false">IF((56-N(V_L2_Mes)+1)&gt;=1,IF((56-N(V_L2_Mes)+1)=1,N(V_L2_Monto),BH$234)*N(V_L2_Tasa)/12,0)*BI$9</f>
        <v>0</v>
      </c>
      <c r="BJ232" s="34" t="n">
        <f aca="false">IF((57-N(V_L2_Mes)+1)&gt;=1,IF((57-N(V_L2_Mes)+1)=1,N(V_L2_Monto),BI$234)*N(V_L2_Tasa)/12,0)*BJ$9</f>
        <v>0</v>
      </c>
      <c r="BK232" s="34" t="n">
        <f aca="false">IF((58-N(V_L2_Mes)+1)&gt;=1,IF((58-N(V_L2_Mes)+1)=1,N(V_L2_Monto),BJ$234)*N(V_L2_Tasa)/12,0)*BK$9</f>
        <v>0</v>
      </c>
      <c r="BL232" s="34" t="n">
        <f aca="false">IF((59-N(V_L2_Mes)+1)&gt;=1,IF((59-N(V_L2_Mes)+1)=1,N(V_L2_Monto),BK$234)*N(V_L2_Tasa)/12,0)*BL$9</f>
        <v>0</v>
      </c>
      <c r="BM232" s="34" t="n">
        <f aca="false">IF((60-N(V_L2_Mes)+1)&gt;=1,IF((60-N(V_L2_Mes)+1)=1,N(V_L2_Monto),BL$234)*N(V_L2_Tasa)/12,0)*BM$9</f>
        <v>0</v>
      </c>
      <c r="BN232" s="34" t="n">
        <f aca="false">IF((61-N(V_L2_Mes)+1)&gt;=1,IF((61-N(V_L2_Mes)+1)=1,N(V_L2_Monto),BM$234)*N(V_L2_Tasa)/12,0)*BN$9</f>
        <v>0</v>
      </c>
      <c r="BO232" s="34" t="n">
        <f aca="false">IF((62-N(V_L2_Mes)+1)&gt;=1,IF((62-N(V_L2_Mes)+1)=1,N(V_L2_Monto),BN$234)*N(V_L2_Tasa)/12,0)*BO$9</f>
        <v>0</v>
      </c>
      <c r="BP232" s="34" t="n">
        <f aca="false">IF((63-N(V_L2_Mes)+1)&gt;=1,IF((63-N(V_L2_Mes)+1)=1,N(V_L2_Monto),BO$234)*N(V_L2_Tasa)/12,0)*BP$9</f>
        <v>0</v>
      </c>
      <c r="BQ232" s="34" t="n">
        <f aca="false">IF((64-N(V_L2_Mes)+1)&gt;=1,IF((64-N(V_L2_Mes)+1)=1,N(V_L2_Monto),BP$234)*N(V_L2_Tasa)/12,0)*BQ$9</f>
        <v>0</v>
      </c>
      <c r="BR232" s="34" t="n">
        <f aca="false">IF((65-N(V_L2_Mes)+1)&gt;=1,IF((65-N(V_L2_Mes)+1)=1,N(V_L2_Monto),BQ$234)*N(V_L2_Tasa)/12,0)*BR$9</f>
        <v>0</v>
      </c>
      <c r="BS232" s="34" t="n">
        <f aca="false">IF((66-N(V_L2_Mes)+1)&gt;=1,IF((66-N(V_L2_Mes)+1)=1,N(V_L2_Monto),BR$234)*N(V_L2_Tasa)/12,0)*BS$9</f>
        <v>0</v>
      </c>
      <c r="BT232" s="34" t="n">
        <f aca="false">IF((67-N(V_L2_Mes)+1)&gt;=1,IF((67-N(V_L2_Mes)+1)=1,N(V_L2_Monto),BS$234)*N(V_L2_Tasa)/12,0)*BT$9</f>
        <v>0</v>
      </c>
      <c r="BU232" s="34" t="n">
        <f aca="false">IF((68-N(V_L2_Mes)+1)&gt;=1,IF((68-N(V_L2_Mes)+1)=1,N(V_L2_Monto),BT$234)*N(V_L2_Tasa)/12,0)*BU$9</f>
        <v>0</v>
      </c>
      <c r="BV232" s="34" t="n">
        <f aca="false">IF((69-N(V_L2_Mes)+1)&gt;=1,IF((69-N(V_L2_Mes)+1)=1,N(V_L2_Monto),BU$234)*N(V_L2_Tasa)/12,0)*BV$9</f>
        <v>0</v>
      </c>
      <c r="BW232" s="34" t="n">
        <f aca="false">IF((70-N(V_L2_Mes)+1)&gt;=1,IF((70-N(V_L2_Mes)+1)=1,N(V_L2_Monto),BV$234)*N(V_L2_Tasa)/12,0)*BW$9</f>
        <v>0</v>
      </c>
      <c r="BX232" s="34" t="n">
        <f aca="false">IF((71-N(V_L2_Mes)+1)&gt;=1,IF((71-N(V_L2_Mes)+1)=1,N(V_L2_Monto),BW$234)*N(V_L2_Tasa)/12,0)*BX$9</f>
        <v>0</v>
      </c>
      <c r="BY232" s="34" t="n">
        <f aca="false">IF((72-N(V_L2_Mes)+1)&gt;=1,IF((72-N(V_L2_Mes)+1)=1,N(V_L2_Monto),BX$234)*N(V_L2_Tasa)/12,0)*BY$9</f>
        <v>0</v>
      </c>
      <c r="BZ232" s="34" t="n">
        <f aca="false">IF((73-N(V_L2_Mes)+1)&gt;=1,IF((73-N(V_L2_Mes)+1)=1,N(V_L2_Monto),BY$234)*N(V_L2_Tasa)/12,0)*BZ$9</f>
        <v>0</v>
      </c>
      <c r="CA232" s="34" t="n">
        <f aca="false">IF((74-N(V_L2_Mes)+1)&gt;=1,IF((74-N(V_L2_Mes)+1)=1,N(V_L2_Monto),BZ$234)*N(V_L2_Tasa)/12,0)*CA$9</f>
        <v>0</v>
      </c>
      <c r="CB232" s="34" t="n">
        <f aca="false">IF((75-N(V_L2_Mes)+1)&gt;=1,IF((75-N(V_L2_Mes)+1)=1,N(V_L2_Monto),CA$234)*N(V_L2_Tasa)/12,0)*CB$9</f>
        <v>0</v>
      </c>
      <c r="CC232" s="34" t="n">
        <f aca="false">IF((76-N(V_L2_Mes)+1)&gt;=1,IF((76-N(V_L2_Mes)+1)=1,N(V_L2_Monto),CB$234)*N(V_L2_Tasa)/12,0)*CC$9</f>
        <v>0</v>
      </c>
      <c r="CD232" s="34" t="n">
        <f aca="false">IF((77-N(V_L2_Mes)+1)&gt;=1,IF((77-N(V_L2_Mes)+1)=1,N(V_L2_Monto),CC$234)*N(V_L2_Tasa)/12,0)*CD$9</f>
        <v>0</v>
      </c>
      <c r="CE232" s="34" t="n">
        <f aca="false">IF((78-N(V_L2_Mes)+1)&gt;=1,IF((78-N(V_L2_Mes)+1)=1,N(V_L2_Monto),CD$234)*N(V_L2_Tasa)/12,0)*CE$9</f>
        <v>0</v>
      </c>
      <c r="CF232" s="34" t="n">
        <f aca="false">IF((79-N(V_L2_Mes)+1)&gt;=1,IF((79-N(V_L2_Mes)+1)=1,N(V_L2_Monto),CE$234)*N(V_L2_Tasa)/12,0)*CF$9</f>
        <v>0</v>
      </c>
      <c r="CG232" s="34" t="n">
        <f aca="false">IF((80-N(V_L2_Mes)+1)&gt;=1,IF((80-N(V_L2_Mes)+1)=1,N(V_L2_Monto),CF$234)*N(V_L2_Tasa)/12,0)*CG$9</f>
        <v>0</v>
      </c>
      <c r="CH232" s="34" t="n">
        <f aca="false">IF((81-N(V_L2_Mes)+1)&gt;=1,IF((81-N(V_L2_Mes)+1)=1,N(V_L2_Monto),CG$234)*N(V_L2_Tasa)/12,0)*CH$9</f>
        <v>0</v>
      </c>
      <c r="CI232" s="34" t="n">
        <f aca="false">IF((82-N(V_L2_Mes)+1)&gt;=1,IF((82-N(V_L2_Mes)+1)=1,N(V_L2_Monto),CH$234)*N(V_L2_Tasa)/12,0)*CI$9</f>
        <v>0</v>
      </c>
      <c r="CJ232" s="34" t="n">
        <f aca="false">IF((83-N(V_L2_Mes)+1)&gt;=1,IF((83-N(V_L2_Mes)+1)=1,N(V_L2_Monto),CI$234)*N(V_L2_Tasa)/12,0)*CJ$9</f>
        <v>0</v>
      </c>
      <c r="CK232" s="34" t="n">
        <f aca="false">IF((84-N(V_L2_Mes)+1)&gt;=1,IF((84-N(V_L2_Mes)+1)=1,N(V_L2_Monto),CJ$234)*N(V_L2_Tasa)/12,0)*CK$9</f>
        <v>0</v>
      </c>
      <c r="CL232" s="34" t="n">
        <f aca="false">IF((85-N(V_L2_Mes)+1)&gt;=1,IF((85-N(V_L2_Mes)+1)=1,N(V_L2_Monto),CK$234)*N(V_L2_Tasa)/12,0)*CL$9</f>
        <v>0</v>
      </c>
      <c r="CM232" s="34" t="n">
        <f aca="false">IF((86-N(V_L2_Mes)+1)&gt;=1,IF((86-N(V_L2_Mes)+1)=1,N(V_L2_Monto),CL$234)*N(V_L2_Tasa)/12,0)*CM$9</f>
        <v>0</v>
      </c>
      <c r="CN232" s="34" t="n">
        <f aca="false">IF((87-N(V_L2_Mes)+1)&gt;=1,IF((87-N(V_L2_Mes)+1)=1,N(V_L2_Monto),CM$234)*N(V_L2_Tasa)/12,0)*CN$9</f>
        <v>0</v>
      </c>
      <c r="CO232" s="34" t="n">
        <f aca="false">IF((88-N(V_L2_Mes)+1)&gt;=1,IF((88-N(V_L2_Mes)+1)=1,N(V_L2_Monto),CN$234)*N(V_L2_Tasa)/12,0)*CO$9</f>
        <v>0</v>
      </c>
      <c r="CP232" s="34" t="n">
        <f aca="false">IF((89-N(V_L2_Mes)+1)&gt;=1,IF((89-N(V_L2_Mes)+1)=1,N(V_L2_Monto),CO$234)*N(V_L2_Tasa)/12,0)*CP$9</f>
        <v>0</v>
      </c>
      <c r="CQ232" s="34" t="n">
        <f aca="false">IF((90-N(V_L2_Mes)+1)&gt;=1,IF((90-N(V_L2_Mes)+1)=1,N(V_L2_Monto),CP$234)*N(V_L2_Tasa)/12,0)*CQ$9</f>
        <v>0</v>
      </c>
      <c r="CR232" s="34" t="n">
        <f aca="false">IF((91-N(V_L2_Mes)+1)&gt;=1,IF((91-N(V_L2_Mes)+1)=1,N(V_L2_Monto),CQ$234)*N(V_L2_Tasa)/12,0)*CR$9</f>
        <v>0</v>
      </c>
      <c r="CS232" s="34" t="n">
        <f aca="false">IF((92-N(V_L2_Mes)+1)&gt;=1,IF((92-N(V_L2_Mes)+1)=1,N(V_L2_Monto),CR$234)*N(V_L2_Tasa)/12,0)*CS$9</f>
        <v>0</v>
      </c>
      <c r="CT232" s="34" t="n">
        <f aca="false">IF((93-N(V_L2_Mes)+1)&gt;=1,IF((93-N(V_L2_Mes)+1)=1,N(V_L2_Monto),CS$234)*N(V_L2_Tasa)/12,0)*CT$9</f>
        <v>0</v>
      </c>
      <c r="CU232" s="34" t="n">
        <f aca="false">IF((94-N(V_L2_Mes)+1)&gt;=1,IF((94-N(V_L2_Mes)+1)=1,N(V_L2_Monto),CT$234)*N(V_L2_Tasa)/12,0)*CU$9</f>
        <v>0</v>
      </c>
      <c r="CV232" s="34" t="n">
        <f aca="false">IF((95-N(V_L2_Mes)+1)&gt;=1,IF((95-N(V_L2_Mes)+1)=1,N(V_L2_Monto),CU$234)*N(V_L2_Tasa)/12,0)*CV$9</f>
        <v>0</v>
      </c>
      <c r="CW232" s="34" t="n">
        <f aca="false">IF((96-N(V_L2_Mes)+1)&gt;=1,IF((96-N(V_L2_Mes)+1)=1,N(V_L2_Monto),CV$234)*N(V_L2_Tasa)/12,0)*CW$9</f>
        <v>0</v>
      </c>
      <c r="CX232" s="34" t="n">
        <f aca="false">IF((97-N(V_L2_Mes)+1)&gt;=1,IF((97-N(V_L2_Mes)+1)=1,N(V_L2_Monto),CW$234)*N(V_L2_Tasa)/12,0)*CX$9</f>
        <v>0</v>
      </c>
      <c r="CY232" s="34" t="n">
        <f aca="false">IF((98-N(V_L2_Mes)+1)&gt;=1,IF((98-N(V_L2_Mes)+1)=1,N(V_L2_Monto),CX$234)*N(V_L2_Tasa)/12,0)*CY$9</f>
        <v>0</v>
      </c>
      <c r="CZ232" s="34" t="n">
        <f aca="false">IF((99-N(V_L2_Mes)+1)&gt;=1,IF((99-N(V_L2_Mes)+1)=1,N(V_L2_Monto),CY$234)*N(V_L2_Tasa)/12,0)*CZ$9</f>
        <v>0</v>
      </c>
      <c r="DA232" s="34" t="n">
        <f aca="false">IF((100-N(V_L2_Mes)+1)&gt;=1,IF((100-N(V_L2_Mes)+1)=1,N(V_L2_Monto),CZ$234)*N(V_L2_Tasa)/12,0)*DA$9</f>
        <v>0</v>
      </c>
      <c r="DB232" s="34" t="n">
        <f aca="false">IF((101-N(V_L2_Mes)+1)&gt;=1,IF((101-N(V_L2_Mes)+1)=1,N(V_L2_Monto),DA$234)*N(V_L2_Tasa)/12,0)*DB$9</f>
        <v>0</v>
      </c>
      <c r="DC232" s="34" t="n">
        <f aca="false">IF((102-N(V_L2_Mes)+1)&gt;=1,IF((102-N(V_L2_Mes)+1)=1,N(V_L2_Monto),DB$234)*N(V_L2_Tasa)/12,0)*DC$9</f>
        <v>0</v>
      </c>
      <c r="DD232" s="34" t="n">
        <f aca="false">IF((103-N(V_L2_Mes)+1)&gt;=1,IF((103-N(V_L2_Mes)+1)=1,N(V_L2_Monto),DC$234)*N(V_L2_Tasa)/12,0)*DD$9</f>
        <v>0</v>
      </c>
      <c r="DE232" s="34" t="n">
        <f aca="false">IF((104-N(V_L2_Mes)+1)&gt;=1,IF((104-N(V_L2_Mes)+1)=1,N(V_L2_Monto),DD$234)*N(V_L2_Tasa)/12,0)*DE$9</f>
        <v>0</v>
      </c>
      <c r="DF232" s="34" t="n">
        <f aca="false">IF((105-N(V_L2_Mes)+1)&gt;=1,IF((105-N(V_L2_Mes)+1)=1,N(V_L2_Monto),DE$234)*N(V_L2_Tasa)/12,0)*DF$9</f>
        <v>0</v>
      </c>
      <c r="DG232" s="34" t="n">
        <f aca="false">IF((106-N(V_L2_Mes)+1)&gt;=1,IF((106-N(V_L2_Mes)+1)=1,N(V_L2_Monto),DF$234)*N(V_L2_Tasa)/12,0)*DG$9</f>
        <v>0</v>
      </c>
      <c r="DH232" s="34" t="n">
        <f aca="false">IF((107-N(V_L2_Mes)+1)&gt;=1,IF((107-N(V_L2_Mes)+1)=1,N(V_L2_Monto),DG$234)*N(V_L2_Tasa)/12,0)*DH$9</f>
        <v>0</v>
      </c>
      <c r="DI232" s="34" t="n">
        <f aca="false">IF((108-N(V_L2_Mes)+1)&gt;=1,IF((108-N(V_L2_Mes)+1)=1,N(V_L2_Monto),DH$234)*N(V_L2_Tasa)/12,0)*DI$9</f>
        <v>0</v>
      </c>
      <c r="DJ232" s="34" t="n">
        <f aca="false">IF((109-N(V_L2_Mes)+1)&gt;=1,IF((109-N(V_L2_Mes)+1)=1,N(V_L2_Monto),DI$234)*N(V_L2_Tasa)/12,0)*DJ$9</f>
        <v>0</v>
      </c>
      <c r="DK232" s="34" t="n">
        <f aca="false">IF((110-N(V_L2_Mes)+1)&gt;=1,IF((110-N(V_L2_Mes)+1)=1,N(V_L2_Monto),DJ$234)*N(V_L2_Tasa)/12,0)*DK$9</f>
        <v>0</v>
      </c>
      <c r="DL232" s="34" t="n">
        <f aca="false">IF((111-N(V_L2_Mes)+1)&gt;=1,IF((111-N(V_L2_Mes)+1)=1,N(V_L2_Monto),DK$234)*N(V_L2_Tasa)/12,0)*DL$9</f>
        <v>0</v>
      </c>
      <c r="DM232" s="34" t="n">
        <f aca="false">IF((112-N(V_L2_Mes)+1)&gt;=1,IF((112-N(V_L2_Mes)+1)=1,N(V_L2_Monto),DL$234)*N(V_L2_Tasa)/12,0)*DM$9</f>
        <v>0</v>
      </c>
      <c r="DN232" s="34" t="n">
        <f aca="false">IF((113-N(V_L2_Mes)+1)&gt;=1,IF((113-N(V_L2_Mes)+1)=1,N(V_L2_Monto),DM$234)*N(V_L2_Tasa)/12,0)*DN$9</f>
        <v>0</v>
      </c>
      <c r="DO232" s="34" t="n">
        <f aca="false">IF((114-N(V_L2_Mes)+1)&gt;=1,IF((114-N(V_L2_Mes)+1)=1,N(V_L2_Monto),DN$234)*N(V_L2_Tasa)/12,0)*DO$9</f>
        <v>0</v>
      </c>
      <c r="DP232" s="34" t="n">
        <f aca="false">IF((115-N(V_L2_Mes)+1)&gt;=1,IF((115-N(V_L2_Mes)+1)=1,N(V_L2_Monto),DO$234)*N(V_L2_Tasa)/12,0)*DP$9</f>
        <v>0</v>
      </c>
      <c r="DQ232" s="34" t="n">
        <f aca="false">IF((116-N(V_L2_Mes)+1)&gt;=1,IF((116-N(V_L2_Mes)+1)=1,N(V_L2_Monto),DP$234)*N(V_L2_Tasa)/12,0)*DQ$9</f>
        <v>0</v>
      </c>
      <c r="DR232" s="34" t="n">
        <f aca="false">IF((117-N(V_L2_Mes)+1)&gt;=1,IF((117-N(V_L2_Mes)+1)=1,N(V_L2_Monto),DQ$234)*N(V_L2_Tasa)/12,0)*DR$9</f>
        <v>0</v>
      </c>
      <c r="DS232" s="34" t="n">
        <f aca="false">IF((118-N(V_L2_Mes)+1)&gt;=1,IF((118-N(V_L2_Mes)+1)=1,N(V_L2_Monto),DR$234)*N(V_L2_Tasa)/12,0)*DS$9</f>
        <v>0</v>
      </c>
      <c r="DT232" s="34" t="n">
        <f aca="false">IF((119-N(V_L2_Mes)+1)&gt;=1,IF((119-N(V_L2_Mes)+1)=1,N(V_L2_Monto),DS$234)*N(V_L2_Tasa)/12,0)*DT$9</f>
        <v>0</v>
      </c>
      <c r="DU232" s="34" t="n">
        <f aca="false">IF((120-N(V_L2_Mes)+1)&gt;=1,IF((120-N(V_L2_Mes)+1)=1,N(V_L2_Monto),DT$234)*N(V_L2_Tasa)/12,0)*DU$9</f>
        <v>0</v>
      </c>
      <c r="DV232" s="34" t="n">
        <f aca="false">IF((121-N(V_L2_Mes)+1)&gt;=1,IF((121-N(V_L2_Mes)+1)=1,N(V_L2_Monto),DU$234)*N(V_L2_Tasa)/12,0)*DV$9</f>
        <v>0</v>
      </c>
      <c r="DW232" s="34" t="n">
        <f aca="false">IF((122-N(V_L2_Mes)+1)&gt;=1,IF((122-N(V_L2_Mes)+1)=1,N(V_L2_Monto),DV$234)*N(V_L2_Tasa)/12,0)*DW$9</f>
        <v>0</v>
      </c>
      <c r="DX232" s="34" t="n">
        <f aca="false">IF((123-N(V_L2_Mes)+1)&gt;=1,IF((123-N(V_L2_Mes)+1)=1,N(V_L2_Monto),DW$234)*N(V_L2_Tasa)/12,0)*DX$9</f>
        <v>0</v>
      </c>
      <c r="DY232" s="34" t="n">
        <f aca="false">IF((124-N(V_L2_Mes)+1)&gt;=1,IF((124-N(V_L2_Mes)+1)=1,N(V_L2_Monto),DX$234)*N(V_L2_Tasa)/12,0)*DY$9</f>
        <v>0</v>
      </c>
      <c r="DZ232" s="34" t="n">
        <f aca="false">IF((125-N(V_L2_Mes)+1)&gt;=1,IF((125-N(V_L2_Mes)+1)=1,N(V_L2_Monto),DY$234)*N(V_L2_Tasa)/12,0)*DZ$9</f>
        <v>0</v>
      </c>
      <c r="EA232" s="34" t="n">
        <f aca="false">IF((126-N(V_L2_Mes)+1)&gt;=1,IF((126-N(V_L2_Mes)+1)=1,N(V_L2_Monto),DZ$234)*N(V_L2_Tasa)/12,0)*EA$9</f>
        <v>0</v>
      </c>
      <c r="EB232" s="34" t="n">
        <f aca="false">IF((127-N(V_L2_Mes)+1)&gt;=1,IF((127-N(V_L2_Mes)+1)=1,N(V_L2_Monto),EA$234)*N(V_L2_Tasa)/12,0)*EB$9</f>
        <v>0</v>
      </c>
      <c r="EC232" s="34" t="n">
        <f aca="false">IF((128-N(V_L2_Mes)+1)&gt;=1,IF((128-N(V_L2_Mes)+1)=1,N(V_L2_Monto),EB$234)*N(V_L2_Tasa)/12,0)*EC$9</f>
        <v>0</v>
      </c>
      <c r="ED232" s="34" t="n">
        <f aca="false">IF((129-N(V_L2_Mes)+1)&gt;=1,IF((129-N(V_L2_Mes)+1)=1,N(V_L2_Monto),EC$234)*N(V_L2_Tasa)/12,0)*ED$9</f>
        <v>0</v>
      </c>
      <c r="EE232" s="34" t="n">
        <f aca="false">IF((130-N(V_L2_Mes)+1)&gt;=1,IF((130-N(V_L2_Mes)+1)=1,N(V_L2_Monto),ED$234)*N(V_L2_Tasa)/12,0)*EE$9</f>
        <v>0</v>
      </c>
      <c r="EF232" s="34" t="n">
        <f aca="false">IF((131-N(V_L2_Mes)+1)&gt;=1,IF((131-N(V_L2_Mes)+1)=1,N(V_L2_Monto),EE$234)*N(V_L2_Tasa)/12,0)*EF$9</f>
        <v>0</v>
      </c>
      <c r="EG232" s="34" t="n">
        <f aca="false">IF((132-N(V_L2_Mes)+1)&gt;=1,IF((132-N(V_L2_Mes)+1)=1,N(V_L2_Monto),EF$234)*N(V_L2_Tasa)/12,0)*EG$9</f>
        <v>0</v>
      </c>
      <c r="EH232" s="34" t="n">
        <f aca="false">IF((133-N(V_L2_Mes)+1)&gt;=1,IF((133-N(V_L2_Mes)+1)=1,N(V_L2_Monto),EG$234)*N(V_L2_Tasa)/12,0)*EH$9</f>
        <v>0</v>
      </c>
      <c r="EI232" s="34" t="n">
        <f aca="false">IF((134-N(V_L2_Mes)+1)&gt;=1,IF((134-N(V_L2_Mes)+1)=1,N(V_L2_Monto),EH$234)*N(V_L2_Tasa)/12,0)*EI$9</f>
        <v>0</v>
      </c>
      <c r="EJ232" s="34" t="n">
        <f aca="false">IF((135-N(V_L2_Mes)+1)&gt;=1,IF((135-N(V_L2_Mes)+1)=1,N(V_L2_Monto),EI$234)*N(V_L2_Tasa)/12,0)*EJ$9</f>
        <v>0</v>
      </c>
      <c r="EK232" s="34" t="n">
        <f aca="false">IF((136-N(V_L2_Mes)+1)&gt;=1,IF((136-N(V_L2_Mes)+1)=1,N(V_L2_Monto),EJ$234)*N(V_L2_Tasa)/12,0)*EK$9</f>
        <v>0</v>
      </c>
      <c r="EL232" s="34" t="n">
        <f aca="false">IF((137-N(V_L2_Mes)+1)&gt;=1,IF((137-N(V_L2_Mes)+1)=1,N(V_L2_Monto),EK$234)*N(V_L2_Tasa)/12,0)*EL$9</f>
        <v>0</v>
      </c>
      <c r="EM232" s="34" t="n">
        <f aca="false">IF((138-N(V_L2_Mes)+1)&gt;=1,IF((138-N(V_L2_Mes)+1)=1,N(V_L2_Monto),EL$234)*N(V_L2_Tasa)/12,0)*EM$9</f>
        <v>0</v>
      </c>
      <c r="EN232" s="34" t="n">
        <f aca="false">IF((139-N(V_L2_Mes)+1)&gt;=1,IF((139-N(V_L2_Mes)+1)=1,N(V_L2_Monto),EM$234)*N(V_L2_Tasa)/12,0)*EN$9</f>
        <v>0</v>
      </c>
      <c r="EO232" s="34" t="n">
        <f aca="false">IF((140-N(V_L2_Mes)+1)&gt;=1,IF((140-N(V_L2_Mes)+1)=1,N(V_L2_Monto),EN$234)*N(V_L2_Tasa)/12,0)*EO$9</f>
        <v>0</v>
      </c>
      <c r="EP232" s="34" t="n">
        <f aca="false">IF((141-N(V_L2_Mes)+1)&gt;=1,IF((141-N(V_L2_Mes)+1)=1,N(V_L2_Monto),EO$234)*N(V_L2_Tasa)/12,0)*EP$9</f>
        <v>0</v>
      </c>
      <c r="EQ232" s="34" t="n">
        <f aca="false">IF((142-N(V_L2_Mes)+1)&gt;=1,IF((142-N(V_L2_Mes)+1)=1,N(V_L2_Monto),EP$234)*N(V_L2_Tasa)/12,0)*EQ$9</f>
        <v>0</v>
      </c>
      <c r="ER232" s="34" t="n">
        <f aca="false">IF((143-N(V_L2_Mes)+1)&gt;=1,IF((143-N(V_L2_Mes)+1)=1,N(V_L2_Monto),EQ$234)*N(V_L2_Tasa)/12,0)*ER$9</f>
        <v>0</v>
      </c>
      <c r="ES232" s="34" t="n">
        <f aca="false">IF((144-N(V_L2_Mes)+1)&gt;=1,IF((144-N(V_L2_Mes)+1)=1,N(V_L2_Monto),ER$234)*N(V_L2_Tasa)/12,0)*ES$9</f>
        <v>0</v>
      </c>
    </row>
    <row r="233" customFormat="false" ht="15" hidden="false" customHeight="false" outlineLevel="0" collapsed="false">
      <c r="A233" s="2" t="s">
        <v>844</v>
      </c>
      <c r="B233" s="6" t="s">
        <v>690</v>
      </c>
      <c r="C233" s="6" t="s">
        <v>250</v>
      </c>
      <c r="E233" s="40" t="n">
        <f aca="false">SUM(F233:ES233)</f>
        <v>0</v>
      </c>
      <c r="F233" s="34" t="n">
        <f aca="false">IF(AND((1-N(V_L2_Mes)+1)&gt;N(V_L2_Gracia),(1-N(V_L2_Mes)+1)&lt;=N(V_L2_Gracia)+N(V_L2_Cuotas),N(V_L2_Cuotas)&gt;0),IF((1-N(V_L2_Mes)+1)=N(V_L2_Gracia)+N(V_L2_Cuotas),IF((1-N(V_L2_Mes)+1)=1,N(V_L2_Monto),0),PMT(N(V_L2_Tasa)/12,N(V_L2_Cuotas),-N(V_L2_Monto))-F$232),0)*F$9</f>
        <v>0</v>
      </c>
      <c r="G233" s="34" t="n">
        <f aca="false">IF(AND((2-N(V_L2_Mes)+1)&gt;N(V_L2_Gracia),(2-N(V_L2_Mes)+1)&lt;=N(V_L2_Gracia)+N(V_L2_Cuotas),N(V_L2_Cuotas)&gt;0),IF((2-N(V_L2_Mes)+1)=N(V_L2_Gracia)+N(V_L2_Cuotas),IF((2-N(V_L2_Mes)+1)=1,N(V_L2_Monto),F$234),PMT(N(V_L2_Tasa)/12,N(V_L2_Cuotas),-N(V_L2_Monto))-G$232),0)*G$9</f>
        <v>0</v>
      </c>
      <c r="H233" s="34" t="n">
        <f aca="false">IF(AND((3-N(V_L2_Mes)+1)&gt;N(V_L2_Gracia),(3-N(V_L2_Mes)+1)&lt;=N(V_L2_Gracia)+N(V_L2_Cuotas),N(V_L2_Cuotas)&gt;0),IF((3-N(V_L2_Mes)+1)=N(V_L2_Gracia)+N(V_L2_Cuotas),IF((3-N(V_L2_Mes)+1)=1,N(V_L2_Monto),G$234),PMT(N(V_L2_Tasa)/12,N(V_L2_Cuotas),-N(V_L2_Monto))-H$232),0)*H$9</f>
        <v>0</v>
      </c>
      <c r="I233" s="34" t="n">
        <f aca="false">IF(AND((4-N(V_L2_Mes)+1)&gt;N(V_L2_Gracia),(4-N(V_L2_Mes)+1)&lt;=N(V_L2_Gracia)+N(V_L2_Cuotas),N(V_L2_Cuotas)&gt;0),IF((4-N(V_L2_Mes)+1)=N(V_L2_Gracia)+N(V_L2_Cuotas),IF((4-N(V_L2_Mes)+1)=1,N(V_L2_Monto),H$234),PMT(N(V_L2_Tasa)/12,N(V_L2_Cuotas),-N(V_L2_Monto))-I$232),0)*I$9</f>
        <v>0</v>
      </c>
      <c r="J233" s="34" t="n">
        <f aca="false">IF(AND((5-N(V_L2_Mes)+1)&gt;N(V_L2_Gracia),(5-N(V_L2_Mes)+1)&lt;=N(V_L2_Gracia)+N(V_L2_Cuotas),N(V_L2_Cuotas)&gt;0),IF((5-N(V_L2_Mes)+1)=N(V_L2_Gracia)+N(V_L2_Cuotas),IF((5-N(V_L2_Mes)+1)=1,N(V_L2_Monto),I$234),PMT(N(V_L2_Tasa)/12,N(V_L2_Cuotas),-N(V_L2_Monto))-J$232),0)*J$9</f>
        <v>0</v>
      </c>
      <c r="K233" s="34" t="n">
        <f aca="false">IF(AND((6-N(V_L2_Mes)+1)&gt;N(V_L2_Gracia),(6-N(V_L2_Mes)+1)&lt;=N(V_L2_Gracia)+N(V_L2_Cuotas),N(V_L2_Cuotas)&gt;0),IF((6-N(V_L2_Mes)+1)=N(V_L2_Gracia)+N(V_L2_Cuotas),IF((6-N(V_L2_Mes)+1)=1,N(V_L2_Monto),J$234),PMT(N(V_L2_Tasa)/12,N(V_L2_Cuotas),-N(V_L2_Monto))-K$232),0)*K$9</f>
        <v>0</v>
      </c>
      <c r="L233" s="34" t="n">
        <f aca="false">IF(AND((7-N(V_L2_Mes)+1)&gt;N(V_L2_Gracia),(7-N(V_L2_Mes)+1)&lt;=N(V_L2_Gracia)+N(V_L2_Cuotas),N(V_L2_Cuotas)&gt;0),IF((7-N(V_L2_Mes)+1)=N(V_L2_Gracia)+N(V_L2_Cuotas),IF((7-N(V_L2_Mes)+1)=1,N(V_L2_Monto),K$234),PMT(N(V_L2_Tasa)/12,N(V_L2_Cuotas),-N(V_L2_Monto))-L$232),0)*L$9</f>
        <v>0</v>
      </c>
      <c r="M233" s="34" t="n">
        <f aca="false">IF(AND((8-N(V_L2_Mes)+1)&gt;N(V_L2_Gracia),(8-N(V_L2_Mes)+1)&lt;=N(V_L2_Gracia)+N(V_L2_Cuotas),N(V_L2_Cuotas)&gt;0),IF((8-N(V_L2_Mes)+1)=N(V_L2_Gracia)+N(V_L2_Cuotas),IF((8-N(V_L2_Mes)+1)=1,N(V_L2_Monto),L$234),PMT(N(V_L2_Tasa)/12,N(V_L2_Cuotas),-N(V_L2_Monto))-M$232),0)*M$9</f>
        <v>0</v>
      </c>
      <c r="N233" s="34" t="n">
        <f aca="false">IF(AND((9-N(V_L2_Mes)+1)&gt;N(V_L2_Gracia),(9-N(V_L2_Mes)+1)&lt;=N(V_L2_Gracia)+N(V_L2_Cuotas),N(V_L2_Cuotas)&gt;0),IF((9-N(V_L2_Mes)+1)=N(V_L2_Gracia)+N(V_L2_Cuotas),IF((9-N(V_L2_Mes)+1)=1,N(V_L2_Monto),M$234),PMT(N(V_L2_Tasa)/12,N(V_L2_Cuotas),-N(V_L2_Monto))-N$232),0)*N$9</f>
        <v>0</v>
      </c>
      <c r="O233" s="34" t="n">
        <f aca="false">IF(AND((10-N(V_L2_Mes)+1)&gt;N(V_L2_Gracia),(10-N(V_L2_Mes)+1)&lt;=N(V_L2_Gracia)+N(V_L2_Cuotas),N(V_L2_Cuotas)&gt;0),IF((10-N(V_L2_Mes)+1)=N(V_L2_Gracia)+N(V_L2_Cuotas),IF((10-N(V_L2_Mes)+1)=1,N(V_L2_Monto),N$234),PMT(N(V_L2_Tasa)/12,N(V_L2_Cuotas),-N(V_L2_Monto))-O$232),0)*O$9</f>
        <v>0</v>
      </c>
      <c r="P233" s="34" t="n">
        <f aca="false">IF(AND((11-N(V_L2_Mes)+1)&gt;N(V_L2_Gracia),(11-N(V_L2_Mes)+1)&lt;=N(V_L2_Gracia)+N(V_L2_Cuotas),N(V_L2_Cuotas)&gt;0),IF((11-N(V_L2_Mes)+1)=N(V_L2_Gracia)+N(V_L2_Cuotas),IF((11-N(V_L2_Mes)+1)=1,N(V_L2_Monto),O$234),PMT(N(V_L2_Tasa)/12,N(V_L2_Cuotas),-N(V_L2_Monto))-P$232),0)*P$9</f>
        <v>0</v>
      </c>
      <c r="Q233" s="34" t="n">
        <f aca="false">IF(AND((12-N(V_L2_Mes)+1)&gt;N(V_L2_Gracia),(12-N(V_L2_Mes)+1)&lt;=N(V_L2_Gracia)+N(V_L2_Cuotas),N(V_L2_Cuotas)&gt;0),IF((12-N(V_L2_Mes)+1)=N(V_L2_Gracia)+N(V_L2_Cuotas),IF((12-N(V_L2_Mes)+1)=1,N(V_L2_Monto),P$234),PMT(N(V_L2_Tasa)/12,N(V_L2_Cuotas),-N(V_L2_Monto))-Q$232),0)*Q$9</f>
        <v>0</v>
      </c>
      <c r="R233" s="34" t="n">
        <f aca="false">IF(AND((13-N(V_L2_Mes)+1)&gt;N(V_L2_Gracia),(13-N(V_L2_Mes)+1)&lt;=N(V_L2_Gracia)+N(V_L2_Cuotas),N(V_L2_Cuotas)&gt;0),IF((13-N(V_L2_Mes)+1)=N(V_L2_Gracia)+N(V_L2_Cuotas),IF((13-N(V_L2_Mes)+1)=1,N(V_L2_Monto),Q$234),PMT(N(V_L2_Tasa)/12,N(V_L2_Cuotas),-N(V_L2_Monto))-R$232),0)*R$9</f>
        <v>0</v>
      </c>
      <c r="S233" s="34" t="n">
        <f aca="false">IF(AND((14-N(V_L2_Mes)+1)&gt;N(V_L2_Gracia),(14-N(V_L2_Mes)+1)&lt;=N(V_L2_Gracia)+N(V_L2_Cuotas),N(V_L2_Cuotas)&gt;0),IF((14-N(V_L2_Mes)+1)=N(V_L2_Gracia)+N(V_L2_Cuotas),IF((14-N(V_L2_Mes)+1)=1,N(V_L2_Monto),R$234),PMT(N(V_L2_Tasa)/12,N(V_L2_Cuotas),-N(V_L2_Monto))-S$232),0)*S$9</f>
        <v>0</v>
      </c>
      <c r="T233" s="34" t="n">
        <f aca="false">IF(AND((15-N(V_L2_Mes)+1)&gt;N(V_L2_Gracia),(15-N(V_L2_Mes)+1)&lt;=N(V_L2_Gracia)+N(V_L2_Cuotas),N(V_L2_Cuotas)&gt;0),IF((15-N(V_L2_Mes)+1)=N(V_L2_Gracia)+N(V_L2_Cuotas),IF((15-N(V_L2_Mes)+1)=1,N(V_L2_Monto),S$234),PMT(N(V_L2_Tasa)/12,N(V_L2_Cuotas),-N(V_L2_Monto))-T$232),0)*T$9</f>
        <v>0</v>
      </c>
      <c r="U233" s="34" t="n">
        <f aca="false">IF(AND((16-N(V_L2_Mes)+1)&gt;N(V_L2_Gracia),(16-N(V_L2_Mes)+1)&lt;=N(V_L2_Gracia)+N(V_L2_Cuotas),N(V_L2_Cuotas)&gt;0),IF((16-N(V_L2_Mes)+1)=N(V_L2_Gracia)+N(V_L2_Cuotas),IF((16-N(V_L2_Mes)+1)=1,N(V_L2_Monto),T$234),PMT(N(V_L2_Tasa)/12,N(V_L2_Cuotas),-N(V_L2_Monto))-U$232),0)*U$9</f>
        <v>0</v>
      </c>
      <c r="V233" s="34" t="n">
        <f aca="false">IF(AND((17-N(V_L2_Mes)+1)&gt;N(V_L2_Gracia),(17-N(V_L2_Mes)+1)&lt;=N(V_L2_Gracia)+N(V_L2_Cuotas),N(V_L2_Cuotas)&gt;0),IF((17-N(V_L2_Mes)+1)=N(V_L2_Gracia)+N(V_L2_Cuotas),IF((17-N(V_L2_Mes)+1)=1,N(V_L2_Monto),U$234),PMT(N(V_L2_Tasa)/12,N(V_L2_Cuotas),-N(V_L2_Monto))-V$232),0)*V$9</f>
        <v>0</v>
      </c>
      <c r="W233" s="34" t="n">
        <f aca="false">IF(AND((18-N(V_L2_Mes)+1)&gt;N(V_L2_Gracia),(18-N(V_L2_Mes)+1)&lt;=N(V_L2_Gracia)+N(V_L2_Cuotas),N(V_L2_Cuotas)&gt;0),IF((18-N(V_L2_Mes)+1)=N(V_L2_Gracia)+N(V_L2_Cuotas),IF((18-N(V_L2_Mes)+1)=1,N(V_L2_Monto),V$234),PMT(N(V_L2_Tasa)/12,N(V_L2_Cuotas),-N(V_L2_Monto))-W$232),0)*W$9</f>
        <v>0</v>
      </c>
      <c r="X233" s="34" t="n">
        <f aca="false">IF(AND((19-N(V_L2_Mes)+1)&gt;N(V_L2_Gracia),(19-N(V_L2_Mes)+1)&lt;=N(V_L2_Gracia)+N(V_L2_Cuotas),N(V_L2_Cuotas)&gt;0),IF((19-N(V_L2_Mes)+1)=N(V_L2_Gracia)+N(V_L2_Cuotas),IF((19-N(V_L2_Mes)+1)=1,N(V_L2_Monto),W$234),PMT(N(V_L2_Tasa)/12,N(V_L2_Cuotas),-N(V_L2_Monto))-X$232),0)*X$9</f>
        <v>0</v>
      </c>
      <c r="Y233" s="34" t="n">
        <f aca="false">IF(AND((20-N(V_L2_Mes)+1)&gt;N(V_L2_Gracia),(20-N(V_L2_Mes)+1)&lt;=N(V_L2_Gracia)+N(V_L2_Cuotas),N(V_L2_Cuotas)&gt;0),IF((20-N(V_L2_Mes)+1)=N(V_L2_Gracia)+N(V_L2_Cuotas),IF((20-N(V_L2_Mes)+1)=1,N(V_L2_Monto),X$234),PMT(N(V_L2_Tasa)/12,N(V_L2_Cuotas),-N(V_L2_Monto))-Y$232),0)*Y$9</f>
        <v>0</v>
      </c>
      <c r="Z233" s="34" t="n">
        <f aca="false">IF(AND((21-N(V_L2_Mes)+1)&gt;N(V_L2_Gracia),(21-N(V_L2_Mes)+1)&lt;=N(V_L2_Gracia)+N(V_L2_Cuotas),N(V_L2_Cuotas)&gt;0),IF((21-N(V_L2_Mes)+1)=N(V_L2_Gracia)+N(V_L2_Cuotas),IF((21-N(V_L2_Mes)+1)=1,N(V_L2_Monto),Y$234),PMT(N(V_L2_Tasa)/12,N(V_L2_Cuotas),-N(V_L2_Monto))-Z$232),0)*Z$9</f>
        <v>0</v>
      </c>
      <c r="AA233" s="34" t="n">
        <f aca="false">IF(AND((22-N(V_L2_Mes)+1)&gt;N(V_L2_Gracia),(22-N(V_L2_Mes)+1)&lt;=N(V_L2_Gracia)+N(V_L2_Cuotas),N(V_L2_Cuotas)&gt;0),IF((22-N(V_L2_Mes)+1)=N(V_L2_Gracia)+N(V_L2_Cuotas),IF((22-N(V_L2_Mes)+1)=1,N(V_L2_Monto),Z$234),PMT(N(V_L2_Tasa)/12,N(V_L2_Cuotas),-N(V_L2_Monto))-AA$232),0)*AA$9</f>
        <v>0</v>
      </c>
      <c r="AB233" s="34" t="n">
        <f aca="false">IF(AND((23-N(V_L2_Mes)+1)&gt;N(V_L2_Gracia),(23-N(V_L2_Mes)+1)&lt;=N(V_L2_Gracia)+N(V_L2_Cuotas),N(V_L2_Cuotas)&gt;0),IF((23-N(V_L2_Mes)+1)=N(V_L2_Gracia)+N(V_L2_Cuotas),IF((23-N(V_L2_Mes)+1)=1,N(V_L2_Monto),AA$234),PMT(N(V_L2_Tasa)/12,N(V_L2_Cuotas),-N(V_L2_Monto))-AB$232),0)*AB$9</f>
        <v>0</v>
      </c>
      <c r="AC233" s="34" t="n">
        <f aca="false">IF(AND((24-N(V_L2_Mes)+1)&gt;N(V_L2_Gracia),(24-N(V_L2_Mes)+1)&lt;=N(V_L2_Gracia)+N(V_L2_Cuotas),N(V_L2_Cuotas)&gt;0),IF((24-N(V_L2_Mes)+1)=N(V_L2_Gracia)+N(V_L2_Cuotas),IF((24-N(V_L2_Mes)+1)=1,N(V_L2_Monto),AB$234),PMT(N(V_L2_Tasa)/12,N(V_L2_Cuotas),-N(V_L2_Monto))-AC$232),0)*AC$9</f>
        <v>0</v>
      </c>
      <c r="AD233" s="34" t="n">
        <f aca="false">IF(AND((25-N(V_L2_Mes)+1)&gt;N(V_L2_Gracia),(25-N(V_L2_Mes)+1)&lt;=N(V_L2_Gracia)+N(V_L2_Cuotas),N(V_L2_Cuotas)&gt;0),IF((25-N(V_L2_Mes)+1)=N(V_L2_Gracia)+N(V_L2_Cuotas),IF((25-N(V_L2_Mes)+1)=1,N(V_L2_Monto),AC$234),PMT(N(V_L2_Tasa)/12,N(V_L2_Cuotas),-N(V_L2_Monto))-AD$232),0)*AD$9</f>
        <v>0</v>
      </c>
      <c r="AE233" s="34" t="n">
        <f aca="false">IF(AND((26-N(V_L2_Mes)+1)&gt;N(V_L2_Gracia),(26-N(V_L2_Mes)+1)&lt;=N(V_L2_Gracia)+N(V_L2_Cuotas),N(V_L2_Cuotas)&gt;0),IF((26-N(V_L2_Mes)+1)=N(V_L2_Gracia)+N(V_L2_Cuotas),IF((26-N(V_L2_Mes)+1)=1,N(V_L2_Monto),AD$234),PMT(N(V_L2_Tasa)/12,N(V_L2_Cuotas),-N(V_L2_Monto))-AE$232),0)*AE$9</f>
        <v>0</v>
      </c>
      <c r="AF233" s="34" t="n">
        <f aca="false">IF(AND((27-N(V_L2_Mes)+1)&gt;N(V_L2_Gracia),(27-N(V_L2_Mes)+1)&lt;=N(V_L2_Gracia)+N(V_L2_Cuotas),N(V_L2_Cuotas)&gt;0),IF((27-N(V_L2_Mes)+1)=N(V_L2_Gracia)+N(V_L2_Cuotas),IF((27-N(V_L2_Mes)+1)=1,N(V_L2_Monto),AE$234),PMT(N(V_L2_Tasa)/12,N(V_L2_Cuotas),-N(V_L2_Monto))-AF$232),0)*AF$9</f>
        <v>0</v>
      </c>
      <c r="AG233" s="34" t="n">
        <f aca="false">IF(AND((28-N(V_L2_Mes)+1)&gt;N(V_L2_Gracia),(28-N(V_L2_Mes)+1)&lt;=N(V_L2_Gracia)+N(V_L2_Cuotas),N(V_L2_Cuotas)&gt;0),IF((28-N(V_L2_Mes)+1)=N(V_L2_Gracia)+N(V_L2_Cuotas),IF((28-N(V_L2_Mes)+1)=1,N(V_L2_Monto),AF$234),PMT(N(V_L2_Tasa)/12,N(V_L2_Cuotas),-N(V_L2_Monto))-AG$232),0)*AG$9</f>
        <v>0</v>
      </c>
      <c r="AH233" s="34" t="n">
        <f aca="false">IF(AND((29-N(V_L2_Mes)+1)&gt;N(V_L2_Gracia),(29-N(V_L2_Mes)+1)&lt;=N(V_L2_Gracia)+N(V_L2_Cuotas),N(V_L2_Cuotas)&gt;0),IF((29-N(V_L2_Mes)+1)=N(V_L2_Gracia)+N(V_L2_Cuotas),IF((29-N(V_L2_Mes)+1)=1,N(V_L2_Monto),AG$234),PMT(N(V_L2_Tasa)/12,N(V_L2_Cuotas),-N(V_L2_Monto))-AH$232),0)*AH$9</f>
        <v>0</v>
      </c>
      <c r="AI233" s="34" t="n">
        <f aca="false">IF(AND((30-N(V_L2_Mes)+1)&gt;N(V_L2_Gracia),(30-N(V_L2_Mes)+1)&lt;=N(V_L2_Gracia)+N(V_L2_Cuotas),N(V_L2_Cuotas)&gt;0),IF((30-N(V_L2_Mes)+1)=N(V_L2_Gracia)+N(V_L2_Cuotas),IF((30-N(V_L2_Mes)+1)=1,N(V_L2_Monto),AH$234),PMT(N(V_L2_Tasa)/12,N(V_L2_Cuotas),-N(V_L2_Monto))-AI$232),0)*AI$9</f>
        <v>0</v>
      </c>
      <c r="AJ233" s="34" t="n">
        <f aca="false">IF(AND((31-N(V_L2_Mes)+1)&gt;N(V_L2_Gracia),(31-N(V_L2_Mes)+1)&lt;=N(V_L2_Gracia)+N(V_L2_Cuotas),N(V_L2_Cuotas)&gt;0),IF((31-N(V_L2_Mes)+1)=N(V_L2_Gracia)+N(V_L2_Cuotas),IF((31-N(V_L2_Mes)+1)=1,N(V_L2_Monto),AI$234),PMT(N(V_L2_Tasa)/12,N(V_L2_Cuotas),-N(V_L2_Monto))-AJ$232),0)*AJ$9</f>
        <v>0</v>
      </c>
      <c r="AK233" s="34" t="n">
        <f aca="false">IF(AND((32-N(V_L2_Mes)+1)&gt;N(V_L2_Gracia),(32-N(V_L2_Mes)+1)&lt;=N(V_L2_Gracia)+N(V_L2_Cuotas),N(V_L2_Cuotas)&gt;0),IF((32-N(V_L2_Mes)+1)=N(V_L2_Gracia)+N(V_L2_Cuotas),IF((32-N(V_L2_Mes)+1)=1,N(V_L2_Monto),AJ$234),PMT(N(V_L2_Tasa)/12,N(V_L2_Cuotas),-N(V_L2_Monto))-AK$232),0)*AK$9</f>
        <v>0</v>
      </c>
      <c r="AL233" s="34" t="n">
        <f aca="false">IF(AND((33-N(V_L2_Mes)+1)&gt;N(V_L2_Gracia),(33-N(V_L2_Mes)+1)&lt;=N(V_L2_Gracia)+N(V_L2_Cuotas),N(V_L2_Cuotas)&gt;0),IF((33-N(V_L2_Mes)+1)=N(V_L2_Gracia)+N(V_L2_Cuotas),IF((33-N(V_L2_Mes)+1)=1,N(V_L2_Monto),AK$234),PMT(N(V_L2_Tasa)/12,N(V_L2_Cuotas),-N(V_L2_Monto))-AL$232),0)*AL$9</f>
        <v>0</v>
      </c>
      <c r="AM233" s="34" t="n">
        <f aca="false">IF(AND((34-N(V_L2_Mes)+1)&gt;N(V_L2_Gracia),(34-N(V_L2_Mes)+1)&lt;=N(V_L2_Gracia)+N(V_L2_Cuotas),N(V_L2_Cuotas)&gt;0),IF((34-N(V_L2_Mes)+1)=N(V_L2_Gracia)+N(V_L2_Cuotas),IF((34-N(V_L2_Mes)+1)=1,N(V_L2_Monto),AL$234),PMT(N(V_L2_Tasa)/12,N(V_L2_Cuotas),-N(V_L2_Monto))-AM$232),0)*AM$9</f>
        <v>0</v>
      </c>
      <c r="AN233" s="34" t="n">
        <f aca="false">IF(AND((35-N(V_L2_Mes)+1)&gt;N(V_L2_Gracia),(35-N(V_L2_Mes)+1)&lt;=N(V_L2_Gracia)+N(V_L2_Cuotas),N(V_L2_Cuotas)&gt;0),IF((35-N(V_L2_Mes)+1)=N(V_L2_Gracia)+N(V_L2_Cuotas),IF((35-N(V_L2_Mes)+1)=1,N(V_L2_Monto),AM$234),PMT(N(V_L2_Tasa)/12,N(V_L2_Cuotas),-N(V_L2_Monto))-AN$232),0)*AN$9</f>
        <v>0</v>
      </c>
      <c r="AO233" s="34" t="n">
        <f aca="false">IF(AND((36-N(V_L2_Mes)+1)&gt;N(V_L2_Gracia),(36-N(V_L2_Mes)+1)&lt;=N(V_L2_Gracia)+N(V_L2_Cuotas),N(V_L2_Cuotas)&gt;0),IF((36-N(V_L2_Mes)+1)=N(V_L2_Gracia)+N(V_L2_Cuotas),IF((36-N(V_L2_Mes)+1)=1,N(V_L2_Monto),AN$234),PMT(N(V_L2_Tasa)/12,N(V_L2_Cuotas),-N(V_L2_Monto))-AO$232),0)*AO$9</f>
        <v>0</v>
      </c>
      <c r="AP233" s="34" t="n">
        <f aca="false">IF(AND((37-N(V_L2_Mes)+1)&gt;N(V_L2_Gracia),(37-N(V_L2_Mes)+1)&lt;=N(V_L2_Gracia)+N(V_L2_Cuotas),N(V_L2_Cuotas)&gt;0),IF((37-N(V_L2_Mes)+1)=N(V_L2_Gracia)+N(V_L2_Cuotas),IF((37-N(V_L2_Mes)+1)=1,N(V_L2_Monto),AO$234),PMT(N(V_L2_Tasa)/12,N(V_L2_Cuotas),-N(V_L2_Monto))-AP$232),0)*AP$9</f>
        <v>0</v>
      </c>
      <c r="AQ233" s="34" t="n">
        <f aca="false">IF(AND((38-N(V_L2_Mes)+1)&gt;N(V_L2_Gracia),(38-N(V_L2_Mes)+1)&lt;=N(V_L2_Gracia)+N(V_L2_Cuotas),N(V_L2_Cuotas)&gt;0),IF((38-N(V_L2_Mes)+1)=N(V_L2_Gracia)+N(V_L2_Cuotas),IF((38-N(V_L2_Mes)+1)=1,N(V_L2_Monto),AP$234),PMT(N(V_L2_Tasa)/12,N(V_L2_Cuotas),-N(V_L2_Monto))-AQ$232),0)*AQ$9</f>
        <v>0</v>
      </c>
      <c r="AR233" s="34" t="n">
        <f aca="false">IF(AND((39-N(V_L2_Mes)+1)&gt;N(V_L2_Gracia),(39-N(V_L2_Mes)+1)&lt;=N(V_L2_Gracia)+N(V_L2_Cuotas),N(V_L2_Cuotas)&gt;0),IF((39-N(V_L2_Mes)+1)=N(V_L2_Gracia)+N(V_L2_Cuotas),IF((39-N(V_L2_Mes)+1)=1,N(V_L2_Monto),AQ$234),PMT(N(V_L2_Tasa)/12,N(V_L2_Cuotas),-N(V_L2_Monto))-AR$232),0)*AR$9</f>
        <v>0</v>
      </c>
      <c r="AS233" s="34" t="n">
        <f aca="false">IF(AND((40-N(V_L2_Mes)+1)&gt;N(V_L2_Gracia),(40-N(V_L2_Mes)+1)&lt;=N(V_L2_Gracia)+N(V_L2_Cuotas),N(V_L2_Cuotas)&gt;0),IF((40-N(V_L2_Mes)+1)=N(V_L2_Gracia)+N(V_L2_Cuotas),IF((40-N(V_L2_Mes)+1)=1,N(V_L2_Monto),AR$234),PMT(N(V_L2_Tasa)/12,N(V_L2_Cuotas),-N(V_L2_Monto))-AS$232),0)*AS$9</f>
        <v>0</v>
      </c>
      <c r="AT233" s="34" t="n">
        <f aca="false">IF(AND((41-N(V_L2_Mes)+1)&gt;N(V_L2_Gracia),(41-N(V_L2_Mes)+1)&lt;=N(V_L2_Gracia)+N(V_L2_Cuotas),N(V_L2_Cuotas)&gt;0),IF((41-N(V_L2_Mes)+1)=N(V_L2_Gracia)+N(V_L2_Cuotas),IF((41-N(V_L2_Mes)+1)=1,N(V_L2_Monto),AS$234),PMT(N(V_L2_Tasa)/12,N(V_L2_Cuotas),-N(V_L2_Monto))-AT$232),0)*AT$9</f>
        <v>0</v>
      </c>
      <c r="AU233" s="34" t="n">
        <f aca="false">IF(AND((42-N(V_L2_Mes)+1)&gt;N(V_L2_Gracia),(42-N(V_L2_Mes)+1)&lt;=N(V_L2_Gracia)+N(V_L2_Cuotas),N(V_L2_Cuotas)&gt;0),IF((42-N(V_L2_Mes)+1)=N(V_L2_Gracia)+N(V_L2_Cuotas),IF((42-N(V_L2_Mes)+1)=1,N(V_L2_Monto),AT$234),PMT(N(V_L2_Tasa)/12,N(V_L2_Cuotas),-N(V_L2_Monto))-AU$232),0)*AU$9</f>
        <v>0</v>
      </c>
      <c r="AV233" s="34" t="n">
        <f aca="false">IF(AND((43-N(V_L2_Mes)+1)&gt;N(V_L2_Gracia),(43-N(V_L2_Mes)+1)&lt;=N(V_L2_Gracia)+N(V_L2_Cuotas),N(V_L2_Cuotas)&gt;0),IF((43-N(V_L2_Mes)+1)=N(V_L2_Gracia)+N(V_L2_Cuotas),IF((43-N(V_L2_Mes)+1)=1,N(V_L2_Monto),AU$234),PMT(N(V_L2_Tasa)/12,N(V_L2_Cuotas),-N(V_L2_Monto))-AV$232),0)*AV$9</f>
        <v>0</v>
      </c>
      <c r="AW233" s="34" t="n">
        <f aca="false">IF(AND((44-N(V_L2_Mes)+1)&gt;N(V_L2_Gracia),(44-N(V_L2_Mes)+1)&lt;=N(V_L2_Gracia)+N(V_L2_Cuotas),N(V_L2_Cuotas)&gt;0),IF((44-N(V_L2_Mes)+1)=N(V_L2_Gracia)+N(V_L2_Cuotas),IF((44-N(V_L2_Mes)+1)=1,N(V_L2_Monto),AV$234),PMT(N(V_L2_Tasa)/12,N(V_L2_Cuotas),-N(V_L2_Monto))-AW$232),0)*AW$9</f>
        <v>0</v>
      </c>
      <c r="AX233" s="34" t="n">
        <f aca="false">IF(AND((45-N(V_L2_Mes)+1)&gt;N(V_L2_Gracia),(45-N(V_L2_Mes)+1)&lt;=N(V_L2_Gracia)+N(V_L2_Cuotas),N(V_L2_Cuotas)&gt;0),IF((45-N(V_L2_Mes)+1)=N(V_L2_Gracia)+N(V_L2_Cuotas),IF((45-N(V_L2_Mes)+1)=1,N(V_L2_Monto),AW$234),PMT(N(V_L2_Tasa)/12,N(V_L2_Cuotas),-N(V_L2_Monto))-AX$232),0)*AX$9</f>
        <v>0</v>
      </c>
      <c r="AY233" s="34" t="n">
        <f aca="false">IF(AND((46-N(V_L2_Mes)+1)&gt;N(V_L2_Gracia),(46-N(V_L2_Mes)+1)&lt;=N(V_L2_Gracia)+N(V_L2_Cuotas),N(V_L2_Cuotas)&gt;0),IF((46-N(V_L2_Mes)+1)=N(V_L2_Gracia)+N(V_L2_Cuotas),IF((46-N(V_L2_Mes)+1)=1,N(V_L2_Monto),AX$234),PMT(N(V_L2_Tasa)/12,N(V_L2_Cuotas),-N(V_L2_Monto))-AY$232),0)*AY$9</f>
        <v>0</v>
      </c>
      <c r="AZ233" s="34" t="n">
        <f aca="false">IF(AND((47-N(V_L2_Mes)+1)&gt;N(V_L2_Gracia),(47-N(V_L2_Mes)+1)&lt;=N(V_L2_Gracia)+N(V_L2_Cuotas),N(V_L2_Cuotas)&gt;0),IF((47-N(V_L2_Mes)+1)=N(V_L2_Gracia)+N(V_L2_Cuotas),IF((47-N(V_L2_Mes)+1)=1,N(V_L2_Monto),AY$234),PMT(N(V_L2_Tasa)/12,N(V_L2_Cuotas),-N(V_L2_Monto))-AZ$232),0)*AZ$9</f>
        <v>0</v>
      </c>
      <c r="BA233" s="34" t="n">
        <f aca="false">IF(AND((48-N(V_L2_Mes)+1)&gt;N(V_L2_Gracia),(48-N(V_L2_Mes)+1)&lt;=N(V_L2_Gracia)+N(V_L2_Cuotas),N(V_L2_Cuotas)&gt;0),IF((48-N(V_L2_Mes)+1)=N(V_L2_Gracia)+N(V_L2_Cuotas),IF((48-N(V_L2_Mes)+1)=1,N(V_L2_Monto),AZ$234),PMT(N(V_L2_Tasa)/12,N(V_L2_Cuotas),-N(V_L2_Monto))-BA$232),0)*BA$9</f>
        <v>0</v>
      </c>
      <c r="BB233" s="34" t="n">
        <f aca="false">IF(AND((49-N(V_L2_Mes)+1)&gt;N(V_L2_Gracia),(49-N(V_L2_Mes)+1)&lt;=N(V_L2_Gracia)+N(V_L2_Cuotas),N(V_L2_Cuotas)&gt;0),IF((49-N(V_L2_Mes)+1)=N(V_L2_Gracia)+N(V_L2_Cuotas),IF((49-N(V_L2_Mes)+1)=1,N(V_L2_Monto),BA$234),PMT(N(V_L2_Tasa)/12,N(V_L2_Cuotas),-N(V_L2_Monto))-BB$232),0)*BB$9</f>
        <v>0</v>
      </c>
      <c r="BC233" s="34" t="n">
        <f aca="false">IF(AND((50-N(V_L2_Mes)+1)&gt;N(V_L2_Gracia),(50-N(V_L2_Mes)+1)&lt;=N(V_L2_Gracia)+N(V_L2_Cuotas),N(V_L2_Cuotas)&gt;0),IF((50-N(V_L2_Mes)+1)=N(V_L2_Gracia)+N(V_L2_Cuotas),IF((50-N(V_L2_Mes)+1)=1,N(V_L2_Monto),BB$234),PMT(N(V_L2_Tasa)/12,N(V_L2_Cuotas),-N(V_L2_Monto))-BC$232),0)*BC$9</f>
        <v>0</v>
      </c>
      <c r="BD233" s="34" t="n">
        <f aca="false">IF(AND((51-N(V_L2_Mes)+1)&gt;N(V_L2_Gracia),(51-N(V_L2_Mes)+1)&lt;=N(V_L2_Gracia)+N(V_L2_Cuotas),N(V_L2_Cuotas)&gt;0),IF((51-N(V_L2_Mes)+1)=N(V_L2_Gracia)+N(V_L2_Cuotas),IF((51-N(V_L2_Mes)+1)=1,N(V_L2_Monto),BC$234),PMT(N(V_L2_Tasa)/12,N(V_L2_Cuotas),-N(V_L2_Monto))-BD$232),0)*BD$9</f>
        <v>0</v>
      </c>
      <c r="BE233" s="34" t="n">
        <f aca="false">IF(AND((52-N(V_L2_Mes)+1)&gt;N(V_L2_Gracia),(52-N(V_L2_Mes)+1)&lt;=N(V_L2_Gracia)+N(V_L2_Cuotas),N(V_L2_Cuotas)&gt;0),IF((52-N(V_L2_Mes)+1)=N(V_L2_Gracia)+N(V_L2_Cuotas),IF((52-N(V_L2_Mes)+1)=1,N(V_L2_Monto),BD$234),PMT(N(V_L2_Tasa)/12,N(V_L2_Cuotas),-N(V_L2_Monto))-BE$232),0)*BE$9</f>
        <v>0</v>
      </c>
      <c r="BF233" s="34" t="n">
        <f aca="false">IF(AND((53-N(V_L2_Mes)+1)&gt;N(V_L2_Gracia),(53-N(V_L2_Mes)+1)&lt;=N(V_L2_Gracia)+N(V_L2_Cuotas),N(V_L2_Cuotas)&gt;0),IF((53-N(V_L2_Mes)+1)=N(V_L2_Gracia)+N(V_L2_Cuotas),IF((53-N(V_L2_Mes)+1)=1,N(V_L2_Monto),BE$234),PMT(N(V_L2_Tasa)/12,N(V_L2_Cuotas),-N(V_L2_Monto))-BF$232),0)*BF$9</f>
        <v>0</v>
      </c>
      <c r="BG233" s="34" t="n">
        <f aca="false">IF(AND((54-N(V_L2_Mes)+1)&gt;N(V_L2_Gracia),(54-N(V_L2_Mes)+1)&lt;=N(V_L2_Gracia)+N(V_L2_Cuotas),N(V_L2_Cuotas)&gt;0),IF((54-N(V_L2_Mes)+1)=N(V_L2_Gracia)+N(V_L2_Cuotas),IF((54-N(V_L2_Mes)+1)=1,N(V_L2_Monto),BF$234),PMT(N(V_L2_Tasa)/12,N(V_L2_Cuotas),-N(V_L2_Monto))-BG$232),0)*BG$9</f>
        <v>0</v>
      </c>
      <c r="BH233" s="34" t="n">
        <f aca="false">IF(AND((55-N(V_L2_Mes)+1)&gt;N(V_L2_Gracia),(55-N(V_L2_Mes)+1)&lt;=N(V_L2_Gracia)+N(V_L2_Cuotas),N(V_L2_Cuotas)&gt;0),IF((55-N(V_L2_Mes)+1)=N(V_L2_Gracia)+N(V_L2_Cuotas),IF((55-N(V_L2_Mes)+1)=1,N(V_L2_Monto),BG$234),PMT(N(V_L2_Tasa)/12,N(V_L2_Cuotas),-N(V_L2_Monto))-BH$232),0)*BH$9</f>
        <v>0</v>
      </c>
      <c r="BI233" s="34" t="n">
        <f aca="false">IF(AND((56-N(V_L2_Mes)+1)&gt;N(V_L2_Gracia),(56-N(V_L2_Mes)+1)&lt;=N(V_L2_Gracia)+N(V_L2_Cuotas),N(V_L2_Cuotas)&gt;0),IF((56-N(V_L2_Mes)+1)=N(V_L2_Gracia)+N(V_L2_Cuotas),IF((56-N(V_L2_Mes)+1)=1,N(V_L2_Monto),BH$234),PMT(N(V_L2_Tasa)/12,N(V_L2_Cuotas),-N(V_L2_Monto))-BI$232),0)*BI$9</f>
        <v>0</v>
      </c>
      <c r="BJ233" s="34" t="n">
        <f aca="false">IF(AND((57-N(V_L2_Mes)+1)&gt;N(V_L2_Gracia),(57-N(V_L2_Mes)+1)&lt;=N(V_L2_Gracia)+N(V_L2_Cuotas),N(V_L2_Cuotas)&gt;0),IF((57-N(V_L2_Mes)+1)=N(V_L2_Gracia)+N(V_L2_Cuotas),IF((57-N(V_L2_Mes)+1)=1,N(V_L2_Monto),BI$234),PMT(N(V_L2_Tasa)/12,N(V_L2_Cuotas),-N(V_L2_Monto))-BJ$232),0)*BJ$9</f>
        <v>0</v>
      </c>
      <c r="BK233" s="34" t="n">
        <f aca="false">IF(AND((58-N(V_L2_Mes)+1)&gt;N(V_L2_Gracia),(58-N(V_L2_Mes)+1)&lt;=N(V_L2_Gracia)+N(V_L2_Cuotas),N(V_L2_Cuotas)&gt;0),IF((58-N(V_L2_Mes)+1)=N(V_L2_Gracia)+N(V_L2_Cuotas),IF((58-N(V_L2_Mes)+1)=1,N(V_L2_Monto),BJ$234),PMT(N(V_L2_Tasa)/12,N(V_L2_Cuotas),-N(V_L2_Monto))-BK$232),0)*BK$9</f>
        <v>0</v>
      </c>
      <c r="BL233" s="34" t="n">
        <f aca="false">IF(AND((59-N(V_L2_Mes)+1)&gt;N(V_L2_Gracia),(59-N(V_L2_Mes)+1)&lt;=N(V_L2_Gracia)+N(V_L2_Cuotas),N(V_L2_Cuotas)&gt;0),IF((59-N(V_L2_Mes)+1)=N(V_L2_Gracia)+N(V_L2_Cuotas),IF((59-N(V_L2_Mes)+1)=1,N(V_L2_Monto),BK$234),PMT(N(V_L2_Tasa)/12,N(V_L2_Cuotas),-N(V_L2_Monto))-BL$232),0)*BL$9</f>
        <v>0</v>
      </c>
      <c r="BM233" s="34" t="n">
        <f aca="false">IF(AND((60-N(V_L2_Mes)+1)&gt;N(V_L2_Gracia),(60-N(V_L2_Mes)+1)&lt;=N(V_L2_Gracia)+N(V_L2_Cuotas),N(V_L2_Cuotas)&gt;0),IF((60-N(V_L2_Mes)+1)=N(V_L2_Gracia)+N(V_L2_Cuotas),IF((60-N(V_L2_Mes)+1)=1,N(V_L2_Monto),BL$234),PMT(N(V_L2_Tasa)/12,N(V_L2_Cuotas),-N(V_L2_Monto))-BM$232),0)*BM$9</f>
        <v>0</v>
      </c>
      <c r="BN233" s="34" t="n">
        <f aca="false">IF(AND((61-N(V_L2_Mes)+1)&gt;N(V_L2_Gracia),(61-N(V_L2_Mes)+1)&lt;=N(V_L2_Gracia)+N(V_L2_Cuotas),N(V_L2_Cuotas)&gt;0),IF((61-N(V_L2_Mes)+1)=N(V_L2_Gracia)+N(V_L2_Cuotas),IF((61-N(V_L2_Mes)+1)=1,N(V_L2_Monto),BM$234),PMT(N(V_L2_Tasa)/12,N(V_L2_Cuotas),-N(V_L2_Monto))-BN$232),0)*BN$9</f>
        <v>0</v>
      </c>
      <c r="BO233" s="34" t="n">
        <f aca="false">IF(AND((62-N(V_L2_Mes)+1)&gt;N(V_L2_Gracia),(62-N(V_L2_Mes)+1)&lt;=N(V_L2_Gracia)+N(V_L2_Cuotas),N(V_L2_Cuotas)&gt;0),IF((62-N(V_L2_Mes)+1)=N(V_L2_Gracia)+N(V_L2_Cuotas),IF((62-N(V_L2_Mes)+1)=1,N(V_L2_Monto),BN$234),PMT(N(V_L2_Tasa)/12,N(V_L2_Cuotas),-N(V_L2_Monto))-BO$232),0)*BO$9</f>
        <v>0</v>
      </c>
      <c r="BP233" s="34" t="n">
        <f aca="false">IF(AND((63-N(V_L2_Mes)+1)&gt;N(V_L2_Gracia),(63-N(V_L2_Mes)+1)&lt;=N(V_L2_Gracia)+N(V_L2_Cuotas),N(V_L2_Cuotas)&gt;0),IF((63-N(V_L2_Mes)+1)=N(V_L2_Gracia)+N(V_L2_Cuotas),IF((63-N(V_L2_Mes)+1)=1,N(V_L2_Monto),BO$234),PMT(N(V_L2_Tasa)/12,N(V_L2_Cuotas),-N(V_L2_Monto))-BP$232),0)*BP$9</f>
        <v>0</v>
      </c>
      <c r="BQ233" s="34" t="n">
        <f aca="false">IF(AND((64-N(V_L2_Mes)+1)&gt;N(V_L2_Gracia),(64-N(V_L2_Mes)+1)&lt;=N(V_L2_Gracia)+N(V_L2_Cuotas),N(V_L2_Cuotas)&gt;0),IF((64-N(V_L2_Mes)+1)=N(V_L2_Gracia)+N(V_L2_Cuotas),IF((64-N(V_L2_Mes)+1)=1,N(V_L2_Monto),BP$234),PMT(N(V_L2_Tasa)/12,N(V_L2_Cuotas),-N(V_L2_Monto))-BQ$232),0)*BQ$9</f>
        <v>0</v>
      </c>
      <c r="BR233" s="34" t="n">
        <f aca="false">IF(AND((65-N(V_L2_Mes)+1)&gt;N(V_L2_Gracia),(65-N(V_L2_Mes)+1)&lt;=N(V_L2_Gracia)+N(V_L2_Cuotas),N(V_L2_Cuotas)&gt;0),IF((65-N(V_L2_Mes)+1)=N(V_L2_Gracia)+N(V_L2_Cuotas),IF((65-N(V_L2_Mes)+1)=1,N(V_L2_Monto),BQ$234),PMT(N(V_L2_Tasa)/12,N(V_L2_Cuotas),-N(V_L2_Monto))-BR$232),0)*BR$9</f>
        <v>0</v>
      </c>
      <c r="BS233" s="34" t="n">
        <f aca="false">IF(AND((66-N(V_L2_Mes)+1)&gt;N(V_L2_Gracia),(66-N(V_L2_Mes)+1)&lt;=N(V_L2_Gracia)+N(V_L2_Cuotas),N(V_L2_Cuotas)&gt;0),IF((66-N(V_L2_Mes)+1)=N(V_L2_Gracia)+N(V_L2_Cuotas),IF((66-N(V_L2_Mes)+1)=1,N(V_L2_Monto),BR$234),PMT(N(V_L2_Tasa)/12,N(V_L2_Cuotas),-N(V_L2_Monto))-BS$232),0)*BS$9</f>
        <v>0</v>
      </c>
      <c r="BT233" s="34" t="n">
        <f aca="false">IF(AND((67-N(V_L2_Mes)+1)&gt;N(V_L2_Gracia),(67-N(V_L2_Mes)+1)&lt;=N(V_L2_Gracia)+N(V_L2_Cuotas),N(V_L2_Cuotas)&gt;0),IF((67-N(V_L2_Mes)+1)=N(V_L2_Gracia)+N(V_L2_Cuotas),IF((67-N(V_L2_Mes)+1)=1,N(V_L2_Monto),BS$234),PMT(N(V_L2_Tasa)/12,N(V_L2_Cuotas),-N(V_L2_Monto))-BT$232),0)*BT$9</f>
        <v>0</v>
      </c>
      <c r="BU233" s="34" t="n">
        <f aca="false">IF(AND((68-N(V_L2_Mes)+1)&gt;N(V_L2_Gracia),(68-N(V_L2_Mes)+1)&lt;=N(V_L2_Gracia)+N(V_L2_Cuotas),N(V_L2_Cuotas)&gt;0),IF((68-N(V_L2_Mes)+1)=N(V_L2_Gracia)+N(V_L2_Cuotas),IF((68-N(V_L2_Mes)+1)=1,N(V_L2_Monto),BT$234),PMT(N(V_L2_Tasa)/12,N(V_L2_Cuotas),-N(V_L2_Monto))-BU$232),0)*BU$9</f>
        <v>0</v>
      </c>
      <c r="BV233" s="34" t="n">
        <f aca="false">IF(AND((69-N(V_L2_Mes)+1)&gt;N(V_L2_Gracia),(69-N(V_L2_Mes)+1)&lt;=N(V_L2_Gracia)+N(V_L2_Cuotas),N(V_L2_Cuotas)&gt;0),IF((69-N(V_L2_Mes)+1)=N(V_L2_Gracia)+N(V_L2_Cuotas),IF((69-N(V_L2_Mes)+1)=1,N(V_L2_Monto),BU$234),PMT(N(V_L2_Tasa)/12,N(V_L2_Cuotas),-N(V_L2_Monto))-BV$232),0)*BV$9</f>
        <v>0</v>
      </c>
      <c r="BW233" s="34" t="n">
        <f aca="false">IF(AND((70-N(V_L2_Mes)+1)&gt;N(V_L2_Gracia),(70-N(V_L2_Mes)+1)&lt;=N(V_L2_Gracia)+N(V_L2_Cuotas),N(V_L2_Cuotas)&gt;0),IF((70-N(V_L2_Mes)+1)=N(V_L2_Gracia)+N(V_L2_Cuotas),IF((70-N(V_L2_Mes)+1)=1,N(V_L2_Monto),BV$234),PMT(N(V_L2_Tasa)/12,N(V_L2_Cuotas),-N(V_L2_Monto))-BW$232),0)*BW$9</f>
        <v>0</v>
      </c>
      <c r="BX233" s="34" t="n">
        <f aca="false">IF(AND((71-N(V_L2_Mes)+1)&gt;N(V_L2_Gracia),(71-N(V_L2_Mes)+1)&lt;=N(V_L2_Gracia)+N(V_L2_Cuotas),N(V_L2_Cuotas)&gt;0),IF((71-N(V_L2_Mes)+1)=N(V_L2_Gracia)+N(V_L2_Cuotas),IF((71-N(V_L2_Mes)+1)=1,N(V_L2_Monto),BW$234),PMT(N(V_L2_Tasa)/12,N(V_L2_Cuotas),-N(V_L2_Monto))-BX$232),0)*BX$9</f>
        <v>0</v>
      </c>
      <c r="BY233" s="34" t="n">
        <f aca="false">IF(AND((72-N(V_L2_Mes)+1)&gt;N(V_L2_Gracia),(72-N(V_L2_Mes)+1)&lt;=N(V_L2_Gracia)+N(V_L2_Cuotas),N(V_L2_Cuotas)&gt;0),IF((72-N(V_L2_Mes)+1)=N(V_L2_Gracia)+N(V_L2_Cuotas),IF((72-N(V_L2_Mes)+1)=1,N(V_L2_Monto),BX$234),PMT(N(V_L2_Tasa)/12,N(V_L2_Cuotas),-N(V_L2_Monto))-BY$232),0)*BY$9</f>
        <v>0</v>
      </c>
      <c r="BZ233" s="34" t="n">
        <f aca="false">IF(AND((73-N(V_L2_Mes)+1)&gt;N(V_L2_Gracia),(73-N(V_L2_Mes)+1)&lt;=N(V_L2_Gracia)+N(V_L2_Cuotas),N(V_L2_Cuotas)&gt;0),IF((73-N(V_L2_Mes)+1)=N(V_L2_Gracia)+N(V_L2_Cuotas),IF((73-N(V_L2_Mes)+1)=1,N(V_L2_Monto),BY$234),PMT(N(V_L2_Tasa)/12,N(V_L2_Cuotas),-N(V_L2_Monto))-BZ$232),0)*BZ$9</f>
        <v>0</v>
      </c>
      <c r="CA233" s="34" t="n">
        <f aca="false">IF(AND((74-N(V_L2_Mes)+1)&gt;N(V_L2_Gracia),(74-N(V_L2_Mes)+1)&lt;=N(V_L2_Gracia)+N(V_L2_Cuotas),N(V_L2_Cuotas)&gt;0),IF((74-N(V_L2_Mes)+1)=N(V_L2_Gracia)+N(V_L2_Cuotas),IF((74-N(V_L2_Mes)+1)=1,N(V_L2_Monto),BZ$234),PMT(N(V_L2_Tasa)/12,N(V_L2_Cuotas),-N(V_L2_Monto))-CA$232),0)*CA$9</f>
        <v>0</v>
      </c>
      <c r="CB233" s="34" t="n">
        <f aca="false">IF(AND((75-N(V_L2_Mes)+1)&gt;N(V_L2_Gracia),(75-N(V_L2_Mes)+1)&lt;=N(V_L2_Gracia)+N(V_L2_Cuotas),N(V_L2_Cuotas)&gt;0),IF((75-N(V_L2_Mes)+1)=N(V_L2_Gracia)+N(V_L2_Cuotas),IF((75-N(V_L2_Mes)+1)=1,N(V_L2_Monto),CA$234),PMT(N(V_L2_Tasa)/12,N(V_L2_Cuotas),-N(V_L2_Monto))-CB$232),0)*CB$9</f>
        <v>0</v>
      </c>
      <c r="CC233" s="34" t="n">
        <f aca="false">IF(AND((76-N(V_L2_Mes)+1)&gt;N(V_L2_Gracia),(76-N(V_L2_Mes)+1)&lt;=N(V_L2_Gracia)+N(V_L2_Cuotas),N(V_L2_Cuotas)&gt;0),IF((76-N(V_L2_Mes)+1)=N(V_L2_Gracia)+N(V_L2_Cuotas),IF((76-N(V_L2_Mes)+1)=1,N(V_L2_Monto),CB$234),PMT(N(V_L2_Tasa)/12,N(V_L2_Cuotas),-N(V_L2_Monto))-CC$232),0)*CC$9</f>
        <v>0</v>
      </c>
      <c r="CD233" s="34" t="n">
        <f aca="false">IF(AND((77-N(V_L2_Mes)+1)&gt;N(V_L2_Gracia),(77-N(V_L2_Mes)+1)&lt;=N(V_L2_Gracia)+N(V_L2_Cuotas),N(V_L2_Cuotas)&gt;0),IF((77-N(V_L2_Mes)+1)=N(V_L2_Gracia)+N(V_L2_Cuotas),IF((77-N(V_L2_Mes)+1)=1,N(V_L2_Monto),CC$234),PMT(N(V_L2_Tasa)/12,N(V_L2_Cuotas),-N(V_L2_Monto))-CD$232),0)*CD$9</f>
        <v>0</v>
      </c>
      <c r="CE233" s="34" t="n">
        <f aca="false">IF(AND((78-N(V_L2_Mes)+1)&gt;N(V_L2_Gracia),(78-N(V_L2_Mes)+1)&lt;=N(V_L2_Gracia)+N(V_L2_Cuotas),N(V_L2_Cuotas)&gt;0),IF((78-N(V_L2_Mes)+1)=N(V_L2_Gracia)+N(V_L2_Cuotas),IF((78-N(V_L2_Mes)+1)=1,N(V_L2_Monto),CD$234),PMT(N(V_L2_Tasa)/12,N(V_L2_Cuotas),-N(V_L2_Monto))-CE$232),0)*CE$9</f>
        <v>0</v>
      </c>
      <c r="CF233" s="34" t="n">
        <f aca="false">IF(AND((79-N(V_L2_Mes)+1)&gt;N(V_L2_Gracia),(79-N(V_L2_Mes)+1)&lt;=N(V_L2_Gracia)+N(V_L2_Cuotas),N(V_L2_Cuotas)&gt;0),IF((79-N(V_L2_Mes)+1)=N(V_L2_Gracia)+N(V_L2_Cuotas),IF((79-N(V_L2_Mes)+1)=1,N(V_L2_Monto),CE$234),PMT(N(V_L2_Tasa)/12,N(V_L2_Cuotas),-N(V_L2_Monto))-CF$232),0)*CF$9</f>
        <v>0</v>
      </c>
      <c r="CG233" s="34" t="n">
        <f aca="false">IF(AND((80-N(V_L2_Mes)+1)&gt;N(V_L2_Gracia),(80-N(V_L2_Mes)+1)&lt;=N(V_L2_Gracia)+N(V_L2_Cuotas),N(V_L2_Cuotas)&gt;0),IF((80-N(V_L2_Mes)+1)=N(V_L2_Gracia)+N(V_L2_Cuotas),IF((80-N(V_L2_Mes)+1)=1,N(V_L2_Monto),CF$234),PMT(N(V_L2_Tasa)/12,N(V_L2_Cuotas),-N(V_L2_Monto))-CG$232),0)*CG$9</f>
        <v>0</v>
      </c>
      <c r="CH233" s="34" t="n">
        <f aca="false">IF(AND((81-N(V_L2_Mes)+1)&gt;N(V_L2_Gracia),(81-N(V_L2_Mes)+1)&lt;=N(V_L2_Gracia)+N(V_L2_Cuotas),N(V_L2_Cuotas)&gt;0),IF((81-N(V_L2_Mes)+1)=N(V_L2_Gracia)+N(V_L2_Cuotas),IF((81-N(V_L2_Mes)+1)=1,N(V_L2_Monto),CG$234),PMT(N(V_L2_Tasa)/12,N(V_L2_Cuotas),-N(V_L2_Monto))-CH$232),0)*CH$9</f>
        <v>0</v>
      </c>
      <c r="CI233" s="34" t="n">
        <f aca="false">IF(AND((82-N(V_L2_Mes)+1)&gt;N(V_L2_Gracia),(82-N(V_L2_Mes)+1)&lt;=N(V_L2_Gracia)+N(V_L2_Cuotas),N(V_L2_Cuotas)&gt;0),IF((82-N(V_L2_Mes)+1)=N(V_L2_Gracia)+N(V_L2_Cuotas),IF((82-N(V_L2_Mes)+1)=1,N(V_L2_Monto),CH$234),PMT(N(V_L2_Tasa)/12,N(V_L2_Cuotas),-N(V_L2_Monto))-CI$232),0)*CI$9</f>
        <v>0</v>
      </c>
      <c r="CJ233" s="34" t="n">
        <f aca="false">IF(AND((83-N(V_L2_Mes)+1)&gt;N(V_L2_Gracia),(83-N(V_L2_Mes)+1)&lt;=N(V_L2_Gracia)+N(V_L2_Cuotas),N(V_L2_Cuotas)&gt;0),IF((83-N(V_L2_Mes)+1)=N(V_L2_Gracia)+N(V_L2_Cuotas),IF((83-N(V_L2_Mes)+1)=1,N(V_L2_Monto),CI$234),PMT(N(V_L2_Tasa)/12,N(V_L2_Cuotas),-N(V_L2_Monto))-CJ$232),0)*CJ$9</f>
        <v>0</v>
      </c>
      <c r="CK233" s="34" t="n">
        <f aca="false">IF(AND((84-N(V_L2_Mes)+1)&gt;N(V_L2_Gracia),(84-N(V_L2_Mes)+1)&lt;=N(V_L2_Gracia)+N(V_L2_Cuotas),N(V_L2_Cuotas)&gt;0),IF((84-N(V_L2_Mes)+1)=N(V_L2_Gracia)+N(V_L2_Cuotas),IF((84-N(V_L2_Mes)+1)=1,N(V_L2_Monto),CJ$234),PMT(N(V_L2_Tasa)/12,N(V_L2_Cuotas),-N(V_L2_Monto))-CK$232),0)*CK$9</f>
        <v>0</v>
      </c>
      <c r="CL233" s="34" t="n">
        <f aca="false">IF(AND((85-N(V_L2_Mes)+1)&gt;N(V_L2_Gracia),(85-N(V_L2_Mes)+1)&lt;=N(V_L2_Gracia)+N(V_L2_Cuotas),N(V_L2_Cuotas)&gt;0),IF((85-N(V_L2_Mes)+1)=N(V_L2_Gracia)+N(V_L2_Cuotas),IF((85-N(V_L2_Mes)+1)=1,N(V_L2_Monto),CK$234),PMT(N(V_L2_Tasa)/12,N(V_L2_Cuotas),-N(V_L2_Monto))-CL$232),0)*CL$9</f>
        <v>0</v>
      </c>
      <c r="CM233" s="34" t="n">
        <f aca="false">IF(AND((86-N(V_L2_Mes)+1)&gt;N(V_L2_Gracia),(86-N(V_L2_Mes)+1)&lt;=N(V_L2_Gracia)+N(V_L2_Cuotas),N(V_L2_Cuotas)&gt;0),IF((86-N(V_L2_Mes)+1)=N(V_L2_Gracia)+N(V_L2_Cuotas),IF((86-N(V_L2_Mes)+1)=1,N(V_L2_Monto),CL$234),PMT(N(V_L2_Tasa)/12,N(V_L2_Cuotas),-N(V_L2_Monto))-CM$232),0)*CM$9</f>
        <v>0</v>
      </c>
      <c r="CN233" s="34" t="n">
        <f aca="false">IF(AND((87-N(V_L2_Mes)+1)&gt;N(V_L2_Gracia),(87-N(V_L2_Mes)+1)&lt;=N(V_L2_Gracia)+N(V_L2_Cuotas),N(V_L2_Cuotas)&gt;0),IF((87-N(V_L2_Mes)+1)=N(V_L2_Gracia)+N(V_L2_Cuotas),IF((87-N(V_L2_Mes)+1)=1,N(V_L2_Monto),CM$234),PMT(N(V_L2_Tasa)/12,N(V_L2_Cuotas),-N(V_L2_Monto))-CN$232),0)*CN$9</f>
        <v>0</v>
      </c>
      <c r="CO233" s="34" t="n">
        <f aca="false">IF(AND((88-N(V_L2_Mes)+1)&gt;N(V_L2_Gracia),(88-N(V_L2_Mes)+1)&lt;=N(V_L2_Gracia)+N(V_L2_Cuotas),N(V_L2_Cuotas)&gt;0),IF((88-N(V_L2_Mes)+1)=N(V_L2_Gracia)+N(V_L2_Cuotas),IF((88-N(V_L2_Mes)+1)=1,N(V_L2_Monto),CN$234),PMT(N(V_L2_Tasa)/12,N(V_L2_Cuotas),-N(V_L2_Monto))-CO$232),0)*CO$9</f>
        <v>0</v>
      </c>
      <c r="CP233" s="34" t="n">
        <f aca="false">IF(AND((89-N(V_L2_Mes)+1)&gt;N(V_L2_Gracia),(89-N(V_L2_Mes)+1)&lt;=N(V_L2_Gracia)+N(V_L2_Cuotas),N(V_L2_Cuotas)&gt;0),IF((89-N(V_L2_Mes)+1)=N(V_L2_Gracia)+N(V_L2_Cuotas),IF((89-N(V_L2_Mes)+1)=1,N(V_L2_Monto),CO$234),PMT(N(V_L2_Tasa)/12,N(V_L2_Cuotas),-N(V_L2_Monto))-CP$232),0)*CP$9</f>
        <v>0</v>
      </c>
      <c r="CQ233" s="34" t="n">
        <f aca="false">IF(AND((90-N(V_L2_Mes)+1)&gt;N(V_L2_Gracia),(90-N(V_L2_Mes)+1)&lt;=N(V_L2_Gracia)+N(V_L2_Cuotas),N(V_L2_Cuotas)&gt;0),IF((90-N(V_L2_Mes)+1)=N(V_L2_Gracia)+N(V_L2_Cuotas),IF((90-N(V_L2_Mes)+1)=1,N(V_L2_Monto),CP$234),PMT(N(V_L2_Tasa)/12,N(V_L2_Cuotas),-N(V_L2_Monto))-CQ$232),0)*CQ$9</f>
        <v>0</v>
      </c>
      <c r="CR233" s="34" t="n">
        <f aca="false">IF(AND((91-N(V_L2_Mes)+1)&gt;N(V_L2_Gracia),(91-N(V_L2_Mes)+1)&lt;=N(V_L2_Gracia)+N(V_L2_Cuotas),N(V_L2_Cuotas)&gt;0),IF((91-N(V_L2_Mes)+1)=N(V_L2_Gracia)+N(V_L2_Cuotas),IF((91-N(V_L2_Mes)+1)=1,N(V_L2_Monto),CQ$234),PMT(N(V_L2_Tasa)/12,N(V_L2_Cuotas),-N(V_L2_Monto))-CR$232),0)*CR$9</f>
        <v>0</v>
      </c>
      <c r="CS233" s="34" t="n">
        <f aca="false">IF(AND((92-N(V_L2_Mes)+1)&gt;N(V_L2_Gracia),(92-N(V_L2_Mes)+1)&lt;=N(V_L2_Gracia)+N(V_L2_Cuotas),N(V_L2_Cuotas)&gt;0),IF((92-N(V_L2_Mes)+1)=N(V_L2_Gracia)+N(V_L2_Cuotas),IF((92-N(V_L2_Mes)+1)=1,N(V_L2_Monto),CR$234),PMT(N(V_L2_Tasa)/12,N(V_L2_Cuotas),-N(V_L2_Monto))-CS$232),0)*CS$9</f>
        <v>0</v>
      </c>
      <c r="CT233" s="34" t="n">
        <f aca="false">IF(AND((93-N(V_L2_Mes)+1)&gt;N(V_L2_Gracia),(93-N(V_L2_Mes)+1)&lt;=N(V_L2_Gracia)+N(V_L2_Cuotas),N(V_L2_Cuotas)&gt;0),IF((93-N(V_L2_Mes)+1)=N(V_L2_Gracia)+N(V_L2_Cuotas),IF((93-N(V_L2_Mes)+1)=1,N(V_L2_Monto),CS$234),PMT(N(V_L2_Tasa)/12,N(V_L2_Cuotas),-N(V_L2_Monto))-CT$232),0)*CT$9</f>
        <v>0</v>
      </c>
      <c r="CU233" s="34" t="n">
        <f aca="false">IF(AND((94-N(V_L2_Mes)+1)&gt;N(V_L2_Gracia),(94-N(V_L2_Mes)+1)&lt;=N(V_L2_Gracia)+N(V_L2_Cuotas),N(V_L2_Cuotas)&gt;0),IF((94-N(V_L2_Mes)+1)=N(V_L2_Gracia)+N(V_L2_Cuotas),IF((94-N(V_L2_Mes)+1)=1,N(V_L2_Monto),CT$234),PMT(N(V_L2_Tasa)/12,N(V_L2_Cuotas),-N(V_L2_Monto))-CU$232),0)*CU$9</f>
        <v>0</v>
      </c>
      <c r="CV233" s="34" t="n">
        <f aca="false">IF(AND((95-N(V_L2_Mes)+1)&gt;N(V_L2_Gracia),(95-N(V_L2_Mes)+1)&lt;=N(V_L2_Gracia)+N(V_L2_Cuotas),N(V_L2_Cuotas)&gt;0),IF((95-N(V_L2_Mes)+1)=N(V_L2_Gracia)+N(V_L2_Cuotas),IF((95-N(V_L2_Mes)+1)=1,N(V_L2_Monto),CU$234),PMT(N(V_L2_Tasa)/12,N(V_L2_Cuotas),-N(V_L2_Monto))-CV$232),0)*CV$9</f>
        <v>0</v>
      </c>
      <c r="CW233" s="34" t="n">
        <f aca="false">IF(AND((96-N(V_L2_Mes)+1)&gt;N(V_L2_Gracia),(96-N(V_L2_Mes)+1)&lt;=N(V_L2_Gracia)+N(V_L2_Cuotas),N(V_L2_Cuotas)&gt;0),IF((96-N(V_L2_Mes)+1)=N(V_L2_Gracia)+N(V_L2_Cuotas),IF((96-N(V_L2_Mes)+1)=1,N(V_L2_Monto),CV$234),PMT(N(V_L2_Tasa)/12,N(V_L2_Cuotas),-N(V_L2_Monto))-CW$232),0)*CW$9</f>
        <v>0</v>
      </c>
      <c r="CX233" s="34" t="n">
        <f aca="false">IF(AND((97-N(V_L2_Mes)+1)&gt;N(V_L2_Gracia),(97-N(V_L2_Mes)+1)&lt;=N(V_L2_Gracia)+N(V_L2_Cuotas),N(V_L2_Cuotas)&gt;0),IF((97-N(V_L2_Mes)+1)=N(V_L2_Gracia)+N(V_L2_Cuotas),IF((97-N(V_L2_Mes)+1)=1,N(V_L2_Monto),CW$234),PMT(N(V_L2_Tasa)/12,N(V_L2_Cuotas),-N(V_L2_Monto))-CX$232),0)*CX$9</f>
        <v>0</v>
      </c>
      <c r="CY233" s="34" t="n">
        <f aca="false">IF(AND((98-N(V_L2_Mes)+1)&gt;N(V_L2_Gracia),(98-N(V_L2_Mes)+1)&lt;=N(V_L2_Gracia)+N(V_L2_Cuotas),N(V_L2_Cuotas)&gt;0),IF((98-N(V_L2_Mes)+1)=N(V_L2_Gracia)+N(V_L2_Cuotas),IF((98-N(V_L2_Mes)+1)=1,N(V_L2_Monto),CX$234),PMT(N(V_L2_Tasa)/12,N(V_L2_Cuotas),-N(V_L2_Monto))-CY$232),0)*CY$9</f>
        <v>0</v>
      </c>
      <c r="CZ233" s="34" t="n">
        <f aca="false">IF(AND((99-N(V_L2_Mes)+1)&gt;N(V_L2_Gracia),(99-N(V_L2_Mes)+1)&lt;=N(V_L2_Gracia)+N(V_L2_Cuotas),N(V_L2_Cuotas)&gt;0),IF((99-N(V_L2_Mes)+1)=N(V_L2_Gracia)+N(V_L2_Cuotas),IF((99-N(V_L2_Mes)+1)=1,N(V_L2_Monto),CY$234),PMT(N(V_L2_Tasa)/12,N(V_L2_Cuotas),-N(V_L2_Monto))-CZ$232),0)*CZ$9</f>
        <v>0</v>
      </c>
      <c r="DA233" s="34" t="n">
        <f aca="false">IF(AND((100-N(V_L2_Mes)+1)&gt;N(V_L2_Gracia),(100-N(V_L2_Mes)+1)&lt;=N(V_L2_Gracia)+N(V_L2_Cuotas),N(V_L2_Cuotas)&gt;0),IF((100-N(V_L2_Mes)+1)=N(V_L2_Gracia)+N(V_L2_Cuotas),IF((100-N(V_L2_Mes)+1)=1,N(V_L2_Monto),CZ$234),PMT(N(V_L2_Tasa)/12,N(V_L2_Cuotas),-N(V_L2_Monto))-DA$232),0)*DA$9</f>
        <v>0</v>
      </c>
      <c r="DB233" s="34" t="n">
        <f aca="false">IF(AND((101-N(V_L2_Mes)+1)&gt;N(V_L2_Gracia),(101-N(V_L2_Mes)+1)&lt;=N(V_L2_Gracia)+N(V_L2_Cuotas),N(V_L2_Cuotas)&gt;0),IF((101-N(V_L2_Mes)+1)=N(V_L2_Gracia)+N(V_L2_Cuotas),IF((101-N(V_L2_Mes)+1)=1,N(V_L2_Monto),DA$234),PMT(N(V_L2_Tasa)/12,N(V_L2_Cuotas),-N(V_L2_Monto))-DB$232),0)*DB$9</f>
        <v>0</v>
      </c>
      <c r="DC233" s="34" t="n">
        <f aca="false">IF(AND((102-N(V_L2_Mes)+1)&gt;N(V_L2_Gracia),(102-N(V_L2_Mes)+1)&lt;=N(V_L2_Gracia)+N(V_L2_Cuotas),N(V_L2_Cuotas)&gt;0),IF((102-N(V_L2_Mes)+1)=N(V_L2_Gracia)+N(V_L2_Cuotas),IF((102-N(V_L2_Mes)+1)=1,N(V_L2_Monto),DB$234),PMT(N(V_L2_Tasa)/12,N(V_L2_Cuotas),-N(V_L2_Monto))-DC$232),0)*DC$9</f>
        <v>0</v>
      </c>
      <c r="DD233" s="34" t="n">
        <f aca="false">IF(AND((103-N(V_L2_Mes)+1)&gt;N(V_L2_Gracia),(103-N(V_L2_Mes)+1)&lt;=N(V_L2_Gracia)+N(V_L2_Cuotas),N(V_L2_Cuotas)&gt;0),IF((103-N(V_L2_Mes)+1)=N(V_L2_Gracia)+N(V_L2_Cuotas),IF((103-N(V_L2_Mes)+1)=1,N(V_L2_Monto),DC$234),PMT(N(V_L2_Tasa)/12,N(V_L2_Cuotas),-N(V_L2_Monto))-DD$232),0)*DD$9</f>
        <v>0</v>
      </c>
      <c r="DE233" s="34" t="n">
        <f aca="false">IF(AND((104-N(V_L2_Mes)+1)&gt;N(V_L2_Gracia),(104-N(V_L2_Mes)+1)&lt;=N(V_L2_Gracia)+N(V_L2_Cuotas),N(V_L2_Cuotas)&gt;0),IF((104-N(V_L2_Mes)+1)=N(V_L2_Gracia)+N(V_L2_Cuotas),IF((104-N(V_L2_Mes)+1)=1,N(V_L2_Monto),DD$234),PMT(N(V_L2_Tasa)/12,N(V_L2_Cuotas),-N(V_L2_Monto))-DE$232),0)*DE$9</f>
        <v>0</v>
      </c>
      <c r="DF233" s="34" t="n">
        <f aca="false">IF(AND((105-N(V_L2_Mes)+1)&gt;N(V_L2_Gracia),(105-N(V_L2_Mes)+1)&lt;=N(V_L2_Gracia)+N(V_L2_Cuotas),N(V_L2_Cuotas)&gt;0),IF((105-N(V_L2_Mes)+1)=N(V_L2_Gracia)+N(V_L2_Cuotas),IF((105-N(V_L2_Mes)+1)=1,N(V_L2_Monto),DE$234),PMT(N(V_L2_Tasa)/12,N(V_L2_Cuotas),-N(V_L2_Monto))-DF$232),0)*DF$9</f>
        <v>0</v>
      </c>
      <c r="DG233" s="34" t="n">
        <f aca="false">IF(AND((106-N(V_L2_Mes)+1)&gt;N(V_L2_Gracia),(106-N(V_L2_Mes)+1)&lt;=N(V_L2_Gracia)+N(V_L2_Cuotas),N(V_L2_Cuotas)&gt;0),IF((106-N(V_L2_Mes)+1)=N(V_L2_Gracia)+N(V_L2_Cuotas),IF((106-N(V_L2_Mes)+1)=1,N(V_L2_Monto),DF$234),PMT(N(V_L2_Tasa)/12,N(V_L2_Cuotas),-N(V_L2_Monto))-DG$232),0)*DG$9</f>
        <v>0</v>
      </c>
      <c r="DH233" s="34" t="n">
        <f aca="false">IF(AND((107-N(V_L2_Mes)+1)&gt;N(V_L2_Gracia),(107-N(V_L2_Mes)+1)&lt;=N(V_L2_Gracia)+N(V_L2_Cuotas),N(V_L2_Cuotas)&gt;0),IF((107-N(V_L2_Mes)+1)=N(V_L2_Gracia)+N(V_L2_Cuotas),IF((107-N(V_L2_Mes)+1)=1,N(V_L2_Monto),DG$234),PMT(N(V_L2_Tasa)/12,N(V_L2_Cuotas),-N(V_L2_Monto))-DH$232),0)*DH$9</f>
        <v>0</v>
      </c>
      <c r="DI233" s="34" t="n">
        <f aca="false">IF(AND((108-N(V_L2_Mes)+1)&gt;N(V_L2_Gracia),(108-N(V_L2_Mes)+1)&lt;=N(V_L2_Gracia)+N(V_L2_Cuotas),N(V_L2_Cuotas)&gt;0),IF((108-N(V_L2_Mes)+1)=N(V_L2_Gracia)+N(V_L2_Cuotas),IF((108-N(V_L2_Mes)+1)=1,N(V_L2_Monto),DH$234),PMT(N(V_L2_Tasa)/12,N(V_L2_Cuotas),-N(V_L2_Monto))-DI$232),0)*DI$9</f>
        <v>0</v>
      </c>
      <c r="DJ233" s="34" t="n">
        <f aca="false">IF(AND((109-N(V_L2_Mes)+1)&gt;N(V_L2_Gracia),(109-N(V_L2_Mes)+1)&lt;=N(V_L2_Gracia)+N(V_L2_Cuotas),N(V_L2_Cuotas)&gt;0),IF((109-N(V_L2_Mes)+1)=N(V_L2_Gracia)+N(V_L2_Cuotas),IF((109-N(V_L2_Mes)+1)=1,N(V_L2_Monto),DI$234),PMT(N(V_L2_Tasa)/12,N(V_L2_Cuotas),-N(V_L2_Monto))-DJ$232),0)*DJ$9</f>
        <v>0</v>
      </c>
      <c r="DK233" s="34" t="n">
        <f aca="false">IF(AND((110-N(V_L2_Mes)+1)&gt;N(V_L2_Gracia),(110-N(V_L2_Mes)+1)&lt;=N(V_L2_Gracia)+N(V_L2_Cuotas),N(V_L2_Cuotas)&gt;0),IF((110-N(V_L2_Mes)+1)=N(V_L2_Gracia)+N(V_L2_Cuotas),IF((110-N(V_L2_Mes)+1)=1,N(V_L2_Monto),DJ$234),PMT(N(V_L2_Tasa)/12,N(V_L2_Cuotas),-N(V_L2_Monto))-DK$232),0)*DK$9</f>
        <v>0</v>
      </c>
      <c r="DL233" s="34" t="n">
        <f aca="false">IF(AND((111-N(V_L2_Mes)+1)&gt;N(V_L2_Gracia),(111-N(V_L2_Mes)+1)&lt;=N(V_L2_Gracia)+N(V_L2_Cuotas),N(V_L2_Cuotas)&gt;0),IF((111-N(V_L2_Mes)+1)=N(V_L2_Gracia)+N(V_L2_Cuotas),IF((111-N(V_L2_Mes)+1)=1,N(V_L2_Monto),DK$234),PMT(N(V_L2_Tasa)/12,N(V_L2_Cuotas),-N(V_L2_Monto))-DL$232),0)*DL$9</f>
        <v>0</v>
      </c>
      <c r="DM233" s="34" t="n">
        <f aca="false">IF(AND((112-N(V_L2_Mes)+1)&gt;N(V_L2_Gracia),(112-N(V_L2_Mes)+1)&lt;=N(V_L2_Gracia)+N(V_L2_Cuotas),N(V_L2_Cuotas)&gt;0),IF((112-N(V_L2_Mes)+1)=N(V_L2_Gracia)+N(V_L2_Cuotas),IF((112-N(V_L2_Mes)+1)=1,N(V_L2_Monto),DL$234),PMT(N(V_L2_Tasa)/12,N(V_L2_Cuotas),-N(V_L2_Monto))-DM$232),0)*DM$9</f>
        <v>0</v>
      </c>
      <c r="DN233" s="34" t="n">
        <f aca="false">IF(AND((113-N(V_L2_Mes)+1)&gt;N(V_L2_Gracia),(113-N(V_L2_Mes)+1)&lt;=N(V_L2_Gracia)+N(V_L2_Cuotas),N(V_L2_Cuotas)&gt;0),IF((113-N(V_L2_Mes)+1)=N(V_L2_Gracia)+N(V_L2_Cuotas),IF((113-N(V_L2_Mes)+1)=1,N(V_L2_Monto),DM$234),PMT(N(V_L2_Tasa)/12,N(V_L2_Cuotas),-N(V_L2_Monto))-DN$232),0)*DN$9</f>
        <v>0</v>
      </c>
      <c r="DO233" s="34" t="n">
        <f aca="false">IF(AND((114-N(V_L2_Mes)+1)&gt;N(V_L2_Gracia),(114-N(V_L2_Mes)+1)&lt;=N(V_L2_Gracia)+N(V_L2_Cuotas),N(V_L2_Cuotas)&gt;0),IF((114-N(V_L2_Mes)+1)=N(V_L2_Gracia)+N(V_L2_Cuotas),IF((114-N(V_L2_Mes)+1)=1,N(V_L2_Monto),DN$234),PMT(N(V_L2_Tasa)/12,N(V_L2_Cuotas),-N(V_L2_Monto))-DO$232),0)*DO$9</f>
        <v>0</v>
      </c>
      <c r="DP233" s="34" t="n">
        <f aca="false">IF(AND((115-N(V_L2_Mes)+1)&gt;N(V_L2_Gracia),(115-N(V_L2_Mes)+1)&lt;=N(V_L2_Gracia)+N(V_L2_Cuotas),N(V_L2_Cuotas)&gt;0),IF((115-N(V_L2_Mes)+1)=N(V_L2_Gracia)+N(V_L2_Cuotas),IF((115-N(V_L2_Mes)+1)=1,N(V_L2_Monto),DO$234),PMT(N(V_L2_Tasa)/12,N(V_L2_Cuotas),-N(V_L2_Monto))-DP$232),0)*DP$9</f>
        <v>0</v>
      </c>
      <c r="DQ233" s="34" t="n">
        <f aca="false">IF(AND((116-N(V_L2_Mes)+1)&gt;N(V_L2_Gracia),(116-N(V_L2_Mes)+1)&lt;=N(V_L2_Gracia)+N(V_L2_Cuotas),N(V_L2_Cuotas)&gt;0),IF((116-N(V_L2_Mes)+1)=N(V_L2_Gracia)+N(V_L2_Cuotas),IF((116-N(V_L2_Mes)+1)=1,N(V_L2_Monto),DP$234),PMT(N(V_L2_Tasa)/12,N(V_L2_Cuotas),-N(V_L2_Monto))-DQ$232),0)*DQ$9</f>
        <v>0</v>
      </c>
      <c r="DR233" s="34" t="n">
        <f aca="false">IF(AND((117-N(V_L2_Mes)+1)&gt;N(V_L2_Gracia),(117-N(V_L2_Mes)+1)&lt;=N(V_L2_Gracia)+N(V_L2_Cuotas),N(V_L2_Cuotas)&gt;0),IF((117-N(V_L2_Mes)+1)=N(V_L2_Gracia)+N(V_L2_Cuotas),IF((117-N(V_L2_Mes)+1)=1,N(V_L2_Monto),DQ$234),PMT(N(V_L2_Tasa)/12,N(V_L2_Cuotas),-N(V_L2_Monto))-DR$232),0)*DR$9</f>
        <v>0</v>
      </c>
      <c r="DS233" s="34" t="n">
        <f aca="false">IF(AND((118-N(V_L2_Mes)+1)&gt;N(V_L2_Gracia),(118-N(V_L2_Mes)+1)&lt;=N(V_L2_Gracia)+N(V_L2_Cuotas),N(V_L2_Cuotas)&gt;0),IF((118-N(V_L2_Mes)+1)=N(V_L2_Gracia)+N(V_L2_Cuotas),IF((118-N(V_L2_Mes)+1)=1,N(V_L2_Monto),DR$234),PMT(N(V_L2_Tasa)/12,N(V_L2_Cuotas),-N(V_L2_Monto))-DS$232),0)*DS$9</f>
        <v>0</v>
      </c>
      <c r="DT233" s="34" t="n">
        <f aca="false">IF(AND((119-N(V_L2_Mes)+1)&gt;N(V_L2_Gracia),(119-N(V_L2_Mes)+1)&lt;=N(V_L2_Gracia)+N(V_L2_Cuotas),N(V_L2_Cuotas)&gt;0),IF((119-N(V_L2_Mes)+1)=N(V_L2_Gracia)+N(V_L2_Cuotas),IF((119-N(V_L2_Mes)+1)=1,N(V_L2_Monto),DS$234),PMT(N(V_L2_Tasa)/12,N(V_L2_Cuotas),-N(V_L2_Monto))-DT$232),0)*DT$9</f>
        <v>0</v>
      </c>
      <c r="DU233" s="34" t="n">
        <f aca="false">IF(AND((120-N(V_L2_Mes)+1)&gt;N(V_L2_Gracia),(120-N(V_L2_Mes)+1)&lt;=N(V_L2_Gracia)+N(V_L2_Cuotas),N(V_L2_Cuotas)&gt;0),IF((120-N(V_L2_Mes)+1)=N(V_L2_Gracia)+N(V_L2_Cuotas),IF((120-N(V_L2_Mes)+1)=1,N(V_L2_Monto),DT$234),PMT(N(V_L2_Tasa)/12,N(V_L2_Cuotas),-N(V_L2_Monto))-DU$232),0)*DU$9</f>
        <v>0</v>
      </c>
      <c r="DV233" s="34" t="n">
        <f aca="false">IF(AND((121-N(V_L2_Mes)+1)&gt;N(V_L2_Gracia),(121-N(V_L2_Mes)+1)&lt;=N(V_L2_Gracia)+N(V_L2_Cuotas),N(V_L2_Cuotas)&gt;0),IF((121-N(V_L2_Mes)+1)=N(V_L2_Gracia)+N(V_L2_Cuotas),IF((121-N(V_L2_Mes)+1)=1,N(V_L2_Monto),DU$234),PMT(N(V_L2_Tasa)/12,N(V_L2_Cuotas),-N(V_L2_Monto))-DV$232),0)*DV$9</f>
        <v>0</v>
      </c>
      <c r="DW233" s="34" t="n">
        <f aca="false">IF(AND((122-N(V_L2_Mes)+1)&gt;N(V_L2_Gracia),(122-N(V_L2_Mes)+1)&lt;=N(V_L2_Gracia)+N(V_L2_Cuotas),N(V_L2_Cuotas)&gt;0),IF((122-N(V_L2_Mes)+1)=N(V_L2_Gracia)+N(V_L2_Cuotas),IF((122-N(V_L2_Mes)+1)=1,N(V_L2_Monto),DV$234),PMT(N(V_L2_Tasa)/12,N(V_L2_Cuotas),-N(V_L2_Monto))-DW$232),0)*DW$9</f>
        <v>0</v>
      </c>
      <c r="DX233" s="34" t="n">
        <f aca="false">IF(AND((123-N(V_L2_Mes)+1)&gt;N(V_L2_Gracia),(123-N(V_L2_Mes)+1)&lt;=N(V_L2_Gracia)+N(V_L2_Cuotas),N(V_L2_Cuotas)&gt;0),IF((123-N(V_L2_Mes)+1)=N(V_L2_Gracia)+N(V_L2_Cuotas),IF((123-N(V_L2_Mes)+1)=1,N(V_L2_Monto),DW$234),PMT(N(V_L2_Tasa)/12,N(V_L2_Cuotas),-N(V_L2_Monto))-DX$232),0)*DX$9</f>
        <v>0</v>
      </c>
      <c r="DY233" s="34" t="n">
        <f aca="false">IF(AND((124-N(V_L2_Mes)+1)&gt;N(V_L2_Gracia),(124-N(V_L2_Mes)+1)&lt;=N(V_L2_Gracia)+N(V_L2_Cuotas),N(V_L2_Cuotas)&gt;0),IF((124-N(V_L2_Mes)+1)=N(V_L2_Gracia)+N(V_L2_Cuotas),IF((124-N(V_L2_Mes)+1)=1,N(V_L2_Monto),DX$234),PMT(N(V_L2_Tasa)/12,N(V_L2_Cuotas),-N(V_L2_Monto))-DY$232),0)*DY$9</f>
        <v>0</v>
      </c>
      <c r="DZ233" s="34" t="n">
        <f aca="false">IF(AND((125-N(V_L2_Mes)+1)&gt;N(V_L2_Gracia),(125-N(V_L2_Mes)+1)&lt;=N(V_L2_Gracia)+N(V_L2_Cuotas),N(V_L2_Cuotas)&gt;0),IF((125-N(V_L2_Mes)+1)=N(V_L2_Gracia)+N(V_L2_Cuotas),IF((125-N(V_L2_Mes)+1)=1,N(V_L2_Monto),DY$234),PMT(N(V_L2_Tasa)/12,N(V_L2_Cuotas),-N(V_L2_Monto))-DZ$232),0)*DZ$9</f>
        <v>0</v>
      </c>
      <c r="EA233" s="34" t="n">
        <f aca="false">IF(AND((126-N(V_L2_Mes)+1)&gt;N(V_L2_Gracia),(126-N(V_L2_Mes)+1)&lt;=N(V_L2_Gracia)+N(V_L2_Cuotas),N(V_L2_Cuotas)&gt;0),IF((126-N(V_L2_Mes)+1)=N(V_L2_Gracia)+N(V_L2_Cuotas),IF((126-N(V_L2_Mes)+1)=1,N(V_L2_Monto),DZ$234),PMT(N(V_L2_Tasa)/12,N(V_L2_Cuotas),-N(V_L2_Monto))-EA$232),0)*EA$9</f>
        <v>0</v>
      </c>
      <c r="EB233" s="34" t="n">
        <f aca="false">IF(AND((127-N(V_L2_Mes)+1)&gt;N(V_L2_Gracia),(127-N(V_L2_Mes)+1)&lt;=N(V_L2_Gracia)+N(V_L2_Cuotas),N(V_L2_Cuotas)&gt;0),IF((127-N(V_L2_Mes)+1)=N(V_L2_Gracia)+N(V_L2_Cuotas),IF((127-N(V_L2_Mes)+1)=1,N(V_L2_Monto),EA$234),PMT(N(V_L2_Tasa)/12,N(V_L2_Cuotas),-N(V_L2_Monto))-EB$232),0)*EB$9</f>
        <v>0</v>
      </c>
      <c r="EC233" s="34" t="n">
        <f aca="false">IF(AND((128-N(V_L2_Mes)+1)&gt;N(V_L2_Gracia),(128-N(V_L2_Mes)+1)&lt;=N(V_L2_Gracia)+N(V_L2_Cuotas),N(V_L2_Cuotas)&gt;0),IF((128-N(V_L2_Mes)+1)=N(V_L2_Gracia)+N(V_L2_Cuotas),IF((128-N(V_L2_Mes)+1)=1,N(V_L2_Monto),EB$234),PMT(N(V_L2_Tasa)/12,N(V_L2_Cuotas),-N(V_L2_Monto))-EC$232),0)*EC$9</f>
        <v>0</v>
      </c>
      <c r="ED233" s="34" t="n">
        <f aca="false">IF(AND((129-N(V_L2_Mes)+1)&gt;N(V_L2_Gracia),(129-N(V_L2_Mes)+1)&lt;=N(V_L2_Gracia)+N(V_L2_Cuotas),N(V_L2_Cuotas)&gt;0),IF((129-N(V_L2_Mes)+1)=N(V_L2_Gracia)+N(V_L2_Cuotas),IF((129-N(V_L2_Mes)+1)=1,N(V_L2_Monto),EC$234),PMT(N(V_L2_Tasa)/12,N(V_L2_Cuotas),-N(V_L2_Monto))-ED$232),0)*ED$9</f>
        <v>0</v>
      </c>
      <c r="EE233" s="34" t="n">
        <f aca="false">IF(AND((130-N(V_L2_Mes)+1)&gt;N(V_L2_Gracia),(130-N(V_L2_Mes)+1)&lt;=N(V_L2_Gracia)+N(V_L2_Cuotas),N(V_L2_Cuotas)&gt;0),IF((130-N(V_L2_Mes)+1)=N(V_L2_Gracia)+N(V_L2_Cuotas),IF((130-N(V_L2_Mes)+1)=1,N(V_L2_Monto),ED$234),PMT(N(V_L2_Tasa)/12,N(V_L2_Cuotas),-N(V_L2_Monto))-EE$232),0)*EE$9</f>
        <v>0</v>
      </c>
      <c r="EF233" s="34" t="n">
        <f aca="false">IF(AND((131-N(V_L2_Mes)+1)&gt;N(V_L2_Gracia),(131-N(V_L2_Mes)+1)&lt;=N(V_L2_Gracia)+N(V_L2_Cuotas),N(V_L2_Cuotas)&gt;0),IF((131-N(V_L2_Mes)+1)=N(V_L2_Gracia)+N(V_L2_Cuotas),IF((131-N(V_L2_Mes)+1)=1,N(V_L2_Monto),EE$234),PMT(N(V_L2_Tasa)/12,N(V_L2_Cuotas),-N(V_L2_Monto))-EF$232),0)*EF$9</f>
        <v>0</v>
      </c>
      <c r="EG233" s="34" t="n">
        <f aca="false">IF(AND((132-N(V_L2_Mes)+1)&gt;N(V_L2_Gracia),(132-N(V_L2_Mes)+1)&lt;=N(V_L2_Gracia)+N(V_L2_Cuotas),N(V_L2_Cuotas)&gt;0),IF((132-N(V_L2_Mes)+1)=N(V_L2_Gracia)+N(V_L2_Cuotas),IF((132-N(V_L2_Mes)+1)=1,N(V_L2_Monto),EF$234),PMT(N(V_L2_Tasa)/12,N(V_L2_Cuotas),-N(V_L2_Monto))-EG$232),0)*EG$9</f>
        <v>0</v>
      </c>
      <c r="EH233" s="34" t="n">
        <f aca="false">IF(AND((133-N(V_L2_Mes)+1)&gt;N(V_L2_Gracia),(133-N(V_L2_Mes)+1)&lt;=N(V_L2_Gracia)+N(V_L2_Cuotas),N(V_L2_Cuotas)&gt;0),IF((133-N(V_L2_Mes)+1)=N(V_L2_Gracia)+N(V_L2_Cuotas),IF((133-N(V_L2_Mes)+1)=1,N(V_L2_Monto),EG$234),PMT(N(V_L2_Tasa)/12,N(V_L2_Cuotas),-N(V_L2_Monto))-EH$232),0)*EH$9</f>
        <v>0</v>
      </c>
      <c r="EI233" s="34" t="n">
        <f aca="false">IF(AND((134-N(V_L2_Mes)+1)&gt;N(V_L2_Gracia),(134-N(V_L2_Mes)+1)&lt;=N(V_L2_Gracia)+N(V_L2_Cuotas),N(V_L2_Cuotas)&gt;0),IF((134-N(V_L2_Mes)+1)=N(V_L2_Gracia)+N(V_L2_Cuotas),IF((134-N(V_L2_Mes)+1)=1,N(V_L2_Monto),EH$234),PMT(N(V_L2_Tasa)/12,N(V_L2_Cuotas),-N(V_L2_Monto))-EI$232),0)*EI$9</f>
        <v>0</v>
      </c>
      <c r="EJ233" s="34" t="n">
        <f aca="false">IF(AND((135-N(V_L2_Mes)+1)&gt;N(V_L2_Gracia),(135-N(V_L2_Mes)+1)&lt;=N(V_L2_Gracia)+N(V_L2_Cuotas),N(V_L2_Cuotas)&gt;0),IF((135-N(V_L2_Mes)+1)=N(V_L2_Gracia)+N(V_L2_Cuotas),IF((135-N(V_L2_Mes)+1)=1,N(V_L2_Monto),EI$234),PMT(N(V_L2_Tasa)/12,N(V_L2_Cuotas),-N(V_L2_Monto))-EJ$232),0)*EJ$9</f>
        <v>0</v>
      </c>
      <c r="EK233" s="34" t="n">
        <f aca="false">IF(AND((136-N(V_L2_Mes)+1)&gt;N(V_L2_Gracia),(136-N(V_L2_Mes)+1)&lt;=N(V_L2_Gracia)+N(V_L2_Cuotas),N(V_L2_Cuotas)&gt;0),IF((136-N(V_L2_Mes)+1)=N(V_L2_Gracia)+N(V_L2_Cuotas),IF((136-N(V_L2_Mes)+1)=1,N(V_L2_Monto),EJ$234),PMT(N(V_L2_Tasa)/12,N(V_L2_Cuotas),-N(V_L2_Monto))-EK$232),0)*EK$9</f>
        <v>0</v>
      </c>
      <c r="EL233" s="34" t="n">
        <f aca="false">IF(AND((137-N(V_L2_Mes)+1)&gt;N(V_L2_Gracia),(137-N(V_L2_Mes)+1)&lt;=N(V_L2_Gracia)+N(V_L2_Cuotas),N(V_L2_Cuotas)&gt;0),IF((137-N(V_L2_Mes)+1)=N(V_L2_Gracia)+N(V_L2_Cuotas),IF((137-N(V_L2_Mes)+1)=1,N(V_L2_Monto),EK$234),PMT(N(V_L2_Tasa)/12,N(V_L2_Cuotas),-N(V_L2_Monto))-EL$232),0)*EL$9</f>
        <v>0</v>
      </c>
      <c r="EM233" s="34" t="n">
        <f aca="false">IF(AND((138-N(V_L2_Mes)+1)&gt;N(V_L2_Gracia),(138-N(V_L2_Mes)+1)&lt;=N(V_L2_Gracia)+N(V_L2_Cuotas),N(V_L2_Cuotas)&gt;0),IF((138-N(V_L2_Mes)+1)=N(V_L2_Gracia)+N(V_L2_Cuotas),IF((138-N(V_L2_Mes)+1)=1,N(V_L2_Monto),EL$234),PMT(N(V_L2_Tasa)/12,N(V_L2_Cuotas),-N(V_L2_Monto))-EM$232),0)*EM$9</f>
        <v>0</v>
      </c>
      <c r="EN233" s="34" t="n">
        <f aca="false">IF(AND((139-N(V_L2_Mes)+1)&gt;N(V_L2_Gracia),(139-N(V_L2_Mes)+1)&lt;=N(V_L2_Gracia)+N(V_L2_Cuotas),N(V_L2_Cuotas)&gt;0),IF((139-N(V_L2_Mes)+1)=N(V_L2_Gracia)+N(V_L2_Cuotas),IF((139-N(V_L2_Mes)+1)=1,N(V_L2_Monto),EM$234),PMT(N(V_L2_Tasa)/12,N(V_L2_Cuotas),-N(V_L2_Monto))-EN$232),0)*EN$9</f>
        <v>0</v>
      </c>
      <c r="EO233" s="34" t="n">
        <f aca="false">IF(AND((140-N(V_L2_Mes)+1)&gt;N(V_L2_Gracia),(140-N(V_L2_Mes)+1)&lt;=N(V_L2_Gracia)+N(V_L2_Cuotas),N(V_L2_Cuotas)&gt;0),IF((140-N(V_L2_Mes)+1)=N(V_L2_Gracia)+N(V_L2_Cuotas),IF((140-N(V_L2_Mes)+1)=1,N(V_L2_Monto),EN$234),PMT(N(V_L2_Tasa)/12,N(V_L2_Cuotas),-N(V_L2_Monto))-EO$232),0)*EO$9</f>
        <v>0</v>
      </c>
      <c r="EP233" s="34" t="n">
        <f aca="false">IF(AND((141-N(V_L2_Mes)+1)&gt;N(V_L2_Gracia),(141-N(V_L2_Mes)+1)&lt;=N(V_L2_Gracia)+N(V_L2_Cuotas),N(V_L2_Cuotas)&gt;0),IF((141-N(V_L2_Mes)+1)=N(V_L2_Gracia)+N(V_L2_Cuotas),IF((141-N(V_L2_Mes)+1)=1,N(V_L2_Monto),EO$234),PMT(N(V_L2_Tasa)/12,N(V_L2_Cuotas),-N(V_L2_Monto))-EP$232),0)*EP$9</f>
        <v>0</v>
      </c>
      <c r="EQ233" s="34" t="n">
        <f aca="false">IF(AND((142-N(V_L2_Mes)+1)&gt;N(V_L2_Gracia),(142-N(V_L2_Mes)+1)&lt;=N(V_L2_Gracia)+N(V_L2_Cuotas),N(V_L2_Cuotas)&gt;0),IF((142-N(V_L2_Mes)+1)=N(V_L2_Gracia)+N(V_L2_Cuotas),IF((142-N(V_L2_Mes)+1)=1,N(V_L2_Monto),EP$234),PMT(N(V_L2_Tasa)/12,N(V_L2_Cuotas),-N(V_L2_Monto))-EQ$232),0)*EQ$9</f>
        <v>0</v>
      </c>
      <c r="ER233" s="34" t="n">
        <f aca="false">IF(AND((143-N(V_L2_Mes)+1)&gt;N(V_L2_Gracia),(143-N(V_L2_Mes)+1)&lt;=N(V_L2_Gracia)+N(V_L2_Cuotas),N(V_L2_Cuotas)&gt;0),IF((143-N(V_L2_Mes)+1)=N(V_L2_Gracia)+N(V_L2_Cuotas),IF((143-N(V_L2_Mes)+1)=1,N(V_L2_Monto),EQ$234),PMT(N(V_L2_Tasa)/12,N(V_L2_Cuotas),-N(V_L2_Monto))-ER$232),0)*ER$9</f>
        <v>0</v>
      </c>
      <c r="ES233" s="34" t="n">
        <f aca="false">IF(AND((144-N(V_L2_Mes)+1)&gt;N(V_L2_Gracia),(144-N(V_L2_Mes)+1)&lt;=N(V_L2_Gracia)+N(V_L2_Cuotas),N(V_L2_Cuotas)&gt;0),IF((144-N(V_L2_Mes)+1)=N(V_L2_Gracia)+N(V_L2_Cuotas),IF((144-N(V_L2_Mes)+1)=1,N(V_L2_Monto),ER$234),PMT(N(V_L2_Tasa)/12,N(V_L2_Cuotas),-N(V_L2_Monto))-ES$232),0)*ES$9</f>
        <v>0</v>
      </c>
    </row>
    <row r="234" customFormat="false" ht="15" hidden="false" customHeight="false" outlineLevel="0" collapsed="false">
      <c r="A234" s="2" t="s">
        <v>845</v>
      </c>
      <c r="B234" s="6" t="s">
        <v>692</v>
      </c>
      <c r="C234" s="6" t="s">
        <v>250</v>
      </c>
      <c r="E234" s="40" t="n">
        <f aca="false">INDEX(F234:ES234,1,MIN(144,Fin))</f>
        <v>0</v>
      </c>
      <c r="F234" s="34" t="n">
        <f aca="false">IF((1-N(V_L2_Mes)+1)&lt;1,0,IF((1-N(V_L2_Mes)+1)=1,N(V_L2_Monto),0)-F$233)</f>
        <v>0</v>
      </c>
      <c r="G234" s="34" t="n">
        <f aca="false">IF((2-N(V_L2_Mes)+1)&lt;1,0,IF((2-N(V_L2_Mes)+1)=1,N(V_L2_Monto),F$234)-G$233)</f>
        <v>0</v>
      </c>
      <c r="H234" s="34" t="n">
        <f aca="false">IF((3-N(V_L2_Mes)+1)&lt;1,0,IF((3-N(V_L2_Mes)+1)=1,N(V_L2_Monto),G$234)-H$233)</f>
        <v>0</v>
      </c>
      <c r="I234" s="34" t="n">
        <f aca="false">IF((4-N(V_L2_Mes)+1)&lt;1,0,IF((4-N(V_L2_Mes)+1)=1,N(V_L2_Monto),H$234)-I$233)</f>
        <v>0</v>
      </c>
      <c r="J234" s="34" t="n">
        <f aca="false">IF((5-N(V_L2_Mes)+1)&lt;1,0,IF((5-N(V_L2_Mes)+1)=1,N(V_L2_Monto),I$234)-J$233)</f>
        <v>0</v>
      </c>
      <c r="K234" s="34" t="n">
        <f aca="false">IF((6-N(V_L2_Mes)+1)&lt;1,0,IF((6-N(V_L2_Mes)+1)=1,N(V_L2_Monto),J$234)-K$233)</f>
        <v>0</v>
      </c>
      <c r="L234" s="34" t="n">
        <f aca="false">IF((7-N(V_L2_Mes)+1)&lt;1,0,IF((7-N(V_L2_Mes)+1)=1,N(V_L2_Monto),K$234)-L$233)</f>
        <v>0</v>
      </c>
      <c r="M234" s="34" t="n">
        <f aca="false">IF((8-N(V_L2_Mes)+1)&lt;1,0,IF((8-N(V_L2_Mes)+1)=1,N(V_L2_Monto),L$234)-M$233)</f>
        <v>0</v>
      </c>
      <c r="N234" s="34" t="n">
        <f aca="false">IF((9-N(V_L2_Mes)+1)&lt;1,0,IF((9-N(V_L2_Mes)+1)=1,N(V_L2_Monto),M$234)-N$233)</f>
        <v>0</v>
      </c>
      <c r="O234" s="34" t="n">
        <f aca="false">IF((10-N(V_L2_Mes)+1)&lt;1,0,IF((10-N(V_L2_Mes)+1)=1,N(V_L2_Monto),N$234)-O$233)</f>
        <v>0</v>
      </c>
      <c r="P234" s="34" t="n">
        <f aca="false">IF((11-N(V_L2_Mes)+1)&lt;1,0,IF((11-N(V_L2_Mes)+1)=1,N(V_L2_Monto),O$234)-P$233)</f>
        <v>0</v>
      </c>
      <c r="Q234" s="34" t="n">
        <f aca="false">IF((12-N(V_L2_Mes)+1)&lt;1,0,IF((12-N(V_L2_Mes)+1)=1,N(V_L2_Monto),P$234)-Q$233)</f>
        <v>0</v>
      </c>
      <c r="R234" s="34" t="n">
        <f aca="false">IF((13-N(V_L2_Mes)+1)&lt;1,0,IF((13-N(V_L2_Mes)+1)=1,N(V_L2_Monto),Q$234)-R$233)</f>
        <v>0</v>
      </c>
      <c r="S234" s="34" t="n">
        <f aca="false">IF((14-N(V_L2_Mes)+1)&lt;1,0,IF((14-N(V_L2_Mes)+1)=1,N(V_L2_Monto),R$234)-S$233)</f>
        <v>0</v>
      </c>
      <c r="T234" s="34" t="n">
        <f aca="false">IF((15-N(V_L2_Mes)+1)&lt;1,0,IF((15-N(V_L2_Mes)+1)=1,N(V_L2_Monto),S$234)-T$233)</f>
        <v>0</v>
      </c>
      <c r="U234" s="34" t="n">
        <f aca="false">IF((16-N(V_L2_Mes)+1)&lt;1,0,IF((16-N(V_L2_Mes)+1)=1,N(V_L2_Monto),T$234)-U$233)</f>
        <v>0</v>
      </c>
      <c r="V234" s="34" t="n">
        <f aca="false">IF((17-N(V_L2_Mes)+1)&lt;1,0,IF((17-N(V_L2_Mes)+1)=1,N(V_L2_Monto),U$234)-V$233)</f>
        <v>0</v>
      </c>
      <c r="W234" s="34" t="n">
        <f aca="false">IF((18-N(V_L2_Mes)+1)&lt;1,0,IF((18-N(V_L2_Mes)+1)=1,N(V_L2_Monto),V$234)-W$233)</f>
        <v>0</v>
      </c>
      <c r="X234" s="34" t="n">
        <f aca="false">IF((19-N(V_L2_Mes)+1)&lt;1,0,IF((19-N(V_L2_Mes)+1)=1,N(V_L2_Monto),W$234)-X$233)</f>
        <v>0</v>
      </c>
      <c r="Y234" s="34" t="n">
        <f aca="false">IF((20-N(V_L2_Mes)+1)&lt;1,0,IF((20-N(V_L2_Mes)+1)=1,N(V_L2_Monto),X$234)-Y$233)</f>
        <v>0</v>
      </c>
      <c r="Z234" s="34" t="n">
        <f aca="false">IF((21-N(V_L2_Mes)+1)&lt;1,0,IF((21-N(V_L2_Mes)+1)=1,N(V_L2_Monto),Y$234)-Z$233)</f>
        <v>0</v>
      </c>
      <c r="AA234" s="34" t="n">
        <f aca="false">IF((22-N(V_L2_Mes)+1)&lt;1,0,IF((22-N(V_L2_Mes)+1)=1,N(V_L2_Monto),Z$234)-AA$233)</f>
        <v>0</v>
      </c>
      <c r="AB234" s="34" t="n">
        <f aca="false">IF((23-N(V_L2_Mes)+1)&lt;1,0,IF((23-N(V_L2_Mes)+1)=1,N(V_L2_Monto),AA$234)-AB$233)</f>
        <v>0</v>
      </c>
      <c r="AC234" s="34" t="n">
        <f aca="false">IF((24-N(V_L2_Mes)+1)&lt;1,0,IF((24-N(V_L2_Mes)+1)=1,N(V_L2_Monto),AB$234)-AC$233)</f>
        <v>0</v>
      </c>
      <c r="AD234" s="34" t="n">
        <f aca="false">IF((25-N(V_L2_Mes)+1)&lt;1,0,IF((25-N(V_L2_Mes)+1)=1,N(V_L2_Monto),AC$234)-AD$233)</f>
        <v>0</v>
      </c>
      <c r="AE234" s="34" t="n">
        <f aca="false">IF((26-N(V_L2_Mes)+1)&lt;1,0,IF((26-N(V_L2_Mes)+1)=1,N(V_L2_Monto),AD$234)-AE$233)</f>
        <v>0</v>
      </c>
      <c r="AF234" s="34" t="n">
        <f aca="false">IF((27-N(V_L2_Mes)+1)&lt;1,0,IF((27-N(V_L2_Mes)+1)=1,N(V_L2_Monto),AE$234)-AF$233)</f>
        <v>0</v>
      </c>
      <c r="AG234" s="34" t="n">
        <f aca="false">IF((28-N(V_L2_Mes)+1)&lt;1,0,IF((28-N(V_L2_Mes)+1)=1,N(V_L2_Monto),AF$234)-AG$233)</f>
        <v>0</v>
      </c>
      <c r="AH234" s="34" t="n">
        <f aca="false">IF((29-N(V_L2_Mes)+1)&lt;1,0,IF((29-N(V_L2_Mes)+1)=1,N(V_L2_Monto),AG$234)-AH$233)</f>
        <v>0</v>
      </c>
      <c r="AI234" s="34" t="n">
        <f aca="false">IF((30-N(V_L2_Mes)+1)&lt;1,0,IF((30-N(V_L2_Mes)+1)=1,N(V_L2_Monto),AH$234)-AI$233)</f>
        <v>0</v>
      </c>
      <c r="AJ234" s="34" t="n">
        <f aca="false">IF((31-N(V_L2_Mes)+1)&lt;1,0,IF((31-N(V_L2_Mes)+1)=1,N(V_L2_Monto),AI$234)-AJ$233)</f>
        <v>0</v>
      </c>
      <c r="AK234" s="34" t="n">
        <f aca="false">IF((32-N(V_L2_Mes)+1)&lt;1,0,IF((32-N(V_L2_Mes)+1)=1,N(V_L2_Monto),AJ$234)-AK$233)</f>
        <v>0</v>
      </c>
      <c r="AL234" s="34" t="n">
        <f aca="false">IF((33-N(V_L2_Mes)+1)&lt;1,0,IF((33-N(V_L2_Mes)+1)=1,N(V_L2_Monto),AK$234)-AL$233)</f>
        <v>0</v>
      </c>
      <c r="AM234" s="34" t="n">
        <f aca="false">IF((34-N(V_L2_Mes)+1)&lt;1,0,IF((34-N(V_L2_Mes)+1)=1,N(V_L2_Monto),AL$234)-AM$233)</f>
        <v>0</v>
      </c>
      <c r="AN234" s="34" t="n">
        <f aca="false">IF((35-N(V_L2_Mes)+1)&lt;1,0,IF((35-N(V_L2_Mes)+1)=1,N(V_L2_Monto),AM$234)-AN$233)</f>
        <v>0</v>
      </c>
      <c r="AO234" s="34" t="n">
        <f aca="false">IF((36-N(V_L2_Mes)+1)&lt;1,0,IF((36-N(V_L2_Mes)+1)=1,N(V_L2_Monto),AN$234)-AO$233)</f>
        <v>0</v>
      </c>
      <c r="AP234" s="34" t="n">
        <f aca="false">IF((37-N(V_L2_Mes)+1)&lt;1,0,IF((37-N(V_L2_Mes)+1)=1,N(V_L2_Monto),AO$234)-AP$233)</f>
        <v>0</v>
      </c>
      <c r="AQ234" s="34" t="n">
        <f aca="false">IF((38-N(V_L2_Mes)+1)&lt;1,0,IF((38-N(V_L2_Mes)+1)=1,N(V_L2_Monto),AP$234)-AQ$233)</f>
        <v>0</v>
      </c>
      <c r="AR234" s="34" t="n">
        <f aca="false">IF((39-N(V_L2_Mes)+1)&lt;1,0,IF((39-N(V_L2_Mes)+1)=1,N(V_L2_Monto),AQ$234)-AR$233)</f>
        <v>0</v>
      </c>
      <c r="AS234" s="34" t="n">
        <f aca="false">IF((40-N(V_L2_Mes)+1)&lt;1,0,IF((40-N(V_L2_Mes)+1)=1,N(V_L2_Monto),AR$234)-AS$233)</f>
        <v>0</v>
      </c>
      <c r="AT234" s="34" t="n">
        <f aca="false">IF((41-N(V_L2_Mes)+1)&lt;1,0,IF((41-N(V_L2_Mes)+1)=1,N(V_L2_Monto),AS$234)-AT$233)</f>
        <v>0</v>
      </c>
      <c r="AU234" s="34" t="n">
        <f aca="false">IF((42-N(V_L2_Mes)+1)&lt;1,0,IF((42-N(V_L2_Mes)+1)=1,N(V_L2_Monto),AT$234)-AU$233)</f>
        <v>0</v>
      </c>
      <c r="AV234" s="34" t="n">
        <f aca="false">IF((43-N(V_L2_Mes)+1)&lt;1,0,IF((43-N(V_L2_Mes)+1)=1,N(V_L2_Monto),AU$234)-AV$233)</f>
        <v>0</v>
      </c>
      <c r="AW234" s="34" t="n">
        <f aca="false">IF((44-N(V_L2_Mes)+1)&lt;1,0,IF((44-N(V_L2_Mes)+1)=1,N(V_L2_Monto),AV$234)-AW$233)</f>
        <v>0</v>
      </c>
      <c r="AX234" s="34" t="n">
        <f aca="false">IF((45-N(V_L2_Mes)+1)&lt;1,0,IF((45-N(V_L2_Mes)+1)=1,N(V_L2_Monto),AW$234)-AX$233)</f>
        <v>0</v>
      </c>
      <c r="AY234" s="34" t="n">
        <f aca="false">IF((46-N(V_L2_Mes)+1)&lt;1,0,IF((46-N(V_L2_Mes)+1)=1,N(V_L2_Monto),AX$234)-AY$233)</f>
        <v>0</v>
      </c>
      <c r="AZ234" s="34" t="n">
        <f aca="false">IF((47-N(V_L2_Mes)+1)&lt;1,0,IF((47-N(V_L2_Mes)+1)=1,N(V_L2_Monto),AY$234)-AZ$233)</f>
        <v>0</v>
      </c>
      <c r="BA234" s="34" t="n">
        <f aca="false">IF((48-N(V_L2_Mes)+1)&lt;1,0,IF((48-N(V_L2_Mes)+1)=1,N(V_L2_Monto),AZ$234)-BA$233)</f>
        <v>0</v>
      </c>
      <c r="BB234" s="34" t="n">
        <f aca="false">IF((49-N(V_L2_Mes)+1)&lt;1,0,IF((49-N(V_L2_Mes)+1)=1,N(V_L2_Monto),BA$234)-BB$233)</f>
        <v>0</v>
      </c>
      <c r="BC234" s="34" t="n">
        <f aca="false">IF((50-N(V_L2_Mes)+1)&lt;1,0,IF((50-N(V_L2_Mes)+1)=1,N(V_L2_Monto),BB$234)-BC$233)</f>
        <v>0</v>
      </c>
      <c r="BD234" s="34" t="n">
        <f aca="false">IF((51-N(V_L2_Mes)+1)&lt;1,0,IF((51-N(V_L2_Mes)+1)=1,N(V_L2_Monto),BC$234)-BD$233)</f>
        <v>0</v>
      </c>
      <c r="BE234" s="34" t="n">
        <f aca="false">IF((52-N(V_L2_Mes)+1)&lt;1,0,IF((52-N(V_L2_Mes)+1)=1,N(V_L2_Monto),BD$234)-BE$233)</f>
        <v>0</v>
      </c>
      <c r="BF234" s="34" t="n">
        <f aca="false">IF((53-N(V_L2_Mes)+1)&lt;1,0,IF((53-N(V_L2_Mes)+1)=1,N(V_L2_Monto),BE$234)-BF$233)</f>
        <v>0</v>
      </c>
      <c r="BG234" s="34" t="n">
        <f aca="false">IF((54-N(V_L2_Mes)+1)&lt;1,0,IF((54-N(V_L2_Mes)+1)=1,N(V_L2_Monto),BF$234)-BG$233)</f>
        <v>0</v>
      </c>
      <c r="BH234" s="34" t="n">
        <f aca="false">IF((55-N(V_L2_Mes)+1)&lt;1,0,IF((55-N(V_L2_Mes)+1)=1,N(V_L2_Monto),BG$234)-BH$233)</f>
        <v>0</v>
      </c>
      <c r="BI234" s="34" t="n">
        <f aca="false">IF((56-N(V_L2_Mes)+1)&lt;1,0,IF((56-N(V_L2_Mes)+1)=1,N(V_L2_Monto),BH$234)-BI$233)</f>
        <v>0</v>
      </c>
      <c r="BJ234" s="34" t="n">
        <f aca="false">IF((57-N(V_L2_Mes)+1)&lt;1,0,IF((57-N(V_L2_Mes)+1)=1,N(V_L2_Monto),BI$234)-BJ$233)</f>
        <v>0</v>
      </c>
      <c r="BK234" s="34" t="n">
        <f aca="false">IF((58-N(V_L2_Mes)+1)&lt;1,0,IF((58-N(V_L2_Mes)+1)=1,N(V_L2_Monto),BJ$234)-BK$233)</f>
        <v>0</v>
      </c>
      <c r="BL234" s="34" t="n">
        <f aca="false">IF((59-N(V_L2_Mes)+1)&lt;1,0,IF((59-N(V_L2_Mes)+1)=1,N(V_L2_Monto),BK$234)-BL$233)</f>
        <v>0</v>
      </c>
      <c r="BM234" s="34" t="n">
        <f aca="false">IF((60-N(V_L2_Mes)+1)&lt;1,0,IF((60-N(V_L2_Mes)+1)=1,N(V_L2_Monto),BL$234)-BM$233)</f>
        <v>0</v>
      </c>
      <c r="BN234" s="34" t="n">
        <f aca="false">IF((61-N(V_L2_Mes)+1)&lt;1,0,IF((61-N(V_L2_Mes)+1)=1,N(V_L2_Monto),BM$234)-BN$233)</f>
        <v>0</v>
      </c>
      <c r="BO234" s="34" t="n">
        <f aca="false">IF((62-N(V_L2_Mes)+1)&lt;1,0,IF((62-N(V_L2_Mes)+1)=1,N(V_L2_Monto),BN$234)-BO$233)</f>
        <v>0</v>
      </c>
      <c r="BP234" s="34" t="n">
        <f aca="false">IF((63-N(V_L2_Mes)+1)&lt;1,0,IF((63-N(V_L2_Mes)+1)=1,N(V_L2_Monto),BO$234)-BP$233)</f>
        <v>0</v>
      </c>
      <c r="BQ234" s="34" t="n">
        <f aca="false">IF((64-N(V_L2_Mes)+1)&lt;1,0,IF((64-N(V_L2_Mes)+1)=1,N(V_L2_Monto),BP$234)-BQ$233)</f>
        <v>0</v>
      </c>
      <c r="BR234" s="34" t="n">
        <f aca="false">IF((65-N(V_L2_Mes)+1)&lt;1,0,IF((65-N(V_L2_Mes)+1)=1,N(V_L2_Monto),BQ$234)-BR$233)</f>
        <v>0</v>
      </c>
      <c r="BS234" s="34" t="n">
        <f aca="false">IF((66-N(V_L2_Mes)+1)&lt;1,0,IF((66-N(V_L2_Mes)+1)=1,N(V_L2_Monto),BR$234)-BS$233)</f>
        <v>0</v>
      </c>
      <c r="BT234" s="34" t="n">
        <f aca="false">IF((67-N(V_L2_Mes)+1)&lt;1,0,IF((67-N(V_L2_Mes)+1)=1,N(V_L2_Monto),BS$234)-BT$233)</f>
        <v>0</v>
      </c>
      <c r="BU234" s="34" t="n">
        <f aca="false">IF((68-N(V_L2_Mes)+1)&lt;1,0,IF((68-N(V_L2_Mes)+1)=1,N(V_L2_Monto),BT$234)-BU$233)</f>
        <v>0</v>
      </c>
      <c r="BV234" s="34" t="n">
        <f aca="false">IF((69-N(V_L2_Mes)+1)&lt;1,0,IF((69-N(V_L2_Mes)+1)=1,N(V_L2_Monto),BU$234)-BV$233)</f>
        <v>0</v>
      </c>
      <c r="BW234" s="34" t="n">
        <f aca="false">IF((70-N(V_L2_Mes)+1)&lt;1,0,IF((70-N(V_L2_Mes)+1)=1,N(V_L2_Monto),BV$234)-BW$233)</f>
        <v>0</v>
      </c>
      <c r="BX234" s="34" t="n">
        <f aca="false">IF((71-N(V_L2_Mes)+1)&lt;1,0,IF((71-N(V_L2_Mes)+1)=1,N(V_L2_Monto),BW$234)-BX$233)</f>
        <v>0</v>
      </c>
      <c r="BY234" s="34" t="n">
        <f aca="false">IF((72-N(V_L2_Mes)+1)&lt;1,0,IF((72-N(V_L2_Mes)+1)=1,N(V_L2_Monto),BX$234)-BY$233)</f>
        <v>0</v>
      </c>
      <c r="BZ234" s="34" t="n">
        <f aca="false">IF((73-N(V_L2_Mes)+1)&lt;1,0,IF((73-N(V_L2_Mes)+1)=1,N(V_L2_Monto),BY$234)-BZ$233)</f>
        <v>0</v>
      </c>
      <c r="CA234" s="34" t="n">
        <f aca="false">IF((74-N(V_L2_Mes)+1)&lt;1,0,IF((74-N(V_L2_Mes)+1)=1,N(V_L2_Monto),BZ$234)-CA$233)</f>
        <v>0</v>
      </c>
      <c r="CB234" s="34" t="n">
        <f aca="false">IF((75-N(V_L2_Mes)+1)&lt;1,0,IF((75-N(V_L2_Mes)+1)=1,N(V_L2_Monto),CA$234)-CB$233)</f>
        <v>0</v>
      </c>
      <c r="CC234" s="34" t="n">
        <f aca="false">IF((76-N(V_L2_Mes)+1)&lt;1,0,IF((76-N(V_L2_Mes)+1)=1,N(V_L2_Monto),CB$234)-CC$233)</f>
        <v>0</v>
      </c>
      <c r="CD234" s="34" t="n">
        <f aca="false">IF((77-N(V_L2_Mes)+1)&lt;1,0,IF((77-N(V_L2_Mes)+1)=1,N(V_L2_Monto),CC$234)-CD$233)</f>
        <v>0</v>
      </c>
      <c r="CE234" s="34" t="n">
        <f aca="false">IF((78-N(V_L2_Mes)+1)&lt;1,0,IF((78-N(V_L2_Mes)+1)=1,N(V_L2_Monto),CD$234)-CE$233)</f>
        <v>0</v>
      </c>
      <c r="CF234" s="34" t="n">
        <f aca="false">IF((79-N(V_L2_Mes)+1)&lt;1,0,IF((79-N(V_L2_Mes)+1)=1,N(V_L2_Monto),CE$234)-CF$233)</f>
        <v>0</v>
      </c>
      <c r="CG234" s="34" t="n">
        <f aca="false">IF((80-N(V_L2_Mes)+1)&lt;1,0,IF((80-N(V_L2_Mes)+1)=1,N(V_L2_Monto),CF$234)-CG$233)</f>
        <v>0</v>
      </c>
      <c r="CH234" s="34" t="n">
        <f aca="false">IF((81-N(V_L2_Mes)+1)&lt;1,0,IF((81-N(V_L2_Mes)+1)=1,N(V_L2_Monto),CG$234)-CH$233)</f>
        <v>0</v>
      </c>
      <c r="CI234" s="34" t="n">
        <f aca="false">IF((82-N(V_L2_Mes)+1)&lt;1,0,IF((82-N(V_L2_Mes)+1)=1,N(V_L2_Monto),CH$234)-CI$233)</f>
        <v>0</v>
      </c>
      <c r="CJ234" s="34" t="n">
        <f aca="false">IF((83-N(V_L2_Mes)+1)&lt;1,0,IF((83-N(V_L2_Mes)+1)=1,N(V_L2_Monto),CI$234)-CJ$233)</f>
        <v>0</v>
      </c>
      <c r="CK234" s="34" t="n">
        <f aca="false">IF((84-N(V_L2_Mes)+1)&lt;1,0,IF((84-N(V_L2_Mes)+1)=1,N(V_L2_Monto),CJ$234)-CK$233)</f>
        <v>0</v>
      </c>
      <c r="CL234" s="34" t="n">
        <f aca="false">IF((85-N(V_L2_Mes)+1)&lt;1,0,IF((85-N(V_L2_Mes)+1)=1,N(V_L2_Monto),CK$234)-CL$233)</f>
        <v>0</v>
      </c>
      <c r="CM234" s="34" t="n">
        <f aca="false">IF((86-N(V_L2_Mes)+1)&lt;1,0,IF((86-N(V_L2_Mes)+1)=1,N(V_L2_Monto),CL$234)-CM$233)</f>
        <v>0</v>
      </c>
      <c r="CN234" s="34" t="n">
        <f aca="false">IF((87-N(V_L2_Mes)+1)&lt;1,0,IF((87-N(V_L2_Mes)+1)=1,N(V_L2_Monto),CM$234)-CN$233)</f>
        <v>0</v>
      </c>
      <c r="CO234" s="34" t="n">
        <f aca="false">IF((88-N(V_L2_Mes)+1)&lt;1,0,IF((88-N(V_L2_Mes)+1)=1,N(V_L2_Monto),CN$234)-CO$233)</f>
        <v>0</v>
      </c>
      <c r="CP234" s="34" t="n">
        <f aca="false">IF((89-N(V_L2_Mes)+1)&lt;1,0,IF((89-N(V_L2_Mes)+1)=1,N(V_L2_Monto),CO$234)-CP$233)</f>
        <v>0</v>
      </c>
      <c r="CQ234" s="34" t="n">
        <f aca="false">IF((90-N(V_L2_Mes)+1)&lt;1,0,IF((90-N(V_L2_Mes)+1)=1,N(V_L2_Monto),CP$234)-CQ$233)</f>
        <v>0</v>
      </c>
      <c r="CR234" s="34" t="n">
        <f aca="false">IF((91-N(V_L2_Mes)+1)&lt;1,0,IF((91-N(V_L2_Mes)+1)=1,N(V_L2_Monto),CQ$234)-CR$233)</f>
        <v>0</v>
      </c>
      <c r="CS234" s="34" t="n">
        <f aca="false">IF((92-N(V_L2_Mes)+1)&lt;1,0,IF((92-N(V_L2_Mes)+1)=1,N(V_L2_Monto),CR$234)-CS$233)</f>
        <v>0</v>
      </c>
      <c r="CT234" s="34" t="n">
        <f aca="false">IF((93-N(V_L2_Mes)+1)&lt;1,0,IF((93-N(V_L2_Mes)+1)=1,N(V_L2_Monto),CS$234)-CT$233)</f>
        <v>0</v>
      </c>
      <c r="CU234" s="34" t="n">
        <f aca="false">IF((94-N(V_L2_Mes)+1)&lt;1,0,IF((94-N(V_L2_Mes)+1)=1,N(V_L2_Monto),CT$234)-CU$233)</f>
        <v>0</v>
      </c>
      <c r="CV234" s="34" t="n">
        <f aca="false">IF((95-N(V_L2_Mes)+1)&lt;1,0,IF((95-N(V_L2_Mes)+1)=1,N(V_L2_Monto),CU$234)-CV$233)</f>
        <v>0</v>
      </c>
      <c r="CW234" s="34" t="n">
        <f aca="false">IF((96-N(V_L2_Mes)+1)&lt;1,0,IF((96-N(V_L2_Mes)+1)=1,N(V_L2_Monto),CV$234)-CW$233)</f>
        <v>0</v>
      </c>
      <c r="CX234" s="34" t="n">
        <f aca="false">IF((97-N(V_L2_Mes)+1)&lt;1,0,IF((97-N(V_L2_Mes)+1)=1,N(V_L2_Monto),CW$234)-CX$233)</f>
        <v>0</v>
      </c>
      <c r="CY234" s="34" t="n">
        <f aca="false">IF((98-N(V_L2_Mes)+1)&lt;1,0,IF((98-N(V_L2_Mes)+1)=1,N(V_L2_Monto),CX$234)-CY$233)</f>
        <v>0</v>
      </c>
      <c r="CZ234" s="34" t="n">
        <f aca="false">IF((99-N(V_L2_Mes)+1)&lt;1,0,IF((99-N(V_L2_Mes)+1)=1,N(V_L2_Monto),CY$234)-CZ$233)</f>
        <v>0</v>
      </c>
      <c r="DA234" s="34" t="n">
        <f aca="false">IF((100-N(V_L2_Mes)+1)&lt;1,0,IF((100-N(V_L2_Mes)+1)=1,N(V_L2_Monto),CZ$234)-DA$233)</f>
        <v>0</v>
      </c>
      <c r="DB234" s="34" t="n">
        <f aca="false">IF((101-N(V_L2_Mes)+1)&lt;1,0,IF((101-N(V_L2_Mes)+1)=1,N(V_L2_Monto),DA$234)-DB$233)</f>
        <v>0</v>
      </c>
      <c r="DC234" s="34" t="n">
        <f aca="false">IF((102-N(V_L2_Mes)+1)&lt;1,0,IF((102-N(V_L2_Mes)+1)=1,N(V_L2_Monto),DB$234)-DC$233)</f>
        <v>0</v>
      </c>
      <c r="DD234" s="34" t="n">
        <f aca="false">IF((103-N(V_L2_Mes)+1)&lt;1,0,IF((103-N(V_L2_Mes)+1)=1,N(V_L2_Monto),DC$234)-DD$233)</f>
        <v>0</v>
      </c>
      <c r="DE234" s="34" t="n">
        <f aca="false">IF((104-N(V_L2_Mes)+1)&lt;1,0,IF((104-N(V_L2_Mes)+1)=1,N(V_L2_Monto),DD$234)-DE$233)</f>
        <v>0</v>
      </c>
      <c r="DF234" s="34" t="n">
        <f aca="false">IF((105-N(V_L2_Mes)+1)&lt;1,0,IF((105-N(V_L2_Mes)+1)=1,N(V_L2_Monto),DE$234)-DF$233)</f>
        <v>0</v>
      </c>
      <c r="DG234" s="34" t="n">
        <f aca="false">IF((106-N(V_L2_Mes)+1)&lt;1,0,IF((106-N(V_L2_Mes)+1)=1,N(V_L2_Monto),DF$234)-DG$233)</f>
        <v>0</v>
      </c>
      <c r="DH234" s="34" t="n">
        <f aca="false">IF((107-N(V_L2_Mes)+1)&lt;1,0,IF((107-N(V_L2_Mes)+1)=1,N(V_L2_Monto),DG$234)-DH$233)</f>
        <v>0</v>
      </c>
      <c r="DI234" s="34" t="n">
        <f aca="false">IF((108-N(V_L2_Mes)+1)&lt;1,0,IF((108-N(V_L2_Mes)+1)=1,N(V_L2_Monto),DH$234)-DI$233)</f>
        <v>0</v>
      </c>
      <c r="DJ234" s="34" t="n">
        <f aca="false">IF((109-N(V_L2_Mes)+1)&lt;1,0,IF((109-N(V_L2_Mes)+1)=1,N(V_L2_Monto),DI$234)-DJ$233)</f>
        <v>0</v>
      </c>
      <c r="DK234" s="34" t="n">
        <f aca="false">IF((110-N(V_L2_Mes)+1)&lt;1,0,IF((110-N(V_L2_Mes)+1)=1,N(V_L2_Monto),DJ$234)-DK$233)</f>
        <v>0</v>
      </c>
      <c r="DL234" s="34" t="n">
        <f aca="false">IF((111-N(V_L2_Mes)+1)&lt;1,0,IF((111-N(V_L2_Mes)+1)=1,N(V_L2_Monto),DK$234)-DL$233)</f>
        <v>0</v>
      </c>
      <c r="DM234" s="34" t="n">
        <f aca="false">IF((112-N(V_L2_Mes)+1)&lt;1,0,IF((112-N(V_L2_Mes)+1)=1,N(V_L2_Monto),DL$234)-DM$233)</f>
        <v>0</v>
      </c>
      <c r="DN234" s="34" t="n">
        <f aca="false">IF((113-N(V_L2_Mes)+1)&lt;1,0,IF((113-N(V_L2_Mes)+1)=1,N(V_L2_Monto),DM$234)-DN$233)</f>
        <v>0</v>
      </c>
      <c r="DO234" s="34" t="n">
        <f aca="false">IF((114-N(V_L2_Mes)+1)&lt;1,0,IF((114-N(V_L2_Mes)+1)=1,N(V_L2_Monto),DN$234)-DO$233)</f>
        <v>0</v>
      </c>
      <c r="DP234" s="34" t="n">
        <f aca="false">IF((115-N(V_L2_Mes)+1)&lt;1,0,IF((115-N(V_L2_Mes)+1)=1,N(V_L2_Monto),DO$234)-DP$233)</f>
        <v>0</v>
      </c>
      <c r="DQ234" s="34" t="n">
        <f aca="false">IF((116-N(V_L2_Mes)+1)&lt;1,0,IF((116-N(V_L2_Mes)+1)=1,N(V_L2_Monto),DP$234)-DQ$233)</f>
        <v>0</v>
      </c>
      <c r="DR234" s="34" t="n">
        <f aca="false">IF((117-N(V_L2_Mes)+1)&lt;1,0,IF((117-N(V_L2_Mes)+1)=1,N(V_L2_Monto),DQ$234)-DR$233)</f>
        <v>0</v>
      </c>
      <c r="DS234" s="34" t="n">
        <f aca="false">IF((118-N(V_L2_Mes)+1)&lt;1,0,IF((118-N(V_L2_Mes)+1)=1,N(V_L2_Monto),DR$234)-DS$233)</f>
        <v>0</v>
      </c>
      <c r="DT234" s="34" t="n">
        <f aca="false">IF((119-N(V_L2_Mes)+1)&lt;1,0,IF((119-N(V_L2_Mes)+1)=1,N(V_L2_Monto),DS$234)-DT$233)</f>
        <v>0</v>
      </c>
      <c r="DU234" s="34" t="n">
        <f aca="false">IF((120-N(V_L2_Mes)+1)&lt;1,0,IF((120-N(V_L2_Mes)+1)=1,N(V_L2_Monto),DT$234)-DU$233)</f>
        <v>0</v>
      </c>
      <c r="DV234" s="34" t="n">
        <f aca="false">IF((121-N(V_L2_Mes)+1)&lt;1,0,IF((121-N(V_L2_Mes)+1)=1,N(V_L2_Monto),DU$234)-DV$233)</f>
        <v>0</v>
      </c>
      <c r="DW234" s="34" t="n">
        <f aca="false">IF((122-N(V_L2_Mes)+1)&lt;1,0,IF((122-N(V_L2_Mes)+1)=1,N(V_L2_Monto),DV$234)-DW$233)</f>
        <v>0</v>
      </c>
      <c r="DX234" s="34" t="n">
        <f aca="false">IF((123-N(V_L2_Mes)+1)&lt;1,0,IF((123-N(V_L2_Mes)+1)=1,N(V_L2_Monto),DW$234)-DX$233)</f>
        <v>0</v>
      </c>
      <c r="DY234" s="34" t="n">
        <f aca="false">IF((124-N(V_L2_Mes)+1)&lt;1,0,IF((124-N(V_L2_Mes)+1)=1,N(V_L2_Monto),DX$234)-DY$233)</f>
        <v>0</v>
      </c>
      <c r="DZ234" s="34" t="n">
        <f aca="false">IF((125-N(V_L2_Mes)+1)&lt;1,0,IF((125-N(V_L2_Mes)+1)=1,N(V_L2_Monto),DY$234)-DZ$233)</f>
        <v>0</v>
      </c>
      <c r="EA234" s="34" t="n">
        <f aca="false">IF((126-N(V_L2_Mes)+1)&lt;1,0,IF((126-N(V_L2_Mes)+1)=1,N(V_L2_Monto),DZ$234)-EA$233)</f>
        <v>0</v>
      </c>
      <c r="EB234" s="34" t="n">
        <f aca="false">IF((127-N(V_L2_Mes)+1)&lt;1,0,IF((127-N(V_L2_Mes)+1)=1,N(V_L2_Monto),EA$234)-EB$233)</f>
        <v>0</v>
      </c>
      <c r="EC234" s="34" t="n">
        <f aca="false">IF((128-N(V_L2_Mes)+1)&lt;1,0,IF((128-N(V_L2_Mes)+1)=1,N(V_L2_Monto),EB$234)-EC$233)</f>
        <v>0</v>
      </c>
      <c r="ED234" s="34" t="n">
        <f aca="false">IF((129-N(V_L2_Mes)+1)&lt;1,0,IF((129-N(V_L2_Mes)+1)=1,N(V_L2_Monto),EC$234)-ED$233)</f>
        <v>0</v>
      </c>
      <c r="EE234" s="34" t="n">
        <f aca="false">IF((130-N(V_L2_Mes)+1)&lt;1,0,IF((130-N(V_L2_Mes)+1)=1,N(V_L2_Monto),ED$234)-EE$233)</f>
        <v>0</v>
      </c>
      <c r="EF234" s="34" t="n">
        <f aca="false">IF((131-N(V_L2_Mes)+1)&lt;1,0,IF((131-N(V_L2_Mes)+1)=1,N(V_L2_Monto),EE$234)-EF$233)</f>
        <v>0</v>
      </c>
      <c r="EG234" s="34" t="n">
        <f aca="false">IF((132-N(V_L2_Mes)+1)&lt;1,0,IF((132-N(V_L2_Mes)+1)=1,N(V_L2_Monto),EF$234)-EG$233)</f>
        <v>0</v>
      </c>
      <c r="EH234" s="34" t="n">
        <f aca="false">IF((133-N(V_L2_Mes)+1)&lt;1,0,IF((133-N(V_L2_Mes)+1)=1,N(V_L2_Monto),EG$234)-EH$233)</f>
        <v>0</v>
      </c>
      <c r="EI234" s="34" t="n">
        <f aca="false">IF((134-N(V_L2_Mes)+1)&lt;1,0,IF((134-N(V_L2_Mes)+1)=1,N(V_L2_Monto),EH$234)-EI$233)</f>
        <v>0</v>
      </c>
      <c r="EJ234" s="34" t="n">
        <f aca="false">IF((135-N(V_L2_Mes)+1)&lt;1,0,IF((135-N(V_L2_Mes)+1)=1,N(V_L2_Monto),EI$234)-EJ$233)</f>
        <v>0</v>
      </c>
      <c r="EK234" s="34" t="n">
        <f aca="false">IF((136-N(V_L2_Mes)+1)&lt;1,0,IF((136-N(V_L2_Mes)+1)=1,N(V_L2_Monto),EJ$234)-EK$233)</f>
        <v>0</v>
      </c>
      <c r="EL234" s="34" t="n">
        <f aca="false">IF((137-N(V_L2_Mes)+1)&lt;1,0,IF((137-N(V_L2_Mes)+1)=1,N(V_L2_Monto),EK$234)-EL$233)</f>
        <v>0</v>
      </c>
      <c r="EM234" s="34" t="n">
        <f aca="false">IF((138-N(V_L2_Mes)+1)&lt;1,0,IF((138-N(V_L2_Mes)+1)=1,N(V_L2_Monto),EL$234)-EM$233)</f>
        <v>0</v>
      </c>
      <c r="EN234" s="34" t="n">
        <f aca="false">IF((139-N(V_L2_Mes)+1)&lt;1,0,IF((139-N(V_L2_Mes)+1)=1,N(V_L2_Monto),EM$234)-EN$233)</f>
        <v>0</v>
      </c>
      <c r="EO234" s="34" t="n">
        <f aca="false">IF((140-N(V_L2_Mes)+1)&lt;1,0,IF((140-N(V_L2_Mes)+1)=1,N(V_L2_Monto),EN$234)-EO$233)</f>
        <v>0</v>
      </c>
      <c r="EP234" s="34" t="n">
        <f aca="false">IF((141-N(V_L2_Mes)+1)&lt;1,0,IF((141-N(V_L2_Mes)+1)=1,N(V_L2_Monto),EO$234)-EP$233)</f>
        <v>0</v>
      </c>
      <c r="EQ234" s="34" t="n">
        <f aca="false">IF((142-N(V_L2_Mes)+1)&lt;1,0,IF((142-N(V_L2_Mes)+1)=1,N(V_L2_Monto),EP$234)-EQ$233)</f>
        <v>0</v>
      </c>
      <c r="ER234" s="34" t="n">
        <f aca="false">IF((143-N(V_L2_Mes)+1)&lt;1,0,IF((143-N(V_L2_Mes)+1)=1,N(V_L2_Monto),EQ$234)-ER$233)</f>
        <v>0</v>
      </c>
      <c r="ES234" s="34" t="n">
        <f aca="false">IF((144-N(V_L2_Mes)+1)&lt;1,0,IF((144-N(V_L2_Mes)+1)=1,N(V_L2_Monto),ER$234)-ES$233)</f>
        <v>0</v>
      </c>
    </row>
    <row r="235" customFormat="false" ht="15" hidden="false" customHeight="false" outlineLevel="0" collapsed="false">
      <c r="A235" s="2" t="s">
        <v>846</v>
      </c>
      <c r="B235" s="6" t="s">
        <v>694</v>
      </c>
      <c r="C235" s="6" t="s">
        <v>250</v>
      </c>
      <c r="E235" s="40" t="n">
        <f aca="false">SUM(F235:ES235)</f>
        <v>0</v>
      </c>
      <c r="F235" s="34" t="n">
        <f aca="false">IF((1-N(V_L3_Mes)+1)=1,N(V_L3_Monto),0)*F$9</f>
        <v>0</v>
      </c>
      <c r="G235" s="34" t="n">
        <f aca="false">IF((2-N(V_L3_Mes)+1)=1,N(V_L3_Monto),0)*G$9</f>
        <v>0</v>
      </c>
      <c r="H235" s="34" t="n">
        <f aca="false">IF((3-N(V_L3_Mes)+1)=1,N(V_L3_Monto),0)*H$9</f>
        <v>0</v>
      </c>
      <c r="I235" s="34" t="n">
        <f aca="false">IF((4-N(V_L3_Mes)+1)=1,N(V_L3_Monto),0)*I$9</f>
        <v>0</v>
      </c>
      <c r="J235" s="34" t="n">
        <f aca="false">IF((5-N(V_L3_Mes)+1)=1,N(V_L3_Monto),0)*J$9</f>
        <v>0</v>
      </c>
      <c r="K235" s="34" t="n">
        <f aca="false">IF((6-N(V_L3_Mes)+1)=1,N(V_L3_Monto),0)*K$9</f>
        <v>0</v>
      </c>
      <c r="L235" s="34" t="n">
        <f aca="false">IF((7-N(V_L3_Mes)+1)=1,N(V_L3_Monto),0)*L$9</f>
        <v>0</v>
      </c>
      <c r="M235" s="34" t="n">
        <f aca="false">IF((8-N(V_L3_Mes)+1)=1,N(V_L3_Monto),0)*M$9</f>
        <v>0</v>
      </c>
      <c r="N235" s="34" t="n">
        <f aca="false">IF((9-N(V_L3_Mes)+1)=1,N(V_L3_Monto),0)*N$9</f>
        <v>0</v>
      </c>
      <c r="O235" s="34" t="n">
        <f aca="false">IF((10-N(V_L3_Mes)+1)=1,N(V_L3_Monto),0)*O$9</f>
        <v>0</v>
      </c>
      <c r="P235" s="34" t="n">
        <f aca="false">IF((11-N(V_L3_Mes)+1)=1,N(V_L3_Monto),0)*P$9</f>
        <v>0</v>
      </c>
      <c r="Q235" s="34" t="n">
        <f aca="false">IF((12-N(V_L3_Mes)+1)=1,N(V_L3_Monto),0)*Q$9</f>
        <v>0</v>
      </c>
      <c r="R235" s="34" t="n">
        <f aca="false">IF((13-N(V_L3_Mes)+1)=1,N(V_L3_Monto),0)*R$9</f>
        <v>0</v>
      </c>
      <c r="S235" s="34" t="n">
        <f aca="false">IF((14-N(V_L3_Mes)+1)=1,N(V_L3_Monto),0)*S$9</f>
        <v>0</v>
      </c>
      <c r="T235" s="34" t="n">
        <f aca="false">IF((15-N(V_L3_Mes)+1)=1,N(V_L3_Monto),0)*T$9</f>
        <v>0</v>
      </c>
      <c r="U235" s="34" t="n">
        <f aca="false">IF((16-N(V_L3_Mes)+1)=1,N(V_L3_Monto),0)*U$9</f>
        <v>0</v>
      </c>
      <c r="V235" s="34" t="n">
        <f aca="false">IF((17-N(V_L3_Mes)+1)=1,N(V_L3_Monto),0)*V$9</f>
        <v>0</v>
      </c>
      <c r="W235" s="34" t="n">
        <f aca="false">IF((18-N(V_L3_Mes)+1)=1,N(V_L3_Monto),0)*W$9</f>
        <v>0</v>
      </c>
      <c r="X235" s="34" t="n">
        <f aca="false">IF((19-N(V_L3_Mes)+1)=1,N(V_L3_Monto),0)*X$9</f>
        <v>0</v>
      </c>
      <c r="Y235" s="34" t="n">
        <f aca="false">IF((20-N(V_L3_Mes)+1)=1,N(V_L3_Monto),0)*Y$9</f>
        <v>0</v>
      </c>
      <c r="Z235" s="34" t="n">
        <f aca="false">IF((21-N(V_L3_Mes)+1)=1,N(V_L3_Monto),0)*Z$9</f>
        <v>0</v>
      </c>
      <c r="AA235" s="34" t="n">
        <f aca="false">IF((22-N(V_L3_Mes)+1)=1,N(V_L3_Monto),0)*AA$9</f>
        <v>0</v>
      </c>
      <c r="AB235" s="34" t="n">
        <f aca="false">IF((23-N(V_L3_Mes)+1)=1,N(V_L3_Monto),0)*AB$9</f>
        <v>0</v>
      </c>
      <c r="AC235" s="34" t="n">
        <f aca="false">IF((24-N(V_L3_Mes)+1)=1,N(V_L3_Monto),0)*AC$9</f>
        <v>0</v>
      </c>
      <c r="AD235" s="34" t="n">
        <f aca="false">IF((25-N(V_L3_Mes)+1)=1,N(V_L3_Monto),0)*AD$9</f>
        <v>0</v>
      </c>
      <c r="AE235" s="34" t="n">
        <f aca="false">IF((26-N(V_L3_Mes)+1)=1,N(V_L3_Monto),0)*AE$9</f>
        <v>0</v>
      </c>
      <c r="AF235" s="34" t="n">
        <f aca="false">IF((27-N(V_L3_Mes)+1)=1,N(V_L3_Monto),0)*AF$9</f>
        <v>0</v>
      </c>
      <c r="AG235" s="34" t="n">
        <f aca="false">IF((28-N(V_L3_Mes)+1)=1,N(V_L3_Monto),0)*AG$9</f>
        <v>0</v>
      </c>
      <c r="AH235" s="34" t="n">
        <f aca="false">IF((29-N(V_L3_Mes)+1)=1,N(V_L3_Monto),0)*AH$9</f>
        <v>0</v>
      </c>
      <c r="AI235" s="34" t="n">
        <f aca="false">IF((30-N(V_L3_Mes)+1)=1,N(V_L3_Monto),0)*AI$9</f>
        <v>0</v>
      </c>
      <c r="AJ235" s="34" t="n">
        <f aca="false">IF((31-N(V_L3_Mes)+1)=1,N(V_L3_Monto),0)*AJ$9</f>
        <v>0</v>
      </c>
      <c r="AK235" s="34" t="n">
        <f aca="false">IF((32-N(V_L3_Mes)+1)=1,N(V_L3_Monto),0)*AK$9</f>
        <v>0</v>
      </c>
      <c r="AL235" s="34" t="n">
        <f aca="false">IF((33-N(V_L3_Mes)+1)=1,N(V_L3_Monto),0)*AL$9</f>
        <v>0</v>
      </c>
      <c r="AM235" s="34" t="n">
        <f aca="false">IF((34-N(V_L3_Mes)+1)=1,N(V_L3_Monto),0)*AM$9</f>
        <v>0</v>
      </c>
      <c r="AN235" s="34" t="n">
        <f aca="false">IF((35-N(V_L3_Mes)+1)=1,N(V_L3_Monto),0)*AN$9</f>
        <v>0</v>
      </c>
      <c r="AO235" s="34" t="n">
        <f aca="false">IF((36-N(V_L3_Mes)+1)=1,N(V_L3_Monto),0)*AO$9</f>
        <v>0</v>
      </c>
      <c r="AP235" s="34" t="n">
        <f aca="false">IF((37-N(V_L3_Mes)+1)=1,N(V_L3_Monto),0)*AP$9</f>
        <v>0</v>
      </c>
      <c r="AQ235" s="34" t="n">
        <f aca="false">IF((38-N(V_L3_Mes)+1)=1,N(V_L3_Monto),0)*AQ$9</f>
        <v>0</v>
      </c>
      <c r="AR235" s="34" t="n">
        <f aca="false">IF((39-N(V_L3_Mes)+1)=1,N(V_L3_Monto),0)*AR$9</f>
        <v>0</v>
      </c>
      <c r="AS235" s="34" t="n">
        <f aca="false">IF((40-N(V_L3_Mes)+1)=1,N(V_L3_Monto),0)*AS$9</f>
        <v>0</v>
      </c>
      <c r="AT235" s="34" t="n">
        <f aca="false">IF((41-N(V_L3_Mes)+1)=1,N(V_L3_Monto),0)*AT$9</f>
        <v>0</v>
      </c>
      <c r="AU235" s="34" t="n">
        <f aca="false">IF((42-N(V_L3_Mes)+1)=1,N(V_L3_Monto),0)*AU$9</f>
        <v>0</v>
      </c>
      <c r="AV235" s="34" t="n">
        <f aca="false">IF((43-N(V_L3_Mes)+1)=1,N(V_L3_Monto),0)*AV$9</f>
        <v>0</v>
      </c>
      <c r="AW235" s="34" t="n">
        <f aca="false">IF((44-N(V_L3_Mes)+1)=1,N(V_L3_Monto),0)*AW$9</f>
        <v>0</v>
      </c>
      <c r="AX235" s="34" t="n">
        <f aca="false">IF((45-N(V_L3_Mes)+1)=1,N(V_L3_Monto),0)*AX$9</f>
        <v>0</v>
      </c>
      <c r="AY235" s="34" t="n">
        <f aca="false">IF((46-N(V_L3_Mes)+1)=1,N(V_L3_Monto),0)*AY$9</f>
        <v>0</v>
      </c>
      <c r="AZ235" s="34" t="n">
        <f aca="false">IF((47-N(V_L3_Mes)+1)=1,N(V_L3_Monto),0)*AZ$9</f>
        <v>0</v>
      </c>
      <c r="BA235" s="34" t="n">
        <f aca="false">IF((48-N(V_L3_Mes)+1)=1,N(V_L3_Monto),0)*BA$9</f>
        <v>0</v>
      </c>
      <c r="BB235" s="34" t="n">
        <f aca="false">IF((49-N(V_L3_Mes)+1)=1,N(V_L3_Monto),0)*BB$9</f>
        <v>0</v>
      </c>
      <c r="BC235" s="34" t="n">
        <f aca="false">IF((50-N(V_L3_Mes)+1)=1,N(V_L3_Monto),0)*BC$9</f>
        <v>0</v>
      </c>
      <c r="BD235" s="34" t="n">
        <f aca="false">IF((51-N(V_L3_Mes)+1)=1,N(V_L3_Monto),0)*BD$9</f>
        <v>0</v>
      </c>
      <c r="BE235" s="34" t="n">
        <f aca="false">IF((52-N(V_L3_Mes)+1)=1,N(V_L3_Monto),0)*BE$9</f>
        <v>0</v>
      </c>
      <c r="BF235" s="34" t="n">
        <f aca="false">IF((53-N(V_L3_Mes)+1)=1,N(V_L3_Monto),0)*BF$9</f>
        <v>0</v>
      </c>
      <c r="BG235" s="34" t="n">
        <f aca="false">IF((54-N(V_L3_Mes)+1)=1,N(V_L3_Monto),0)*BG$9</f>
        <v>0</v>
      </c>
      <c r="BH235" s="34" t="n">
        <f aca="false">IF((55-N(V_L3_Mes)+1)=1,N(V_L3_Monto),0)*BH$9</f>
        <v>0</v>
      </c>
      <c r="BI235" s="34" t="n">
        <f aca="false">IF((56-N(V_L3_Mes)+1)=1,N(V_L3_Monto),0)*BI$9</f>
        <v>0</v>
      </c>
      <c r="BJ235" s="34" t="n">
        <f aca="false">IF((57-N(V_L3_Mes)+1)=1,N(V_L3_Monto),0)*BJ$9</f>
        <v>0</v>
      </c>
      <c r="BK235" s="34" t="n">
        <f aca="false">IF((58-N(V_L3_Mes)+1)=1,N(V_L3_Monto),0)*BK$9</f>
        <v>0</v>
      </c>
      <c r="BL235" s="34" t="n">
        <f aca="false">IF((59-N(V_L3_Mes)+1)=1,N(V_L3_Monto),0)*BL$9</f>
        <v>0</v>
      </c>
      <c r="BM235" s="34" t="n">
        <f aca="false">IF((60-N(V_L3_Mes)+1)=1,N(V_L3_Monto),0)*BM$9</f>
        <v>0</v>
      </c>
      <c r="BN235" s="34" t="n">
        <f aca="false">IF((61-N(V_L3_Mes)+1)=1,N(V_L3_Monto),0)*BN$9</f>
        <v>0</v>
      </c>
      <c r="BO235" s="34" t="n">
        <f aca="false">IF((62-N(V_L3_Mes)+1)=1,N(V_L3_Monto),0)*BO$9</f>
        <v>0</v>
      </c>
      <c r="BP235" s="34" t="n">
        <f aca="false">IF((63-N(V_L3_Mes)+1)=1,N(V_L3_Monto),0)*BP$9</f>
        <v>0</v>
      </c>
      <c r="BQ235" s="34" t="n">
        <f aca="false">IF((64-N(V_L3_Mes)+1)=1,N(V_L3_Monto),0)*BQ$9</f>
        <v>0</v>
      </c>
      <c r="BR235" s="34" t="n">
        <f aca="false">IF((65-N(V_L3_Mes)+1)=1,N(V_L3_Monto),0)*BR$9</f>
        <v>0</v>
      </c>
      <c r="BS235" s="34" t="n">
        <f aca="false">IF((66-N(V_L3_Mes)+1)=1,N(V_L3_Monto),0)*BS$9</f>
        <v>0</v>
      </c>
      <c r="BT235" s="34" t="n">
        <f aca="false">IF((67-N(V_L3_Mes)+1)=1,N(V_L3_Monto),0)*BT$9</f>
        <v>0</v>
      </c>
      <c r="BU235" s="34" t="n">
        <f aca="false">IF((68-N(V_L3_Mes)+1)=1,N(V_L3_Monto),0)*BU$9</f>
        <v>0</v>
      </c>
      <c r="BV235" s="34" t="n">
        <f aca="false">IF((69-N(V_L3_Mes)+1)=1,N(V_L3_Monto),0)*BV$9</f>
        <v>0</v>
      </c>
      <c r="BW235" s="34" t="n">
        <f aca="false">IF((70-N(V_L3_Mes)+1)=1,N(V_L3_Monto),0)*BW$9</f>
        <v>0</v>
      </c>
      <c r="BX235" s="34" t="n">
        <f aca="false">IF((71-N(V_L3_Mes)+1)=1,N(V_L3_Monto),0)*BX$9</f>
        <v>0</v>
      </c>
      <c r="BY235" s="34" t="n">
        <f aca="false">IF((72-N(V_L3_Mes)+1)=1,N(V_L3_Monto),0)*BY$9</f>
        <v>0</v>
      </c>
      <c r="BZ235" s="34" t="n">
        <f aca="false">IF((73-N(V_L3_Mes)+1)=1,N(V_L3_Monto),0)*BZ$9</f>
        <v>0</v>
      </c>
      <c r="CA235" s="34" t="n">
        <f aca="false">IF((74-N(V_L3_Mes)+1)=1,N(V_L3_Monto),0)*CA$9</f>
        <v>0</v>
      </c>
      <c r="CB235" s="34" t="n">
        <f aca="false">IF((75-N(V_L3_Mes)+1)=1,N(V_L3_Monto),0)*CB$9</f>
        <v>0</v>
      </c>
      <c r="CC235" s="34" t="n">
        <f aca="false">IF((76-N(V_L3_Mes)+1)=1,N(V_L3_Monto),0)*CC$9</f>
        <v>0</v>
      </c>
      <c r="CD235" s="34" t="n">
        <f aca="false">IF((77-N(V_L3_Mes)+1)=1,N(V_L3_Monto),0)*CD$9</f>
        <v>0</v>
      </c>
      <c r="CE235" s="34" t="n">
        <f aca="false">IF((78-N(V_L3_Mes)+1)=1,N(V_L3_Monto),0)*CE$9</f>
        <v>0</v>
      </c>
      <c r="CF235" s="34" t="n">
        <f aca="false">IF((79-N(V_L3_Mes)+1)=1,N(V_L3_Monto),0)*CF$9</f>
        <v>0</v>
      </c>
      <c r="CG235" s="34" t="n">
        <f aca="false">IF((80-N(V_L3_Mes)+1)=1,N(V_L3_Monto),0)*CG$9</f>
        <v>0</v>
      </c>
      <c r="CH235" s="34" t="n">
        <f aca="false">IF((81-N(V_L3_Mes)+1)=1,N(V_L3_Monto),0)*CH$9</f>
        <v>0</v>
      </c>
      <c r="CI235" s="34" t="n">
        <f aca="false">IF((82-N(V_L3_Mes)+1)=1,N(V_L3_Monto),0)*CI$9</f>
        <v>0</v>
      </c>
      <c r="CJ235" s="34" t="n">
        <f aca="false">IF((83-N(V_L3_Mes)+1)=1,N(V_L3_Monto),0)*CJ$9</f>
        <v>0</v>
      </c>
      <c r="CK235" s="34" t="n">
        <f aca="false">IF((84-N(V_L3_Mes)+1)=1,N(V_L3_Monto),0)*CK$9</f>
        <v>0</v>
      </c>
      <c r="CL235" s="34" t="n">
        <f aca="false">IF((85-N(V_L3_Mes)+1)=1,N(V_L3_Monto),0)*CL$9</f>
        <v>0</v>
      </c>
      <c r="CM235" s="34" t="n">
        <f aca="false">IF((86-N(V_L3_Mes)+1)=1,N(V_L3_Monto),0)*CM$9</f>
        <v>0</v>
      </c>
      <c r="CN235" s="34" t="n">
        <f aca="false">IF((87-N(V_L3_Mes)+1)=1,N(V_L3_Monto),0)*CN$9</f>
        <v>0</v>
      </c>
      <c r="CO235" s="34" t="n">
        <f aca="false">IF((88-N(V_L3_Mes)+1)=1,N(V_L3_Monto),0)*CO$9</f>
        <v>0</v>
      </c>
      <c r="CP235" s="34" t="n">
        <f aca="false">IF((89-N(V_L3_Mes)+1)=1,N(V_L3_Monto),0)*CP$9</f>
        <v>0</v>
      </c>
      <c r="CQ235" s="34" t="n">
        <f aca="false">IF((90-N(V_L3_Mes)+1)=1,N(V_L3_Monto),0)*CQ$9</f>
        <v>0</v>
      </c>
      <c r="CR235" s="34" t="n">
        <f aca="false">IF((91-N(V_L3_Mes)+1)=1,N(V_L3_Monto),0)*CR$9</f>
        <v>0</v>
      </c>
      <c r="CS235" s="34" t="n">
        <f aca="false">IF((92-N(V_L3_Mes)+1)=1,N(V_L3_Monto),0)*CS$9</f>
        <v>0</v>
      </c>
      <c r="CT235" s="34" t="n">
        <f aca="false">IF((93-N(V_L3_Mes)+1)=1,N(V_L3_Monto),0)*CT$9</f>
        <v>0</v>
      </c>
      <c r="CU235" s="34" t="n">
        <f aca="false">IF((94-N(V_L3_Mes)+1)=1,N(V_L3_Monto),0)*CU$9</f>
        <v>0</v>
      </c>
      <c r="CV235" s="34" t="n">
        <f aca="false">IF((95-N(V_L3_Mes)+1)=1,N(V_L3_Monto),0)*CV$9</f>
        <v>0</v>
      </c>
      <c r="CW235" s="34" t="n">
        <f aca="false">IF((96-N(V_L3_Mes)+1)=1,N(V_L3_Monto),0)*CW$9</f>
        <v>0</v>
      </c>
      <c r="CX235" s="34" t="n">
        <f aca="false">IF((97-N(V_L3_Mes)+1)=1,N(V_L3_Monto),0)*CX$9</f>
        <v>0</v>
      </c>
      <c r="CY235" s="34" t="n">
        <f aca="false">IF((98-N(V_L3_Mes)+1)=1,N(V_L3_Monto),0)*CY$9</f>
        <v>0</v>
      </c>
      <c r="CZ235" s="34" t="n">
        <f aca="false">IF((99-N(V_L3_Mes)+1)=1,N(V_L3_Monto),0)*CZ$9</f>
        <v>0</v>
      </c>
      <c r="DA235" s="34" t="n">
        <f aca="false">IF((100-N(V_L3_Mes)+1)=1,N(V_L3_Monto),0)*DA$9</f>
        <v>0</v>
      </c>
      <c r="DB235" s="34" t="n">
        <f aca="false">IF((101-N(V_L3_Mes)+1)=1,N(V_L3_Monto),0)*DB$9</f>
        <v>0</v>
      </c>
      <c r="DC235" s="34" t="n">
        <f aca="false">IF((102-N(V_L3_Mes)+1)=1,N(V_L3_Monto),0)*DC$9</f>
        <v>0</v>
      </c>
      <c r="DD235" s="34" t="n">
        <f aca="false">IF((103-N(V_L3_Mes)+1)=1,N(V_L3_Monto),0)*DD$9</f>
        <v>0</v>
      </c>
      <c r="DE235" s="34" t="n">
        <f aca="false">IF((104-N(V_L3_Mes)+1)=1,N(V_L3_Monto),0)*DE$9</f>
        <v>0</v>
      </c>
      <c r="DF235" s="34" t="n">
        <f aca="false">IF((105-N(V_L3_Mes)+1)=1,N(V_L3_Monto),0)*DF$9</f>
        <v>0</v>
      </c>
      <c r="DG235" s="34" t="n">
        <f aca="false">IF((106-N(V_L3_Mes)+1)=1,N(V_L3_Monto),0)*DG$9</f>
        <v>0</v>
      </c>
      <c r="DH235" s="34" t="n">
        <f aca="false">IF((107-N(V_L3_Mes)+1)=1,N(V_L3_Monto),0)*DH$9</f>
        <v>0</v>
      </c>
      <c r="DI235" s="34" t="n">
        <f aca="false">IF((108-N(V_L3_Mes)+1)=1,N(V_L3_Monto),0)*DI$9</f>
        <v>0</v>
      </c>
      <c r="DJ235" s="34" t="n">
        <f aca="false">IF((109-N(V_L3_Mes)+1)=1,N(V_L3_Monto),0)*DJ$9</f>
        <v>0</v>
      </c>
      <c r="DK235" s="34" t="n">
        <f aca="false">IF((110-N(V_L3_Mes)+1)=1,N(V_L3_Monto),0)*DK$9</f>
        <v>0</v>
      </c>
      <c r="DL235" s="34" t="n">
        <f aca="false">IF((111-N(V_L3_Mes)+1)=1,N(V_L3_Monto),0)*DL$9</f>
        <v>0</v>
      </c>
      <c r="DM235" s="34" t="n">
        <f aca="false">IF((112-N(V_L3_Mes)+1)=1,N(V_L3_Monto),0)*DM$9</f>
        <v>0</v>
      </c>
      <c r="DN235" s="34" t="n">
        <f aca="false">IF((113-N(V_L3_Mes)+1)=1,N(V_L3_Monto),0)*DN$9</f>
        <v>0</v>
      </c>
      <c r="DO235" s="34" t="n">
        <f aca="false">IF((114-N(V_L3_Mes)+1)=1,N(V_L3_Monto),0)*DO$9</f>
        <v>0</v>
      </c>
      <c r="DP235" s="34" t="n">
        <f aca="false">IF((115-N(V_L3_Mes)+1)=1,N(V_L3_Monto),0)*DP$9</f>
        <v>0</v>
      </c>
      <c r="DQ235" s="34" t="n">
        <f aca="false">IF((116-N(V_L3_Mes)+1)=1,N(V_L3_Monto),0)*DQ$9</f>
        <v>0</v>
      </c>
      <c r="DR235" s="34" t="n">
        <f aca="false">IF((117-N(V_L3_Mes)+1)=1,N(V_L3_Monto),0)*DR$9</f>
        <v>0</v>
      </c>
      <c r="DS235" s="34" t="n">
        <f aca="false">IF((118-N(V_L3_Mes)+1)=1,N(V_L3_Monto),0)*DS$9</f>
        <v>0</v>
      </c>
      <c r="DT235" s="34" t="n">
        <f aca="false">IF((119-N(V_L3_Mes)+1)=1,N(V_L3_Monto),0)*DT$9</f>
        <v>0</v>
      </c>
      <c r="DU235" s="34" t="n">
        <f aca="false">IF((120-N(V_L3_Mes)+1)=1,N(V_L3_Monto),0)*DU$9</f>
        <v>0</v>
      </c>
      <c r="DV235" s="34" t="n">
        <f aca="false">IF((121-N(V_L3_Mes)+1)=1,N(V_L3_Monto),0)*DV$9</f>
        <v>0</v>
      </c>
      <c r="DW235" s="34" t="n">
        <f aca="false">IF((122-N(V_L3_Mes)+1)=1,N(V_L3_Monto),0)*DW$9</f>
        <v>0</v>
      </c>
      <c r="DX235" s="34" t="n">
        <f aca="false">IF((123-N(V_L3_Mes)+1)=1,N(V_L3_Monto),0)*DX$9</f>
        <v>0</v>
      </c>
      <c r="DY235" s="34" t="n">
        <f aca="false">IF((124-N(V_L3_Mes)+1)=1,N(V_L3_Monto),0)*DY$9</f>
        <v>0</v>
      </c>
      <c r="DZ235" s="34" t="n">
        <f aca="false">IF((125-N(V_L3_Mes)+1)=1,N(V_L3_Monto),0)*DZ$9</f>
        <v>0</v>
      </c>
      <c r="EA235" s="34" t="n">
        <f aca="false">IF((126-N(V_L3_Mes)+1)=1,N(V_L3_Monto),0)*EA$9</f>
        <v>0</v>
      </c>
      <c r="EB235" s="34" t="n">
        <f aca="false">IF((127-N(V_L3_Mes)+1)=1,N(V_L3_Monto),0)*EB$9</f>
        <v>0</v>
      </c>
      <c r="EC235" s="34" t="n">
        <f aca="false">IF((128-N(V_L3_Mes)+1)=1,N(V_L3_Monto),0)*EC$9</f>
        <v>0</v>
      </c>
      <c r="ED235" s="34" t="n">
        <f aca="false">IF((129-N(V_L3_Mes)+1)=1,N(V_L3_Monto),0)*ED$9</f>
        <v>0</v>
      </c>
      <c r="EE235" s="34" t="n">
        <f aca="false">IF((130-N(V_L3_Mes)+1)=1,N(V_L3_Monto),0)*EE$9</f>
        <v>0</v>
      </c>
      <c r="EF235" s="34" t="n">
        <f aca="false">IF((131-N(V_L3_Mes)+1)=1,N(V_L3_Monto),0)*EF$9</f>
        <v>0</v>
      </c>
      <c r="EG235" s="34" t="n">
        <f aca="false">IF((132-N(V_L3_Mes)+1)=1,N(V_L3_Monto),0)*EG$9</f>
        <v>0</v>
      </c>
      <c r="EH235" s="34" t="n">
        <f aca="false">IF((133-N(V_L3_Mes)+1)=1,N(V_L3_Monto),0)*EH$9</f>
        <v>0</v>
      </c>
      <c r="EI235" s="34" t="n">
        <f aca="false">IF((134-N(V_L3_Mes)+1)=1,N(V_L3_Monto),0)*EI$9</f>
        <v>0</v>
      </c>
      <c r="EJ235" s="34" t="n">
        <f aca="false">IF((135-N(V_L3_Mes)+1)=1,N(V_L3_Monto),0)*EJ$9</f>
        <v>0</v>
      </c>
      <c r="EK235" s="34" t="n">
        <f aca="false">IF((136-N(V_L3_Mes)+1)=1,N(V_L3_Monto),0)*EK$9</f>
        <v>0</v>
      </c>
      <c r="EL235" s="34" t="n">
        <f aca="false">IF((137-N(V_L3_Mes)+1)=1,N(V_L3_Monto),0)*EL$9</f>
        <v>0</v>
      </c>
      <c r="EM235" s="34" t="n">
        <f aca="false">IF((138-N(V_L3_Mes)+1)=1,N(V_L3_Monto),0)*EM$9</f>
        <v>0</v>
      </c>
      <c r="EN235" s="34" t="n">
        <f aca="false">IF((139-N(V_L3_Mes)+1)=1,N(V_L3_Monto),0)*EN$9</f>
        <v>0</v>
      </c>
      <c r="EO235" s="34" t="n">
        <f aca="false">IF((140-N(V_L3_Mes)+1)=1,N(V_L3_Monto),0)*EO$9</f>
        <v>0</v>
      </c>
      <c r="EP235" s="34" t="n">
        <f aca="false">IF((141-N(V_L3_Mes)+1)=1,N(V_L3_Monto),0)*EP$9</f>
        <v>0</v>
      </c>
      <c r="EQ235" s="34" t="n">
        <f aca="false">IF((142-N(V_L3_Mes)+1)=1,N(V_L3_Monto),0)*EQ$9</f>
        <v>0</v>
      </c>
      <c r="ER235" s="34" t="n">
        <f aca="false">IF((143-N(V_L3_Mes)+1)=1,N(V_L3_Monto),0)*ER$9</f>
        <v>0</v>
      </c>
      <c r="ES235" s="34" t="n">
        <f aca="false">IF((144-N(V_L3_Mes)+1)=1,N(V_L3_Monto),0)*ES$9</f>
        <v>0</v>
      </c>
    </row>
    <row r="236" customFormat="false" ht="15" hidden="false" customHeight="false" outlineLevel="0" collapsed="false">
      <c r="A236" s="2" t="s">
        <v>847</v>
      </c>
      <c r="B236" s="6" t="s">
        <v>696</v>
      </c>
      <c r="C236" s="6" t="s">
        <v>250</v>
      </c>
      <c r="E236" s="40" t="n">
        <f aca="false">SUM(F236:ES236)</f>
        <v>0</v>
      </c>
      <c r="F236" s="34" t="n">
        <f aca="false">IF((1-N(V_L3_Mes)+1)&gt;=1,IF((1-N(V_L3_Mes)+1)=1,N(V_L3_Monto),0)*N(V_L3_Tasa)/12,0)*F$9</f>
        <v>0</v>
      </c>
      <c r="G236" s="34" t="n">
        <f aca="false">IF((2-N(V_L3_Mes)+1)&gt;=1,IF((2-N(V_L3_Mes)+1)=1,N(V_L3_Monto),F$238)*N(V_L3_Tasa)/12,0)*G$9</f>
        <v>0</v>
      </c>
      <c r="H236" s="34" t="n">
        <f aca="false">IF((3-N(V_L3_Mes)+1)&gt;=1,IF((3-N(V_L3_Mes)+1)=1,N(V_L3_Monto),G$238)*N(V_L3_Tasa)/12,0)*H$9</f>
        <v>0</v>
      </c>
      <c r="I236" s="34" t="n">
        <f aca="false">IF((4-N(V_L3_Mes)+1)&gt;=1,IF((4-N(V_L3_Mes)+1)=1,N(V_L3_Monto),H$238)*N(V_L3_Tasa)/12,0)*I$9</f>
        <v>0</v>
      </c>
      <c r="J236" s="34" t="n">
        <f aca="false">IF((5-N(V_L3_Mes)+1)&gt;=1,IF((5-N(V_L3_Mes)+1)=1,N(V_L3_Monto),I$238)*N(V_L3_Tasa)/12,0)*J$9</f>
        <v>0</v>
      </c>
      <c r="K236" s="34" t="n">
        <f aca="false">IF((6-N(V_L3_Mes)+1)&gt;=1,IF((6-N(V_L3_Mes)+1)=1,N(V_L3_Monto),J$238)*N(V_L3_Tasa)/12,0)*K$9</f>
        <v>0</v>
      </c>
      <c r="L236" s="34" t="n">
        <f aca="false">IF((7-N(V_L3_Mes)+1)&gt;=1,IF((7-N(V_L3_Mes)+1)=1,N(V_L3_Monto),K$238)*N(V_L3_Tasa)/12,0)*L$9</f>
        <v>0</v>
      </c>
      <c r="M236" s="34" t="n">
        <f aca="false">IF((8-N(V_L3_Mes)+1)&gt;=1,IF((8-N(V_L3_Mes)+1)=1,N(V_L3_Monto),L$238)*N(V_L3_Tasa)/12,0)*M$9</f>
        <v>0</v>
      </c>
      <c r="N236" s="34" t="n">
        <f aca="false">IF((9-N(V_L3_Mes)+1)&gt;=1,IF((9-N(V_L3_Mes)+1)=1,N(V_L3_Monto),M$238)*N(V_L3_Tasa)/12,0)*N$9</f>
        <v>0</v>
      </c>
      <c r="O236" s="34" t="n">
        <f aca="false">IF((10-N(V_L3_Mes)+1)&gt;=1,IF((10-N(V_L3_Mes)+1)=1,N(V_L3_Monto),N$238)*N(V_L3_Tasa)/12,0)*O$9</f>
        <v>0</v>
      </c>
      <c r="P236" s="34" t="n">
        <f aca="false">IF((11-N(V_L3_Mes)+1)&gt;=1,IF((11-N(V_L3_Mes)+1)=1,N(V_L3_Monto),O$238)*N(V_L3_Tasa)/12,0)*P$9</f>
        <v>0</v>
      </c>
      <c r="Q236" s="34" t="n">
        <f aca="false">IF((12-N(V_L3_Mes)+1)&gt;=1,IF((12-N(V_L3_Mes)+1)=1,N(V_L3_Monto),P$238)*N(V_L3_Tasa)/12,0)*Q$9</f>
        <v>0</v>
      </c>
      <c r="R236" s="34" t="n">
        <f aca="false">IF((13-N(V_L3_Mes)+1)&gt;=1,IF((13-N(V_L3_Mes)+1)=1,N(V_L3_Monto),Q$238)*N(V_L3_Tasa)/12,0)*R$9</f>
        <v>0</v>
      </c>
      <c r="S236" s="34" t="n">
        <f aca="false">IF((14-N(V_L3_Mes)+1)&gt;=1,IF((14-N(V_L3_Mes)+1)=1,N(V_L3_Monto),R$238)*N(V_L3_Tasa)/12,0)*S$9</f>
        <v>0</v>
      </c>
      <c r="T236" s="34" t="n">
        <f aca="false">IF((15-N(V_L3_Mes)+1)&gt;=1,IF((15-N(V_L3_Mes)+1)=1,N(V_L3_Monto),S$238)*N(V_L3_Tasa)/12,0)*T$9</f>
        <v>0</v>
      </c>
      <c r="U236" s="34" t="n">
        <f aca="false">IF((16-N(V_L3_Mes)+1)&gt;=1,IF((16-N(V_L3_Mes)+1)=1,N(V_L3_Monto),T$238)*N(V_L3_Tasa)/12,0)*U$9</f>
        <v>0</v>
      </c>
      <c r="V236" s="34" t="n">
        <f aca="false">IF((17-N(V_L3_Mes)+1)&gt;=1,IF((17-N(V_L3_Mes)+1)=1,N(V_L3_Monto),U$238)*N(V_L3_Tasa)/12,0)*V$9</f>
        <v>0</v>
      </c>
      <c r="W236" s="34" t="n">
        <f aca="false">IF((18-N(V_L3_Mes)+1)&gt;=1,IF((18-N(V_L3_Mes)+1)=1,N(V_L3_Monto),V$238)*N(V_L3_Tasa)/12,0)*W$9</f>
        <v>0</v>
      </c>
      <c r="X236" s="34" t="n">
        <f aca="false">IF((19-N(V_L3_Mes)+1)&gt;=1,IF((19-N(V_L3_Mes)+1)=1,N(V_L3_Monto),W$238)*N(V_L3_Tasa)/12,0)*X$9</f>
        <v>0</v>
      </c>
      <c r="Y236" s="34" t="n">
        <f aca="false">IF((20-N(V_L3_Mes)+1)&gt;=1,IF((20-N(V_L3_Mes)+1)=1,N(V_L3_Monto),X$238)*N(V_L3_Tasa)/12,0)*Y$9</f>
        <v>0</v>
      </c>
      <c r="Z236" s="34" t="n">
        <f aca="false">IF((21-N(V_L3_Mes)+1)&gt;=1,IF((21-N(V_L3_Mes)+1)=1,N(V_L3_Monto),Y$238)*N(V_L3_Tasa)/12,0)*Z$9</f>
        <v>0</v>
      </c>
      <c r="AA236" s="34" t="n">
        <f aca="false">IF((22-N(V_L3_Mes)+1)&gt;=1,IF((22-N(V_L3_Mes)+1)=1,N(V_L3_Monto),Z$238)*N(V_L3_Tasa)/12,0)*AA$9</f>
        <v>0</v>
      </c>
      <c r="AB236" s="34" t="n">
        <f aca="false">IF((23-N(V_L3_Mes)+1)&gt;=1,IF((23-N(V_L3_Mes)+1)=1,N(V_L3_Monto),AA$238)*N(V_L3_Tasa)/12,0)*AB$9</f>
        <v>0</v>
      </c>
      <c r="AC236" s="34" t="n">
        <f aca="false">IF((24-N(V_L3_Mes)+1)&gt;=1,IF((24-N(V_L3_Mes)+1)=1,N(V_L3_Monto),AB$238)*N(V_L3_Tasa)/12,0)*AC$9</f>
        <v>0</v>
      </c>
      <c r="AD236" s="34" t="n">
        <f aca="false">IF((25-N(V_L3_Mes)+1)&gt;=1,IF((25-N(V_L3_Mes)+1)=1,N(V_L3_Monto),AC$238)*N(V_L3_Tasa)/12,0)*AD$9</f>
        <v>0</v>
      </c>
      <c r="AE236" s="34" t="n">
        <f aca="false">IF((26-N(V_L3_Mes)+1)&gt;=1,IF((26-N(V_L3_Mes)+1)=1,N(V_L3_Monto),AD$238)*N(V_L3_Tasa)/12,0)*AE$9</f>
        <v>0</v>
      </c>
      <c r="AF236" s="34" t="n">
        <f aca="false">IF((27-N(V_L3_Mes)+1)&gt;=1,IF((27-N(V_L3_Mes)+1)=1,N(V_L3_Monto),AE$238)*N(V_L3_Tasa)/12,0)*AF$9</f>
        <v>0</v>
      </c>
      <c r="AG236" s="34" t="n">
        <f aca="false">IF((28-N(V_L3_Mes)+1)&gt;=1,IF((28-N(V_L3_Mes)+1)=1,N(V_L3_Monto),AF$238)*N(V_L3_Tasa)/12,0)*AG$9</f>
        <v>0</v>
      </c>
      <c r="AH236" s="34" t="n">
        <f aca="false">IF((29-N(V_L3_Mes)+1)&gt;=1,IF((29-N(V_L3_Mes)+1)=1,N(V_L3_Monto),AG$238)*N(V_L3_Tasa)/12,0)*AH$9</f>
        <v>0</v>
      </c>
      <c r="AI236" s="34" t="n">
        <f aca="false">IF((30-N(V_L3_Mes)+1)&gt;=1,IF((30-N(V_L3_Mes)+1)=1,N(V_L3_Monto),AH$238)*N(V_L3_Tasa)/12,0)*AI$9</f>
        <v>0</v>
      </c>
      <c r="AJ236" s="34" t="n">
        <f aca="false">IF((31-N(V_L3_Mes)+1)&gt;=1,IF((31-N(V_L3_Mes)+1)=1,N(V_L3_Monto),AI$238)*N(V_L3_Tasa)/12,0)*AJ$9</f>
        <v>0</v>
      </c>
      <c r="AK236" s="34" t="n">
        <f aca="false">IF((32-N(V_L3_Mes)+1)&gt;=1,IF((32-N(V_L3_Mes)+1)=1,N(V_L3_Monto),AJ$238)*N(V_L3_Tasa)/12,0)*AK$9</f>
        <v>0</v>
      </c>
      <c r="AL236" s="34" t="n">
        <f aca="false">IF((33-N(V_L3_Mes)+1)&gt;=1,IF((33-N(V_L3_Mes)+1)=1,N(V_L3_Monto),AK$238)*N(V_L3_Tasa)/12,0)*AL$9</f>
        <v>0</v>
      </c>
      <c r="AM236" s="34" t="n">
        <f aca="false">IF((34-N(V_L3_Mes)+1)&gt;=1,IF((34-N(V_L3_Mes)+1)=1,N(V_L3_Monto),AL$238)*N(V_L3_Tasa)/12,0)*AM$9</f>
        <v>0</v>
      </c>
      <c r="AN236" s="34" t="n">
        <f aca="false">IF((35-N(V_L3_Mes)+1)&gt;=1,IF((35-N(V_L3_Mes)+1)=1,N(V_L3_Monto),AM$238)*N(V_L3_Tasa)/12,0)*AN$9</f>
        <v>0</v>
      </c>
      <c r="AO236" s="34" t="n">
        <f aca="false">IF((36-N(V_L3_Mes)+1)&gt;=1,IF((36-N(V_L3_Mes)+1)=1,N(V_L3_Monto),AN$238)*N(V_L3_Tasa)/12,0)*AO$9</f>
        <v>0</v>
      </c>
      <c r="AP236" s="34" t="n">
        <f aca="false">IF((37-N(V_L3_Mes)+1)&gt;=1,IF((37-N(V_L3_Mes)+1)=1,N(V_L3_Monto),AO$238)*N(V_L3_Tasa)/12,0)*AP$9</f>
        <v>0</v>
      </c>
      <c r="AQ236" s="34" t="n">
        <f aca="false">IF((38-N(V_L3_Mes)+1)&gt;=1,IF((38-N(V_L3_Mes)+1)=1,N(V_L3_Monto),AP$238)*N(V_L3_Tasa)/12,0)*AQ$9</f>
        <v>0</v>
      </c>
      <c r="AR236" s="34" t="n">
        <f aca="false">IF((39-N(V_L3_Mes)+1)&gt;=1,IF((39-N(V_L3_Mes)+1)=1,N(V_L3_Monto),AQ$238)*N(V_L3_Tasa)/12,0)*AR$9</f>
        <v>0</v>
      </c>
      <c r="AS236" s="34" t="n">
        <f aca="false">IF((40-N(V_L3_Mes)+1)&gt;=1,IF((40-N(V_L3_Mes)+1)=1,N(V_L3_Monto),AR$238)*N(V_L3_Tasa)/12,0)*AS$9</f>
        <v>0</v>
      </c>
      <c r="AT236" s="34" t="n">
        <f aca="false">IF((41-N(V_L3_Mes)+1)&gt;=1,IF((41-N(V_L3_Mes)+1)=1,N(V_L3_Monto),AS$238)*N(V_L3_Tasa)/12,0)*AT$9</f>
        <v>0</v>
      </c>
      <c r="AU236" s="34" t="n">
        <f aca="false">IF((42-N(V_L3_Mes)+1)&gt;=1,IF((42-N(V_L3_Mes)+1)=1,N(V_L3_Monto),AT$238)*N(V_L3_Tasa)/12,0)*AU$9</f>
        <v>0</v>
      </c>
      <c r="AV236" s="34" t="n">
        <f aca="false">IF((43-N(V_L3_Mes)+1)&gt;=1,IF((43-N(V_L3_Mes)+1)=1,N(V_L3_Monto),AU$238)*N(V_L3_Tasa)/12,0)*AV$9</f>
        <v>0</v>
      </c>
      <c r="AW236" s="34" t="n">
        <f aca="false">IF((44-N(V_L3_Mes)+1)&gt;=1,IF((44-N(V_L3_Mes)+1)=1,N(V_L3_Monto),AV$238)*N(V_L3_Tasa)/12,0)*AW$9</f>
        <v>0</v>
      </c>
      <c r="AX236" s="34" t="n">
        <f aca="false">IF((45-N(V_L3_Mes)+1)&gt;=1,IF((45-N(V_L3_Mes)+1)=1,N(V_L3_Monto),AW$238)*N(V_L3_Tasa)/12,0)*AX$9</f>
        <v>0</v>
      </c>
      <c r="AY236" s="34" t="n">
        <f aca="false">IF((46-N(V_L3_Mes)+1)&gt;=1,IF((46-N(V_L3_Mes)+1)=1,N(V_L3_Monto),AX$238)*N(V_L3_Tasa)/12,0)*AY$9</f>
        <v>0</v>
      </c>
      <c r="AZ236" s="34" t="n">
        <f aca="false">IF((47-N(V_L3_Mes)+1)&gt;=1,IF((47-N(V_L3_Mes)+1)=1,N(V_L3_Monto),AY$238)*N(V_L3_Tasa)/12,0)*AZ$9</f>
        <v>0</v>
      </c>
      <c r="BA236" s="34" t="n">
        <f aca="false">IF((48-N(V_L3_Mes)+1)&gt;=1,IF((48-N(V_L3_Mes)+1)=1,N(V_L3_Monto),AZ$238)*N(V_L3_Tasa)/12,0)*BA$9</f>
        <v>0</v>
      </c>
      <c r="BB236" s="34" t="n">
        <f aca="false">IF((49-N(V_L3_Mes)+1)&gt;=1,IF((49-N(V_L3_Mes)+1)=1,N(V_L3_Monto),BA$238)*N(V_L3_Tasa)/12,0)*BB$9</f>
        <v>0</v>
      </c>
      <c r="BC236" s="34" t="n">
        <f aca="false">IF((50-N(V_L3_Mes)+1)&gt;=1,IF((50-N(V_L3_Mes)+1)=1,N(V_L3_Monto),BB$238)*N(V_L3_Tasa)/12,0)*BC$9</f>
        <v>0</v>
      </c>
      <c r="BD236" s="34" t="n">
        <f aca="false">IF((51-N(V_L3_Mes)+1)&gt;=1,IF((51-N(V_L3_Mes)+1)=1,N(V_L3_Monto),BC$238)*N(V_L3_Tasa)/12,0)*BD$9</f>
        <v>0</v>
      </c>
      <c r="BE236" s="34" t="n">
        <f aca="false">IF((52-N(V_L3_Mes)+1)&gt;=1,IF((52-N(V_L3_Mes)+1)=1,N(V_L3_Monto),BD$238)*N(V_L3_Tasa)/12,0)*BE$9</f>
        <v>0</v>
      </c>
      <c r="BF236" s="34" t="n">
        <f aca="false">IF((53-N(V_L3_Mes)+1)&gt;=1,IF((53-N(V_L3_Mes)+1)=1,N(V_L3_Monto),BE$238)*N(V_L3_Tasa)/12,0)*BF$9</f>
        <v>0</v>
      </c>
      <c r="BG236" s="34" t="n">
        <f aca="false">IF((54-N(V_L3_Mes)+1)&gt;=1,IF((54-N(V_L3_Mes)+1)=1,N(V_L3_Monto),BF$238)*N(V_L3_Tasa)/12,0)*BG$9</f>
        <v>0</v>
      </c>
      <c r="BH236" s="34" t="n">
        <f aca="false">IF((55-N(V_L3_Mes)+1)&gt;=1,IF((55-N(V_L3_Mes)+1)=1,N(V_L3_Monto),BG$238)*N(V_L3_Tasa)/12,0)*BH$9</f>
        <v>0</v>
      </c>
      <c r="BI236" s="34" t="n">
        <f aca="false">IF((56-N(V_L3_Mes)+1)&gt;=1,IF((56-N(V_L3_Mes)+1)=1,N(V_L3_Monto),BH$238)*N(V_L3_Tasa)/12,0)*BI$9</f>
        <v>0</v>
      </c>
      <c r="BJ236" s="34" t="n">
        <f aca="false">IF((57-N(V_L3_Mes)+1)&gt;=1,IF((57-N(V_L3_Mes)+1)=1,N(V_L3_Monto),BI$238)*N(V_L3_Tasa)/12,0)*BJ$9</f>
        <v>0</v>
      </c>
      <c r="BK236" s="34" t="n">
        <f aca="false">IF((58-N(V_L3_Mes)+1)&gt;=1,IF((58-N(V_L3_Mes)+1)=1,N(V_L3_Monto),BJ$238)*N(V_L3_Tasa)/12,0)*BK$9</f>
        <v>0</v>
      </c>
      <c r="BL236" s="34" t="n">
        <f aca="false">IF((59-N(V_L3_Mes)+1)&gt;=1,IF((59-N(V_L3_Mes)+1)=1,N(V_L3_Monto),BK$238)*N(V_L3_Tasa)/12,0)*BL$9</f>
        <v>0</v>
      </c>
      <c r="BM236" s="34" t="n">
        <f aca="false">IF((60-N(V_L3_Mes)+1)&gt;=1,IF((60-N(V_L3_Mes)+1)=1,N(V_L3_Monto),BL$238)*N(V_L3_Tasa)/12,0)*BM$9</f>
        <v>0</v>
      </c>
      <c r="BN236" s="34" t="n">
        <f aca="false">IF((61-N(V_L3_Mes)+1)&gt;=1,IF((61-N(V_L3_Mes)+1)=1,N(V_L3_Monto),BM$238)*N(V_L3_Tasa)/12,0)*BN$9</f>
        <v>0</v>
      </c>
      <c r="BO236" s="34" t="n">
        <f aca="false">IF((62-N(V_L3_Mes)+1)&gt;=1,IF((62-N(V_L3_Mes)+1)=1,N(V_L3_Monto),BN$238)*N(V_L3_Tasa)/12,0)*BO$9</f>
        <v>0</v>
      </c>
      <c r="BP236" s="34" t="n">
        <f aca="false">IF((63-N(V_L3_Mes)+1)&gt;=1,IF((63-N(V_L3_Mes)+1)=1,N(V_L3_Monto),BO$238)*N(V_L3_Tasa)/12,0)*BP$9</f>
        <v>0</v>
      </c>
      <c r="BQ236" s="34" t="n">
        <f aca="false">IF((64-N(V_L3_Mes)+1)&gt;=1,IF((64-N(V_L3_Mes)+1)=1,N(V_L3_Monto),BP$238)*N(V_L3_Tasa)/12,0)*BQ$9</f>
        <v>0</v>
      </c>
      <c r="BR236" s="34" t="n">
        <f aca="false">IF((65-N(V_L3_Mes)+1)&gt;=1,IF((65-N(V_L3_Mes)+1)=1,N(V_L3_Monto),BQ$238)*N(V_L3_Tasa)/12,0)*BR$9</f>
        <v>0</v>
      </c>
      <c r="BS236" s="34" t="n">
        <f aca="false">IF((66-N(V_L3_Mes)+1)&gt;=1,IF((66-N(V_L3_Mes)+1)=1,N(V_L3_Monto),BR$238)*N(V_L3_Tasa)/12,0)*BS$9</f>
        <v>0</v>
      </c>
      <c r="BT236" s="34" t="n">
        <f aca="false">IF((67-N(V_L3_Mes)+1)&gt;=1,IF((67-N(V_L3_Mes)+1)=1,N(V_L3_Monto),BS$238)*N(V_L3_Tasa)/12,0)*BT$9</f>
        <v>0</v>
      </c>
      <c r="BU236" s="34" t="n">
        <f aca="false">IF((68-N(V_L3_Mes)+1)&gt;=1,IF((68-N(V_L3_Mes)+1)=1,N(V_L3_Monto),BT$238)*N(V_L3_Tasa)/12,0)*BU$9</f>
        <v>0</v>
      </c>
      <c r="BV236" s="34" t="n">
        <f aca="false">IF((69-N(V_L3_Mes)+1)&gt;=1,IF((69-N(V_L3_Mes)+1)=1,N(V_L3_Monto),BU$238)*N(V_L3_Tasa)/12,0)*BV$9</f>
        <v>0</v>
      </c>
      <c r="BW236" s="34" t="n">
        <f aca="false">IF((70-N(V_L3_Mes)+1)&gt;=1,IF((70-N(V_L3_Mes)+1)=1,N(V_L3_Monto),BV$238)*N(V_L3_Tasa)/12,0)*BW$9</f>
        <v>0</v>
      </c>
      <c r="BX236" s="34" t="n">
        <f aca="false">IF((71-N(V_L3_Mes)+1)&gt;=1,IF((71-N(V_L3_Mes)+1)=1,N(V_L3_Monto),BW$238)*N(V_L3_Tasa)/12,0)*BX$9</f>
        <v>0</v>
      </c>
      <c r="BY236" s="34" t="n">
        <f aca="false">IF((72-N(V_L3_Mes)+1)&gt;=1,IF((72-N(V_L3_Mes)+1)=1,N(V_L3_Monto),BX$238)*N(V_L3_Tasa)/12,0)*BY$9</f>
        <v>0</v>
      </c>
      <c r="BZ236" s="34" t="n">
        <f aca="false">IF((73-N(V_L3_Mes)+1)&gt;=1,IF((73-N(V_L3_Mes)+1)=1,N(V_L3_Monto),BY$238)*N(V_L3_Tasa)/12,0)*BZ$9</f>
        <v>0</v>
      </c>
      <c r="CA236" s="34" t="n">
        <f aca="false">IF((74-N(V_L3_Mes)+1)&gt;=1,IF((74-N(V_L3_Mes)+1)=1,N(V_L3_Monto),BZ$238)*N(V_L3_Tasa)/12,0)*CA$9</f>
        <v>0</v>
      </c>
      <c r="CB236" s="34" t="n">
        <f aca="false">IF((75-N(V_L3_Mes)+1)&gt;=1,IF((75-N(V_L3_Mes)+1)=1,N(V_L3_Monto),CA$238)*N(V_L3_Tasa)/12,0)*CB$9</f>
        <v>0</v>
      </c>
      <c r="CC236" s="34" t="n">
        <f aca="false">IF((76-N(V_L3_Mes)+1)&gt;=1,IF((76-N(V_L3_Mes)+1)=1,N(V_L3_Monto),CB$238)*N(V_L3_Tasa)/12,0)*CC$9</f>
        <v>0</v>
      </c>
      <c r="CD236" s="34" t="n">
        <f aca="false">IF((77-N(V_L3_Mes)+1)&gt;=1,IF((77-N(V_L3_Mes)+1)=1,N(V_L3_Monto),CC$238)*N(V_L3_Tasa)/12,0)*CD$9</f>
        <v>0</v>
      </c>
      <c r="CE236" s="34" t="n">
        <f aca="false">IF((78-N(V_L3_Mes)+1)&gt;=1,IF((78-N(V_L3_Mes)+1)=1,N(V_L3_Monto),CD$238)*N(V_L3_Tasa)/12,0)*CE$9</f>
        <v>0</v>
      </c>
      <c r="CF236" s="34" t="n">
        <f aca="false">IF((79-N(V_L3_Mes)+1)&gt;=1,IF((79-N(V_L3_Mes)+1)=1,N(V_L3_Monto),CE$238)*N(V_L3_Tasa)/12,0)*CF$9</f>
        <v>0</v>
      </c>
      <c r="CG236" s="34" t="n">
        <f aca="false">IF((80-N(V_L3_Mes)+1)&gt;=1,IF((80-N(V_L3_Mes)+1)=1,N(V_L3_Monto),CF$238)*N(V_L3_Tasa)/12,0)*CG$9</f>
        <v>0</v>
      </c>
      <c r="CH236" s="34" t="n">
        <f aca="false">IF((81-N(V_L3_Mes)+1)&gt;=1,IF((81-N(V_L3_Mes)+1)=1,N(V_L3_Monto),CG$238)*N(V_L3_Tasa)/12,0)*CH$9</f>
        <v>0</v>
      </c>
      <c r="CI236" s="34" t="n">
        <f aca="false">IF((82-N(V_L3_Mes)+1)&gt;=1,IF((82-N(V_L3_Mes)+1)=1,N(V_L3_Monto),CH$238)*N(V_L3_Tasa)/12,0)*CI$9</f>
        <v>0</v>
      </c>
      <c r="CJ236" s="34" t="n">
        <f aca="false">IF((83-N(V_L3_Mes)+1)&gt;=1,IF((83-N(V_L3_Mes)+1)=1,N(V_L3_Monto),CI$238)*N(V_L3_Tasa)/12,0)*CJ$9</f>
        <v>0</v>
      </c>
      <c r="CK236" s="34" t="n">
        <f aca="false">IF((84-N(V_L3_Mes)+1)&gt;=1,IF((84-N(V_L3_Mes)+1)=1,N(V_L3_Monto),CJ$238)*N(V_L3_Tasa)/12,0)*CK$9</f>
        <v>0</v>
      </c>
      <c r="CL236" s="34" t="n">
        <f aca="false">IF((85-N(V_L3_Mes)+1)&gt;=1,IF((85-N(V_L3_Mes)+1)=1,N(V_L3_Monto),CK$238)*N(V_L3_Tasa)/12,0)*CL$9</f>
        <v>0</v>
      </c>
      <c r="CM236" s="34" t="n">
        <f aca="false">IF((86-N(V_L3_Mes)+1)&gt;=1,IF((86-N(V_L3_Mes)+1)=1,N(V_L3_Monto),CL$238)*N(V_L3_Tasa)/12,0)*CM$9</f>
        <v>0</v>
      </c>
      <c r="CN236" s="34" t="n">
        <f aca="false">IF((87-N(V_L3_Mes)+1)&gt;=1,IF((87-N(V_L3_Mes)+1)=1,N(V_L3_Monto),CM$238)*N(V_L3_Tasa)/12,0)*CN$9</f>
        <v>0</v>
      </c>
      <c r="CO236" s="34" t="n">
        <f aca="false">IF((88-N(V_L3_Mes)+1)&gt;=1,IF((88-N(V_L3_Mes)+1)=1,N(V_L3_Monto),CN$238)*N(V_L3_Tasa)/12,0)*CO$9</f>
        <v>0</v>
      </c>
      <c r="CP236" s="34" t="n">
        <f aca="false">IF((89-N(V_L3_Mes)+1)&gt;=1,IF((89-N(V_L3_Mes)+1)=1,N(V_L3_Monto),CO$238)*N(V_L3_Tasa)/12,0)*CP$9</f>
        <v>0</v>
      </c>
      <c r="CQ236" s="34" t="n">
        <f aca="false">IF((90-N(V_L3_Mes)+1)&gt;=1,IF((90-N(V_L3_Mes)+1)=1,N(V_L3_Monto),CP$238)*N(V_L3_Tasa)/12,0)*CQ$9</f>
        <v>0</v>
      </c>
      <c r="CR236" s="34" t="n">
        <f aca="false">IF((91-N(V_L3_Mes)+1)&gt;=1,IF((91-N(V_L3_Mes)+1)=1,N(V_L3_Monto),CQ$238)*N(V_L3_Tasa)/12,0)*CR$9</f>
        <v>0</v>
      </c>
      <c r="CS236" s="34" t="n">
        <f aca="false">IF((92-N(V_L3_Mes)+1)&gt;=1,IF((92-N(V_L3_Mes)+1)=1,N(V_L3_Monto),CR$238)*N(V_L3_Tasa)/12,0)*CS$9</f>
        <v>0</v>
      </c>
      <c r="CT236" s="34" t="n">
        <f aca="false">IF((93-N(V_L3_Mes)+1)&gt;=1,IF((93-N(V_L3_Mes)+1)=1,N(V_L3_Monto),CS$238)*N(V_L3_Tasa)/12,0)*CT$9</f>
        <v>0</v>
      </c>
      <c r="CU236" s="34" t="n">
        <f aca="false">IF((94-N(V_L3_Mes)+1)&gt;=1,IF((94-N(V_L3_Mes)+1)=1,N(V_L3_Monto),CT$238)*N(V_L3_Tasa)/12,0)*CU$9</f>
        <v>0</v>
      </c>
      <c r="CV236" s="34" t="n">
        <f aca="false">IF((95-N(V_L3_Mes)+1)&gt;=1,IF((95-N(V_L3_Mes)+1)=1,N(V_L3_Monto),CU$238)*N(V_L3_Tasa)/12,0)*CV$9</f>
        <v>0</v>
      </c>
      <c r="CW236" s="34" t="n">
        <f aca="false">IF((96-N(V_L3_Mes)+1)&gt;=1,IF((96-N(V_L3_Mes)+1)=1,N(V_L3_Monto),CV$238)*N(V_L3_Tasa)/12,0)*CW$9</f>
        <v>0</v>
      </c>
      <c r="CX236" s="34" t="n">
        <f aca="false">IF((97-N(V_L3_Mes)+1)&gt;=1,IF((97-N(V_L3_Mes)+1)=1,N(V_L3_Monto),CW$238)*N(V_L3_Tasa)/12,0)*CX$9</f>
        <v>0</v>
      </c>
      <c r="CY236" s="34" t="n">
        <f aca="false">IF((98-N(V_L3_Mes)+1)&gt;=1,IF((98-N(V_L3_Mes)+1)=1,N(V_L3_Monto),CX$238)*N(V_L3_Tasa)/12,0)*CY$9</f>
        <v>0</v>
      </c>
      <c r="CZ236" s="34" t="n">
        <f aca="false">IF((99-N(V_L3_Mes)+1)&gt;=1,IF((99-N(V_L3_Mes)+1)=1,N(V_L3_Monto),CY$238)*N(V_L3_Tasa)/12,0)*CZ$9</f>
        <v>0</v>
      </c>
      <c r="DA236" s="34" t="n">
        <f aca="false">IF((100-N(V_L3_Mes)+1)&gt;=1,IF((100-N(V_L3_Mes)+1)=1,N(V_L3_Monto),CZ$238)*N(V_L3_Tasa)/12,0)*DA$9</f>
        <v>0</v>
      </c>
      <c r="DB236" s="34" t="n">
        <f aca="false">IF((101-N(V_L3_Mes)+1)&gt;=1,IF((101-N(V_L3_Mes)+1)=1,N(V_L3_Monto),DA$238)*N(V_L3_Tasa)/12,0)*DB$9</f>
        <v>0</v>
      </c>
      <c r="DC236" s="34" t="n">
        <f aca="false">IF((102-N(V_L3_Mes)+1)&gt;=1,IF((102-N(V_L3_Mes)+1)=1,N(V_L3_Monto),DB$238)*N(V_L3_Tasa)/12,0)*DC$9</f>
        <v>0</v>
      </c>
      <c r="DD236" s="34" t="n">
        <f aca="false">IF((103-N(V_L3_Mes)+1)&gt;=1,IF((103-N(V_L3_Mes)+1)=1,N(V_L3_Monto),DC$238)*N(V_L3_Tasa)/12,0)*DD$9</f>
        <v>0</v>
      </c>
      <c r="DE236" s="34" t="n">
        <f aca="false">IF((104-N(V_L3_Mes)+1)&gt;=1,IF((104-N(V_L3_Mes)+1)=1,N(V_L3_Monto),DD$238)*N(V_L3_Tasa)/12,0)*DE$9</f>
        <v>0</v>
      </c>
      <c r="DF236" s="34" t="n">
        <f aca="false">IF((105-N(V_L3_Mes)+1)&gt;=1,IF((105-N(V_L3_Mes)+1)=1,N(V_L3_Monto),DE$238)*N(V_L3_Tasa)/12,0)*DF$9</f>
        <v>0</v>
      </c>
      <c r="DG236" s="34" t="n">
        <f aca="false">IF((106-N(V_L3_Mes)+1)&gt;=1,IF((106-N(V_L3_Mes)+1)=1,N(V_L3_Monto),DF$238)*N(V_L3_Tasa)/12,0)*DG$9</f>
        <v>0</v>
      </c>
      <c r="DH236" s="34" t="n">
        <f aca="false">IF((107-N(V_L3_Mes)+1)&gt;=1,IF((107-N(V_L3_Mes)+1)=1,N(V_L3_Monto),DG$238)*N(V_L3_Tasa)/12,0)*DH$9</f>
        <v>0</v>
      </c>
      <c r="DI236" s="34" t="n">
        <f aca="false">IF((108-N(V_L3_Mes)+1)&gt;=1,IF((108-N(V_L3_Mes)+1)=1,N(V_L3_Monto),DH$238)*N(V_L3_Tasa)/12,0)*DI$9</f>
        <v>0</v>
      </c>
      <c r="DJ236" s="34" t="n">
        <f aca="false">IF((109-N(V_L3_Mes)+1)&gt;=1,IF((109-N(V_L3_Mes)+1)=1,N(V_L3_Monto),DI$238)*N(V_L3_Tasa)/12,0)*DJ$9</f>
        <v>0</v>
      </c>
      <c r="DK236" s="34" t="n">
        <f aca="false">IF((110-N(V_L3_Mes)+1)&gt;=1,IF((110-N(V_L3_Mes)+1)=1,N(V_L3_Monto),DJ$238)*N(V_L3_Tasa)/12,0)*DK$9</f>
        <v>0</v>
      </c>
      <c r="DL236" s="34" t="n">
        <f aca="false">IF((111-N(V_L3_Mes)+1)&gt;=1,IF((111-N(V_L3_Mes)+1)=1,N(V_L3_Monto),DK$238)*N(V_L3_Tasa)/12,0)*DL$9</f>
        <v>0</v>
      </c>
      <c r="DM236" s="34" t="n">
        <f aca="false">IF((112-N(V_L3_Mes)+1)&gt;=1,IF((112-N(V_L3_Mes)+1)=1,N(V_L3_Monto),DL$238)*N(V_L3_Tasa)/12,0)*DM$9</f>
        <v>0</v>
      </c>
      <c r="DN236" s="34" t="n">
        <f aca="false">IF((113-N(V_L3_Mes)+1)&gt;=1,IF((113-N(V_L3_Mes)+1)=1,N(V_L3_Monto),DM$238)*N(V_L3_Tasa)/12,0)*DN$9</f>
        <v>0</v>
      </c>
      <c r="DO236" s="34" t="n">
        <f aca="false">IF((114-N(V_L3_Mes)+1)&gt;=1,IF((114-N(V_L3_Mes)+1)=1,N(V_L3_Monto),DN$238)*N(V_L3_Tasa)/12,0)*DO$9</f>
        <v>0</v>
      </c>
      <c r="DP236" s="34" t="n">
        <f aca="false">IF((115-N(V_L3_Mes)+1)&gt;=1,IF((115-N(V_L3_Mes)+1)=1,N(V_L3_Monto),DO$238)*N(V_L3_Tasa)/12,0)*DP$9</f>
        <v>0</v>
      </c>
      <c r="DQ236" s="34" t="n">
        <f aca="false">IF((116-N(V_L3_Mes)+1)&gt;=1,IF((116-N(V_L3_Mes)+1)=1,N(V_L3_Monto),DP$238)*N(V_L3_Tasa)/12,0)*DQ$9</f>
        <v>0</v>
      </c>
      <c r="DR236" s="34" t="n">
        <f aca="false">IF((117-N(V_L3_Mes)+1)&gt;=1,IF((117-N(V_L3_Mes)+1)=1,N(V_L3_Monto),DQ$238)*N(V_L3_Tasa)/12,0)*DR$9</f>
        <v>0</v>
      </c>
      <c r="DS236" s="34" t="n">
        <f aca="false">IF((118-N(V_L3_Mes)+1)&gt;=1,IF((118-N(V_L3_Mes)+1)=1,N(V_L3_Monto),DR$238)*N(V_L3_Tasa)/12,0)*DS$9</f>
        <v>0</v>
      </c>
      <c r="DT236" s="34" t="n">
        <f aca="false">IF((119-N(V_L3_Mes)+1)&gt;=1,IF((119-N(V_L3_Mes)+1)=1,N(V_L3_Monto),DS$238)*N(V_L3_Tasa)/12,0)*DT$9</f>
        <v>0</v>
      </c>
      <c r="DU236" s="34" t="n">
        <f aca="false">IF((120-N(V_L3_Mes)+1)&gt;=1,IF((120-N(V_L3_Mes)+1)=1,N(V_L3_Monto),DT$238)*N(V_L3_Tasa)/12,0)*DU$9</f>
        <v>0</v>
      </c>
      <c r="DV236" s="34" t="n">
        <f aca="false">IF((121-N(V_L3_Mes)+1)&gt;=1,IF((121-N(V_L3_Mes)+1)=1,N(V_L3_Monto),DU$238)*N(V_L3_Tasa)/12,0)*DV$9</f>
        <v>0</v>
      </c>
      <c r="DW236" s="34" t="n">
        <f aca="false">IF((122-N(V_L3_Mes)+1)&gt;=1,IF((122-N(V_L3_Mes)+1)=1,N(V_L3_Monto),DV$238)*N(V_L3_Tasa)/12,0)*DW$9</f>
        <v>0</v>
      </c>
      <c r="DX236" s="34" t="n">
        <f aca="false">IF((123-N(V_L3_Mes)+1)&gt;=1,IF((123-N(V_L3_Mes)+1)=1,N(V_L3_Monto),DW$238)*N(V_L3_Tasa)/12,0)*DX$9</f>
        <v>0</v>
      </c>
      <c r="DY236" s="34" t="n">
        <f aca="false">IF((124-N(V_L3_Mes)+1)&gt;=1,IF((124-N(V_L3_Mes)+1)=1,N(V_L3_Monto),DX$238)*N(V_L3_Tasa)/12,0)*DY$9</f>
        <v>0</v>
      </c>
      <c r="DZ236" s="34" t="n">
        <f aca="false">IF((125-N(V_L3_Mes)+1)&gt;=1,IF((125-N(V_L3_Mes)+1)=1,N(V_L3_Monto),DY$238)*N(V_L3_Tasa)/12,0)*DZ$9</f>
        <v>0</v>
      </c>
      <c r="EA236" s="34" t="n">
        <f aca="false">IF((126-N(V_L3_Mes)+1)&gt;=1,IF((126-N(V_L3_Mes)+1)=1,N(V_L3_Monto),DZ$238)*N(V_L3_Tasa)/12,0)*EA$9</f>
        <v>0</v>
      </c>
      <c r="EB236" s="34" t="n">
        <f aca="false">IF((127-N(V_L3_Mes)+1)&gt;=1,IF((127-N(V_L3_Mes)+1)=1,N(V_L3_Monto),EA$238)*N(V_L3_Tasa)/12,0)*EB$9</f>
        <v>0</v>
      </c>
      <c r="EC236" s="34" t="n">
        <f aca="false">IF((128-N(V_L3_Mes)+1)&gt;=1,IF((128-N(V_L3_Mes)+1)=1,N(V_L3_Monto),EB$238)*N(V_L3_Tasa)/12,0)*EC$9</f>
        <v>0</v>
      </c>
      <c r="ED236" s="34" t="n">
        <f aca="false">IF((129-N(V_L3_Mes)+1)&gt;=1,IF((129-N(V_L3_Mes)+1)=1,N(V_L3_Monto),EC$238)*N(V_L3_Tasa)/12,0)*ED$9</f>
        <v>0</v>
      </c>
      <c r="EE236" s="34" t="n">
        <f aca="false">IF((130-N(V_L3_Mes)+1)&gt;=1,IF((130-N(V_L3_Mes)+1)=1,N(V_L3_Monto),ED$238)*N(V_L3_Tasa)/12,0)*EE$9</f>
        <v>0</v>
      </c>
      <c r="EF236" s="34" t="n">
        <f aca="false">IF((131-N(V_L3_Mes)+1)&gt;=1,IF((131-N(V_L3_Mes)+1)=1,N(V_L3_Monto),EE$238)*N(V_L3_Tasa)/12,0)*EF$9</f>
        <v>0</v>
      </c>
      <c r="EG236" s="34" t="n">
        <f aca="false">IF((132-N(V_L3_Mes)+1)&gt;=1,IF((132-N(V_L3_Mes)+1)=1,N(V_L3_Monto),EF$238)*N(V_L3_Tasa)/12,0)*EG$9</f>
        <v>0</v>
      </c>
      <c r="EH236" s="34" t="n">
        <f aca="false">IF((133-N(V_L3_Mes)+1)&gt;=1,IF((133-N(V_L3_Mes)+1)=1,N(V_L3_Monto),EG$238)*N(V_L3_Tasa)/12,0)*EH$9</f>
        <v>0</v>
      </c>
      <c r="EI236" s="34" t="n">
        <f aca="false">IF((134-N(V_L3_Mes)+1)&gt;=1,IF((134-N(V_L3_Mes)+1)=1,N(V_L3_Monto),EH$238)*N(V_L3_Tasa)/12,0)*EI$9</f>
        <v>0</v>
      </c>
      <c r="EJ236" s="34" t="n">
        <f aca="false">IF((135-N(V_L3_Mes)+1)&gt;=1,IF((135-N(V_L3_Mes)+1)=1,N(V_L3_Monto),EI$238)*N(V_L3_Tasa)/12,0)*EJ$9</f>
        <v>0</v>
      </c>
      <c r="EK236" s="34" t="n">
        <f aca="false">IF((136-N(V_L3_Mes)+1)&gt;=1,IF((136-N(V_L3_Mes)+1)=1,N(V_L3_Monto),EJ$238)*N(V_L3_Tasa)/12,0)*EK$9</f>
        <v>0</v>
      </c>
      <c r="EL236" s="34" t="n">
        <f aca="false">IF((137-N(V_L3_Mes)+1)&gt;=1,IF((137-N(V_L3_Mes)+1)=1,N(V_L3_Monto),EK$238)*N(V_L3_Tasa)/12,0)*EL$9</f>
        <v>0</v>
      </c>
      <c r="EM236" s="34" t="n">
        <f aca="false">IF((138-N(V_L3_Mes)+1)&gt;=1,IF((138-N(V_L3_Mes)+1)=1,N(V_L3_Monto),EL$238)*N(V_L3_Tasa)/12,0)*EM$9</f>
        <v>0</v>
      </c>
      <c r="EN236" s="34" t="n">
        <f aca="false">IF((139-N(V_L3_Mes)+1)&gt;=1,IF((139-N(V_L3_Mes)+1)=1,N(V_L3_Monto),EM$238)*N(V_L3_Tasa)/12,0)*EN$9</f>
        <v>0</v>
      </c>
      <c r="EO236" s="34" t="n">
        <f aca="false">IF((140-N(V_L3_Mes)+1)&gt;=1,IF((140-N(V_L3_Mes)+1)=1,N(V_L3_Monto),EN$238)*N(V_L3_Tasa)/12,0)*EO$9</f>
        <v>0</v>
      </c>
      <c r="EP236" s="34" t="n">
        <f aca="false">IF((141-N(V_L3_Mes)+1)&gt;=1,IF((141-N(V_L3_Mes)+1)=1,N(V_L3_Monto),EO$238)*N(V_L3_Tasa)/12,0)*EP$9</f>
        <v>0</v>
      </c>
      <c r="EQ236" s="34" t="n">
        <f aca="false">IF((142-N(V_L3_Mes)+1)&gt;=1,IF((142-N(V_L3_Mes)+1)=1,N(V_L3_Monto),EP$238)*N(V_L3_Tasa)/12,0)*EQ$9</f>
        <v>0</v>
      </c>
      <c r="ER236" s="34" t="n">
        <f aca="false">IF((143-N(V_L3_Mes)+1)&gt;=1,IF((143-N(V_L3_Mes)+1)=1,N(V_L3_Monto),EQ$238)*N(V_L3_Tasa)/12,0)*ER$9</f>
        <v>0</v>
      </c>
      <c r="ES236" s="34" t="n">
        <f aca="false">IF((144-N(V_L3_Mes)+1)&gt;=1,IF((144-N(V_L3_Mes)+1)=1,N(V_L3_Monto),ER$238)*N(V_L3_Tasa)/12,0)*ES$9</f>
        <v>0</v>
      </c>
    </row>
    <row r="237" customFormat="false" ht="15" hidden="false" customHeight="false" outlineLevel="0" collapsed="false">
      <c r="A237" s="2" t="s">
        <v>848</v>
      </c>
      <c r="B237" s="6" t="s">
        <v>698</v>
      </c>
      <c r="C237" s="6" t="s">
        <v>250</v>
      </c>
      <c r="E237" s="40" t="n">
        <f aca="false">SUM(F237:ES237)</f>
        <v>0</v>
      </c>
      <c r="F237" s="34" t="n">
        <f aca="false">IF(AND((1-N(V_L3_Mes)+1)&gt;N(V_L3_Gracia),(1-N(V_L3_Mes)+1)&lt;=N(V_L3_Gracia)+N(V_L3_Cuotas),N(V_L3_Cuotas)&gt;0),IF((1-N(V_L3_Mes)+1)=N(V_L3_Gracia)+N(V_L3_Cuotas),IF((1-N(V_L3_Mes)+1)=1,N(V_L3_Monto),0),PMT(N(V_L3_Tasa)/12,N(V_L3_Cuotas),-N(V_L3_Monto))-F$236),0)*F$9</f>
        <v>0</v>
      </c>
      <c r="G237" s="34" t="n">
        <f aca="false">IF(AND((2-N(V_L3_Mes)+1)&gt;N(V_L3_Gracia),(2-N(V_L3_Mes)+1)&lt;=N(V_L3_Gracia)+N(V_L3_Cuotas),N(V_L3_Cuotas)&gt;0),IF((2-N(V_L3_Mes)+1)=N(V_L3_Gracia)+N(V_L3_Cuotas),IF((2-N(V_L3_Mes)+1)=1,N(V_L3_Monto),F$238),PMT(N(V_L3_Tasa)/12,N(V_L3_Cuotas),-N(V_L3_Monto))-G$236),0)*G$9</f>
        <v>0</v>
      </c>
      <c r="H237" s="34" t="n">
        <f aca="false">IF(AND((3-N(V_L3_Mes)+1)&gt;N(V_L3_Gracia),(3-N(V_L3_Mes)+1)&lt;=N(V_L3_Gracia)+N(V_L3_Cuotas),N(V_L3_Cuotas)&gt;0),IF((3-N(V_L3_Mes)+1)=N(V_L3_Gracia)+N(V_L3_Cuotas),IF((3-N(V_L3_Mes)+1)=1,N(V_L3_Monto),G$238),PMT(N(V_L3_Tasa)/12,N(V_L3_Cuotas),-N(V_L3_Monto))-H$236),0)*H$9</f>
        <v>0</v>
      </c>
      <c r="I237" s="34" t="n">
        <f aca="false">IF(AND((4-N(V_L3_Mes)+1)&gt;N(V_L3_Gracia),(4-N(V_L3_Mes)+1)&lt;=N(V_L3_Gracia)+N(V_L3_Cuotas),N(V_L3_Cuotas)&gt;0),IF((4-N(V_L3_Mes)+1)=N(V_L3_Gracia)+N(V_L3_Cuotas),IF((4-N(V_L3_Mes)+1)=1,N(V_L3_Monto),H$238),PMT(N(V_L3_Tasa)/12,N(V_L3_Cuotas),-N(V_L3_Monto))-I$236),0)*I$9</f>
        <v>0</v>
      </c>
      <c r="J237" s="34" t="n">
        <f aca="false">IF(AND((5-N(V_L3_Mes)+1)&gt;N(V_L3_Gracia),(5-N(V_L3_Mes)+1)&lt;=N(V_L3_Gracia)+N(V_L3_Cuotas),N(V_L3_Cuotas)&gt;0),IF((5-N(V_L3_Mes)+1)=N(V_L3_Gracia)+N(V_L3_Cuotas),IF((5-N(V_L3_Mes)+1)=1,N(V_L3_Monto),I$238),PMT(N(V_L3_Tasa)/12,N(V_L3_Cuotas),-N(V_L3_Monto))-J$236),0)*J$9</f>
        <v>0</v>
      </c>
      <c r="K237" s="34" t="n">
        <f aca="false">IF(AND((6-N(V_L3_Mes)+1)&gt;N(V_L3_Gracia),(6-N(V_L3_Mes)+1)&lt;=N(V_L3_Gracia)+N(V_L3_Cuotas),N(V_L3_Cuotas)&gt;0),IF((6-N(V_L3_Mes)+1)=N(V_L3_Gracia)+N(V_L3_Cuotas),IF((6-N(V_L3_Mes)+1)=1,N(V_L3_Monto),J$238),PMT(N(V_L3_Tasa)/12,N(V_L3_Cuotas),-N(V_L3_Monto))-K$236),0)*K$9</f>
        <v>0</v>
      </c>
      <c r="L237" s="34" t="n">
        <f aca="false">IF(AND((7-N(V_L3_Mes)+1)&gt;N(V_L3_Gracia),(7-N(V_L3_Mes)+1)&lt;=N(V_L3_Gracia)+N(V_L3_Cuotas),N(V_L3_Cuotas)&gt;0),IF((7-N(V_L3_Mes)+1)=N(V_L3_Gracia)+N(V_L3_Cuotas),IF((7-N(V_L3_Mes)+1)=1,N(V_L3_Monto),K$238),PMT(N(V_L3_Tasa)/12,N(V_L3_Cuotas),-N(V_L3_Monto))-L$236),0)*L$9</f>
        <v>0</v>
      </c>
      <c r="M237" s="34" t="n">
        <f aca="false">IF(AND((8-N(V_L3_Mes)+1)&gt;N(V_L3_Gracia),(8-N(V_L3_Mes)+1)&lt;=N(V_L3_Gracia)+N(V_L3_Cuotas),N(V_L3_Cuotas)&gt;0),IF((8-N(V_L3_Mes)+1)=N(V_L3_Gracia)+N(V_L3_Cuotas),IF((8-N(V_L3_Mes)+1)=1,N(V_L3_Monto),L$238),PMT(N(V_L3_Tasa)/12,N(V_L3_Cuotas),-N(V_L3_Monto))-M$236),0)*M$9</f>
        <v>0</v>
      </c>
      <c r="N237" s="34" t="n">
        <f aca="false">IF(AND((9-N(V_L3_Mes)+1)&gt;N(V_L3_Gracia),(9-N(V_L3_Mes)+1)&lt;=N(V_L3_Gracia)+N(V_L3_Cuotas),N(V_L3_Cuotas)&gt;0),IF((9-N(V_L3_Mes)+1)=N(V_L3_Gracia)+N(V_L3_Cuotas),IF((9-N(V_L3_Mes)+1)=1,N(V_L3_Monto),M$238),PMT(N(V_L3_Tasa)/12,N(V_L3_Cuotas),-N(V_L3_Monto))-N$236),0)*N$9</f>
        <v>0</v>
      </c>
      <c r="O237" s="34" t="n">
        <f aca="false">IF(AND((10-N(V_L3_Mes)+1)&gt;N(V_L3_Gracia),(10-N(V_L3_Mes)+1)&lt;=N(V_L3_Gracia)+N(V_L3_Cuotas),N(V_L3_Cuotas)&gt;0),IF((10-N(V_L3_Mes)+1)=N(V_L3_Gracia)+N(V_L3_Cuotas),IF((10-N(V_L3_Mes)+1)=1,N(V_L3_Monto),N$238),PMT(N(V_L3_Tasa)/12,N(V_L3_Cuotas),-N(V_L3_Monto))-O$236),0)*O$9</f>
        <v>0</v>
      </c>
      <c r="P237" s="34" t="n">
        <f aca="false">IF(AND((11-N(V_L3_Mes)+1)&gt;N(V_L3_Gracia),(11-N(V_L3_Mes)+1)&lt;=N(V_L3_Gracia)+N(V_L3_Cuotas),N(V_L3_Cuotas)&gt;0),IF((11-N(V_L3_Mes)+1)=N(V_L3_Gracia)+N(V_L3_Cuotas),IF((11-N(V_L3_Mes)+1)=1,N(V_L3_Monto),O$238),PMT(N(V_L3_Tasa)/12,N(V_L3_Cuotas),-N(V_L3_Monto))-P$236),0)*P$9</f>
        <v>0</v>
      </c>
      <c r="Q237" s="34" t="n">
        <f aca="false">IF(AND((12-N(V_L3_Mes)+1)&gt;N(V_L3_Gracia),(12-N(V_L3_Mes)+1)&lt;=N(V_L3_Gracia)+N(V_L3_Cuotas),N(V_L3_Cuotas)&gt;0),IF((12-N(V_L3_Mes)+1)=N(V_L3_Gracia)+N(V_L3_Cuotas),IF((12-N(V_L3_Mes)+1)=1,N(V_L3_Monto),P$238),PMT(N(V_L3_Tasa)/12,N(V_L3_Cuotas),-N(V_L3_Monto))-Q$236),0)*Q$9</f>
        <v>0</v>
      </c>
      <c r="R237" s="34" t="n">
        <f aca="false">IF(AND((13-N(V_L3_Mes)+1)&gt;N(V_L3_Gracia),(13-N(V_L3_Mes)+1)&lt;=N(V_L3_Gracia)+N(V_L3_Cuotas),N(V_L3_Cuotas)&gt;0),IF((13-N(V_L3_Mes)+1)=N(V_L3_Gracia)+N(V_L3_Cuotas),IF((13-N(V_L3_Mes)+1)=1,N(V_L3_Monto),Q$238),PMT(N(V_L3_Tasa)/12,N(V_L3_Cuotas),-N(V_L3_Monto))-R$236),0)*R$9</f>
        <v>0</v>
      </c>
      <c r="S237" s="34" t="n">
        <f aca="false">IF(AND((14-N(V_L3_Mes)+1)&gt;N(V_L3_Gracia),(14-N(V_L3_Mes)+1)&lt;=N(V_L3_Gracia)+N(V_L3_Cuotas),N(V_L3_Cuotas)&gt;0),IF((14-N(V_L3_Mes)+1)=N(V_L3_Gracia)+N(V_L3_Cuotas),IF((14-N(V_L3_Mes)+1)=1,N(V_L3_Monto),R$238),PMT(N(V_L3_Tasa)/12,N(V_L3_Cuotas),-N(V_L3_Monto))-S$236),0)*S$9</f>
        <v>0</v>
      </c>
      <c r="T237" s="34" t="n">
        <f aca="false">IF(AND((15-N(V_L3_Mes)+1)&gt;N(V_L3_Gracia),(15-N(V_L3_Mes)+1)&lt;=N(V_L3_Gracia)+N(V_L3_Cuotas),N(V_L3_Cuotas)&gt;0),IF((15-N(V_L3_Mes)+1)=N(V_L3_Gracia)+N(V_L3_Cuotas),IF((15-N(V_L3_Mes)+1)=1,N(V_L3_Monto),S$238),PMT(N(V_L3_Tasa)/12,N(V_L3_Cuotas),-N(V_L3_Monto))-T$236),0)*T$9</f>
        <v>0</v>
      </c>
      <c r="U237" s="34" t="n">
        <f aca="false">IF(AND((16-N(V_L3_Mes)+1)&gt;N(V_L3_Gracia),(16-N(V_L3_Mes)+1)&lt;=N(V_L3_Gracia)+N(V_L3_Cuotas),N(V_L3_Cuotas)&gt;0),IF((16-N(V_L3_Mes)+1)=N(V_L3_Gracia)+N(V_L3_Cuotas),IF((16-N(V_L3_Mes)+1)=1,N(V_L3_Monto),T$238),PMT(N(V_L3_Tasa)/12,N(V_L3_Cuotas),-N(V_L3_Monto))-U$236),0)*U$9</f>
        <v>0</v>
      </c>
      <c r="V237" s="34" t="n">
        <f aca="false">IF(AND((17-N(V_L3_Mes)+1)&gt;N(V_L3_Gracia),(17-N(V_L3_Mes)+1)&lt;=N(V_L3_Gracia)+N(V_L3_Cuotas),N(V_L3_Cuotas)&gt;0),IF((17-N(V_L3_Mes)+1)=N(V_L3_Gracia)+N(V_L3_Cuotas),IF((17-N(V_L3_Mes)+1)=1,N(V_L3_Monto),U$238),PMT(N(V_L3_Tasa)/12,N(V_L3_Cuotas),-N(V_L3_Monto))-V$236),0)*V$9</f>
        <v>0</v>
      </c>
      <c r="W237" s="34" t="n">
        <f aca="false">IF(AND((18-N(V_L3_Mes)+1)&gt;N(V_L3_Gracia),(18-N(V_L3_Mes)+1)&lt;=N(V_L3_Gracia)+N(V_L3_Cuotas),N(V_L3_Cuotas)&gt;0),IF((18-N(V_L3_Mes)+1)=N(V_L3_Gracia)+N(V_L3_Cuotas),IF((18-N(V_L3_Mes)+1)=1,N(V_L3_Monto),V$238),PMT(N(V_L3_Tasa)/12,N(V_L3_Cuotas),-N(V_L3_Monto))-W$236),0)*W$9</f>
        <v>0</v>
      </c>
      <c r="X237" s="34" t="n">
        <f aca="false">IF(AND((19-N(V_L3_Mes)+1)&gt;N(V_L3_Gracia),(19-N(V_L3_Mes)+1)&lt;=N(V_L3_Gracia)+N(V_L3_Cuotas),N(V_L3_Cuotas)&gt;0),IF((19-N(V_L3_Mes)+1)=N(V_L3_Gracia)+N(V_L3_Cuotas),IF((19-N(V_L3_Mes)+1)=1,N(V_L3_Monto),W$238),PMT(N(V_L3_Tasa)/12,N(V_L3_Cuotas),-N(V_L3_Monto))-X$236),0)*X$9</f>
        <v>0</v>
      </c>
      <c r="Y237" s="34" t="n">
        <f aca="false">IF(AND((20-N(V_L3_Mes)+1)&gt;N(V_L3_Gracia),(20-N(V_L3_Mes)+1)&lt;=N(V_L3_Gracia)+N(V_L3_Cuotas),N(V_L3_Cuotas)&gt;0),IF((20-N(V_L3_Mes)+1)=N(V_L3_Gracia)+N(V_L3_Cuotas),IF((20-N(V_L3_Mes)+1)=1,N(V_L3_Monto),X$238),PMT(N(V_L3_Tasa)/12,N(V_L3_Cuotas),-N(V_L3_Monto))-Y$236),0)*Y$9</f>
        <v>0</v>
      </c>
      <c r="Z237" s="34" t="n">
        <f aca="false">IF(AND((21-N(V_L3_Mes)+1)&gt;N(V_L3_Gracia),(21-N(V_L3_Mes)+1)&lt;=N(V_L3_Gracia)+N(V_L3_Cuotas),N(V_L3_Cuotas)&gt;0),IF((21-N(V_L3_Mes)+1)=N(V_L3_Gracia)+N(V_L3_Cuotas),IF((21-N(V_L3_Mes)+1)=1,N(V_L3_Monto),Y$238),PMT(N(V_L3_Tasa)/12,N(V_L3_Cuotas),-N(V_L3_Monto))-Z$236),0)*Z$9</f>
        <v>0</v>
      </c>
      <c r="AA237" s="34" t="n">
        <f aca="false">IF(AND((22-N(V_L3_Mes)+1)&gt;N(V_L3_Gracia),(22-N(V_L3_Mes)+1)&lt;=N(V_L3_Gracia)+N(V_L3_Cuotas),N(V_L3_Cuotas)&gt;0),IF((22-N(V_L3_Mes)+1)=N(V_L3_Gracia)+N(V_L3_Cuotas),IF((22-N(V_L3_Mes)+1)=1,N(V_L3_Monto),Z$238),PMT(N(V_L3_Tasa)/12,N(V_L3_Cuotas),-N(V_L3_Monto))-AA$236),0)*AA$9</f>
        <v>0</v>
      </c>
      <c r="AB237" s="34" t="n">
        <f aca="false">IF(AND((23-N(V_L3_Mes)+1)&gt;N(V_L3_Gracia),(23-N(V_L3_Mes)+1)&lt;=N(V_L3_Gracia)+N(V_L3_Cuotas),N(V_L3_Cuotas)&gt;0),IF((23-N(V_L3_Mes)+1)=N(V_L3_Gracia)+N(V_L3_Cuotas),IF((23-N(V_L3_Mes)+1)=1,N(V_L3_Monto),AA$238),PMT(N(V_L3_Tasa)/12,N(V_L3_Cuotas),-N(V_L3_Monto))-AB$236),0)*AB$9</f>
        <v>0</v>
      </c>
      <c r="AC237" s="34" t="n">
        <f aca="false">IF(AND((24-N(V_L3_Mes)+1)&gt;N(V_L3_Gracia),(24-N(V_L3_Mes)+1)&lt;=N(V_L3_Gracia)+N(V_L3_Cuotas),N(V_L3_Cuotas)&gt;0),IF((24-N(V_L3_Mes)+1)=N(V_L3_Gracia)+N(V_L3_Cuotas),IF((24-N(V_L3_Mes)+1)=1,N(V_L3_Monto),AB$238),PMT(N(V_L3_Tasa)/12,N(V_L3_Cuotas),-N(V_L3_Monto))-AC$236),0)*AC$9</f>
        <v>0</v>
      </c>
      <c r="AD237" s="34" t="n">
        <f aca="false">IF(AND((25-N(V_L3_Mes)+1)&gt;N(V_L3_Gracia),(25-N(V_L3_Mes)+1)&lt;=N(V_L3_Gracia)+N(V_L3_Cuotas),N(V_L3_Cuotas)&gt;0),IF((25-N(V_L3_Mes)+1)=N(V_L3_Gracia)+N(V_L3_Cuotas),IF((25-N(V_L3_Mes)+1)=1,N(V_L3_Monto),AC$238),PMT(N(V_L3_Tasa)/12,N(V_L3_Cuotas),-N(V_L3_Monto))-AD$236),0)*AD$9</f>
        <v>0</v>
      </c>
      <c r="AE237" s="34" t="n">
        <f aca="false">IF(AND((26-N(V_L3_Mes)+1)&gt;N(V_L3_Gracia),(26-N(V_L3_Mes)+1)&lt;=N(V_L3_Gracia)+N(V_L3_Cuotas),N(V_L3_Cuotas)&gt;0),IF((26-N(V_L3_Mes)+1)=N(V_L3_Gracia)+N(V_L3_Cuotas),IF((26-N(V_L3_Mes)+1)=1,N(V_L3_Monto),AD$238),PMT(N(V_L3_Tasa)/12,N(V_L3_Cuotas),-N(V_L3_Monto))-AE$236),0)*AE$9</f>
        <v>0</v>
      </c>
      <c r="AF237" s="34" t="n">
        <f aca="false">IF(AND((27-N(V_L3_Mes)+1)&gt;N(V_L3_Gracia),(27-N(V_L3_Mes)+1)&lt;=N(V_L3_Gracia)+N(V_L3_Cuotas),N(V_L3_Cuotas)&gt;0),IF((27-N(V_L3_Mes)+1)=N(V_L3_Gracia)+N(V_L3_Cuotas),IF((27-N(V_L3_Mes)+1)=1,N(V_L3_Monto),AE$238),PMT(N(V_L3_Tasa)/12,N(V_L3_Cuotas),-N(V_L3_Monto))-AF$236),0)*AF$9</f>
        <v>0</v>
      </c>
      <c r="AG237" s="34" t="n">
        <f aca="false">IF(AND((28-N(V_L3_Mes)+1)&gt;N(V_L3_Gracia),(28-N(V_L3_Mes)+1)&lt;=N(V_L3_Gracia)+N(V_L3_Cuotas),N(V_L3_Cuotas)&gt;0),IF((28-N(V_L3_Mes)+1)=N(V_L3_Gracia)+N(V_L3_Cuotas),IF((28-N(V_L3_Mes)+1)=1,N(V_L3_Monto),AF$238),PMT(N(V_L3_Tasa)/12,N(V_L3_Cuotas),-N(V_L3_Monto))-AG$236),0)*AG$9</f>
        <v>0</v>
      </c>
      <c r="AH237" s="34" t="n">
        <f aca="false">IF(AND((29-N(V_L3_Mes)+1)&gt;N(V_L3_Gracia),(29-N(V_L3_Mes)+1)&lt;=N(V_L3_Gracia)+N(V_L3_Cuotas),N(V_L3_Cuotas)&gt;0),IF((29-N(V_L3_Mes)+1)=N(V_L3_Gracia)+N(V_L3_Cuotas),IF((29-N(V_L3_Mes)+1)=1,N(V_L3_Monto),AG$238),PMT(N(V_L3_Tasa)/12,N(V_L3_Cuotas),-N(V_L3_Monto))-AH$236),0)*AH$9</f>
        <v>0</v>
      </c>
      <c r="AI237" s="34" t="n">
        <f aca="false">IF(AND((30-N(V_L3_Mes)+1)&gt;N(V_L3_Gracia),(30-N(V_L3_Mes)+1)&lt;=N(V_L3_Gracia)+N(V_L3_Cuotas),N(V_L3_Cuotas)&gt;0),IF((30-N(V_L3_Mes)+1)=N(V_L3_Gracia)+N(V_L3_Cuotas),IF((30-N(V_L3_Mes)+1)=1,N(V_L3_Monto),AH$238),PMT(N(V_L3_Tasa)/12,N(V_L3_Cuotas),-N(V_L3_Monto))-AI$236),0)*AI$9</f>
        <v>0</v>
      </c>
      <c r="AJ237" s="34" t="n">
        <f aca="false">IF(AND((31-N(V_L3_Mes)+1)&gt;N(V_L3_Gracia),(31-N(V_L3_Mes)+1)&lt;=N(V_L3_Gracia)+N(V_L3_Cuotas),N(V_L3_Cuotas)&gt;0),IF((31-N(V_L3_Mes)+1)=N(V_L3_Gracia)+N(V_L3_Cuotas),IF((31-N(V_L3_Mes)+1)=1,N(V_L3_Monto),AI$238),PMT(N(V_L3_Tasa)/12,N(V_L3_Cuotas),-N(V_L3_Monto))-AJ$236),0)*AJ$9</f>
        <v>0</v>
      </c>
      <c r="AK237" s="34" t="n">
        <f aca="false">IF(AND((32-N(V_L3_Mes)+1)&gt;N(V_L3_Gracia),(32-N(V_L3_Mes)+1)&lt;=N(V_L3_Gracia)+N(V_L3_Cuotas),N(V_L3_Cuotas)&gt;0),IF((32-N(V_L3_Mes)+1)=N(V_L3_Gracia)+N(V_L3_Cuotas),IF((32-N(V_L3_Mes)+1)=1,N(V_L3_Monto),AJ$238),PMT(N(V_L3_Tasa)/12,N(V_L3_Cuotas),-N(V_L3_Monto))-AK$236),0)*AK$9</f>
        <v>0</v>
      </c>
      <c r="AL237" s="34" t="n">
        <f aca="false">IF(AND((33-N(V_L3_Mes)+1)&gt;N(V_L3_Gracia),(33-N(V_L3_Mes)+1)&lt;=N(V_L3_Gracia)+N(V_L3_Cuotas),N(V_L3_Cuotas)&gt;0),IF((33-N(V_L3_Mes)+1)=N(V_L3_Gracia)+N(V_L3_Cuotas),IF((33-N(V_L3_Mes)+1)=1,N(V_L3_Monto),AK$238),PMT(N(V_L3_Tasa)/12,N(V_L3_Cuotas),-N(V_L3_Monto))-AL$236),0)*AL$9</f>
        <v>0</v>
      </c>
      <c r="AM237" s="34" t="n">
        <f aca="false">IF(AND((34-N(V_L3_Mes)+1)&gt;N(V_L3_Gracia),(34-N(V_L3_Mes)+1)&lt;=N(V_L3_Gracia)+N(V_L3_Cuotas),N(V_L3_Cuotas)&gt;0),IF((34-N(V_L3_Mes)+1)=N(V_L3_Gracia)+N(V_L3_Cuotas),IF((34-N(V_L3_Mes)+1)=1,N(V_L3_Monto),AL$238),PMT(N(V_L3_Tasa)/12,N(V_L3_Cuotas),-N(V_L3_Monto))-AM$236),0)*AM$9</f>
        <v>0</v>
      </c>
      <c r="AN237" s="34" t="n">
        <f aca="false">IF(AND((35-N(V_L3_Mes)+1)&gt;N(V_L3_Gracia),(35-N(V_L3_Mes)+1)&lt;=N(V_L3_Gracia)+N(V_L3_Cuotas),N(V_L3_Cuotas)&gt;0),IF((35-N(V_L3_Mes)+1)=N(V_L3_Gracia)+N(V_L3_Cuotas),IF((35-N(V_L3_Mes)+1)=1,N(V_L3_Monto),AM$238),PMT(N(V_L3_Tasa)/12,N(V_L3_Cuotas),-N(V_L3_Monto))-AN$236),0)*AN$9</f>
        <v>0</v>
      </c>
      <c r="AO237" s="34" t="n">
        <f aca="false">IF(AND((36-N(V_L3_Mes)+1)&gt;N(V_L3_Gracia),(36-N(V_L3_Mes)+1)&lt;=N(V_L3_Gracia)+N(V_L3_Cuotas),N(V_L3_Cuotas)&gt;0),IF((36-N(V_L3_Mes)+1)=N(V_L3_Gracia)+N(V_L3_Cuotas),IF((36-N(V_L3_Mes)+1)=1,N(V_L3_Monto),AN$238),PMT(N(V_L3_Tasa)/12,N(V_L3_Cuotas),-N(V_L3_Monto))-AO$236),0)*AO$9</f>
        <v>0</v>
      </c>
      <c r="AP237" s="34" t="n">
        <f aca="false">IF(AND((37-N(V_L3_Mes)+1)&gt;N(V_L3_Gracia),(37-N(V_L3_Mes)+1)&lt;=N(V_L3_Gracia)+N(V_L3_Cuotas),N(V_L3_Cuotas)&gt;0),IF((37-N(V_L3_Mes)+1)=N(V_L3_Gracia)+N(V_L3_Cuotas),IF((37-N(V_L3_Mes)+1)=1,N(V_L3_Monto),AO$238),PMT(N(V_L3_Tasa)/12,N(V_L3_Cuotas),-N(V_L3_Monto))-AP$236),0)*AP$9</f>
        <v>0</v>
      </c>
      <c r="AQ237" s="34" t="n">
        <f aca="false">IF(AND((38-N(V_L3_Mes)+1)&gt;N(V_L3_Gracia),(38-N(V_L3_Mes)+1)&lt;=N(V_L3_Gracia)+N(V_L3_Cuotas),N(V_L3_Cuotas)&gt;0),IF((38-N(V_L3_Mes)+1)=N(V_L3_Gracia)+N(V_L3_Cuotas),IF((38-N(V_L3_Mes)+1)=1,N(V_L3_Monto),AP$238),PMT(N(V_L3_Tasa)/12,N(V_L3_Cuotas),-N(V_L3_Monto))-AQ$236),0)*AQ$9</f>
        <v>0</v>
      </c>
      <c r="AR237" s="34" t="n">
        <f aca="false">IF(AND((39-N(V_L3_Mes)+1)&gt;N(V_L3_Gracia),(39-N(V_L3_Mes)+1)&lt;=N(V_L3_Gracia)+N(V_L3_Cuotas),N(V_L3_Cuotas)&gt;0),IF((39-N(V_L3_Mes)+1)=N(V_L3_Gracia)+N(V_L3_Cuotas),IF((39-N(V_L3_Mes)+1)=1,N(V_L3_Monto),AQ$238),PMT(N(V_L3_Tasa)/12,N(V_L3_Cuotas),-N(V_L3_Monto))-AR$236),0)*AR$9</f>
        <v>0</v>
      </c>
      <c r="AS237" s="34" t="n">
        <f aca="false">IF(AND((40-N(V_L3_Mes)+1)&gt;N(V_L3_Gracia),(40-N(V_L3_Mes)+1)&lt;=N(V_L3_Gracia)+N(V_L3_Cuotas),N(V_L3_Cuotas)&gt;0),IF((40-N(V_L3_Mes)+1)=N(V_L3_Gracia)+N(V_L3_Cuotas),IF((40-N(V_L3_Mes)+1)=1,N(V_L3_Monto),AR$238),PMT(N(V_L3_Tasa)/12,N(V_L3_Cuotas),-N(V_L3_Monto))-AS$236),0)*AS$9</f>
        <v>0</v>
      </c>
      <c r="AT237" s="34" t="n">
        <f aca="false">IF(AND((41-N(V_L3_Mes)+1)&gt;N(V_L3_Gracia),(41-N(V_L3_Mes)+1)&lt;=N(V_L3_Gracia)+N(V_L3_Cuotas),N(V_L3_Cuotas)&gt;0),IF((41-N(V_L3_Mes)+1)=N(V_L3_Gracia)+N(V_L3_Cuotas),IF((41-N(V_L3_Mes)+1)=1,N(V_L3_Monto),AS$238),PMT(N(V_L3_Tasa)/12,N(V_L3_Cuotas),-N(V_L3_Monto))-AT$236),0)*AT$9</f>
        <v>0</v>
      </c>
      <c r="AU237" s="34" t="n">
        <f aca="false">IF(AND((42-N(V_L3_Mes)+1)&gt;N(V_L3_Gracia),(42-N(V_L3_Mes)+1)&lt;=N(V_L3_Gracia)+N(V_L3_Cuotas),N(V_L3_Cuotas)&gt;0),IF((42-N(V_L3_Mes)+1)=N(V_L3_Gracia)+N(V_L3_Cuotas),IF((42-N(V_L3_Mes)+1)=1,N(V_L3_Monto),AT$238),PMT(N(V_L3_Tasa)/12,N(V_L3_Cuotas),-N(V_L3_Monto))-AU$236),0)*AU$9</f>
        <v>0</v>
      </c>
      <c r="AV237" s="34" t="n">
        <f aca="false">IF(AND((43-N(V_L3_Mes)+1)&gt;N(V_L3_Gracia),(43-N(V_L3_Mes)+1)&lt;=N(V_L3_Gracia)+N(V_L3_Cuotas),N(V_L3_Cuotas)&gt;0),IF((43-N(V_L3_Mes)+1)=N(V_L3_Gracia)+N(V_L3_Cuotas),IF((43-N(V_L3_Mes)+1)=1,N(V_L3_Monto),AU$238),PMT(N(V_L3_Tasa)/12,N(V_L3_Cuotas),-N(V_L3_Monto))-AV$236),0)*AV$9</f>
        <v>0</v>
      </c>
      <c r="AW237" s="34" t="n">
        <f aca="false">IF(AND((44-N(V_L3_Mes)+1)&gt;N(V_L3_Gracia),(44-N(V_L3_Mes)+1)&lt;=N(V_L3_Gracia)+N(V_L3_Cuotas),N(V_L3_Cuotas)&gt;0),IF((44-N(V_L3_Mes)+1)=N(V_L3_Gracia)+N(V_L3_Cuotas),IF((44-N(V_L3_Mes)+1)=1,N(V_L3_Monto),AV$238),PMT(N(V_L3_Tasa)/12,N(V_L3_Cuotas),-N(V_L3_Monto))-AW$236),0)*AW$9</f>
        <v>0</v>
      </c>
      <c r="AX237" s="34" t="n">
        <f aca="false">IF(AND((45-N(V_L3_Mes)+1)&gt;N(V_L3_Gracia),(45-N(V_L3_Mes)+1)&lt;=N(V_L3_Gracia)+N(V_L3_Cuotas),N(V_L3_Cuotas)&gt;0),IF((45-N(V_L3_Mes)+1)=N(V_L3_Gracia)+N(V_L3_Cuotas),IF((45-N(V_L3_Mes)+1)=1,N(V_L3_Monto),AW$238),PMT(N(V_L3_Tasa)/12,N(V_L3_Cuotas),-N(V_L3_Monto))-AX$236),0)*AX$9</f>
        <v>0</v>
      </c>
      <c r="AY237" s="34" t="n">
        <f aca="false">IF(AND((46-N(V_L3_Mes)+1)&gt;N(V_L3_Gracia),(46-N(V_L3_Mes)+1)&lt;=N(V_L3_Gracia)+N(V_L3_Cuotas),N(V_L3_Cuotas)&gt;0),IF((46-N(V_L3_Mes)+1)=N(V_L3_Gracia)+N(V_L3_Cuotas),IF((46-N(V_L3_Mes)+1)=1,N(V_L3_Monto),AX$238),PMT(N(V_L3_Tasa)/12,N(V_L3_Cuotas),-N(V_L3_Monto))-AY$236),0)*AY$9</f>
        <v>0</v>
      </c>
      <c r="AZ237" s="34" t="n">
        <f aca="false">IF(AND((47-N(V_L3_Mes)+1)&gt;N(V_L3_Gracia),(47-N(V_L3_Mes)+1)&lt;=N(V_L3_Gracia)+N(V_L3_Cuotas),N(V_L3_Cuotas)&gt;0),IF((47-N(V_L3_Mes)+1)=N(V_L3_Gracia)+N(V_L3_Cuotas),IF((47-N(V_L3_Mes)+1)=1,N(V_L3_Monto),AY$238),PMT(N(V_L3_Tasa)/12,N(V_L3_Cuotas),-N(V_L3_Monto))-AZ$236),0)*AZ$9</f>
        <v>0</v>
      </c>
      <c r="BA237" s="34" t="n">
        <f aca="false">IF(AND((48-N(V_L3_Mes)+1)&gt;N(V_L3_Gracia),(48-N(V_L3_Mes)+1)&lt;=N(V_L3_Gracia)+N(V_L3_Cuotas),N(V_L3_Cuotas)&gt;0),IF((48-N(V_L3_Mes)+1)=N(V_L3_Gracia)+N(V_L3_Cuotas),IF((48-N(V_L3_Mes)+1)=1,N(V_L3_Monto),AZ$238),PMT(N(V_L3_Tasa)/12,N(V_L3_Cuotas),-N(V_L3_Monto))-BA$236),0)*BA$9</f>
        <v>0</v>
      </c>
      <c r="BB237" s="34" t="n">
        <f aca="false">IF(AND((49-N(V_L3_Mes)+1)&gt;N(V_L3_Gracia),(49-N(V_L3_Mes)+1)&lt;=N(V_L3_Gracia)+N(V_L3_Cuotas),N(V_L3_Cuotas)&gt;0),IF((49-N(V_L3_Mes)+1)=N(V_L3_Gracia)+N(V_L3_Cuotas),IF((49-N(V_L3_Mes)+1)=1,N(V_L3_Monto),BA$238),PMT(N(V_L3_Tasa)/12,N(V_L3_Cuotas),-N(V_L3_Monto))-BB$236),0)*BB$9</f>
        <v>0</v>
      </c>
      <c r="BC237" s="34" t="n">
        <f aca="false">IF(AND((50-N(V_L3_Mes)+1)&gt;N(V_L3_Gracia),(50-N(V_L3_Mes)+1)&lt;=N(V_L3_Gracia)+N(V_L3_Cuotas),N(V_L3_Cuotas)&gt;0),IF((50-N(V_L3_Mes)+1)=N(V_L3_Gracia)+N(V_L3_Cuotas),IF((50-N(V_L3_Mes)+1)=1,N(V_L3_Monto),BB$238),PMT(N(V_L3_Tasa)/12,N(V_L3_Cuotas),-N(V_L3_Monto))-BC$236),0)*BC$9</f>
        <v>0</v>
      </c>
      <c r="BD237" s="34" t="n">
        <f aca="false">IF(AND((51-N(V_L3_Mes)+1)&gt;N(V_L3_Gracia),(51-N(V_L3_Mes)+1)&lt;=N(V_L3_Gracia)+N(V_L3_Cuotas),N(V_L3_Cuotas)&gt;0),IF((51-N(V_L3_Mes)+1)=N(V_L3_Gracia)+N(V_L3_Cuotas),IF((51-N(V_L3_Mes)+1)=1,N(V_L3_Monto),BC$238),PMT(N(V_L3_Tasa)/12,N(V_L3_Cuotas),-N(V_L3_Monto))-BD$236),0)*BD$9</f>
        <v>0</v>
      </c>
      <c r="BE237" s="34" t="n">
        <f aca="false">IF(AND((52-N(V_L3_Mes)+1)&gt;N(V_L3_Gracia),(52-N(V_L3_Mes)+1)&lt;=N(V_L3_Gracia)+N(V_L3_Cuotas),N(V_L3_Cuotas)&gt;0),IF((52-N(V_L3_Mes)+1)=N(V_L3_Gracia)+N(V_L3_Cuotas),IF((52-N(V_L3_Mes)+1)=1,N(V_L3_Monto),BD$238),PMT(N(V_L3_Tasa)/12,N(V_L3_Cuotas),-N(V_L3_Monto))-BE$236),0)*BE$9</f>
        <v>0</v>
      </c>
      <c r="BF237" s="34" t="n">
        <f aca="false">IF(AND((53-N(V_L3_Mes)+1)&gt;N(V_L3_Gracia),(53-N(V_L3_Mes)+1)&lt;=N(V_L3_Gracia)+N(V_L3_Cuotas),N(V_L3_Cuotas)&gt;0),IF((53-N(V_L3_Mes)+1)=N(V_L3_Gracia)+N(V_L3_Cuotas),IF((53-N(V_L3_Mes)+1)=1,N(V_L3_Monto),BE$238),PMT(N(V_L3_Tasa)/12,N(V_L3_Cuotas),-N(V_L3_Monto))-BF$236),0)*BF$9</f>
        <v>0</v>
      </c>
      <c r="BG237" s="34" t="n">
        <f aca="false">IF(AND((54-N(V_L3_Mes)+1)&gt;N(V_L3_Gracia),(54-N(V_L3_Mes)+1)&lt;=N(V_L3_Gracia)+N(V_L3_Cuotas),N(V_L3_Cuotas)&gt;0),IF((54-N(V_L3_Mes)+1)=N(V_L3_Gracia)+N(V_L3_Cuotas),IF((54-N(V_L3_Mes)+1)=1,N(V_L3_Monto),BF$238),PMT(N(V_L3_Tasa)/12,N(V_L3_Cuotas),-N(V_L3_Monto))-BG$236),0)*BG$9</f>
        <v>0</v>
      </c>
      <c r="BH237" s="34" t="n">
        <f aca="false">IF(AND((55-N(V_L3_Mes)+1)&gt;N(V_L3_Gracia),(55-N(V_L3_Mes)+1)&lt;=N(V_L3_Gracia)+N(V_L3_Cuotas),N(V_L3_Cuotas)&gt;0),IF((55-N(V_L3_Mes)+1)=N(V_L3_Gracia)+N(V_L3_Cuotas),IF((55-N(V_L3_Mes)+1)=1,N(V_L3_Monto),BG$238),PMT(N(V_L3_Tasa)/12,N(V_L3_Cuotas),-N(V_L3_Monto))-BH$236),0)*BH$9</f>
        <v>0</v>
      </c>
      <c r="BI237" s="34" t="n">
        <f aca="false">IF(AND((56-N(V_L3_Mes)+1)&gt;N(V_L3_Gracia),(56-N(V_L3_Mes)+1)&lt;=N(V_L3_Gracia)+N(V_L3_Cuotas),N(V_L3_Cuotas)&gt;0),IF((56-N(V_L3_Mes)+1)=N(V_L3_Gracia)+N(V_L3_Cuotas),IF((56-N(V_L3_Mes)+1)=1,N(V_L3_Monto),BH$238),PMT(N(V_L3_Tasa)/12,N(V_L3_Cuotas),-N(V_L3_Monto))-BI$236),0)*BI$9</f>
        <v>0</v>
      </c>
      <c r="BJ237" s="34" t="n">
        <f aca="false">IF(AND((57-N(V_L3_Mes)+1)&gt;N(V_L3_Gracia),(57-N(V_L3_Mes)+1)&lt;=N(V_L3_Gracia)+N(V_L3_Cuotas),N(V_L3_Cuotas)&gt;0),IF((57-N(V_L3_Mes)+1)=N(V_L3_Gracia)+N(V_L3_Cuotas),IF((57-N(V_L3_Mes)+1)=1,N(V_L3_Monto),BI$238),PMT(N(V_L3_Tasa)/12,N(V_L3_Cuotas),-N(V_L3_Monto))-BJ$236),0)*BJ$9</f>
        <v>0</v>
      </c>
      <c r="BK237" s="34" t="n">
        <f aca="false">IF(AND((58-N(V_L3_Mes)+1)&gt;N(V_L3_Gracia),(58-N(V_L3_Mes)+1)&lt;=N(V_L3_Gracia)+N(V_L3_Cuotas),N(V_L3_Cuotas)&gt;0),IF((58-N(V_L3_Mes)+1)=N(V_L3_Gracia)+N(V_L3_Cuotas),IF((58-N(V_L3_Mes)+1)=1,N(V_L3_Monto),BJ$238),PMT(N(V_L3_Tasa)/12,N(V_L3_Cuotas),-N(V_L3_Monto))-BK$236),0)*BK$9</f>
        <v>0</v>
      </c>
      <c r="BL237" s="34" t="n">
        <f aca="false">IF(AND((59-N(V_L3_Mes)+1)&gt;N(V_L3_Gracia),(59-N(V_L3_Mes)+1)&lt;=N(V_L3_Gracia)+N(V_L3_Cuotas),N(V_L3_Cuotas)&gt;0),IF((59-N(V_L3_Mes)+1)=N(V_L3_Gracia)+N(V_L3_Cuotas),IF((59-N(V_L3_Mes)+1)=1,N(V_L3_Monto),BK$238),PMT(N(V_L3_Tasa)/12,N(V_L3_Cuotas),-N(V_L3_Monto))-BL$236),0)*BL$9</f>
        <v>0</v>
      </c>
      <c r="BM237" s="34" t="n">
        <f aca="false">IF(AND((60-N(V_L3_Mes)+1)&gt;N(V_L3_Gracia),(60-N(V_L3_Mes)+1)&lt;=N(V_L3_Gracia)+N(V_L3_Cuotas),N(V_L3_Cuotas)&gt;0),IF((60-N(V_L3_Mes)+1)=N(V_L3_Gracia)+N(V_L3_Cuotas),IF((60-N(V_L3_Mes)+1)=1,N(V_L3_Monto),BL$238),PMT(N(V_L3_Tasa)/12,N(V_L3_Cuotas),-N(V_L3_Monto))-BM$236),0)*BM$9</f>
        <v>0</v>
      </c>
      <c r="BN237" s="34" t="n">
        <f aca="false">IF(AND((61-N(V_L3_Mes)+1)&gt;N(V_L3_Gracia),(61-N(V_L3_Mes)+1)&lt;=N(V_L3_Gracia)+N(V_L3_Cuotas),N(V_L3_Cuotas)&gt;0),IF((61-N(V_L3_Mes)+1)=N(V_L3_Gracia)+N(V_L3_Cuotas),IF((61-N(V_L3_Mes)+1)=1,N(V_L3_Monto),BM$238),PMT(N(V_L3_Tasa)/12,N(V_L3_Cuotas),-N(V_L3_Monto))-BN$236),0)*BN$9</f>
        <v>0</v>
      </c>
      <c r="BO237" s="34" t="n">
        <f aca="false">IF(AND((62-N(V_L3_Mes)+1)&gt;N(V_L3_Gracia),(62-N(V_L3_Mes)+1)&lt;=N(V_L3_Gracia)+N(V_L3_Cuotas),N(V_L3_Cuotas)&gt;0),IF((62-N(V_L3_Mes)+1)=N(V_L3_Gracia)+N(V_L3_Cuotas),IF((62-N(V_L3_Mes)+1)=1,N(V_L3_Monto),BN$238),PMT(N(V_L3_Tasa)/12,N(V_L3_Cuotas),-N(V_L3_Monto))-BO$236),0)*BO$9</f>
        <v>0</v>
      </c>
      <c r="BP237" s="34" t="n">
        <f aca="false">IF(AND((63-N(V_L3_Mes)+1)&gt;N(V_L3_Gracia),(63-N(V_L3_Mes)+1)&lt;=N(V_L3_Gracia)+N(V_L3_Cuotas),N(V_L3_Cuotas)&gt;0),IF((63-N(V_L3_Mes)+1)=N(V_L3_Gracia)+N(V_L3_Cuotas),IF((63-N(V_L3_Mes)+1)=1,N(V_L3_Monto),BO$238),PMT(N(V_L3_Tasa)/12,N(V_L3_Cuotas),-N(V_L3_Monto))-BP$236),0)*BP$9</f>
        <v>0</v>
      </c>
      <c r="BQ237" s="34" t="n">
        <f aca="false">IF(AND((64-N(V_L3_Mes)+1)&gt;N(V_L3_Gracia),(64-N(V_L3_Mes)+1)&lt;=N(V_L3_Gracia)+N(V_L3_Cuotas),N(V_L3_Cuotas)&gt;0),IF((64-N(V_L3_Mes)+1)=N(V_L3_Gracia)+N(V_L3_Cuotas),IF((64-N(V_L3_Mes)+1)=1,N(V_L3_Monto),BP$238),PMT(N(V_L3_Tasa)/12,N(V_L3_Cuotas),-N(V_L3_Monto))-BQ$236),0)*BQ$9</f>
        <v>0</v>
      </c>
      <c r="BR237" s="34" t="n">
        <f aca="false">IF(AND((65-N(V_L3_Mes)+1)&gt;N(V_L3_Gracia),(65-N(V_L3_Mes)+1)&lt;=N(V_L3_Gracia)+N(V_L3_Cuotas),N(V_L3_Cuotas)&gt;0),IF((65-N(V_L3_Mes)+1)=N(V_L3_Gracia)+N(V_L3_Cuotas),IF((65-N(V_L3_Mes)+1)=1,N(V_L3_Monto),BQ$238),PMT(N(V_L3_Tasa)/12,N(V_L3_Cuotas),-N(V_L3_Monto))-BR$236),0)*BR$9</f>
        <v>0</v>
      </c>
      <c r="BS237" s="34" t="n">
        <f aca="false">IF(AND((66-N(V_L3_Mes)+1)&gt;N(V_L3_Gracia),(66-N(V_L3_Mes)+1)&lt;=N(V_L3_Gracia)+N(V_L3_Cuotas),N(V_L3_Cuotas)&gt;0),IF((66-N(V_L3_Mes)+1)=N(V_L3_Gracia)+N(V_L3_Cuotas),IF((66-N(V_L3_Mes)+1)=1,N(V_L3_Monto),BR$238),PMT(N(V_L3_Tasa)/12,N(V_L3_Cuotas),-N(V_L3_Monto))-BS$236),0)*BS$9</f>
        <v>0</v>
      </c>
      <c r="BT237" s="34" t="n">
        <f aca="false">IF(AND((67-N(V_L3_Mes)+1)&gt;N(V_L3_Gracia),(67-N(V_L3_Mes)+1)&lt;=N(V_L3_Gracia)+N(V_L3_Cuotas),N(V_L3_Cuotas)&gt;0),IF((67-N(V_L3_Mes)+1)=N(V_L3_Gracia)+N(V_L3_Cuotas),IF((67-N(V_L3_Mes)+1)=1,N(V_L3_Monto),BS$238),PMT(N(V_L3_Tasa)/12,N(V_L3_Cuotas),-N(V_L3_Monto))-BT$236),0)*BT$9</f>
        <v>0</v>
      </c>
      <c r="BU237" s="34" t="n">
        <f aca="false">IF(AND((68-N(V_L3_Mes)+1)&gt;N(V_L3_Gracia),(68-N(V_L3_Mes)+1)&lt;=N(V_L3_Gracia)+N(V_L3_Cuotas),N(V_L3_Cuotas)&gt;0),IF((68-N(V_L3_Mes)+1)=N(V_L3_Gracia)+N(V_L3_Cuotas),IF((68-N(V_L3_Mes)+1)=1,N(V_L3_Monto),BT$238),PMT(N(V_L3_Tasa)/12,N(V_L3_Cuotas),-N(V_L3_Monto))-BU$236),0)*BU$9</f>
        <v>0</v>
      </c>
      <c r="BV237" s="34" t="n">
        <f aca="false">IF(AND((69-N(V_L3_Mes)+1)&gt;N(V_L3_Gracia),(69-N(V_L3_Mes)+1)&lt;=N(V_L3_Gracia)+N(V_L3_Cuotas),N(V_L3_Cuotas)&gt;0),IF((69-N(V_L3_Mes)+1)=N(V_L3_Gracia)+N(V_L3_Cuotas),IF((69-N(V_L3_Mes)+1)=1,N(V_L3_Monto),BU$238),PMT(N(V_L3_Tasa)/12,N(V_L3_Cuotas),-N(V_L3_Monto))-BV$236),0)*BV$9</f>
        <v>0</v>
      </c>
      <c r="BW237" s="34" t="n">
        <f aca="false">IF(AND((70-N(V_L3_Mes)+1)&gt;N(V_L3_Gracia),(70-N(V_L3_Mes)+1)&lt;=N(V_L3_Gracia)+N(V_L3_Cuotas),N(V_L3_Cuotas)&gt;0),IF((70-N(V_L3_Mes)+1)=N(V_L3_Gracia)+N(V_L3_Cuotas),IF((70-N(V_L3_Mes)+1)=1,N(V_L3_Monto),BV$238),PMT(N(V_L3_Tasa)/12,N(V_L3_Cuotas),-N(V_L3_Monto))-BW$236),0)*BW$9</f>
        <v>0</v>
      </c>
      <c r="BX237" s="34" t="n">
        <f aca="false">IF(AND((71-N(V_L3_Mes)+1)&gt;N(V_L3_Gracia),(71-N(V_L3_Mes)+1)&lt;=N(V_L3_Gracia)+N(V_L3_Cuotas),N(V_L3_Cuotas)&gt;0),IF((71-N(V_L3_Mes)+1)=N(V_L3_Gracia)+N(V_L3_Cuotas),IF((71-N(V_L3_Mes)+1)=1,N(V_L3_Monto),BW$238),PMT(N(V_L3_Tasa)/12,N(V_L3_Cuotas),-N(V_L3_Monto))-BX$236),0)*BX$9</f>
        <v>0</v>
      </c>
      <c r="BY237" s="34" t="n">
        <f aca="false">IF(AND((72-N(V_L3_Mes)+1)&gt;N(V_L3_Gracia),(72-N(V_L3_Mes)+1)&lt;=N(V_L3_Gracia)+N(V_L3_Cuotas),N(V_L3_Cuotas)&gt;0),IF((72-N(V_L3_Mes)+1)=N(V_L3_Gracia)+N(V_L3_Cuotas),IF((72-N(V_L3_Mes)+1)=1,N(V_L3_Monto),BX$238),PMT(N(V_L3_Tasa)/12,N(V_L3_Cuotas),-N(V_L3_Monto))-BY$236),0)*BY$9</f>
        <v>0</v>
      </c>
      <c r="BZ237" s="34" t="n">
        <f aca="false">IF(AND((73-N(V_L3_Mes)+1)&gt;N(V_L3_Gracia),(73-N(V_L3_Mes)+1)&lt;=N(V_L3_Gracia)+N(V_L3_Cuotas),N(V_L3_Cuotas)&gt;0),IF((73-N(V_L3_Mes)+1)=N(V_L3_Gracia)+N(V_L3_Cuotas),IF((73-N(V_L3_Mes)+1)=1,N(V_L3_Monto),BY$238),PMT(N(V_L3_Tasa)/12,N(V_L3_Cuotas),-N(V_L3_Monto))-BZ$236),0)*BZ$9</f>
        <v>0</v>
      </c>
      <c r="CA237" s="34" t="n">
        <f aca="false">IF(AND((74-N(V_L3_Mes)+1)&gt;N(V_L3_Gracia),(74-N(V_L3_Mes)+1)&lt;=N(V_L3_Gracia)+N(V_L3_Cuotas),N(V_L3_Cuotas)&gt;0),IF((74-N(V_L3_Mes)+1)=N(V_L3_Gracia)+N(V_L3_Cuotas),IF((74-N(V_L3_Mes)+1)=1,N(V_L3_Monto),BZ$238),PMT(N(V_L3_Tasa)/12,N(V_L3_Cuotas),-N(V_L3_Monto))-CA$236),0)*CA$9</f>
        <v>0</v>
      </c>
      <c r="CB237" s="34" t="n">
        <f aca="false">IF(AND((75-N(V_L3_Mes)+1)&gt;N(V_L3_Gracia),(75-N(V_L3_Mes)+1)&lt;=N(V_L3_Gracia)+N(V_L3_Cuotas),N(V_L3_Cuotas)&gt;0),IF((75-N(V_L3_Mes)+1)=N(V_L3_Gracia)+N(V_L3_Cuotas),IF((75-N(V_L3_Mes)+1)=1,N(V_L3_Monto),CA$238),PMT(N(V_L3_Tasa)/12,N(V_L3_Cuotas),-N(V_L3_Monto))-CB$236),0)*CB$9</f>
        <v>0</v>
      </c>
      <c r="CC237" s="34" t="n">
        <f aca="false">IF(AND((76-N(V_L3_Mes)+1)&gt;N(V_L3_Gracia),(76-N(V_L3_Mes)+1)&lt;=N(V_L3_Gracia)+N(V_L3_Cuotas),N(V_L3_Cuotas)&gt;0),IF((76-N(V_L3_Mes)+1)=N(V_L3_Gracia)+N(V_L3_Cuotas),IF((76-N(V_L3_Mes)+1)=1,N(V_L3_Monto),CB$238),PMT(N(V_L3_Tasa)/12,N(V_L3_Cuotas),-N(V_L3_Monto))-CC$236),0)*CC$9</f>
        <v>0</v>
      </c>
      <c r="CD237" s="34" t="n">
        <f aca="false">IF(AND((77-N(V_L3_Mes)+1)&gt;N(V_L3_Gracia),(77-N(V_L3_Mes)+1)&lt;=N(V_L3_Gracia)+N(V_L3_Cuotas),N(V_L3_Cuotas)&gt;0),IF((77-N(V_L3_Mes)+1)=N(V_L3_Gracia)+N(V_L3_Cuotas),IF((77-N(V_L3_Mes)+1)=1,N(V_L3_Monto),CC$238),PMT(N(V_L3_Tasa)/12,N(V_L3_Cuotas),-N(V_L3_Monto))-CD$236),0)*CD$9</f>
        <v>0</v>
      </c>
      <c r="CE237" s="34" t="n">
        <f aca="false">IF(AND((78-N(V_L3_Mes)+1)&gt;N(V_L3_Gracia),(78-N(V_L3_Mes)+1)&lt;=N(V_L3_Gracia)+N(V_L3_Cuotas),N(V_L3_Cuotas)&gt;0),IF((78-N(V_L3_Mes)+1)=N(V_L3_Gracia)+N(V_L3_Cuotas),IF((78-N(V_L3_Mes)+1)=1,N(V_L3_Monto),CD$238),PMT(N(V_L3_Tasa)/12,N(V_L3_Cuotas),-N(V_L3_Monto))-CE$236),0)*CE$9</f>
        <v>0</v>
      </c>
      <c r="CF237" s="34" t="n">
        <f aca="false">IF(AND((79-N(V_L3_Mes)+1)&gt;N(V_L3_Gracia),(79-N(V_L3_Mes)+1)&lt;=N(V_L3_Gracia)+N(V_L3_Cuotas),N(V_L3_Cuotas)&gt;0),IF((79-N(V_L3_Mes)+1)=N(V_L3_Gracia)+N(V_L3_Cuotas),IF((79-N(V_L3_Mes)+1)=1,N(V_L3_Monto),CE$238),PMT(N(V_L3_Tasa)/12,N(V_L3_Cuotas),-N(V_L3_Monto))-CF$236),0)*CF$9</f>
        <v>0</v>
      </c>
      <c r="CG237" s="34" t="n">
        <f aca="false">IF(AND((80-N(V_L3_Mes)+1)&gt;N(V_L3_Gracia),(80-N(V_L3_Mes)+1)&lt;=N(V_L3_Gracia)+N(V_L3_Cuotas),N(V_L3_Cuotas)&gt;0),IF((80-N(V_L3_Mes)+1)=N(V_L3_Gracia)+N(V_L3_Cuotas),IF((80-N(V_L3_Mes)+1)=1,N(V_L3_Monto),CF$238),PMT(N(V_L3_Tasa)/12,N(V_L3_Cuotas),-N(V_L3_Monto))-CG$236),0)*CG$9</f>
        <v>0</v>
      </c>
      <c r="CH237" s="34" t="n">
        <f aca="false">IF(AND((81-N(V_L3_Mes)+1)&gt;N(V_L3_Gracia),(81-N(V_L3_Mes)+1)&lt;=N(V_L3_Gracia)+N(V_L3_Cuotas),N(V_L3_Cuotas)&gt;0),IF((81-N(V_L3_Mes)+1)=N(V_L3_Gracia)+N(V_L3_Cuotas),IF((81-N(V_L3_Mes)+1)=1,N(V_L3_Monto),CG$238),PMT(N(V_L3_Tasa)/12,N(V_L3_Cuotas),-N(V_L3_Monto))-CH$236),0)*CH$9</f>
        <v>0</v>
      </c>
      <c r="CI237" s="34" t="n">
        <f aca="false">IF(AND((82-N(V_L3_Mes)+1)&gt;N(V_L3_Gracia),(82-N(V_L3_Mes)+1)&lt;=N(V_L3_Gracia)+N(V_L3_Cuotas),N(V_L3_Cuotas)&gt;0),IF((82-N(V_L3_Mes)+1)=N(V_L3_Gracia)+N(V_L3_Cuotas),IF((82-N(V_L3_Mes)+1)=1,N(V_L3_Monto),CH$238),PMT(N(V_L3_Tasa)/12,N(V_L3_Cuotas),-N(V_L3_Monto))-CI$236),0)*CI$9</f>
        <v>0</v>
      </c>
      <c r="CJ237" s="34" t="n">
        <f aca="false">IF(AND((83-N(V_L3_Mes)+1)&gt;N(V_L3_Gracia),(83-N(V_L3_Mes)+1)&lt;=N(V_L3_Gracia)+N(V_L3_Cuotas),N(V_L3_Cuotas)&gt;0),IF((83-N(V_L3_Mes)+1)=N(V_L3_Gracia)+N(V_L3_Cuotas),IF((83-N(V_L3_Mes)+1)=1,N(V_L3_Monto),CI$238),PMT(N(V_L3_Tasa)/12,N(V_L3_Cuotas),-N(V_L3_Monto))-CJ$236),0)*CJ$9</f>
        <v>0</v>
      </c>
      <c r="CK237" s="34" t="n">
        <f aca="false">IF(AND((84-N(V_L3_Mes)+1)&gt;N(V_L3_Gracia),(84-N(V_L3_Mes)+1)&lt;=N(V_L3_Gracia)+N(V_L3_Cuotas),N(V_L3_Cuotas)&gt;0),IF((84-N(V_L3_Mes)+1)=N(V_L3_Gracia)+N(V_L3_Cuotas),IF((84-N(V_L3_Mes)+1)=1,N(V_L3_Monto),CJ$238),PMT(N(V_L3_Tasa)/12,N(V_L3_Cuotas),-N(V_L3_Monto))-CK$236),0)*CK$9</f>
        <v>0</v>
      </c>
      <c r="CL237" s="34" t="n">
        <f aca="false">IF(AND((85-N(V_L3_Mes)+1)&gt;N(V_L3_Gracia),(85-N(V_L3_Mes)+1)&lt;=N(V_L3_Gracia)+N(V_L3_Cuotas),N(V_L3_Cuotas)&gt;0),IF((85-N(V_L3_Mes)+1)=N(V_L3_Gracia)+N(V_L3_Cuotas),IF((85-N(V_L3_Mes)+1)=1,N(V_L3_Monto),CK$238),PMT(N(V_L3_Tasa)/12,N(V_L3_Cuotas),-N(V_L3_Monto))-CL$236),0)*CL$9</f>
        <v>0</v>
      </c>
      <c r="CM237" s="34" t="n">
        <f aca="false">IF(AND((86-N(V_L3_Mes)+1)&gt;N(V_L3_Gracia),(86-N(V_L3_Mes)+1)&lt;=N(V_L3_Gracia)+N(V_L3_Cuotas),N(V_L3_Cuotas)&gt;0),IF((86-N(V_L3_Mes)+1)=N(V_L3_Gracia)+N(V_L3_Cuotas),IF((86-N(V_L3_Mes)+1)=1,N(V_L3_Monto),CL$238),PMT(N(V_L3_Tasa)/12,N(V_L3_Cuotas),-N(V_L3_Monto))-CM$236),0)*CM$9</f>
        <v>0</v>
      </c>
      <c r="CN237" s="34" t="n">
        <f aca="false">IF(AND((87-N(V_L3_Mes)+1)&gt;N(V_L3_Gracia),(87-N(V_L3_Mes)+1)&lt;=N(V_L3_Gracia)+N(V_L3_Cuotas),N(V_L3_Cuotas)&gt;0),IF((87-N(V_L3_Mes)+1)=N(V_L3_Gracia)+N(V_L3_Cuotas),IF((87-N(V_L3_Mes)+1)=1,N(V_L3_Monto),CM$238),PMT(N(V_L3_Tasa)/12,N(V_L3_Cuotas),-N(V_L3_Monto))-CN$236),0)*CN$9</f>
        <v>0</v>
      </c>
      <c r="CO237" s="34" t="n">
        <f aca="false">IF(AND((88-N(V_L3_Mes)+1)&gt;N(V_L3_Gracia),(88-N(V_L3_Mes)+1)&lt;=N(V_L3_Gracia)+N(V_L3_Cuotas),N(V_L3_Cuotas)&gt;0),IF((88-N(V_L3_Mes)+1)=N(V_L3_Gracia)+N(V_L3_Cuotas),IF((88-N(V_L3_Mes)+1)=1,N(V_L3_Monto),CN$238),PMT(N(V_L3_Tasa)/12,N(V_L3_Cuotas),-N(V_L3_Monto))-CO$236),0)*CO$9</f>
        <v>0</v>
      </c>
      <c r="CP237" s="34" t="n">
        <f aca="false">IF(AND((89-N(V_L3_Mes)+1)&gt;N(V_L3_Gracia),(89-N(V_L3_Mes)+1)&lt;=N(V_L3_Gracia)+N(V_L3_Cuotas),N(V_L3_Cuotas)&gt;0),IF((89-N(V_L3_Mes)+1)=N(V_L3_Gracia)+N(V_L3_Cuotas),IF((89-N(V_L3_Mes)+1)=1,N(V_L3_Monto),CO$238),PMT(N(V_L3_Tasa)/12,N(V_L3_Cuotas),-N(V_L3_Monto))-CP$236),0)*CP$9</f>
        <v>0</v>
      </c>
      <c r="CQ237" s="34" t="n">
        <f aca="false">IF(AND((90-N(V_L3_Mes)+1)&gt;N(V_L3_Gracia),(90-N(V_L3_Mes)+1)&lt;=N(V_L3_Gracia)+N(V_L3_Cuotas),N(V_L3_Cuotas)&gt;0),IF((90-N(V_L3_Mes)+1)=N(V_L3_Gracia)+N(V_L3_Cuotas),IF((90-N(V_L3_Mes)+1)=1,N(V_L3_Monto),CP$238),PMT(N(V_L3_Tasa)/12,N(V_L3_Cuotas),-N(V_L3_Monto))-CQ$236),0)*CQ$9</f>
        <v>0</v>
      </c>
      <c r="CR237" s="34" t="n">
        <f aca="false">IF(AND((91-N(V_L3_Mes)+1)&gt;N(V_L3_Gracia),(91-N(V_L3_Mes)+1)&lt;=N(V_L3_Gracia)+N(V_L3_Cuotas),N(V_L3_Cuotas)&gt;0),IF((91-N(V_L3_Mes)+1)=N(V_L3_Gracia)+N(V_L3_Cuotas),IF((91-N(V_L3_Mes)+1)=1,N(V_L3_Monto),CQ$238),PMT(N(V_L3_Tasa)/12,N(V_L3_Cuotas),-N(V_L3_Monto))-CR$236),0)*CR$9</f>
        <v>0</v>
      </c>
      <c r="CS237" s="34" t="n">
        <f aca="false">IF(AND((92-N(V_L3_Mes)+1)&gt;N(V_L3_Gracia),(92-N(V_L3_Mes)+1)&lt;=N(V_L3_Gracia)+N(V_L3_Cuotas),N(V_L3_Cuotas)&gt;0),IF((92-N(V_L3_Mes)+1)=N(V_L3_Gracia)+N(V_L3_Cuotas),IF((92-N(V_L3_Mes)+1)=1,N(V_L3_Monto),CR$238),PMT(N(V_L3_Tasa)/12,N(V_L3_Cuotas),-N(V_L3_Monto))-CS$236),0)*CS$9</f>
        <v>0</v>
      </c>
      <c r="CT237" s="34" t="n">
        <f aca="false">IF(AND((93-N(V_L3_Mes)+1)&gt;N(V_L3_Gracia),(93-N(V_L3_Mes)+1)&lt;=N(V_L3_Gracia)+N(V_L3_Cuotas),N(V_L3_Cuotas)&gt;0),IF((93-N(V_L3_Mes)+1)=N(V_L3_Gracia)+N(V_L3_Cuotas),IF((93-N(V_L3_Mes)+1)=1,N(V_L3_Monto),CS$238),PMT(N(V_L3_Tasa)/12,N(V_L3_Cuotas),-N(V_L3_Monto))-CT$236),0)*CT$9</f>
        <v>0</v>
      </c>
      <c r="CU237" s="34" t="n">
        <f aca="false">IF(AND((94-N(V_L3_Mes)+1)&gt;N(V_L3_Gracia),(94-N(V_L3_Mes)+1)&lt;=N(V_L3_Gracia)+N(V_L3_Cuotas),N(V_L3_Cuotas)&gt;0),IF((94-N(V_L3_Mes)+1)=N(V_L3_Gracia)+N(V_L3_Cuotas),IF((94-N(V_L3_Mes)+1)=1,N(V_L3_Monto),CT$238),PMT(N(V_L3_Tasa)/12,N(V_L3_Cuotas),-N(V_L3_Monto))-CU$236),0)*CU$9</f>
        <v>0</v>
      </c>
      <c r="CV237" s="34" t="n">
        <f aca="false">IF(AND((95-N(V_L3_Mes)+1)&gt;N(V_L3_Gracia),(95-N(V_L3_Mes)+1)&lt;=N(V_L3_Gracia)+N(V_L3_Cuotas),N(V_L3_Cuotas)&gt;0),IF((95-N(V_L3_Mes)+1)=N(V_L3_Gracia)+N(V_L3_Cuotas),IF((95-N(V_L3_Mes)+1)=1,N(V_L3_Monto),CU$238),PMT(N(V_L3_Tasa)/12,N(V_L3_Cuotas),-N(V_L3_Monto))-CV$236),0)*CV$9</f>
        <v>0</v>
      </c>
      <c r="CW237" s="34" t="n">
        <f aca="false">IF(AND((96-N(V_L3_Mes)+1)&gt;N(V_L3_Gracia),(96-N(V_L3_Mes)+1)&lt;=N(V_L3_Gracia)+N(V_L3_Cuotas),N(V_L3_Cuotas)&gt;0),IF((96-N(V_L3_Mes)+1)=N(V_L3_Gracia)+N(V_L3_Cuotas),IF((96-N(V_L3_Mes)+1)=1,N(V_L3_Monto),CV$238),PMT(N(V_L3_Tasa)/12,N(V_L3_Cuotas),-N(V_L3_Monto))-CW$236),0)*CW$9</f>
        <v>0</v>
      </c>
      <c r="CX237" s="34" t="n">
        <f aca="false">IF(AND((97-N(V_L3_Mes)+1)&gt;N(V_L3_Gracia),(97-N(V_L3_Mes)+1)&lt;=N(V_L3_Gracia)+N(V_L3_Cuotas),N(V_L3_Cuotas)&gt;0),IF((97-N(V_L3_Mes)+1)=N(V_L3_Gracia)+N(V_L3_Cuotas),IF((97-N(V_L3_Mes)+1)=1,N(V_L3_Monto),CW$238),PMT(N(V_L3_Tasa)/12,N(V_L3_Cuotas),-N(V_L3_Monto))-CX$236),0)*CX$9</f>
        <v>0</v>
      </c>
      <c r="CY237" s="34" t="n">
        <f aca="false">IF(AND((98-N(V_L3_Mes)+1)&gt;N(V_L3_Gracia),(98-N(V_L3_Mes)+1)&lt;=N(V_L3_Gracia)+N(V_L3_Cuotas),N(V_L3_Cuotas)&gt;0),IF((98-N(V_L3_Mes)+1)=N(V_L3_Gracia)+N(V_L3_Cuotas),IF((98-N(V_L3_Mes)+1)=1,N(V_L3_Monto),CX$238),PMT(N(V_L3_Tasa)/12,N(V_L3_Cuotas),-N(V_L3_Monto))-CY$236),0)*CY$9</f>
        <v>0</v>
      </c>
      <c r="CZ237" s="34" t="n">
        <f aca="false">IF(AND((99-N(V_L3_Mes)+1)&gt;N(V_L3_Gracia),(99-N(V_L3_Mes)+1)&lt;=N(V_L3_Gracia)+N(V_L3_Cuotas),N(V_L3_Cuotas)&gt;0),IF((99-N(V_L3_Mes)+1)=N(V_L3_Gracia)+N(V_L3_Cuotas),IF((99-N(V_L3_Mes)+1)=1,N(V_L3_Monto),CY$238),PMT(N(V_L3_Tasa)/12,N(V_L3_Cuotas),-N(V_L3_Monto))-CZ$236),0)*CZ$9</f>
        <v>0</v>
      </c>
      <c r="DA237" s="34" t="n">
        <f aca="false">IF(AND((100-N(V_L3_Mes)+1)&gt;N(V_L3_Gracia),(100-N(V_L3_Mes)+1)&lt;=N(V_L3_Gracia)+N(V_L3_Cuotas),N(V_L3_Cuotas)&gt;0),IF((100-N(V_L3_Mes)+1)=N(V_L3_Gracia)+N(V_L3_Cuotas),IF((100-N(V_L3_Mes)+1)=1,N(V_L3_Monto),CZ$238),PMT(N(V_L3_Tasa)/12,N(V_L3_Cuotas),-N(V_L3_Monto))-DA$236),0)*DA$9</f>
        <v>0</v>
      </c>
      <c r="DB237" s="34" t="n">
        <f aca="false">IF(AND((101-N(V_L3_Mes)+1)&gt;N(V_L3_Gracia),(101-N(V_L3_Mes)+1)&lt;=N(V_L3_Gracia)+N(V_L3_Cuotas),N(V_L3_Cuotas)&gt;0),IF((101-N(V_L3_Mes)+1)=N(V_L3_Gracia)+N(V_L3_Cuotas),IF((101-N(V_L3_Mes)+1)=1,N(V_L3_Monto),DA$238),PMT(N(V_L3_Tasa)/12,N(V_L3_Cuotas),-N(V_L3_Monto))-DB$236),0)*DB$9</f>
        <v>0</v>
      </c>
      <c r="DC237" s="34" t="n">
        <f aca="false">IF(AND((102-N(V_L3_Mes)+1)&gt;N(V_L3_Gracia),(102-N(V_L3_Mes)+1)&lt;=N(V_L3_Gracia)+N(V_L3_Cuotas),N(V_L3_Cuotas)&gt;0),IF((102-N(V_L3_Mes)+1)=N(V_L3_Gracia)+N(V_L3_Cuotas),IF((102-N(V_L3_Mes)+1)=1,N(V_L3_Monto),DB$238),PMT(N(V_L3_Tasa)/12,N(V_L3_Cuotas),-N(V_L3_Monto))-DC$236),0)*DC$9</f>
        <v>0</v>
      </c>
      <c r="DD237" s="34" t="n">
        <f aca="false">IF(AND((103-N(V_L3_Mes)+1)&gt;N(V_L3_Gracia),(103-N(V_L3_Mes)+1)&lt;=N(V_L3_Gracia)+N(V_L3_Cuotas),N(V_L3_Cuotas)&gt;0),IF((103-N(V_L3_Mes)+1)=N(V_L3_Gracia)+N(V_L3_Cuotas),IF((103-N(V_L3_Mes)+1)=1,N(V_L3_Monto),DC$238),PMT(N(V_L3_Tasa)/12,N(V_L3_Cuotas),-N(V_L3_Monto))-DD$236),0)*DD$9</f>
        <v>0</v>
      </c>
      <c r="DE237" s="34" t="n">
        <f aca="false">IF(AND((104-N(V_L3_Mes)+1)&gt;N(V_L3_Gracia),(104-N(V_L3_Mes)+1)&lt;=N(V_L3_Gracia)+N(V_L3_Cuotas),N(V_L3_Cuotas)&gt;0),IF((104-N(V_L3_Mes)+1)=N(V_L3_Gracia)+N(V_L3_Cuotas),IF((104-N(V_L3_Mes)+1)=1,N(V_L3_Monto),DD$238),PMT(N(V_L3_Tasa)/12,N(V_L3_Cuotas),-N(V_L3_Monto))-DE$236),0)*DE$9</f>
        <v>0</v>
      </c>
      <c r="DF237" s="34" t="n">
        <f aca="false">IF(AND((105-N(V_L3_Mes)+1)&gt;N(V_L3_Gracia),(105-N(V_L3_Mes)+1)&lt;=N(V_L3_Gracia)+N(V_L3_Cuotas),N(V_L3_Cuotas)&gt;0),IF((105-N(V_L3_Mes)+1)=N(V_L3_Gracia)+N(V_L3_Cuotas),IF((105-N(V_L3_Mes)+1)=1,N(V_L3_Monto),DE$238),PMT(N(V_L3_Tasa)/12,N(V_L3_Cuotas),-N(V_L3_Monto))-DF$236),0)*DF$9</f>
        <v>0</v>
      </c>
      <c r="DG237" s="34" t="n">
        <f aca="false">IF(AND((106-N(V_L3_Mes)+1)&gt;N(V_L3_Gracia),(106-N(V_L3_Mes)+1)&lt;=N(V_L3_Gracia)+N(V_L3_Cuotas),N(V_L3_Cuotas)&gt;0),IF((106-N(V_L3_Mes)+1)=N(V_L3_Gracia)+N(V_L3_Cuotas),IF((106-N(V_L3_Mes)+1)=1,N(V_L3_Monto),DF$238),PMT(N(V_L3_Tasa)/12,N(V_L3_Cuotas),-N(V_L3_Monto))-DG$236),0)*DG$9</f>
        <v>0</v>
      </c>
      <c r="DH237" s="34" t="n">
        <f aca="false">IF(AND((107-N(V_L3_Mes)+1)&gt;N(V_L3_Gracia),(107-N(V_L3_Mes)+1)&lt;=N(V_L3_Gracia)+N(V_L3_Cuotas),N(V_L3_Cuotas)&gt;0),IF((107-N(V_L3_Mes)+1)=N(V_L3_Gracia)+N(V_L3_Cuotas),IF((107-N(V_L3_Mes)+1)=1,N(V_L3_Monto),DG$238),PMT(N(V_L3_Tasa)/12,N(V_L3_Cuotas),-N(V_L3_Monto))-DH$236),0)*DH$9</f>
        <v>0</v>
      </c>
      <c r="DI237" s="34" t="n">
        <f aca="false">IF(AND((108-N(V_L3_Mes)+1)&gt;N(V_L3_Gracia),(108-N(V_L3_Mes)+1)&lt;=N(V_L3_Gracia)+N(V_L3_Cuotas),N(V_L3_Cuotas)&gt;0),IF((108-N(V_L3_Mes)+1)=N(V_L3_Gracia)+N(V_L3_Cuotas),IF((108-N(V_L3_Mes)+1)=1,N(V_L3_Monto),DH$238),PMT(N(V_L3_Tasa)/12,N(V_L3_Cuotas),-N(V_L3_Monto))-DI$236),0)*DI$9</f>
        <v>0</v>
      </c>
      <c r="DJ237" s="34" t="n">
        <f aca="false">IF(AND((109-N(V_L3_Mes)+1)&gt;N(V_L3_Gracia),(109-N(V_L3_Mes)+1)&lt;=N(V_L3_Gracia)+N(V_L3_Cuotas),N(V_L3_Cuotas)&gt;0),IF((109-N(V_L3_Mes)+1)=N(V_L3_Gracia)+N(V_L3_Cuotas),IF((109-N(V_L3_Mes)+1)=1,N(V_L3_Monto),DI$238),PMT(N(V_L3_Tasa)/12,N(V_L3_Cuotas),-N(V_L3_Monto))-DJ$236),0)*DJ$9</f>
        <v>0</v>
      </c>
      <c r="DK237" s="34" t="n">
        <f aca="false">IF(AND((110-N(V_L3_Mes)+1)&gt;N(V_L3_Gracia),(110-N(V_L3_Mes)+1)&lt;=N(V_L3_Gracia)+N(V_L3_Cuotas),N(V_L3_Cuotas)&gt;0),IF((110-N(V_L3_Mes)+1)=N(V_L3_Gracia)+N(V_L3_Cuotas),IF((110-N(V_L3_Mes)+1)=1,N(V_L3_Monto),DJ$238),PMT(N(V_L3_Tasa)/12,N(V_L3_Cuotas),-N(V_L3_Monto))-DK$236),0)*DK$9</f>
        <v>0</v>
      </c>
      <c r="DL237" s="34" t="n">
        <f aca="false">IF(AND((111-N(V_L3_Mes)+1)&gt;N(V_L3_Gracia),(111-N(V_L3_Mes)+1)&lt;=N(V_L3_Gracia)+N(V_L3_Cuotas),N(V_L3_Cuotas)&gt;0),IF((111-N(V_L3_Mes)+1)=N(V_L3_Gracia)+N(V_L3_Cuotas),IF((111-N(V_L3_Mes)+1)=1,N(V_L3_Monto),DK$238),PMT(N(V_L3_Tasa)/12,N(V_L3_Cuotas),-N(V_L3_Monto))-DL$236),0)*DL$9</f>
        <v>0</v>
      </c>
      <c r="DM237" s="34" t="n">
        <f aca="false">IF(AND((112-N(V_L3_Mes)+1)&gt;N(V_L3_Gracia),(112-N(V_L3_Mes)+1)&lt;=N(V_L3_Gracia)+N(V_L3_Cuotas),N(V_L3_Cuotas)&gt;0),IF((112-N(V_L3_Mes)+1)=N(V_L3_Gracia)+N(V_L3_Cuotas),IF((112-N(V_L3_Mes)+1)=1,N(V_L3_Monto),DL$238),PMT(N(V_L3_Tasa)/12,N(V_L3_Cuotas),-N(V_L3_Monto))-DM$236),0)*DM$9</f>
        <v>0</v>
      </c>
      <c r="DN237" s="34" t="n">
        <f aca="false">IF(AND((113-N(V_L3_Mes)+1)&gt;N(V_L3_Gracia),(113-N(V_L3_Mes)+1)&lt;=N(V_L3_Gracia)+N(V_L3_Cuotas),N(V_L3_Cuotas)&gt;0),IF((113-N(V_L3_Mes)+1)=N(V_L3_Gracia)+N(V_L3_Cuotas),IF((113-N(V_L3_Mes)+1)=1,N(V_L3_Monto),DM$238),PMT(N(V_L3_Tasa)/12,N(V_L3_Cuotas),-N(V_L3_Monto))-DN$236),0)*DN$9</f>
        <v>0</v>
      </c>
      <c r="DO237" s="34" t="n">
        <f aca="false">IF(AND((114-N(V_L3_Mes)+1)&gt;N(V_L3_Gracia),(114-N(V_L3_Mes)+1)&lt;=N(V_L3_Gracia)+N(V_L3_Cuotas),N(V_L3_Cuotas)&gt;0),IF((114-N(V_L3_Mes)+1)=N(V_L3_Gracia)+N(V_L3_Cuotas),IF((114-N(V_L3_Mes)+1)=1,N(V_L3_Monto),DN$238),PMT(N(V_L3_Tasa)/12,N(V_L3_Cuotas),-N(V_L3_Monto))-DO$236),0)*DO$9</f>
        <v>0</v>
      </c>
      <c r="DP237" s="34" t="n">
        <f aca="false">IF(AND((115-N(V_L3_Mes)+1)&gt;N(V_L3_Gracia),(115-N(V_L3_Mes)+1)&lt;=N(V_L3_Gracia)+N(V_L3_Cuotas),N(V_L3_Cuotas)&gt;0),IF((115-N(V_L3_Mes)+1)=N(V_L3_Gracia)+N(V_L3_Cuotas),IF((115-N(V_L3_Mes)+1)=1,N(V_L3_Monto),DO$238),PMT(N(V_L3_Tasa)/12,N(V_L3_Cuotas),-N(V_L3_Monto))-DP$236),0)*DP$9</f>
        <v>0</v>
      </c>
      <c r="DQ237" s="34" t="n">
        <f aca="false">IF(AND((116-N(V_L3_Mes)+1)&gt;N(V_L3_Gracia),(116-N(V_L3_Mes)+1)&lt;=N(V_L3_Gracia)+N(V_L3_Cuotas),N(V_L3_Cuotas)&gt;0),IF((116-N(V_L3_Mes)+1)=N(V_L3_Gracia)+N(V_L3_Cuotas),IF((116-N(V_L3_Mes)+1)=1,N(V_L3_Monto),DP$238),PMT(N(V_L3_Tasa)/12,N(V_L3_Cuotas),-N(V_L3_Monto))-DQ$236),0)*DQ$9</f>
        <v>0</v>
      </c>
      <c r="DR237" s="34" t="n">
        <f aca="false">IF(AND((117-N(V_L3_Mes)+1)&gt;N(V_L3_Gracia),(117-N(V_L3_Mes)+1)&lt;=N(V_L3_Gracia)+N(V_L3_Cuotas),N(V_L3_Cuotas)&gt;0),IF((117-N(V_L3_Mes)+1)=N(V_L3_Gracia)+N(V_L3_Cuotas),IF((117-N(V_L3_Mes)+1)=1,N(V_L3_Monto),DQ$238),PMT(N(V_L3_Tasa)/12,N(V_L3_Cuotas),-N(V_L3_Monto))-DR$236),0)*DR$9</f>
        <v>0</v>
      </c>
      <c r="DS237" s="34" t="n">
        <f aca="false">IF(AND((118-N(V_L3_Mes)+1)&gt;N(V_L3_Gracia),(118-N(V_L3_Mes)+1)&lt;=N(V_L3_Gracia)+N(V_L3_Cuotas),N(V_L3_Cuotas)&gt;0),IF((118-N(V_L3_Mes)+1)=N(V_L3_Gracia)+N(V_L3_Cuotas),IF((118-N(V_L3_Mes)+1)=1,N(V_L3_Monto),DR$238),PMT(N(V_L3_Tasa)/12,N(V_L3_Cuotas),-N(V_L3_Monto))-DS$236),0)*DS$9</f>
        <v>0</v>
      </c>
      <c r="DT237" s="34" t="n">
        <f aca="false">IF(AND((119-N(V_L3_Mes)+1)&gt;N(V_L3_Gracia),(119-N(V_L3_Mes)+1)&lt;=N(V_L3_Gracia)+N(V_L3_Cuotas),N(V_L3_Cuotas)&gt;0),IF((119-N(V_L3_Mes)+1)=N(V_L3_Gracia)+N(V_L3_Cuotas),IF((119-N(V_L3_Mes)+1)=1,N(V_L3_Monto),DS$238),PMT(N(V_L3_Tasa)/12,N(V_L3_Cuotas),-N(V_L3_Monto))-DT$236),0)*DT$9</f>
        <v>0</v>
      </c>
      <c r="DU237" s="34" t="n">
        <f aca="false">IF(AND((120-N(V_L3_Mes)+1)&gt;N(V_L3_Gracia),(120-N(V_L3_Mes)+1)&lt;=N(V_L3_Gracia)+N(V_L3_Cuotas),N(V_L3_Cuotas)&gt;0),IF((120-N(V_L3_Mes)+1)=N(V_L3_Gracia)+N(V_L3_Cuotas),IF((120-N(V_L3_Mes)+1)=1,N(V_L3_Monto),DT$238),PMT(N(V_L3_Tasa)/12,N(V_L3_Cuotas),-N(V_L3_Monto))-DU$236),0)*DU$9</f>
        <v>0</v>
      </c>
      <c r="DV237" s="34" t="n">
        <f aca="false">IF(AND((121-N(V_L3_Mes)+1)&gt;N(V_L3_Gracia),(121-N(V_L3_Mes)+1)&lt;=N(V_L3_Gracia)+N(V_L3_Cuotas),N(V_L3_Cuotas)&gt;0),IF((121-N(V_L3_Mes)+1)=N(V_L3_Gracia)+N(V_L3_Cuotas),IF((121-N(V_L3_Mes)+1)=1,N(V_L3_Monto),DU$238),PMT(N(V_L3_Tasa)/12,N(V_L3_Cuotas),-N(V_L3_Monto))-DV$236),0)*DV$9</f>
        <v>0</v>
      </c>
      <c r="DW237" s="34" t="n">
        <f aca="false">IF(AND((122-N(V_L3_Mes)+1)&gt;N(V_L3_Gracia),(122-N(V_L3_Mes)+1)&lt;=N(V_L3_Gracia)+N(V_L3_Cuotas),N(V_L3_Cuotas)&gt;0),IF((122-N(V_L3_Mes)+1)=N(V_L3_Gracia)+N(V_L3_Cuotas),IF((122-N(V_L3_Mes)+1)=1,N(V_L3_Monto),DV$238),PMT(N(V_L3_Tasa)/12,N(V_L3_Cuotas),-N(V_L3_Monto))-DW$236),0)*DW$9</f>
        <v>0</v>
      </c>
      <c r="DX237" s="34" t="n">
        <f aca="false">IF(AND((123-N(V_L3_Mes)+1)&gt;N(V_L3_Gracia),(123-N(V_L3_Mes)+1)&lt;=N(V_L3_Gracia)+N(V_L3_Cuotas),N(V_L3_Cuotas)&gt;0),IF((123-N(V_L3_Mes)+1)=N(V_L3_Gracia)+N(V_L3_Cuotas),IF((123-N(V_L3_Mes)+1)=1,N(V_L3_Monto),DW$238),PMT(N(V_L3_Tasa)/12,N(V_L3_Cuotas),-N(V_L3_Monto))-DX$236),0)*DX$9</f>
        <v>0</v>
      </c>
      <c r="DY237" s="34" t="n">
        <f aca="false">IF(AND((124-N(V_L3_Mes)+1)&gt;N(V_L3_Gracia),(124-N(V_L3_Mes)+1)&lt;=N(V_L3_Gracia)+N(V_L3_Cuotas),N(V_L3_Cuotas)&gt;0),IF((124-N(V_L3_Mes)+1)=N(V_L3_Gracia)+N(V_L3_Cuotas),IF((124-N(V_L3_Mes)+1)=1,N(V_L3_Monto),DX$238),PMT(N(V_L3_Tasa)/12,N(V_L3_Cuotas),-N(V_L3_Monto))-DY$236),0)*DY$9</f>
        <v>0</v>
      </c>
      <c r="DZ237" s="34" t="n">
        <f aca="false">IF(AND((125-N(V_L3_Mes)+1)&gt;N(V_L3_Gracia),(125-N(V_L3_Mes)+1)&lt;=N(V_L3_Gracia)+N(V_L3_Cuotas),N(V_L3_Cuotas)&gt;0),IF((125-N(V_L3_Mes)+1)=N(V_L3_Gracia)+N(V_L3_Cuotas),IF((125-N(V_L3_Mes)+1)=1,N(V_L3_Monto),DY$238),PMT(N(V_L3_Tasa)/12,N(V_L3_Cuotas),-N(V_L3_Monto))-DZ$236),0)*DZ$9</f>
        <v>0</v>
      </c>
      <c r="EA237" s="34" t="n">
        <f aca="false">IF(AND((126-N(V_L3_Mes)+1)&gt;N(V_L3_Gracia),(126-N(V_L3_Mes)+1)&lt;=N(V_L3_Gracia)+N(V_L3_Cuotas),N(V_L3_Cuotas)&gt;0),IF((126-N(V_L3_Mes)+1)=N(V_L3_Gracia)+N(V_L3_Cuotas),IF((126-N(V_L3_Mes)+1)=1,N(V_L3_Monto),DZ$238),PMT(N(V_L3_Tasa)/12,N(V_L3_Cuotas),-N(V_L3_Monto))-EA$236),0)*EA$9</f>
        <v>0</v>
      </c>
      <c r="EB237" s="34" t="n">
        <f aca="false">IF(AND((127-N(V_L3_Mes)+1)&gt;N(V_L3_Gracia),(127-N(V_L3_Mes)+1)&lt;=N(V_L3_Gracia)+N(V_L3_Cuotas),N(V_L3_Cuotas)&gt;0),IF((127-N(V_L3_Mes)+1)=N(V_L3_Gracia)+N(V_L3_Cuotas),IF((127-N(V_L3_Mes)+1)=1,N(V_L3_Monto),EA$238),PMT(N(V_L3_Tasa)/12,N(V_L3_Cuotas),-N(V_L3_Monto))-EB$236),0)*EB$9</f>
        <v>0</v>
      </c>
      <c r="EC237" s="34" t="n">
        <f aca="false">IF(AND((128-N(V_L3_Mes)+1)&gt;N(V_L3_Gracia),(128-N(V_L3_Mes)+1)&lt;=N(V_L3_Gracia)+N(V_L3_Cuotas),N(V_L3_Cuotas)&gt;0),IF((128-N(V_L3_Mes)+1)=N(V_L3_Gracia)+N(V_L3_Cuotas),IF((128-N(V_L3_Mes)+1)=1,N(V_L3_Monto),EB$238),PMT(N(V_L3_Tasa)/12,N(V_L3_Cuotas),-N(V_L3_Monto))-EC$236),0)*EC$9</f>
        <v>0</v>
      </c>
      <c r="ED237" s="34" t="n">
        <f aca="false">IF(AND((129-N(V_L3_Mes)+1)&gt;N(V_L3_Gracia),(129-N(V_L3_Mes)+1)&lt;=N(V_L3_Gracia)+N(V_L3_Cuotas),N(V_L3_Cuotas)&gt;0),IF((129-N(V_L3_Mes)+1)=N(V_L3_Gracia)+N(V_L3_Cuotas),IF((129-N(V_L3_Mes)+1)=1,N(V_L3_Monto),EC$238),PMT(N(V_L3_Tasa)/12,N(V_L3_Cuotas),-N(V_L3_Monto))-ED$236),0)*ED$9</f>
        <v>0</v>
      </c>
      <c r="EE237" s="34" t="n">
        <f aca="false">IF(AND((130-N(V_L3_Mes)+1)&gt;N(V_L3_Gracia),(130-N(V_L3_Mes)+1)&lt;=N(V_L3_Gracia)+N(V_L3_Cuotas),N(V_L3_Cuotas)&gt;0),IF((130-N(V_L3_Mes)+1)=N(V_L3_Gracia)+N(V_L3_Cuotas),IF((130-N(V_L3_Mes)+1)=1,N(V_L3_Monto),ED$238),PMT(N(V_L3_Tasa)/12,N(V_L3_Cuotas),-N(V_L3_Monto))-EE$236),0)*EE$9</f>
        <v>0</v>
      </c>
      <c r="EF237" s="34" t="n">
        <f aca="false">IF(AND((131-N(V_L3_Mes)+1)&gt;N(V_L3_Gracia),(131-N(V_L3_Mes)+1)&lt;=N(V_L3_Gracia)+N(V_L3_Cuotas),N(V_L3_Cuotas)&gt;0),IF((131-N(V_L3_Mes)+1)=N(V_L3_Gracia)+N(V_L3_Cuotas),IF((131-N(V_L3_Mes)+1)=1,N(V_L3_Monto),EE$238),PMT(N(V_L3_Tasa)/12,N(V_L3_Cuotas),-N(V_L3_Monto))-EF$236),0)*EF$9</f>
        <v>0</v>
      </c>
      <c r="EG237" s="34" t="n">
        <f aca="false">IF(AND((132-N(V_L3_Mes)+1)&gt;N(V_L3_Gracia),(132-N(V_L3_Mes)+1)&lt;=N(V_L3_Gracia)+N(V_L3_Cuotas),N(V_L3_Cuotas)&gt;0),IF((132-N(V_L3_Mes)+1)=N(V_L3_Gracia)+N(V_L3_Cuotas),IF((132-N(V_L3_Mes)+1)=1,N(V_L3_Monto),EF$238),PMT(N(V_L3_Tasa)/12,N(V_L3_Cuotas),-N(V_L3_Monto))-EG$236),0)*EG$9</f>
        <v>0</v>
      </c>
      <c r="EH237" s="34" t="n">
        <f aca="false">IF(AND((133-N(V_L3_Mes)+1)&gt;N(V_L3_Gracia),(133-N(V_L3_Mes)+1)&lt;=N(V_L3_Gracia)+N(V_L3_Cuotas),N(V_L3_Cuotas)&gt;0),IF((133-N(V_L3_Mes)+1)=N(V_L3_Gracia)+N(V_L3_Cuotas),IF((133-N(V_L3_Mes)+1)=1,N(V_L3_Monto),EG$238),PMT(N(V_L3_Tasa)/12,N(V_L3_Cuotas),-N(V_L3_Monto))-EH$236),0)*EH$9</f>
        <v>0</v>
      </c>
      <c r="EI237" s="34" t="n">
        <f aca="false">IF(AND((134-N(V_L3_Mes)+1)&gt;N(V_L3_Gracia),(134-N(V_L3_Mes)+1)&lt;=N(V_L3_Gracia)+N(V_L3_Cuotas),N(V_L3_Cuotas)&gt;0),IF((134-N(V_L3_Mes)+1)=N(V_L3_Gracia)+N(V_L3_Cuotas),IF((134-N(V_L3_Mes)+1)=1,N(V_L3_Monto),EH$238),PMT(N(V_L3_Tasa)/12,N(V_L3_Cuotas),-N(V_L3_Monto))-EI$236),0)*EI$9</f>
        <v>0</v>
      </c>
      <c r="EJ237" s="34" t="n">
        <f aca="false">IF(AND((135-N(V_L3_Mes)+1)&gt;N(V_L3_Gracia),(135-N(V_L3_Mes)+1)&lt;=N(V_L3_Gracia)+N(V_L3_Cuotas),N(V_L3_Cuotas)&gt;0),IF((135-N(V_L3_Mes)+1)=N(V_L3_Gracia)+N(V_L3_Cuotas),IF((135-N(V_L3_Mes)+1)=1,N(V_L3_Monto),EI$238),PMT(N(V_L3_Tasa)/12,N(V_L3_Cuotas),-N(V_L3_Monto))-EJ$236),0)*EJ$9</f>
        <v>0</v>
      </c>
      <c r="EK237" s="34" t="n">
        <f aca="false">IF(AND((136-N(V_L3_Mes)+1)&gt;N(V_L3_Gracia),(136-N(V_L3_Mes)+1)&lt;=N(V_L3_Gracia)+N(V_L3_Cuotas),N(V_L3_Cuotas)&gt;0),IF((136-N(V_L3_Mes)+1)=N(V_L3_Gracia)+N(V_L3_Cuotas),IF((136-N(V_L3_Mes)+1)=1,N(V_L3_Monto),EJ$238),PMT(N(V_L3_Tasa)/12,N(V_L3_Cuotas),-N(V_L3_Monto))-EK$236),0)*EK$9</f>
        <v>0</v>
      </c>
      <c r="EL237" s="34" t="n">
        <f aca="false">IF(AND((137-N(V_L3_Mes)+1)&gt;N(V_L3_Gracia),(137-N(V_L3_Mes)+1)&lt;=N(V_L3_Gracia)+N(V_L3_Cuotas),N(V_L3_Cuotas)&gt;0),IF((137-N(V_L3_Mes)+1)=N(V_L3_Gracia)+N(V_L3_Cuotas),IF((137-N(V_L3_Mes)+1)=1,N(V_L3_Monto),EK$238),PMT(N(V_L3_Tasa)/12,N(V_L3_Cuotas),-N(V_L3_Monto))-EL$236),0)*EL$9</f>
        <v>0</v>
      </c>
      <c r="EM237" s="34" t="n">
        <f aca="false">IF(AND((138-N(V_L3_Mes)+1)&gt;N(V_L3_Gracia),(138-N(V_L3_Mes)+1)&lt;=N(V_L3_Gracia)+N(V_L3_Cuotas),N(V_L3_Cuotas)&gt;0),IF((138-N(V_L3_Mes)+1)=N(V_L3_Gracia)+N(V_L3_Cuotas),IF((138-N(V_L3_Mes)+1)=1,N(V_L3_Monto),EL$238),PMT(N(V_L3_Tasa)/12,N(V_L3_Cuotas),-N(V_L3_Monto))-EM$236),0)*EM$9</f>
        <v>0</v>
      </c>
      <c r="EN237" s="34" t="n">
        <f aca="false">IF(AND((139-N(V_L3_Mes)+1)&gt;N(V_L3_Gracia),(139-N(V_L3_Mes)+1)&lt;=N(V_L3_Gracia)+N(V_L3_Cuotas),N(V_L3_Cuotas)&gt;0),IF((139-N(V_L3_Mes)+1)=N(V_L3_Gracia)+N(V_L3_Cuotas),IF((139-N(V_L3_Mes)+1)=1,N(V_L3_Monto),EM$238),PMT(N(V_L3_Tasa)/12,N(V_L3_Cuotas),-N(V_L3_Monto))-EN$236),0)*EN$9</f>
        <v>0</v>
      </c>
      <c r="EO237" s="34" t="n">
        <f aca="false">IF(AND((140-N(V_L3_Mes)+1)&gt;N(V_L3_Gracia),(140-N(V_L3_Mes)+1)&lt;=N(V_L3_Gracia)+N(V_L3_Cuotas),N(V_L3_Cuotas)&gt;0),IF((140-N(V_L3_Mes)+1)=N(V_L3_Gracia)+N(V_L3_Cuotas),IF((140-N(V_L3_Mes)+1)=1,N(V_L3_Monto),EN$238),PMT(N(V_L3_Tasa)/12,N(V_L3_Cuotas),-N(V_L3_Monto))-EO$236),0)*EO$9</f>
        <v>0</v>
      </c>
      <c r="EP237" s="34" t="n">
        <f aca="false">IF(AND((141-N(V_L3_Mes)+1)&gt;N(V_L3_Gracia),(141-N(V_L3_Mes)+1)&lt;=N(V_L3_Gracia)+N(V_L3_Cuotas),N(V_L3_Cuotas)&gt;0),IF((141-N(V_L3_Mes)+1)=N(V_L3_Gracia)+N(V_L3_Cuotas),IF((141-N(V_L3_Mes)+1)=1,N(V_L3_Monto),EO$238),PMT(N(V_L3_Tasa)/12,N(V_L3_Cuotas),-N(V_L3_Monto))-EP$236),0)*EP$9</f>
        <v>0</v>
      </c>
      <c r="EQ237" s="34" t="n">
        <f aca="false">IF(AND((142-N(V_L3_Mes)+1)&gt;N(V_L3_Gracia),(142-N(V_L3_Mes)+1)&lt;=N(V_L3_Gracia)+N(V_L3_Cuotas),N(V_L3_Cuotas)&gt;0),IF((142-N(V_L3_Mes)+1)=N(V_L3_Gracia)+N(V_L3_Cuotas),IF((142-N(V_L3_Mes)+1)=1,N(V_L3_Monto),EP$238),PMT(N(V_L3_Tasa)/12,N(V_L3_Cuotas),-N(V_L3_Monto))-EQ$236),0)*EQ$9</f>
        <v>0</v>
      </c>
      <c r="ER237" s="34" t="n">
        <f aca="false">IF(AND((143-N(V_L3_Mes)+1)&gt;N(V_L3_Gracia),(143-N(V_L3_Mes)+1)&lt;=N(V_L3_Gracia)+N(V_L3_Cuotas),N(V_L3_Cuotas)&gt;0),IF((143-N(V_L3_Mes)+1)=N(V_L3_Gracia)+N(V_L3_Cuotas),IF((143-N(V_L3_Mes)+1)=1,N(V_L3_Monto),EQ$238),PMT(N(V_L3_Tasa)/12,N(V_L3_Cuotas),-N(V_L3_Monto))-ER$236),0)*ER$9</f>
        <v>0</v>
      </c>
      <c r="ES237" s="34" t="n">
        <f aca="false">IF(AND((144-N(V_L3_Mes)+1)&gt;N(V_L3_Gracia),(144-N(V_L3_Mes)+1)&lt;=N(V_L3_Gracia)+N(V_L3_Cuotas),N(V_L3_Cuotas)&gt;0),IF((144-N(V_L3_Mes)+1)=N(V_L3_Gracia)+N(V_L3_Cuotas),IF((144-N(V_L3_Mes)+1)=1,N(V_L3_Monto),ER$238),PMT(N(V_L3_Tasa)/12,N(V_L3_Cuotas),-N(V_L3_Monto))-ES$236),0)*ES$9</f>
        <v>0</v>
      </c>
    </row>
    <row r="238" customFormat="false" ht="15" hidden="false" customHeight="false" outlineLevel="0" collapsed="false">
      <c r="A238" s="2" t="s">
        <v>849</v>
      </c>
      <c r="B238" s="6" t="s">
        <v>700</v>
      </c>
      <c r="C238" s="6" t="s">
        <v>250</v>
      </c>
      <c r="E238" s="40" t="n">
        <f aca="false">INDEX(F238:ES238,1,MIN(144,Fin))</f>
        <v>0</v>
      </c>
      <c r="F238" s="34" t="n">
        <f aca="false">IF((1-N(V_L3_Mes)+1)&lt;1,0,IF((1-N(V_L3_Mes)+1)=1,N(V_L3_Monto),0)-F$237)</f>
        <v>0</v>
      </c>
      <c r="G238" s="34" t="n">
        <f aca="false">IF((2-N(V_L3_Mes)+1)&lt;1,0,IF((2-N(V_L3_Mes)+1)=1,N(V_L3_Monto),F$238)-G$237)</f>
        <v>0</v>
      </c>
      <c r="H238" s="34" t="n">
        <f aca="false">IF((3-N(V_L3_Mes)+1)&lt;1,0,IF((3-N(V_L3_Mes)+1)=1,N(V_L3_Monto),G$238)-H$237)</f>
        <v>0</v>
      </c>
      <c r="I238" s="34" t="n">
        <f aca="false">IF((4-N(V_L3_Mes)+1)&lt;1,0,IF((4-N(V_L3_Mes)+1)=1,N(V_L3_Monto),H$238)-I$237)</f>
        <v>0</v>
      </c>
      <c r="J238" s="34" t="n">
        <f aca="false">IF((5-N(V_L3_Mes)+1)&lt;1,0,IF((5-N(V_L3_Mes)+1)=1,N(V_L3_Monto),I$238)-J$237)</f>
        <v>0</v>
      </c>
      <c r="K238" s="34" t="n">
        <f aca="false">IF((6-N(V_L3_Mes)+1)&lt;1,0,IF((6-N(V_L3_Mes)+1)=1,N(V_L3_Monto),J$238)-K$237)</f>
        <v>0</v>
      </c>
      <c r="L238" s="34" t="n">
        <f aca="false">IF((7-N(V_L3_Mes)+1)&lt;1,0,IF((7-N(V_L3_Mes)+1)=1,N(V_L3_Monto),K$238)-L$237)</f>
        <v>0</v>
      </c>
      <c r="M238" s="34" t="n">
        <f aca="false">IF((8-N(V_L3_Mes)+1)&lt;1,0,IF((8-N(V_L3_Mes)+1)=1,N(V_L3_Monto),L$238)-M$237)</f>
        <v>0</v>
      </c>
      <c r="N238" s="34" t="n">
        <f aca="false">IF((9-N(V_L3_Mes)+1)&lt;1,0,IF((9-N(V_L3_Mes)+1)=1,N(V_L3_Monto),M$238)-N$237)</f>
        <v>0</v>
      </c>
      <c r="O238" s="34" t="n">
        <f aca="false">IF((10-N(V_L3_Mes)+1)&lt;1,0,IF((10-N(V_L3_Mes)+1)=1,N(V_L3_Monto),N$238)-O$237)</f>
        <v>0</v>
      </c>
      <c r="P238" s="34" t="n">
        <f aca="false">IF((11-N(V_L3_Mes)+1)&lt;1,0,IF((11-N(V_L3_Mes)+1)=1,N(V_L3_Monto),O$238)-P$237)</f>
        <v>0</v>
      </c>
      <c r="Q238" s="34" t="n">
        <f aca="false">IF((12-N(V_L3_Mes)+1)&lt;1,0,IF((12-N(V_L3_Mes)+1)=1,N(V_L3_Monto),P$238)-Q$237)</f>
        <v>0</v>
      </c>
      <c r="R238" s="34" t="n">
        <f aca="false">IF((13-N(V_L3_Mes)+1)&lt;1,0,IF((13-N(V_L3_Mes)+1)=1,N(V_L3_Monto),Q$238)-R$237)</f>
        <v>0</v>
      </c>
      <c r="S238" s="34" t="n">
        <f aca="false">IF((14-N(V_L3_Mes)+1)&lt;1,0,IF((14-N(V_L3_Mes)+1)=1,N(V_L3_Monto),R$238)-S$237)</f>
        <v>0</v>
      </c>
      <c r="T238" s="34" t="n">
        <f aca="false">IF((15-N(V_L3_Mes)+1)&lt;1,0,IF((15-N(V_L3_Mes)+1)=1,N(V_L3_Monto),S$238)-T$237)</f>
        <v>0</v>
      </c>
      <c r="U238" s="34" t="n">
        <f aca="false">IF((16-N(V_L3_Mes)+1)&lt;1,0,IF((16-N(V_L3_Mes)+1)=1,N(V_L3_Monto),T$238)-U$237)</f>
        <v>0</v>
      </c>
      <c r="V238" s="34" t="n">
        <f aca="false">IF((17-N(V_L3_Mes)+1)&lt;1,0,IF((17-N(V_L3_Mes)+1)=1,N(V_L3_Monto),U$238)-V$237)</f>
        <v>0</v>
      </c>
      <c r="W238" s="34" t="n">
        <f aca="false">IF((18-N(V_L3_Mes)+1)&lt;1,0,IF((18-N(V_L3_Mes)+1)=1,N(V_L3_Monto),V$238)-W$237)</f>
        <v>0</v>
      </c>
      <c r="X238" s="34" t="n">
        <f aca="false">IF((19-N(V_L3_Mes)+1)&lt;1,0,IF((19-N(V_L3_Mes)+1)=1,N(V_L3_Monto),W$238)-X$237)</f>
        <v>0</v>
      </c>
      <c r="Y238" s="34" t="n">
        <f aca="false">IF((20-N(V_L3_Mes)+1)&lt;1,0,IF((20-N(V_L3_Mes)+1)=1,N(V_L3_Monto),X$238)-Y$237)</f>
        <v>0</v>
      </c>
      <c r="Z238" s="34" t="n">
        <f aca="false">IF((21-N(V_L3_Mes)+1)&lt;1,0,IF((21-N(V_L3_Mes)+1)=1,N(V_L3_Monto),Y$238)-Z$237)</f>
        <v>0</v>
      </c>
      <c r="AA238" s="34" t="n">
        <f aca="false">IF((22-N(V_L3_Mes)+1)&lt;1,0,IF((22-N(V_L3_Mes)+1)=1,N(V_L3_Monto),Z$238)-AA$237)</f>
        <v>0</v>
      </c>
      <c r="AB238" s="34" t="n">
        <f aca="false">IF((23-N(V_L3_Mes)+1)&lt;1,0,IF((23-N(V_L3_Mes)+1)=1,N(V_L3_Monto),AA$238)-AB$237)</f>
        <v>0</v>
      </c>
      <c r="AC238" s="34" t="n">
        <f aca="false">IF((24-N(V_L3_Mes)+1)&lt;1,0,IF((24-N(V_L3_Mes)+1)=1,N(V_L3_Monto),AB$238)-AC$237)</f>
        <v>0</v>
      </c>
      <c r="AD238" s="34" t="n">
        <f aca="false">IF((25-N(V_L3_Mes)+1)&lt;1,0,IF((25-N(V_L3_Mes)+1)=1,N(V_L3_Monto),AC$238)-AD$237)</f>
        <v>0</v>
      </c>
      <c r="AE238" s="34" t="n">
        <f aca="false">IF((26-N(V_L3_Mes)+1)&lt;1,0,IF((26-N(V_L3_Mes)+1)=1,N(V_L3_Monto),AD$238)-AE$237)</f>
        <v>0</v>
      </c>
      <c r="AF238" s="34" t="n">
        <f aca="false">IF((27-N(V_L3_Mes)+1)&lt;1,0,IF((27-N(V_L3_Mes)+1)=1,N(V_L3_Monto),AE$238)-AF$237)</f>
        <v>0</v>
      </c>
      <c r="AG238" s="34" t="n">
        <f aca="false">IF((28-N(V_L3_Mes)+1)&lt;1,0,IF((28-N(V_L3_Mes)+1)=1,N(V_L3_Monto),AF$238)-AG$237)</f>
        <v>0</v>
      </c>
      <c r="AH238" s="34" t="n">
        <f aca="false">IF((29-N(V_L3_Mes)+1)&lt;1,0,IF((29-N(V_L3_Mes)+1)=1,N(V_L3_Monto),AG$238)-AH$237)</f>
        <v>0</v>
      </c>
      <c r="AI238" s="34" t="n">
        <f aca="false">IF((30-N(V_L3_Mes)+1)&lt;1,0,IF((30-N(V_L3_Mes)+1)=1,N(V_L3_Monto),AH$238)-AI$237)</f>
        <v>0</v>
      </c>
      <c r="AJ238" s="34" t="n">
        <f aca="false">IF((31-N(V_L3_Mes)+1)&lt;1,0,IF((31-N(V_L3_Mes)+1)=1,N(V_L3_Monto),AI$238)-AJ$237)</f>
        <v>0</v>
      </c>
      <c r="AK238" s="34" t="n">
        <f aca="false">IF((32-N(V_L3_Mes)+1)&lt;1,0,IF((32-N(V_L3_Mes)+1)=1,N(V_L3_Monto),AJ$238)-AK$237)</f>
        <v>0</v>
      </c>
      <c r="AL238" s="34" t="n">
        <f aca="false">IF((33-N(V_L3_Mes)+1)&lt;1,0,IF((33-N(V_L3_Mes)+1)=1,N(V_L3_Monto),AK$238)-AL$237)</f>
        <v>0</v>
      </c>
      <c r="AM238" s="34" t="n">
        <f aca="false">IF((34-N(V_L3_Mes)+1)&lt;1,0,IF((34-N(V_L3_Mes)+1)=1,N(V_L3_Monto),AL$238)-AM$237)</f>
        <v>0</v>
      </c>
      <c r="AN238" s="34" t="n">
        <f aca="false">IF((35-N(V_L3_Mes)+1)&lt;1,0,IF((35-N(V_L3_Mes)+1)=1,N(V_L3_Monto),AM$238)-AN$237)</f>
        <v>0</v>
      </c>
      <c r="AO238" s="34" t="n">
        <f aca="false">IF((36-N(V_L3_Mes)+1)&lt;1,0,IF((36-N(V_L3_Mes)+1)=1,N(V_L3_Monto),AN$238)-AO$237)</f>
        <v>0</v>
      </c>
      <c r="AP238" s="34" t="n">
        <f aca="false">IF((37-N(V_L3_Mes)+1)&lt;1,0,IF((37-N(V_L3_Mes)+1)=1,N(V_L3_Monto),AO$238)-AP$237)</f>
        <v>0</v>
      </c>
      <c r="AQ238" s="34" t="n">
        <f aca="false">IF((38-N(V_L3_Mes)+1)&lt;1,0,IF((38-N(V_L3_Mes)+1)=1,N(V_L3_Monto),AP$238)-AQ$237)</f>
        <v>0</v>
      </c>
      <c r="AR238" s="34" t="n">
        <f aca="false">IF((39-N(V_L3_Mes)+1)&lt;1,0,IF((39-N(V_L3_Mes)+1)=1,N(V_L3_Monto),AQ$238)-AR$237)</f>
        <v>0</v>
      </c>
      <c r="AS238" s="34" t="n">
        <f aca="false">IF((40-N(V_L3_Mes)+1)&lt;1,0,IF((40-N(V_L3_Mes)+1)=1,N(V_L3_Monto),AR$238)-AS$237)</f>
        <v>0</v>
      </c>
      <c r="AT238" s="34" t="n">
        <f aca="false">IF((41-N(V_L3_Mes)+1)&lt;1,0,IF((41-N(V_L3_Mes)+1)=1,N(V_L3_Monto),AS$238)-AT$237)</f>
        <v>0</v>
      </c>
      <c r="AU238" s="34" t="n">
        <f aca="false">IF((42-N(V_L3_Mes)+1)&lt;1,0,IF((42-N(V_L3_Mes)+1)=1,N(V_L3_Monto),AT$238)-AU$237)</f>
        <v>0</v>
      </c>
      <c r="AV238" s="34" t="n">
        <f aca="false">IF((43-N(V_L3_Mes)+1)&lt;1,0,IF((43-N(V_L3_Mes)+1)=1,N(V_L3_Monto),AU$238)-AV$237)</f>
        <v>0</v>
      </c>
      <c r="AW238" s="34" t="n">
        <f aca="false">IF((44-N(V_L3_Mes)+1)&lt;1,0,IF((44-N(V_L3_Mes)+1)=1,N(V_L3_Monto),AV$238)-AW$237)</f>
        <v>0</v>
      </c>
      <c r="AX238" s="34" t="n">
        <f aca="false">IF((45-N(V_L3_Mes)+1)&lt;1,0,IF((45-N(V_L3_Mes)+1)=1,N(V_L3_Monto),AW$238)-AX$237)</f>
        <v>0</v>
      </c>
      <c r="AY238" s="34" t="n">
        <f aca="false">IF((46-N(V_L3_Mes)+1)&lt;1,0,IF((46-N(V_L3_Mes)+1)=1,N(V_L3_Monto),AX$238)-AY$237)</f>
        <v>0</v>
      </c>
      <c r="AZ238" s="34" t="n">
        <f aca="false">IF((47-N(V_L3_Mes)+1)&lt;1,0,IF((47-N(V_L3_Mes)+1)=1,N(V_L3_Monto),AY$238)-AZ$237)</f>
        <v>0</v>
      </c>
      <c r="BA238" s="34" t="n">
        <f aca="false">IF((48-N(V_L3_Mes)+1)&lt;1,0,IF((48-N(V_L3_Mes)+1)=1,N(V_L3_Monto),AZ$238)-BA$237)</f>
        <v>0</v>
      </c>
      <c r="BB238" s="34" t="n">
        <f aca="false">IF((49-N(V_L3_Mes)+1)&lt;1,0,IF((49-N(V_L3_Mes)+1)=1,N(V_L3_Monto),BA$238)-BB$237)</f>
        <v>0</v>
      </c>
      <c r="BC238" s="34" t="n">
        <f aca="false">IF((50-N(V_L3_Mes)+1)&lt;1,0,IF((50-N(V_L3_Mes)+1)=1,N(V_L3_Monto),BB$238)-BC$237)</f>
        <v>0</v>
      </c>
      <c r="BD238" s="34" t="n">
        <f aca="false">IF((51-N(V_L3_Mes)+1)&lt;1,0,IF((51-N(V_L3_Mes)+1)=1,N(V_L3_Monto),BC$238)-BD$237)</f>
        <v>0</v>
      </c>
      <c r="BE238" s="34" t="n">
        <f aca="false">IF((52-N(V_L3_Mes)+1)&lt;1,0,IF((52-N(V_L3_Mes)+1)=1,N(V_L3_Monto),BD$238)-BE$237)</f>
        <v>0</v>
      </c>
      <c r="BF238" s="34" t="n">
        <f aca="false">IF((53-N(V_L3_Mes)+1)&lt;1,0,IF((53-N(V_L3_Mes)+1)=1,N(V_L3_Monto),BE$238)-BF$237)</f>
        <v>0</v>
      </c>
      <c r="BG238" s="34" t="n">
        <f aca="false">IF((54-N(V_L3_Mes)+1)&lt;1,0,IF((54-N(V_L3_Mes)+1)=1,N(V_L3_Monto),BF$238)-BG$237)</f>
        <v>0</v>
      </c>
      <c r="BH238" s="34" t="n">
        <f aca="false">IF((55-N(V_L3_Mes)+1)&lt;1,0,IF((55-N(V_L3_Mes)+1)=1,N(V_L3_Monto),BG$238)-BH$237)</f>
        <v>0</v>
      </c>
      <c r="BI238" s="34" t="n">
        <f aca="false">IF((56-N(V_L3_Mes)+1)&lt;1,0,IF((56-N(V_L3_Mes)+1)=1,N(V_L3_Monto),BH$238)-BI$237)</f>
        <v>0</v>
      </c>
      <c r="BJ238" s="34" t="n">
        <f aca="false">IF((57-N(V_L3_Mes)+1)&lt;1,0,IF((57-N(V_L3_Mes)+1)=1,N(V_L3_Monto),BI$238)-BJ$237)</f>
        <v>0</v>
      </c>
      <c r="BK238" s="34" t="n">
        <f aca="false">IF((58-N(V_L3_Mes)+1)&lt;1,0,IF((58-N(V_L3_Mes)+1)=1,N(V_L3_Monto),BJ$238)-BK$237)</f>
        <v>0</v>
      </c>
      <c r="BL238" s="34" t="n">
        <f aca="false">IF((59-N(V_L3_Mes)+1)&lt;1,0,IF((59-N(V_L3_Mes)+1)=1,N(V_L3_Monto),BK$238)-BL$237)</f>
        <v>0</v>
      </c>
      <c r="BM238" s="34" t="n">
        <f aca="false">IF((60-N(V_L3_Mes)+1)&lt;1,0,IF((60-N(V_L3_Mes)+1)=1,N(V_L3_Monto),BL$238)-BM$237)</f>
        <v>0</v>
      </c>
      <c r="BN238" s="34" t="n">
        <f aca="false">IF((61-N(V_L3_Mes)+1)&lt;1,0,IF((61-N(V_L3_Mes)+1)=1,N(V_L3_Monto),BM$238)-BN$237)</f>
        <v>0</v>
      </c>
      <c r="BO238" s="34" t="n">
        <f aca="false">IF((62-N(V_L3_Mes)+1)&lt;1,0,IF((62-N(V_L3_Mes)+1)=1,N(V_L3_Monto),BN$238)-BO$237)</f>
        <v>0</v>
      </c>
      <c r="BP238" s="34" t="n">
        <f aca="false">IF((63-N(V_L3_Mes)+1)&lt;1,0,IF((63-N(V_L3_Mes)+1)=1,N(V_L3_Monto),BO$238)-BP$237)</f>
        <v>0</v>
      </c>
      <c r="BQ238" s="34" t="n">
        <f aca="false">IF((64-N(V_L3_Mes)+1)&lt;1,0,IF((64-N(V_L3_Mes)+1)=1,N(V_L3_Monto),BP$238)-BQ$237)</f>
        <v>0</v>
      </c>
      <c r="BR238" s="34" t="n">
        <f aca="false">IF((65-N(V_L3_Mes)+1)&lt;1,0,IF((65-N(V_L3_Mes)+1)=1,N(V_L3_Monto),BQ$238)-BR$237)</f>
        <v>0</v>
      </c>
      <c r="BS238" s="34" t="n">
        <f aca="false">IF((66-N(V_L3_Mes)+1)&lt;1,0,IF((66-N(V_L3_Mes)+1)=1,N(V_L3_Monto),BR$238)-BS$237)</f>
        <v>0</v>
      </c>
      <c r="BT238" s="34" t="n">
        <f aca="false">IF((67-N(V_L3_Mes)+1)&lt;1,0,IF((67-N(V_L3_Mes)+1)=1,N(V_L3_Monto),BS$238)-BT$237)</f>
        <v>0</v>
      </c>
      <c r="BU238" s="34" t="n">
        <f aca="false">IF((68-N(V_L3_Mes)+1)&lt;1,0,IF((68-N(V_L3_Mes)+1)=1,N(V_L3_Monto),BT$238)-BU$237)</f>
        <v>0</v>
      </c>
      <c r="BV238" s="34" t="n">
        <f aca="false">IF((69-N(V_L3_Mes)+1)&lt;1,0,IF((69-N(V_L3_Mes)+1)=1,N(V_L3_Monto),BU$238)-BV$237)</f>
        <v>0</v>
      </c>
      <c r="BW238" s="34" t="n">
        <f aca="false">IF((70-N(V_L3_Mes)+1)&lt;1,0,IF((70-N(V_L3_Mes)+1)=1,N(V_L3_Monto),BV$238)-BW$237)</f>
        <v>0</v>
      </c>
      <c r="BX238" s="34" t="n">
        <f aca="false">IF((71-N(V_L3_Mes)+1)&lt;1,0,IF((71-N(V_L3_Mes)+1)=1,N(V_L3_Monto),BW$238)-BX$237)</f>
        <v>0</v>
      </c>
      <c r="BY238" s="34" t="n">
        <f aca="false">IF((72-N(V_L3_Mes)+1)&lt;1,0,IF((72-N(V_L3_Mes)+1)=1,N(V_L3_Monto),BX$238)-BY$237)</f>
        <v>0</v>
      </c>
      <c r="BZ238" s="34" t="n">
        <f aca="false">IF((73-N(V_L3_Mes)+1)&lt;1,0,IF((73-N(V_L3_Mes)+1)=1,N(V_L3_Monto),BY$238)-BZ$237)</f>
        <v>0</v>
      </c>
      <c r="CA238" s="34" t="n">
        <f aca="false">IF((74-N(V_L3_Mes)+1)&lt;1,0,IF((74-N(V_L3_Mes)+1)=1,N(V_L3_Monto),BZ$238)-CA$237)</f>
        <v>0</v>
      </c>
      <c r="CB238" s="34" t="n">
        <f aca="false">IF((75-N(V_L3_Mes)+1)&lt;1,0,IF((75-N(V_L3_Mes)+1)=1,N(V_L3_Monto),CA$238)-CB$237)</f>
        <v>0</v>
      </c>
      <c r="CC238" s="34" t="n">
        <f aca="false">IF((76-N(V_L3_Mes)+1)&lt;1,0,IF((76-N(V_L3_Mes)+1)=1,N(V_L3_Monto),CB$238)-CC$237)</f>
        <v>0</v>
      </c>
      <c r="CD238" s="34" t="n">
        <f aca="false">IF((77-N(V_L3_Mes)+1)&lt;1,0,IF((77-N(V_L3_Mes)+1)=1,N(V_L3_Monto),CC$238)-CD$237)</f>
        <v>0</v>
      </c>
      <c r="CE238" s="34" t="n">
        <f aca="false">IF((78-N(V_L3_Mes)+1)&lt;1,0,IF((78-N(V_L3_Mes)+1)=1,N(V_L3_Monto),CD$238)-CE$237)</f>
        <v>0</v>
      </c>
      <c r="CF238" s="34" t="n">
        <f aca="false">IF((79-N(V_L3_Mes)+1)&lt;1,0,IF((79-N(V_L3_Mes)+1)=1,N(V_L3_Monto),CE$238)-CF$237)</f>
        <v>0</v>
      </c>
      <c r="CG238" s="34" t="n">
        <f aca="false">IF((80-N(V_L3_Mes)+1)&lt;1,0,IF((80-N(V_L3_Mes)+1)=1,N(V_L3_Monto),CF$238)-CG$237)</f>
        <v>0</v>
      </c>
      <c r="CH238" s="34" t="n">
        <f aca="false">IF((81-N(V_L3_Mes)+1)&lt;1,0,IF((81-N(V_L3_Mes)+1)=1,N(V_L3_Monto),CG$238)-CH$237)</f>
        <v>0</v>
      </c>
      <c r="CI238" s="34" t="n">
        <f aca="false">IF((82-N(V_L3_Mes)+1)&lt;1,0,IF((82-N(V_L3_Mes)+1)=1,N(V_L3_Monto),CH$238)-CI$237)</f>
        <v>0</v>
      </c>
      <c r="CJ238" s="34" t="n">
        <f aca="false">IF((83-N(V_L3_Mes)+1)&lt;1,0,IF((83-N(V_L3_Mes)+1)=1,N(V_L3_Monto),CI$238)-CJ$237)</f>
        <v>0</v>
      </c>
      <c r="CK238" s="34" t="n">
        <f aca="false">IF((84-N(V_L3_Mes)+1)&lt;1,0,IF((84-N(V_L3_Mes)+1)=1,N(V_L3_Monto),CJ$238)-CK$237)</f>
        <v>0</v>
      </c>
      <c r="CL238" s="34" t="n">
        <f aca="false">IF((85-N(V_L3_Mes)+1)&lt;1,0,IF((85-N(V_L3_Mes)+1)=1,N(V_L3_Monto),CK$238)-CL$237)</f>
        <v>0</v>
      </c>
      <c r="CM238" s="34" t="n">
        <f aca="false">IF((86-N(V_L3_Mes)+1)&lt;1,0,IF((86-N(V_L3_Mes)+1)=1,N(V_L3_Monto),CL$238)-CM$237)</f>
        <v>0</v>
      </c>
      <c r="CN238" s="34" t="n">
        <f aca="false">IF((87-N(V_L3_Mes)+1)&lt;1,0,IF((87-N(V_L3_Mes)+1)=1,N(V_L3_Monto),CM$238)-CN$237)</f>
        <v>0</v>
      </c>
      <c r="CO238" s="34" t="n">
        <f aca="false">IF((88-N(V_L3_Mes)+1)&lt;1,0,IF((88-N(V_L3_Mes)+1)=1,N(V_L3_Monto),CN$238)-CO$237)</f>
        <v>0</v>
      </c>
      <c r="CP238" s="34" t="n">
        <f aca="false">IF((89-N(V_L3_Mes)+1)&lt;1,0,IF((89-N(V_L3_Mes)+1)=1,N(V_L3_Monto),CO$238)-CP$237)</f>
        <v>0</v>
      </c>
      <c r="CQ238" s="34" t="n">
        <f aca="false">IF((90-N(V_L3_Mes)+1)&lt;1,0,IF((90-N(V_L3_Mes)+1)=1,N(V_L3_Monto),CP$238)-CQ$237)</f>
        <v>0</v>
      </c>
      <c r="CR238" s="34" t="n">
        <f aca="false">IF((91-N(V_L3_Mes)+1)&lt;1,0,IF((91-N(V_L3_Mes)+1)=1,N(V_L3_Monto),CQ$238)-CR$237)</f>
        <v>0</v>
      </c>
      <c r="CS238" s="34" t="n">
        <f aca="false">IF((92-N(V_L3_Mes)+1)&lt;1,0,IF((92-N(V_L3_Mes)+1)=1,N(V_L3_Monto),CR$238)-CS$237)</f>
        <v>0</v>
      </c>
      <c r="CT238" s="34" t="n">
        <f aca="false">IF((93-N(V_L3_Mes)+1)&lt;1,0,IF((93-N(V_L3_Mes)+1)=1,N(V_L3_Monto),CS$238)-CT$237)</f>
        <v>0</v>
      </c>
      <c r="CU238" s="34" t="n">
        <f aca="false">IF((94-N(V_L3_Mes)+1)&lt;1,0,IF((94-N(V_L3_Mes)+1)=1,N(V_L3_Monto),CT$238)-CU$237)</f>
        <v>0</v>
      </c>
      <c r="CV238" s="34" t="n">
        <f aca="false">IF((95-N(V_L3_Mes)+1)&lt;1,0,IF((95-N(V_L3_Mes)+1)=1,N(V_L3_Monto),CU$238)-CV$237)</f>
        <v>0</v>
      </c>
      <c r="CW238" s="34" t="n">
        <f aca="false">IF((96-N(V_L3_Mes)+1)&lt;1,0,IF((96-N(V_L3_Mes)+1)=1,N(V_L3_Monto),CV$238)-CW$237)</f>
        <v>0</v>
      </c>
      <c r="CX238" s="34" t="n">
        <f aca="false">IF((97-N(V_L3_Mes)+1)&lt;1,0,IF((97-N(V_L3_Mes)+1)=1,N(V_L3_Monto),CW$238)-CX$237)</f>
        <v>0</v>
      </c>
      <c r="CY238" s="34" t="n">
        <f aca="false">IF((98-N(V_L3_Mes)+1)&lt;1,0,IF((98-N(V_L3_Mes)+1)=1,N(V_L3_Monto),CX$238)-CY$237)</f>
        <v>0</v>
      </c>
      <c r="CZ238" s="34" t="n">
        <f aca="false">IF((99-N(V_L3_Mes)+1)&lt;1,0,IF((99-N(V_L3_Mes)+1)=1,N(V_L3_Monto),CY$238)-CZ$237)</f>
        <v>0</v>
      </c>
      <c r="DA238" s="34" t="n">
        <f aca="false">IF((100-N(V_L3_Mes)+1)&lt;1,0,IF((100-N(V_L3_Mes)+1)=1,N(V_L3_Monto),CZ$238)-DA$237)</f>
        <v>0</v>
      </c>
      <c r="DB238" s="34" t="n">
        <f aca="false">IF((101-N(V_L3_Mes)+1)&lt;1,0,IF((101-N(V_L3_Mes)+1)=1,N(V_L3_Monto),DA$238)-DB$237)</f>
        <v>0</v>
      </c>
      <c r="DC238" s="34" t="n">
        <f aca="false">IF((102-N(V_L3_Mes)+1)&lt;1,0,IF((102-N(V_L3_Mes)+1)=1,N(V_L3_Monto),DB$238)-DC$237)</f>
        <v>0</v>
      </c>
      <c r="DD238" s="34" t="n">
        <f aca="false">IF((103-N(V_L3_Mes)+1)&lt;1,0,IF((103-N(V_L3_Mes)+1)=1,N(V_L3_Monto),DC$238)-DD$237)</f>
        <v>0</v>
      </c>
      <c r="DE238" s="34" t="n">
        <f aca="false">IF((104-N(V_L3_Mes)+1)&lt;1,0,IF((104-N(V_L3_Mes)+1)=1,N(V_L3_Monto),DD$238)-DE$237)</f>
        <v>0</v>
      </c>
      <c r="DF238" s="34" t="n">
        <f aca="false">IF((105-N(V_L3_Mes)+1)&lt;1,0,IF((105-N(V_L3_Mes)+1)=1,N(V_L3_Monto),DE$238)-DF$237)</f>
        <v>0</v>
      </c>
      <c r="DG238" s="34" t="n">
        <f aca="false">IF((106-N(V_L3_Mes)+1)&lt;1,0,IF((106-N(V_L3_Mes)+1)=1,N(V_L3_Monto),DF$238)-DG$237)</f>
        <v>0</v>
      </c>
      <c r="DH238" s="34" t="n">
        <f aca="false">IF((107-N(V_L3_Mes)+1)&lt;1,0,IF((107-N(V_L3_Mes)+1)=1,N(V_L3_Monto),DG$238)-DH$237)</f>
        <v>0</v>
      </c>
      <c r="DI238" s="34" t="n">
        <f aca="false">IF((108-N(V_L3_Mes)+1)&lt;1,0,IF((108-N(V_L3_Mes)+1)=1,N(V_L3_Monto),DH$238)-DI$237)</f>
        <v>0</v>
      </c>
      <c r="DJ238" s="34" t="n">
        <f aca="false">IF((109-N(V_L3_Mes)+1)&lt;1,0,IF((109-N(V_L3_Mes)+1)=1,N(V_L3_Monto),DI$238)-DJ$237)</f>
        <v>0</v>
      </c>
      <c r="DK238" s="34" t="n">
        <f aca="false">IF((110-N(V_L3_Mes)+1)&lt;1,0,IF((110-N(V_L3_Mes)+1)=1,N(V_L3_Monto),DJ$238)-DK$237)</f>
        <v>0</v>
      </c>
      <c r="DL238" s="34" t="n">
        <f aca="false">IF((111-N(V_L3_Mes)+1)&lt;1,0,IF((111-N(V_L3_Mes)+1)=1,N(V_L3_Monto),DK$238)-DL$237)</f>
        <v>0</v>
      </c>
      <c r="DM238" s="34" t="n">
        <f aca="false">IF((112-N(V_L3_Mes)+1)&lt;1,0,IF((112-N(V_L3_Mes)+1)=1,N(V_L3_Monto),DL$238)-DM$237)</f>
        <v>0</v>
      </c>
      <c r="DN238" s="34" t="n">
        <f aca="false">IF((113-N(V_L3_Mes)+1)&lt;1,0,IF((113-N(V_L3_Mes)+1)=1,N(V_L3_Monto),DM$238)-DN$237)</f>
        <v>0</v>
      </c>
      <c r="DO238" s="34" t="n">
        <f aca="false">IF((114-N(V_L3_Mes)+1)&lt;1,0,IF((114-N(V_L3_Mes)+1)=1,N(V_L3_Monto),DN$238)-DO$237)</f>
        <v>0</v>
      </c>
      <c r="DP238" s="34" t="n">
        <f aca="false">IF((115-N(V_L3_Mes)+1)&lt;1,0,IF((115-N(V_L3_Mes)+1)=1,N(V_L3_Monto),DO$238)-DP$237)</f>
        <v>0</v>
      </c>
      <c r="DQ238" s="34" t="n">
        <f aca="false">IF((116-N(V_L3_Mes)+1)&lt;1,0,IF((116-N(V_L3_Mes)+1)=1,N(V_L3_Monto),DP$238)-DQ$237)</f>
        <v>0</v>
      </c>
      <c r="DR238" s="34" t="n">
        <f aca="false">IF((117-N(V_L3_Mes)+1)&lt;1,0,IF((117-N(V_L3_Mes)+1)=1,N(V_L3_Monto),DQ$238)-DR$237)</f>
        <v>0</v>
      </c>
      <c r="DS238" s="34" t="n">
        <f aca="false">IF((118-N(V_L3_Mes)+1)&lt;1,0,IF((118-N(V_L3_Mes)+1)=1,N(V_L3_Monto),DR$238)-DS$237)</f>
        <v>0</v>
      </c>
      <c r="DT238" s="34" t="n">
        <f aca="false">IF((119-N(V_L3_Mes)+1)&lt;1,0,IF((119-N(V_L3_Mes)+1)=1,N(V_L3_Monto),DS$238)-DT$237)</f>
        <v>0</v>
      </c>
      <c r="DU238" s="34" t="n">
        <f aca="false">IF((120-N(V_L3_Mes)+1)&lt;1,0,IF((120-N(V_L3_Mes)+1)=1,N(V_L3_Monto),DT$238)-DU$237)</f>
        <v>0</v>
      </c>
      <c r="DV238" s="34" t="n">
        <f aca="false">IF((121-N(V_L3_Mes)+1)&lt;1,0,IF((121-N(V_L3_Mes)+1)=1,N(V_L3_Monto),DU$238)-DV$237)</f>
        <v>0</v>
      </c>
      <c r="DW238" s="34" t="n">
        <f aca="false">IF((122-N(V_L3_Mes)+1)&lt;1,0,IF((122-N(V_L3_Mes)+1)=1,N(V_L3_Monto),DV$238)-DW$237)</f>
        <v>0</v>
      </c>
      <c r="DX238" s="34" t="n">
        <f aca="false">IF((123-N(V_L3_Mes)+1)&lt;1,0,IF((123-N(V_L3_Mes)+1)=1,N(V_L3_Monto),DW$238)-DX$237)</f>
        <v>0</v>
      </c>
      <c r="DY238" s="34" t="n">
        <f aca="false">IF((124-N(V_L3_Mes)+1)&lt;1,0,IF((124-N(V_L3_Mes)+1)=1,N(V_L3_Monto),DX$238)-DY$237)</f>
        <v>0</v>
      </c>
      <c r="DZ238" s="34" t="n">
        <f aca="false">IF((125-N(V_L3_Mes)+1)&lt;1,0,IF((125-N(V_L3_Mes)+1)=1,N(V_L3_Monto),DY$238)-DZ$237)</f>
        <v>0</v>
      </c>
      <c r="EA238" s="34" t="n">
        <f aca="false">IF((126-N(V_L3_Mes)+1)&lt;1,0,IF((126-N(V_L3_Mes)+1)=1,N(V_L3_Monto),DZ$238)-EA$237)</f>
        <v>0</v>
      </c>
      <c r="EB238" s="34" t="n">
        <f aca="false">IF((127-N(V_L3_Mes)+1)&lt;1,0,IF((127-N(V_L3_Mes)+1)=1,N(V_L3_Monto),EA$238)-EB$237)</f>
        <v>0</v>
      </c>
      <c r="EC238" s="34" t="n">
        <f aca="false">IF((128-N(V_L3_Mes)+1)&lt;1,0,IF((128-N(V_L3_Mes)+1)=1,N(V_L3_Monto),EB$238)-EC$237)</f>
        <v>0</v>
      </c>
      <c r="ED238" s="34" t="n">
        <f aca="false">IF((129-N(V_L3_Mes)+1)&lt;1,0,IF((129-N(V_L3_Mes)+1)=1,N(V_L3_Monto),EC$238)-ED$237)</f>
        <v>0</v>
      </c>
      <c r="EE238" s="34" t="n">
        <f aca="false">IF((130-N(V_L3_Mes)+1)&lt;1,0,IF((130-N(V_L3_Mes)+1)=1,N(V_L3_Monto),ED$238)-EE$237)</f>
        <v>0</v>
      </c>
      <c r="EF238" s="34" t="n">
        <f aca="false">IF((131-N(V_L3_Mes)+1)&lt;1,0,IF((131-N(V_L3_Mes)+1)=1,N(V_L3_Monto),EE$238)-EF$237)</f>
        <v>0</v>
      </c>
      <c r="EG238" s="34" t="n">
        <f aca="false">IF((132-N(V_L3_Mes)+1)&lt;1,0,IF((132-N(V_L3_Mes)+1)=1,N(V_L3_Monto),EF$238)-EG$237)</f>
        <v>0</v>
      </c>
      <c r="EH238" s="34" t="n">
        <f aca="false">IF((133-N(V_L3_Mes)+1)&lt;1,0,IF((133-N(V_L3_Mes)+1)=1,N(V_L3_Monto),EG$238)-EH$237)</f>
        <v>0</v>
      </c>
      <c r="EI238" s="34" t="n">
        <f aca="false">IF((134-N(V_L3_Mes)+1)&lt;1,0,IF((134-N(V_L3_Mes)+1)=1,N(V_L3_Monto),EH$238)-EI$237)</f>
        <v>0</v>
      </c>
      <c r="EJ238" s="34" t="n">
        <f aca="false">IF((135-N(V_L3_Mes)+1)&lt;1,0,IF((135-N(V_L3_Mes)+1)=1,N(V_L3_Monto),EI$238)-EJ$237)</f>
        <v>0</v>
      </c>
      <c r="EK238" s="34" t="n">
        <f aca="false">IF((136-N(V_L3_Mes)+1)&lt;1,0,IF((136-N(V_L3_Mes)+1)=1,N(V_L3_Monto),EJ$238)-EK$237)</f>
        <v>0</v>
      </c>
      <c r="EL238" s="34" t="n">
        <f aca="false">IF((137-N(V_L3_Mes)+1)&lt;1,0,IF((137-N(V_L3_Mes)+1)=1,N(V_L3_Monto),EK$238)-EL$237)</f>
        <v>0</v>
      </c>
      <c r="EM238" s="34" t="n">
        <f aca="false">IF((138-N(V_L3_Mes)+1)&lt;1,0,IF((138-N(V_L3_Mes)+1)=1,N(V_L3_Monto),EL$238)-EM$237)</f>
        <v>0</v>
      </c>
      <c r="EN238" s="34" t="n">
        <f aca="false">IF((139-N(V_L3_Mes)+1)&lt;1,0,IF((139-N(V_L3_Mes)+1)=1,N(V_L3_Monto),EM$238)-EN$237)</f>
        <v>0</v>
      </c>
      <c r="EO238" s="34" t="n">
        <f aca="false">IF((140-N(V_L3_Mes)+1)&lt;1,0,IF((140-N(V_L3_Mes)+1)=1,N(V_L3_Monto),EN$238)-EO$237)</f>
        <v>0</v>
      </c>
      <c r="EP238" s="34" t="n">
        <f aca="false">IF((141-N(V_L3_Mes)+1)&lt;1,0,IF((141-N(V_L3_Mes)+1)=1,N(V_L3_Monto),EO$238)-EP$237)</f>
        <v>0</v>
      </c>
      <c r="EQ238" s="34" t="n">
        <f aca="false">IF((142-N(V_L3_Mes)+1)&lt;1,0,IF((142-N(V_L3_Mes)+1)=1,N(V_L3_Monto),EP$238)-EQ$237)</f>
        <v>0</v>
      </c>
      <c r="ER238" s="34" t="n">
        <f aca="false">IF((143-N(V_L3_Mes)+1)&lt;1,0,IF((143-N(V_L3_Mes)+1)=1,N(V_L3_Monto),EQ$238)-ER$237)</f>
        <v>0</v>
      </c>
      <c r="ES238" s="34" t="n">
        <f aca="false">IF((144-N(V_L3_Mes)+1)&lt;1,0,IF((144-N(V_L3_Mes)+1)=1,N(V_L3_Monto),ER$238)-ES$237)</f>
        <v>0</v>
      </c>
    </row>
    <row r="239" customFormat="false" ht="15" hidden="false" customHeight="false" outlineLevel="0" collapsed="false">
      <c r="A239" s="4"/>
      <c r="B239" s="3" t="s">
        <v>701</v>
      </c>
      <c r="C239" s="4"/>
      <c r="D239" s="4"/>
      <c r="E239" s="4"/>
    </row>
    <row r="240" customFormat="false" ht="15" hidden="false" customHeight="false" outlineLevel="0" collapsed="false">
      <c r="A240" s="2" t="s">
        <v>850</v>
      </c>
      <c r="B240" s="6" t="s">
        <v>703</v>
      </c>
      <c r="C240" s="6" t="s">
        <v>250</v>
      </c>
      <c r="E240" s="40" t="n">
        <f aca="false">SUM(F240:ES240)</f>
        <v>2791587</v>
      </c>
      <c r="F240" s="34" t="n">
        <f aca="false">IF(F$8=1,IF(Reales!$C$47="PYG",IF(F$10&gt;0,N(Reales!F47)/F$10,0),N(Reales!F47)),F$227+F$231+F$235)</f>
        <v>2791587</v>
      </c>
      <c r="G240" s="34" t="n">
        <f aca="false">IF(G$8=1,IF(Reales!$C$47="PYG",IF(G$10&gt;0,N(Reales!G47)/G$10,0),N(Reales!G47)),G$227+G$231+G$235)</f>
        <v>0</v>
      </c>
      <c r="H240" s="34" t="n">
        <f aca="false">IF(H$8=1,IF(Reales!$C$47="PYG",IF(H$10&gt;0,N(Reales!H47)/H$10,0),N(Reales!H47)),H$227+H$231+H$235)</f>
        <v>0</v>
      </c>
      <c r="I240" s="34" t="n">
        <f aca="false">IF(I$8=1,IF(Reales!$C$47="PYG",IF(I$10&gt;0,N(Reales!I47)/I$10,0),N(Reales!I47)),I$227+I$231+I$235)</f>
        <v>0</v>
      </c>
      <c r="J240" s="34" t="n">
        <f aca="false">IF(J$8=1,IF(Reales!$C$47="PYG",IF(J$10&gt;0,N(Reales!J47)/J$10,0),N(Reales!J47)),J$227+J$231+J$235)</f>
        <v>0</v>
      </c>
      <c r="K240" s="34" t="n">
        <f aca="false">IF(K$8=1,IF(Reales!$C$47="PYG",IF(K$10&gt;0,N(Reales!K47)/K$10,0),N(Reales!K47)),K$227+K$231+K$235)</f>
        <v>0</v>
      </c>
      <c r="L240" s="34" t="n">
        <f aca="false">IF(L$8=1,IF(Reales!$C$47="PYG",IF(L$10&gt;0,N(Reales!L47)/L$10,0),N(Reales!L47)),L$227+L$231+L$235)</f>
        <v>0</v>
      </c>
      <c r="M240" s="34" t="n">
        <f aca="false">IF(M$8=1,IF(Reales!$C$47="PYG",IF(M$10&gt;0,N(Reales!M47)/M$10,0),N(Reales!M47)),M$227+M$231+M$235)</f>
        <v>0</v>
      </c>
      <c r="N240" s="34" t="n">
        <f aca="false">IF(N$8=1,IF(Reales!$C$47="PYG",IF(N$10&gt;0,N(Reales!N47)/N$10,0),N(Reales!N47)),N$227+N$231+N$235)</f>
        <v>0</v>
      </c>
      <c r="O240" s="34" t="n">
        <f aca="false">IF(O$8=1,IF(Reales!$C$47="PYG",IF(O$10&gt;0,N(Reales!O47)/O$10,0),N(Reales!O47)),O$227+O$231+O$235)</f>
        <v>0</v>
      </c>
      <c r="P240" s="34" t="n">
        <f aca="false">IF(P$8=1,IF(Reales!$C$47="PYG",IF(P$10&gt;0,N(Reales!P47)/P$10,0),N(Reales!P47)),P$227+P$231+P$235)</f>
        <v>0</v>
      </c>
      <c r="Q240" s="34" t="n">
        <f aca="false">IF(Q$8=1,IF(Reales!$C$47="PYG",IF(Q$10&gt;0,N(Reales!Q47)/Q$10,0),N(Reales!Q47)),Q$227+Q$231+Q$235)</f>
        <v>0</v>
      </c>
      <c r="R240" s="34" t="n">
        <f aca="false">IF(R$8=1,IF(Reales!$C$47="PYG",IF(R$10&gt;0,N(Reales!R47)/R$10,0),N(Reales!R47)),R$227+R$231+R$235)</f>
        <v>0</v>
      </c>
      <c r="S240" s="34" t="n">
        <f aca="false">IF(S$8=1,IF(Reales!$C$47="PYG",IF(S$10&gt;0,N(Reales!S47)/S$10,0),N(Reales!S47)),S$227+S$231+S$235)</f>
        <v>0</v>
      </c>
      <c r="T240" s="34" t="n">
        <f aca="false">IF(T$8=1,IF(Reales!$C$47="PYG",IF(T$10&gt;0,N(Reales!T47)/T$10,0),N(Reales!T47)),T$227+T$231+T$235)</f>
        <v>0</v>
      </c>
      <c r="U240" s="34" t="n">
        <f aca="false">IF(U$8=1,IF(Reales!$C$47="PYG",IF(U$10&gt;0,N(Reales!U47)/U$10,0),N(Reales!U47)),U$227+U$231+U$235)</f>
        <v>0</v>
      </c>
      <c r="V240" s="34" t="n">
        <f aca="false">IF(V$8=1,IF(Reales!$C$47="PYG",IF(V$10&gt;0,N(Reales!V47)/V$10,0),N(Reales!V47)),V$227+V$231+V$235)</f>
        <v>0</v>
      </c>
      <c r="W240" s="34" t="n">
        <f aca="false">IF(W$8=1,IF(Reales!$C$47="PYG",IF(W$10&gt;0,N(Reales!W47)/W$10,0),N(Reales!W47)),W$227+W$231+W$235)</f>
        <v>0</v>
      </c>
      <c r="X240" s="34" t="n">
        <f aca="false">IF(X$8=1,IF(Reales!$C$47="PYG",IF(X$10&gt;0,N(Reales!X47)/X$10,0),N(Reales!X47)),X$227+X$231+X$235)</f>
        <v>0</v>
      </c>
      <c r="Y240" s="34" t="n">
        <f aca="false">IF(Y$8=1,IF(Reales!$C$47="PYG",IF(Y$10&gt;0,N(Reales!Y47)/Y$10,0),N(Reales!Y47)),Y$227+Y$231+Y$235)</f>
        <v>0</v>
      </c>
      <c r="Z240" s="34" t="n">
        <f aca="false">IF(Z$8=1,IF(Reales!$C$47="PYG",IF(Z$10&gt;0,N(Reales!Z47)/Z$10,0),N(Reales!Z47)),Z$227+Z$231+Z$235)</f>
        <v>0</v>
      </c>
      <c r="AA240" s="34" t="n">
        <f aca="false">IF(AA$8=1,IF(Reales!$C$47="PYG",IF(AA$10&gt;0,N(Reales!AA47)/AA$10,0),N(Reales!AA47)),AA$227+AA$231+AA$235)</f>
        <v>0</v>
      </c>
      <c r="AB240" s="34" t="n">
        <f aca="false">IF(AB$8=1,IF(Reales!$C$47="PYG",IF(AB$10&gt;0,N(Reales!AB47)/AB$10,0),N(Reales!AB47)),AB$227+AB$231+AB$235)</f>
        <v>0</v>
      </c>
      <c r="AC240" s="34" t="n">
        <f aca="false">IF(AC$8=1,IF(Reales!$C$47="PYG",IF(AC$10&gt;0,N(Reales!AC47)/AC$10,0),N(Reales!AC47)),AC$227+AC$231+AC$235)</f>
        <v>0</v>
      </c>
      <c r="AD240" s="34" t="n">
        <f aca="false">IF(AD$8=1,IF(Reales!$C$47="PYG",IF(AD$10&gt;0,N(Reales!AD47)/AD$10,0),N(Reales!AD47)),AD$227+AD$231+AD$235)</f>
        <v>0</v>
      </c>
      <c r="AE240" s="34" t="n">
        <f aca="false">IF(AE$8=1,IF(Reales!$C$47="PYG",IF(AE$10&gt;0,N(Reales!AE47)/AE$10,0),N(Reales!AE47)),AE$227+AE$231+AE$235)</f>
        <v>0</v>
      </c>
      <c r="AF240" s="34" t="n">
        <f aca="false">IF(AF$8=1,IF(Reales!$C$47="PYG",IF(AF$10&gt;0,N(Reales!AF47)/AF$10,0),N(Reales!AF47)),AF$227+AF$231+AF$235)</f>
        <v>0</v>
      </c>
      <c r="AG240" s="34" t="n">
        <f aca="false">IF(AG$8=1,IF(Reales!$C$47="PYG",IF(AG$10&gt;0,N(Reales!AG47)/AG$10,0),N(Reales!AG47)),AG$227+AG$231+AG$235)</f>
        <v>0</v>
      </c>
      <c r="AH240" s="34" t="n">
        <f aca="false">IF(AH$8=1,IF(Reales!$C$47="PYG",IF(AH$10&gt;0,N(Reales!AH47)/AH$10,0),N(Reales!AH47)),AH$227+AH$231+AH$235)</f>
        <v>0</v>
      </c>
      <c r="AI240" s="34" t="n">
        <f aca="false">IF(AI$8=1,IF(Reales!$C$47="PYG",IF(AI$10&gt;0,N(Reales!AI47)/AI$10,0),N(Reales!AI47)),AI$227+AI$231+AI$235)</f>
        <v>0</v>
      </c>
      <c r="AJ240" s="34" t="n">
        <f aca="false">IF(AJ$8=1,IF(Reales!$C$47="PYG",IF(AJ$10&gt;0,N(Reales!AJ47)/AJ$10,0),N(Reales!AJ47)),AJ$227+AJ$231+AJ$235)</f>
        <v>0</v>
      </c>
      <c r="AK240" s="34" t="n">
        <f aca="false">IF(AK$8=1,IF(Reales!$C$47="PYG",IF(AK$10&gt;0,N(Reales!AK47)/AK$10,0),N(Reales!AK47)),AK$227+AK$231+AK$235)</f>
        <v>0</v>
      </c>
      <c r="AL240" s="34" t="n">
        <f aca="false">IF(AL$8=1,IF(Reales!$C$47="PYG",IF(AL$10&gt;0,N(Reales!AL47)/AL$10,0),N(Reales!AL47)),AL$227+AL$231+AL$235)</f>
        <v>0</v>
      </c>
      <c r="AM240" s="34" t="n">
        <f aca="false">IF(AM$8=1,IF(Reales!$C$47="PYG",IF(AM$10&gt;0,N(Reales!AM47)/AM$10,0),N(Reales!AM47)),AM$227+AM$231+AM$235)</f>
        <v>0</v>
      </c>
      <c r="AN240" s="34" t="n">
        <f aca="false">IF(AN$8=1,IF(Reales!$C$47="PYG",IF(AN$10&gt;0,N(Reales!AN47)/AN$10,0),N(Reales!AN47)),AN$227+AN$231+AN$235)</f>
        <v>0</v>
      </c>
      <c r="AO240" s="34" t="n">
        <f aca="false">IF(AO$8=1,IF(Reales!$C$47="PYG",IF(AO$10&gt;0,N(Reales!AO47)/AO$10,0),N(Reales!AO47)),AO$227+AO$231+AO$235)</f>
        <v>0</v>
      </c>
      <c r="AP240" s="34" t="n">
        <f aca="false">IF(AP$8=1,IF(Reales!$C$47="PYG",IF(AP$10&gt;0,N(Reales!AP47)/AP$10,0),N(Reales!AP47)),AP$227+AP$231+AP$235)</f>
        <v>0</v>
      </c>
      <c r="AQ240" s="34" t="n">
        <f aca="false">IF(AQ$8=1,IF(Reales!$C$47="PYG",IF(AQ$10&gt;0,N(Reales!AQ47)/AQ$10,0),N(Reales!AQ47)),AQ$227+AQ$231+AQ$235)</f>
        <v>0</v>
      </c>
      <c r="AR240" s="34" t="n">
        <f aca="false">IF(AR$8=1,IF(Reales!$C$47="PYG",IF(AR$10&gt;0,N(Reales!AR47)/AR$10,0),N(Reales!AR47)),AR$227+AR$231+AR$235)</f>
        <v>0</v>
      </c>
      <c r="AS240" s="34" t="n">
        <f aca="false">IF(AS$8=1,IF(Reales!$C$47="PYG",IF(AS$10&gt;0,N(Reales!AS47)/AS$10,0),N(Reales!AS47)),AS$227+AS$231+AS$235)</f>
        <v>0</v>
      </c>
      <c r="AT240" s="34" t="n">
        <f aca="false">IF(AT$8=1,IF(Reales!$C$47="PYG",IF(AT$10&gt;0,N(Reales!AT47)/AT$10,0),N(Reales!AT47)),AT$227+AT$231+AT$235)</f>
        <v>0</v>
      </c>
      <c r="AU240" s="34" t="n">
        <f aca="false">IF(AU$8=1,IF(Reales!$C$47="PYG",IF(AU$10&gt;0,N(Reales!AU47)/AU$10,0),N(Reales!AU47)),AU$227+AU$231+AU$235)</f>
        <v>0</v>
      </c>
      <c r="AV240" s="34" t="n">
        <f aca="false">IF(AV$8=1,IF(Reales!$C$47="PYG",IF(AV$10&gt;0,N(Reales!AV47)/AV$10,0),N(Reales!AV47)),AV$227+AV$231+AV$235)</f>
        <v>0</v>
      </c>
      <c r="AW240" s="34" t="n">
        <f aca="false">IF(AW$8=1,IF(Reales!$C$47="PYG",IF(AW$10&gt;0,N(Reales!AW47)/AW$10,0),N(Reales!AW47)),AW$227+AW$231+AW$235)</f>
        <v>0</v>
      </c>
      <c r="AX240" s="34" t="n">
        <f aca="false">IF(AX$8=1,IF(Reales!$C$47="PYG",IF(AX$10&gt;0,N(Reales!AX47)/AX$10,0),N(Reales!AX47)),AX$227+AX$231+AX$235)</f>
        <v>0</v>
      </c>
      <c r="AY240" s="34" t="n">
        <f aca="false">IF(AY$8=1,IF(Reales!$C$47="PYG",IF(AY$10&gt;0,N(Reales!AY47)/AY$10,0),N(Reales!AY47)),AY$227+AY$231+AY$235)</f>
        <v>0</v>
      </c>
      <c r="AZ240" s="34" t="n">
        <f aca="false">IF(AZ$8=1,IF(Reales!$C$47="PYG",IF(AZ$10&gt;0,N(Reales!AZ47)/AZ$10,0),N(Reales!AZ47)),AZ$227+AZ$231+AZ$235)</f>
        <v>0</v>
      </c>
      <c r="BA240" s="34" t="n">
        <f aca="false">IF(BA$8=1,IF(Reales!$C$47="PYG",IF(BA$10&gt;0,N(Reales!BA47)/BA$10,0),N(Reales!BA47)),BA$227+BA$231+BA$235)</f>
        <v>0</v>
      </c>
      <c r="BB240" s="34" t="n">
        <f aca="false">IF(BB$8=1,IF(Reales!$C$47="PYG",IF(BB$10&gt;0,N(Reales!BB47)/BB$10,0),N(Reales!BB47)),BB$227+BB$231+BB$235)</f>
        <v>0</v>
      </c>
      <c r="BC240" s="34" t="n">
        <f aca="false">IF(BC$8=1,IF(Reales!$C$47="PYG",IF(BC$10&gt;0,N(Reales!BC47)/BC$10,0),N(Reales!BC47)),BC$227+BC$231+BC$235)</f>
        <v>0</v>
      </c>
      <c r="BD240" s="34" t="n">
        <f aca="false">IF(BD$8=1,IF(Reales!$C$47="PYG",IF(BD$10&gt;0,N(Reales!BD47)/BD$10,0),N(Reales!BD47)),BD$227+BD$231+BD$235)</f>
        <v>0</v>
      </c>
      <c r="BE240" s="34" t="n">
        <f aca="false">IF(BE$8=1,IF(Reales!$C$47="PYG",IF(BE$10&gt;0,N(Reales!BE47)/BE$10,0),N(Reales!BE47)),BE$227+BE$231+BE$235)</f>
        <v>0</v>
      </c>
      <c r="BF240" s="34" t="n">
        <f aca="false">IF(BF$8=1,IF(Reales!$C$47="PYG",IF(BF$10&gt;0,N(Reales!BF47)/BF$10,0),N(Reales!BF47)),BF$227+BF$231+BF$235)</f>
        <v>0</v>
      </c>
      <c r="BG240" s="34" t="n">
        <f aca="false">IF(BG$8=1,IF(Reales!$C$47="PYG",IF(BG$10&gt;0,N(Reales!BG47)/BG$10,0),N(Reales!BG47)),BG$227+BG$231+BG$235)</f>
        <v>0</v>
      </c>
      <c r="BH240" s="34" t="n">
        <f aca="false">IF(BH$8=1,IF(Reales!$C$47="PYG",IF(BH$10&gt;0,N(Reales!BH47)/BH$10,0),N(Reales!BH47)),BH$227+BH$231+BH$235)</f>
        <v>0</v>
      </c>
      <c r="BI240" s="34" t="n">
        <f aca="false">IF(BI$8=1,IF(Reales!$C$47="PYG",IF(BI$10&gt;0,N(Reales!BI47)/BI$10,0),N(Reales!BI47)),BI$227+BI$231+BI$235)</f>
        <v>0</v>
      </c>
      <c r="BJ240" s="34" t="n">
        <f aca="false">IF(BJ$8=1,IF(Reales!$C$47="PYG",IF(BJ$10&gt;0,N(Reales!BJ47)/BJ$10,0),N(Reales!BJ47)),BJ$227+BJ$231+BJ$235)</f>
        <v>0</v>
      </c>
      <c r="BK240" s="34" t="n">
        <f aca="false">IF(BK$8=1,IF(Reales!$C$47="PYG",IF(BK$10&gt;0,N(Reales!BK47)/BK$10,0),N(Reales!BK47)),BK$227+BK$231+BK$235)</f>
        <v>0</v>
      </c>
      <c r="BL240" s="34" t="n">
        <f aca="false">IF(BL$8=1,IF(Reales!$C$47="PYG",IF(BL$10&gt;0,N(Reales!BL47)/BL$10,0),N(Reales!BL47)),BL$227+BL$231+BL$235)</f>
        <v>0</v>
      </c>
      <c r="BM240" s="34" t="n">
        <f aca="false">IF(BM$8=1,IF(Reales!$C$47="PYG",IF(BM$10&gt;0,N(Reales!BM47)/BM$10,0),N(Reales!BM47)),BM$227+BM$231+BM$235)</f>
        <v>0</v>
      </c>
      <c r="BN240" s="34" t="n">
        <f aca="false">IF(BN$8=1,IF(Reales!$C$47="PYG",IF(BN$10&gt;0,N(Reales!BN47)/BN$10,0),N(Reales!BN47)),BN$227+BN$231+BN$235)</f>
        <v>0</v>
      </c>
      <c r="BO240" s="34" t="n">
        <f aca="false">IF(BO$8=1,IF(Reales!$C$47="PYG",IF(BO$10&gt;0,N(Reales!BO47)/BO$10,0),N(Reales!BO47)),BO$227+BO$231+BO$235)</f>
        <v>0</v>
      </c>
      <c r="BP240" s="34" t="n">
        <f aca="false">IF(BP$8=1,IF(Reales!$C$47="PYG",IF(BP$10&gt;0,N(Reales!BP47)/BP$10,0),N(Reales!BP47)),BP$227+BP$231+BP$235)</f>
        <v>0</v>
      </c>
      <c r="BQ240" s="34" t="n">
        <f aca="false">IF(BQ$8=1,IF(Reales!$C$47="PYG",IF(BQ$10&gt;0,N(Reales!BQ47)/BQ$10,0),N(Reales!BQ47)),BQ$227+BQ$231+BQ$235)</f>
        <v>0</v>
      </c>
      <c r="BR240" s="34" t="n">
        <f aca="false">IF(BR$8=1,IF(Reales!$C$47="PYG",IF(BR$10&gt;0,N(Reales!BR47)/BR$10,0),N(Reales!BR47)),BR$227+BR$231+BR$235)</f>
        <v>0</v>
      </c>
      <c r="BS240" s="34" t="n">
        <f aca="false">IF(BS$8=1,IF(Reales!$C$47="PYG",IF(BS$10&gt;0,N(Reales!BS47)/BS$10,0),N(Reales!BS47)),BS$227+BS$231+BS$235)</f>
        <v>0</v>
      </c>
      <c r="BT240" s="34" t="n">
        <f aca="false">IF(BT$8=1,IF(Reales!$C$47="PYG",IF(BT$10&gt;0,N(Reales!BT47)/BT$10,0),N(Reales!BT47)),BT$227+BT$231+BT$235)</f>
        <v>0</v>
      </c>
      <c r="BU240" s="34" t="n">
        <f aca="false">IF(BU$8=1,IF(Reales!$C$47="PYG",IF(BU$10&gt;0,N(Reales!BU47)/BU$10,0),N(Reales!BU47)),BU$227+BU$231+BU$235)</f>
        <v>0</v>
      </c>
      <c r="BV240" s="34" t="n">
        <f aca="false">IF(BV$8=1,IF(Reales!$C$47="PYG",IF(BV$10&gt;0,N(Reales!BV47)/BV$10,0),N(Reales!BV47)),BV$227+BV$231+BV$235)</f>
        <v>0</v>
      </c>
      <c r="BW240" s="34" t="n">
        <f aca="false">IF(BW$8=1,IF(Reales!$C$47="PYG",IF(BW$10&gt;0,N(Reales!BW47)/BW$10,0),N(Reales!BW47)),BW$227+BW$231+BW$235)</f>
        <v>0</v>
      </c>
      <c r="BX240" s="34" t="n">
        <f aca="false">IF(BX$8=1,IF(Reales!$C$47="PYG",IF(BX$10&gt;0,N(Reales!BX47)/BX$10,0),N(Reales!BX47)),BX$227+BX$231+BX$235)</f>
        <v>0</v>
      </c>
      <c r="BY240" s="34" t="n">
        <f aca="false">IF(BY$8=1,IF(Reales!$C$47="PYG",IF(BY$10&gt;0,N(Reales!BY47)/BY$10,0),N(Reales!BY47)),BY$227+BY$231+BY$235)</f>
        <v>0</v>
      </c>
      <c r="BZ240" s="34" t="n">
        <f aca="false">IF(BZ$8=1,IF(Reales!$C$47="PYG",IF(BZ$10&gt;0,N(Reales!BZ47)/BZ$10,0),N(Reales!BZ47)),BZ$227+BZ$231+BZ$235)</f>
        <v>0</v>
      </c>
      <c r="CA240" s="34" t="n">
        <f aca="false">IF(CA$8=1,IF(Reales!$C$47="PYG",IF(CA$10&gt;0,N(Reales!CA47)/CA$10,0),N(Reales!CA47)),CA$227+CA$231+CA$235)</f>
        <v>0</v>
      </c>
      <c r="CB240" s="34" t="n">
        <f aca="false">IF(CB$8=1,IF(Reales!$C$47="PYG",IF(CB$10&gt;0,N(Reales!CB47)/CB$10,0),N(Reales!CB47)),CB$227+CB$231+CB$235)</f>
        <v>0</v>
      </c>
      <c r="CC240" s="34" t="n">
        <f aca="false">IF(CC$8=1,IF(Reales!$C$47="PYG",IF(CC$10&gt;0,N(Reales!CC47)/CC$10,0),N(Reales!CC47)),CC$227+CC$231+CC$235)</f>
        <v>0</v>
      </c>
      <c r="CD240" s="34" t="n">
        <f aca="false">IF(CD$8=1,IF(Reales!$C$47="PYG",IF(CD$10&gt;0,N(Reales!CD47)/CD$10,0),N(Reales!CD47)),CD$227+CD$231+CD$235)</f>
        <v>0</v>
      </c>
      <c r="CE240" s="34" t="n">
        <f aca="false">IF(CE$8=1,IF(Reales!$C$47="PYG",IF(CE$10&gt;0,N(Reales!CE47)/CE$10,0),N(Reales!CE47)),CE$227+CE$231+CE$235)</f>
        <v>0</v>
      </c>
      <c r="CF240" s="34" t="n">
        <f aca="false">IF(CF$8=1,IF(Reales!$C$47="PYG",IF(CF$10&gt;0,N(Reales!CF47)/CF$10,0),N(Reales!CF47)),CF$227+CF$231+CF$235)</f>
        <v>0</v>
      </c>
      <c r="CG240" s="34" t="n">
        <f aca="false">IF(CG$8=1,IF(Reales!$C$47="PYG",IF(CG$10&gt;0,N(Reales!CG47)/CG$10,0),N(Reales!CG47)),CG$227+CG$231+CG$235)</f>
        <v>0</v>
      </c>
      <c r="CH240" s="34" t="n">
        <f aca="false">IF(CH$8=1,IF(Reales!$C$47="PYG",IF(CH$10&gt;0,N(Reales!CH47)/CH$10,0),N(Reales!CH47)),CH$227+CH$231+CH$235)</f>
        <v>0</v>
      </c>
      <c r="CI240" s="34" t="n">
        <f aca="false">IF(CI$8=1,IF(Reales!$C$47="PYG",IF(CI$10&gt;0,N(Reales!CI47)/CI$10,0),N(Reales!CI47)),CI$227+CI$231+CI$235)</f>
        <v>0</v>
      </c>
      <c r="CJ240" s="34" t="n">
        <f aca="false">IF(CJ$8=1,IF(Reales!$C$47="PYG",IF(CJ$10&gt;0,N(Reales!CJ47)/CJ$10,0),N(Reales!CJ47)),CJ$227+CJ$231+CJ$235)</f>
        <v>0</v>
      </c>
      <c r="CK240" s="34" t="n">
        <f aca="false">IF(CK$8=1,IF(Reales!$C$47="PYG",IF(CK$10&gt;0,N(Reales!CK47)/CK$10,0),N(Reales!CK47)),CK$227+CK$231+CK$235)</f>
        <v>0</v>
      </c>
      <c r="CL240" s="34" t="n">
        <f aca="false">IF(CL$8=1,IF(Reales!$C$47="PYG",IF(CL$10&gt;0,N(Reales!CL47)/CL$10,0),N(Reales!CL47)),CL$227+CL$231+CL$235)</f>
        <v>0</v>
      </c>
      <c r="CM240" s="34" t="n">
        <f aca="false">IF(CM$8=1,IF(Reales!$C$47="PYG",IF(CM$10&gt;0,N(Reales!CM47)/CM$10,0),N(Reales!CM47)),CM$227+CM$231+CM$235)</f>
        <v>0</v>
      </c>
      <c r="CN240" s="34" t="n">
        <f aca="false">IF(CN$8=1,IF(Reales!$C$47="PYG",IF(CN$10&gt;0,N(Reales!CN47)/CN$10,0),N(Reales!CN47)),CN$227+CN$231+CN$235)</f>
        <v>0</v>
      </c>
      <c r="CO240" s="34" t="n">
        <f aca="false">IF(CO$8=1,IF(Reales!$C$47="PYG",IF(CO$10&gt;0,N(Reales!CO47)/CO$10,0),N(Reales!CO47)),CO$227+CO$231+CO$235)</f>
        <v>0</v>
      </c>
      <c r="CP240" s="34" t="n">
        <f aca="false">IF(CP$8=1,IF(Reales!$C$47="PYG",IF(CP$10&gt;0,N(Reales!CP47)/CP$10,0),N(Reales!CP47)),CP$227+CP$231+CP$235)</f>
        <v>0</v>
      </c>
      <c r="CQ240" s="34" t="n">
        <f aca="false">IF(CQ$8=1,IF(Reales!$C$47="PYG",IF(CQ$10&gt;0,N(Reales!CQ47)/CQ$10,0),N(Reales!CQ47)),CQ$227+CQ$231+CQ$235)</f>
        <v>0</v>
      </c>
      <c r="CR240" s="34" t="n">
        <f aca="false">IF(CR$8=1,IF(Reales!$C$47="PYG",IF(CR$10&gt;0,N(Reales!CR47)/CR$10,0),N(Reales!CR47)),CR$227+CR$231+CR$235)</f>
        <v>0</v>
      </c>
      <c r="CS240" s="34" t="n">
        <f aca="false">IF(CS$8=1,IF(Reales!$C$47="PYG",IF(CS$10&gt;0,N(Reales!CS47)/CS$10,0),N(Reales!CS47)),CS$227+CS$231+CS$235)</f>
        <v>0</v>
      </c>
      <c r="CT240" s="34" t="n">
        <f aca="false">IF(CT$8=1,IF(Reales!$C$47="PYG",IF(CT$10&gt;0,N(Reales!CT47)/CT$10,0),N(Reales!CT47)),CT$227+CT$231+CT$235)</f>
        <v>0</v>
      </c>
      <c r="CU240" s="34" t="n">
        <f aca="false">IF(CU$8=1,IF(Reales!$C$47="PYG",IF(CU$10&gt;0,N(Reales!CU47)/CU$10,0),N(Reales!CU47)),CU$227+CU$231+CU$235)</f>
        <v>0</v>
      </c>
      <c r="CV240" s="34" t="n">
        <f aca="false">IF(CV$8=1,IF(Reales!$C$47="PYG",IF(CV$10&gt;0,N(Reales!CV47)/CV$10,0),N(Reales!CV47)),CV$227+CV$231+CV$235)</f>
        <v>0</v>
      </c>
      <c r="CW240" s="34" t="n">
        <f aca="false">IF(CW$8=1,IF(Reales!$C$47="PYG",IF(CW$10&gt;0,N(Reales!CW47)/CW$10,0),N(Reales!CW47)),CW$227+CW$231+CW$235)</f>
        <v>0</v>
      </c>
      <c r="CX240" s="34" t="n">
        <f aca="false">IF(CX$8=1,IF(Reales!$C$47="PYG",IF(CX$10&gt;0,N(Reales!CX47)/CX$10,0),N(Reales!CX47)),CX$227+CX$231+CX$235)</f>
        <v>0</v>
      </c>
      <c r="CY240" s="34" t="n">
        <f aca="false">IF(CY$8=1,IF(Reales!$C$47="PYG",IF(CY$10&gt;0,N(Reales!CY47)/CY$10,0),N(Reales!CY47)),CY$227+CY$231+CY$235)</f>
        <v>0</v>
      </c>
      <c r="CZ240" s="34" t="n">
        <f aca="false">IF(CZ$8=1,IF(Reales!$C$47="PYG",IF(CZ$10&gt;0,N(Reales!CZ47)/CZ$10,0),N(Reales!CZ47)),CZ$227+CZ$231+CZ$235)</f>
        <v>0</v>
      </c>
      <c r="DA240" s="34" t="n">
        <f aca="false">IF(DA$8=1,IF(Reales!$C$47="PYG",IF(DA$10&gt;0,N(Reales!DA47)/DA$10,0),N(Reales!DA47)),DA$227+DA$231+DA$235)</f>
        <v>0</v>
      </c>
      <c r="DB240" s="34" t="n">
        <f aca="false">IF(DB$8=1,IF(Reales!$C$47="PYG",IF(DB$10&gt;0,N(Reales!DB47)/DB$10,0),N(Reales!DB47)),DB$227+DB$231+DB$235)</f>
        <v>0</v>
      </c>
      <c r="DC240" s="34" t="n">
        <f aca="false">IF(DC$8=1,IF(Reales!$C$47="PYG",IF(DC$10&gt;0,N(Reales!DC47)/DC$10,0),N(Reales!DC47)),DC$227+DC$231+DC$235)</f>
        <v>0</v>
      </c>
      <c r="DD240" s="34" t="n">
        <f aca="false">IF(DD$8=1,IF(Reales!$C$47="PYG",IF(DD$10&gt;0,N(Reales!DD47)/DD$10,0),N(Reales!DD47)),DD$227+DD$231+DD$235)</f>
        <v>0</v>
      </c>
      <c r="DE240" s="34" t="n">
        <f aca="false">IF(DE$8=1,IF(Reales!$C$47="PYG",IF(DE$10&gt;0,N(Reales!DE47)/DE$10,0),N(Reales!DE47)),DE$227+DE$231+DE$235)</f>
        <v>0</v>
      </c>
      <c r="DF240" s="34" t="n">
        <f aca="false">IF(DF$8=1,IF(Reales!$C$47="PYG",IF(DF$10&gt;0,N(Reales!DF47)/DF$10,0),N(Reales!DF47)),DF$227+DF$231+DF$235)</f>
        <v>0</v>
      </c>
      <c r="DG240" s="34" t="n">
        <f aca="false">IF(DG$8=1,IF(Reales!$C$47="PYG",IF(DG$10&gt;0,N(Reales!DG47)/DG$10,0),N(Reales!DG47)),DG$227+DG$231+DG$235)</f>
        <v>0</v>
      </c>
      <c r="DH240" s="34" t="n">
        <f aca="false">IF(DH$8=1,IF(Reales!$C$47="PYG",IF(DH$10&gt;0,N(Reales!DH47)/DH$10,0),N(Reales!DH47)),DH$227+DH$231+DH$235)</f>
        <v>0</v>
      </c>
      <c r="DI240" s="34" t="n">
        <f aca="false">IF(DI$8=1,IF(Reales!$C$47="PYG",IF(DI$10&gt;0,N(Reales!DI47)/DI$10,0),N(Reales!DI47)),DI$227+DI$231+DI$235)</f>
        <v>0</v>
      </c>
      <c r="DJ240" s="34" t="n">
        <f aca="false">IF(DJ$8=1,IF(Reales!$C$47="PYG",IF(DJ$10&gt;0,N(Reales!DJ47)/DJ$10,0),N(Reales!DJ47)),DJ$227+DJ$231+DJ$235)</f>
        <v>0</v>
      </c>
      <c r="DK240" s="34" t="n">
        <f aca="false">IF(DK$8=1,IF(Reales!$C$47="PYG",IF(DK$10&gt;0,N(Reales!DK47)/DK$10,0),N(Reales!DK47)),DK$227+DK$231+DK$235)</f>
        <v>0</v>
      </c>
      <c r="DL240" s="34" t="n">
        <f aca="false">IF(DL$8=1,IF(Reales!$C$47="PYG",IF(DL$10&gt;0,N(Reales!DL47)/DL$10,0),N(Reales!DL47)),DL$227+DL$231+DL$235)</f>
        <v>0</v>
      </c>
      <c r="DM240" s="34" t="n">
        <f aca="false">IF(DM$8=1,IF(Reales!$C$47="PYG",IF(DM$10&gt;0,N(Reales!DM47)/DM$10,0),N(Reales!DM47)),DM$227+DM$231+DM$235)</f>
        <v>0</v>
      </c>
      <c r="DN240" s="34" t="n">
        <f aca="false">IF(DN$8=1,IF(Reales!$C$47="PYG",IF(DN$10&gt;0,N(Reales!DN47)/DN$10,0),N(Reales!DN47)),DN$227+DN$231+DN$235)</f>
        <v>0</v>
      </c>
      <c r="DO240" s="34" t="n">
        <f aca="false">IF(DO$8=1,IF(Reales!$C$47="PYG",IF(DO$10&gt;0,N(Reales!DO47)/DO$10,0),N(Reales!DO47)),DO$227+DO$231+DO$235)</f>
        <v>0</v>
      </c>
      <c r="DP240" s="34" t="n">
        <f aca="false">IF(DP$8=1,IF(Reales!$C$47="PYG",IF(DP$10&gt;0,N(Reales!DP47)/DP$10,0),N(Reales!DP47)),DP$227+DP$231+DP$235)</f>
        <v>0</v>
      </c>
      <c r="DQ240" s="34" t="n">
        <f aca="false">IF(DQ$8=1,IF(Reales!$C$47="PYG",IF(DQ$10&gt;0,N(Reales!DQ47)/DQ$10,0),N(Reales!DQ47)),DQ$227+DQ$231+DQ$235)</f>
        <v>0</v>
      </c>
      <c r="DR240" s="34" t="n">
        <f aca="false">IF(DR$8=1,IF(Reales!$C$47="PYG",IF(DR$10&gt;0,N(Reales!DR47)/DR$10,0),N(Reales!DR47)),DR$227+DR$231+DR$235)</f>
        <v>0</v>
      </c>
      <c r="DS240" s="34" t="n">
        <f aca="false">IF(DS$8=1,IF(Reales!$C$47="PYG",IF(DS$10&gt;0,N(Reales!DS47)/DS$10,0),N(Reales!DS47)),DS$227+DS$231+DS$235)</f>
        <v>0</v>
      </c>
      <c r="DT240" s="34" t="n">
        <f aca="false">IF(DT$8=1,IF(Reales!$C$47="PYG",IF(DT$10&gt;0,N(Reales!DT47)/DT$10,0),N(Reales!DT47)),DT$227+DT$231+DT$235)</f>
        <v>0</v>
      </c>
      <c r="DU240" s="34" t="n">
        <f aca="false">IF(DU$8=1,IF(Reales!$C$47="PYG",IF(DU$10&gt;0,N(Reales!DU47)/DU$10,0),N(Reales!DU47)),DU$227+DU$231+DU$235)</f>
        <v>0</v>
      </c>
      <c r="DV240" s="34" t="n">
        <f aca="false">IF(DV$8=1,IF(Reales!$C$47="PYG",IF(DV$10&gt;0,N(Reales!DV47)/DV$10,0),N(Reales!DV47)),DV$227+DV$231+DV$235)</f>
        <v>0</v>
      </c>
      <c r="DW240" s="34" t="n">
        <f aca="false">IF(DW$8=1,IF(Reales!$C$47="PYG",IF(DW$10&gt;0,N(Reales!DW47)/DW$10,0),N(Reales!DW47)),DW$227+DW$231+DW$235)</f>
        <v>0</v>
      </c>
      <c r="DX240" s="34" t="n">
        <f aca="false">IF(DX$8=1,IF(Reales!$C$47="PYG",IF(DX$10&gt;0,N(Reales!DX47)/DX$10,0),N(Reales!DX47)),DX$227+DX$231+DX$235)</f>
        <v>0</v>
      </c>
      <c r="DY240" s="34" t="n">
        <f aca="false">IF(DY$8=1,IF(Reales!$C$47="PYG",IF(DY$10&gt;0,N(Reales!DY47)/DY$10,0),N(Reales!DY47)),DY$227+DY$231+DY$235)</f>
        <v>0</v>
      </c>
      <c r="DZ240" s="34" t="n">
        <f aca="false">IF(DZ$8=1,IF(Reales!$C$47="PYG",IF(DZ$10&gt;0,N(Reales!DZ47)/DZ$10,0),N(Reales!DZ47)),DZ$227+DZ$231+DZ$235)</f>
        <v>0</v>
      </c>
      <c r="EA240" s="34" t="n">
        <f aca="false">IF(EA$8=1,IF(Reales!$C$47="PYG",IF(EA$10&gt;0,N(Reales!EA47)/EA$10,0),N(Reales!EA47)),EA$227+EA$231+EA$235)</f>
        <v>0</v>
      </c>
      <c r="EB240" s="34" t="n">
        <f aca="false">IF(EB$8=1,IF(Reales!$C$47="PYG",IF(EB$10&gt;0,N(Reales!EB47)/EB$10,0),N(Reales!EB47)),EB$227+EB$231+EB$235)</f>
        <v>0</v>
      </c>
      <c r="EC240" s="34" t="n">
        <f aca="false">IF(EC$8=1,IF(Reales!$C$47="PYG",IF(EC$10&gt;0,N(Reales!EC47)/EC$10,0),N(Reales!EC47)),EC$227+EC$231+EC$235)</f>
        <v>0</v>
      </c>
      <c r="ED240" s="34" t="n">
        <f aca="false">IF(ED$8=1,IF(Reales!$C$47="PYG",IF(ED$10&gt;0,N(Reales!ED47)/ED$10,0),N(Reales!ED47)),ED$227+ED$231+ED$235)</f>
        <v>0</v>
      </c>
      <c r="EE240" s="34" t="n">
        <f aca="false">IF(EE$8=1,IF(Reales!$C$47="PYG",IF(EE$10&gt;0,N(Reales!EE47)/EE$10,0),N(Reales!EE47)),EE$227+EE$231+EE$235)</f>
        <v>0</v>
      </c>
      <c r="EF240" s="34" t="n">
        <f aca="false">IF(EF$8=1,IF(Reales!$C$47="PYG",IF(EF$10&gt;0,N(Reales!EF47)/EF$10,0),N(Reales!EF47)),EF$227+EF$231+EF$235)</f>
        <v>0</v>
      </c>
      <c r="EG240" s="34" t="n">
        <f aca="false">IF(EG$8=1,IF(Reales!$C$47="PYG",IF(EG$10&gt;0,N(Reales!EG47)/EG$10,0),N(Reales!EG47)),EG$227+EG$231+EG$235)</f>
        <v>0</v>
      </c>
      <c r="EH240" s="34" t="n">
        <f aca="false">IF(EH$8=1,IF(Reales!$C$47="PYG",IF(EH$10&gt;0,N(Reales!EH47)/EH$10,0),N(Reales!EH47)),EH$227+EH$231+EH$235)</f>
        <v>0</v>
      </c>
      <c r="EI240" s="34" t="n">
        <f aca="false">IF(EI$8=1,IF(Reales!$C$47="PYG",IF(EI$10&gt;0,N(Reales!EI47)/EI$10,0),N(Reales!EI47)),EI$227+EI$231+EI$235)</f>
        <v>0</v>
      </c>
      <c r="EJ240" s="34" t="n">
        <f aca="false">IF(EJ$8=1,IF(Reales!$C$47="PYG",IF(EJ$10&gt;0,N(Reales!EJ47)/EJ$10,0),N(Reales!EJ47)),EJ$227+EJ$231+EJ$235)</f>
        <v>0</v>
      </c>
      <c r="EK240" s="34" t="n">
        <f aca="false">IF(EK$8=1,IF(Reales!$C$47="PYG",IF(EK$10&gt;0,N(Reales!EK47)/EK$10,0),N(Reales!EK47)),EK$227+EK$231+EK$235)</f>
        <v>0</v>
      </c>
      <c r="EL240" s="34" t="n">
        <f aca="false">IF(EL$8=1,IF(Reales!$C$47="PYG",IF(EL$10&gt;0,N(Reales!EL47)/EL$10,0),N(Reales!EL47)),EL$227+EL$231+EL$235)</f>
        <v>0</v>
      </c>
      <c r="EM240" s="34" t="n">
        <f aca="false">IF(EM$8=1,IF(Reales!$C$47="PYG",IF(EM$10&gt;0,N(Reales!EM47)/EM$10,0),N(Reales!EM47)),EM$227+EM$231+EM$235)</f>
        <v>0</v>
      </c>
      <c r="EN240" s="34" t="n">
        <f aca="false">IF(EN$8=1,IF(Reales!$C$47="PYG",IF(EN$10&gt;0,N(Reales!EN47)/EN$10,0),N(Reales!EN47)),EN$227+EN$231+EN$235)</f>
        <v>0</v>
      </c>
      <c r="EO240" s="34" t="n">
        <f aca="false">IF(EO$8=1,IF(Reales!$C$47="PYG",IF(EO$10&gt;0,N(Reales!EO47)/EO$10,0),N(Reales!EO47)),EO$227+EO$231+EO$235)</f>
        <v>0</v>
      </c>
      <c r="EP240" s="34" t="n">
        <f aca="false">IF(EP$8=1,IF(Reales!$C$47="PYG",IF(EP$10&gt;0,N(Reales!EP47)/EP$10,0),N(Reales!EP47)),EP$227+EP$231+EP$235)</f>
        <v>0</v>
      </c>
      <c r="EQ240" s="34" t="n">
        <f aca="false">IF(EQ$8=1,IF(Reales!$C$47="PYG",IF(EQ$10&gt;0,N(Reales!EQ47)/EQ$10,0),N(Reales!EQ47)),EQ$227+EQ$231+EQ$235)</f>
        <v>0</v>
      </c>
      <c r="ER240" s="34" t="n">
        <f aca="false">IF(ER$8=1,IF(Reales!$C$47="PYG",IF(ER$10&gt;0,N(Reales!ER47)/ER$10,0),N(Reales!ER47)),ER$227+ER$231+ER$235)</f>
        <v>0</v>
      </c>
      <c r="ES240" s="34" t="n">
        <f aca="false">IF(ES$8=1,IF(Reales!$C$47="PYG",IF(ES$10&gt;0,N(Reales!ES47)/ES$10,0),N(Reales!ES47)),ES$227+ES$231+ES$235)</f>
        <v>0</v>
      </c>
    </row>
    <row r="241" customFormat="false" ht="15" hidden="false" customHeight="false" outlineLevel="0" collapsed="false">
      <c r="A241" s="2" t="s">
        <v>851</v>
      </c>
      <c r="B241" s="6" t="s">
        <v>705</v>
      </c>
      <c r="C241" s="6" t="s">
        <v>250</v>
      </c>
      <c r="E241" s="40" t="n">
        <f aca="false">SUM(F241:ES241)</f>
        <v>2791587</v>
      </c>
      <c r="F241" s="34" t="n">
        <f aca="false">IF(F$8=1,IF(Reales!$C$49="PYG",IF(F$10&gt;0,N(Reales!F49)/F$10,0),N(Reales!F49)),MAX(0,MIN(0-0+F$240,F$229+F$233+F$237)))</f>
        <v>0</v>
      </c>
      <c r="G241" s="34" t="n">
        <f aca="false">IF(G$8=1,IF(Reales!$C$49="PYG",IF(G$10&gt;0,N(Reales!G49)/G$10,0),N(Reales!G49)),MAX(0,MIN(F$252-F$249+G$240,G$229+G$233+G$237)))</f>
        <v>0</v>
      </c>
      <c r="H241" s="34" t="n">
        <f aca="false">IF(H$8=1,IF(Reales!$C$49="PYG",IF(H$10&gt;0,N(Reales!H49)/H$10,0),N(Reales!H49)),MAX(0,MIN(G$252-G$249+H$240,H$229+H$233+H$237)))</f>
        <v>0</v>
      </c>
      <c r="I241" s="34" t="n">
        <f aca="false">IF(I$8=1,IF(Reales!$C$49="PYG",IF(I$10&gt;0,N(Reales!I49)/I$10,0),N(Reales!I49)),MAX(0,MIN(H$252-H$249+I$240,I$229+I$233+I$237)))</f>
        <v>0</v>
      </c>
      <c r="J241" s="34" t="n">
        <f aca="false">IF(J$8=1,IF(Reales!$C$49="PYG",IF(J$10&gt;0,N(Reales!J49)/J$10,0),N(Reales!J49)),MAX(0,MIN(I$252-I$249+J$240,J$229+J$233+J$237)))</f>
        <v>0</v>
      </c>
      <c r="K241" s="34" t="n">
        <f aca="false">IF(K$8=1,IF(Reales!$C$49="PYG",IF(K$10&gt;0,N(Reales!K49)/K$10,0),N(Reales!K49)),MAX(0,MIN(J$252-J$249+K$240,K$229+K$233+K$237)))</f>
        <v>0</v>
      </c>
      <c r="L241" s="34" t="n">
        <f aca="false">IF(L$8=1,IF(Reales!$C$49="PYG",IF(L$10&gt;0,N(Reales!L49)/L$10,0),N(Reales!L49)),MAX(0,MIN(K$252-K$249+L$240,L$229+L$233+L$237)))</f>
        <v>42123.3040946878</v>
      </c>
      <c r="M241" s="34" t="n">
        <f aca="false">IF(M$8=1,IF(Reales!$C$49="PYG",IF(M$10&gt;0,N(Reales!M49)/M$10,0),N(Reales!M49)),MAX(0,MIN(L$252-L$249+M$240,M$229+M$233+M$237)))</f>
        <v>42439.2288753979</v>
      </c>
      <c r="N241" s="34" t="n">
        <f aca="false">IF(N$8=1,IF(Reales!$C$49="PYG",IF(N$10&gt;0,N(Reales!N49)/N$10,0),N(Reales!N49)),MAX(0,MIN(M$252-M$249+N$240,N$229+N$233+N$237)))</f>
        <v>42757.5230919634</v>
      </c>
      <c r="O241" s="34" t="n">
        <f aca="false">IF(O$8=1,IF(Reales!$C$49="PYG",IF(O$10&gt;0,N(Reales!O49)/O$10,0),N(Reales!O49)),MAX(0,MIN(N$252-N$249+O$240,O$229+O$233+O$237)))</f>
        <v>43078.2045151531</v>
      </c>
      <c r="P241" s="34" t="n">
        <f aca="false">IF(P$8=1,IF(Reales!$C$49="PYG",IF(P$10&gt;0,N(Reales!P49)/P$10,0),N(Reales!P49)),MAX(0,MIN(O$252-O$249+P$240,P$229+P$233+P$237)))</f>
        <v>43401.2910490168</v>
      </c>
      <c r="Q241" s="34" t="n">
        <f aca="false">IF(Q$8=1,IF(Reales!$C$49="PYG",IF(Q$10&gt;0,N(Reales!Q49)/Q$10,0),N(Reales!Q49)),MAX(0,MIN(P$252-P$249+Q$240,Q$229+Q$233+Q$237)))</f>
        <v>43726.8007318844</v>
      </c>
      <c r="R241" s="34" t="n">
        <f aca="false">IF(R$8=1,IF(Reales!$C$49="PYG",IF(R$10&gt;0,N(Reales!R49)/R$10,0),N(Reales!R49)),MAX(0,MIN(Q$252-Q$249+R$240,R$229+R$233+R$237)))</f>
        <v>44054.7517373735</v>
      </c>
      <c r="S241" s="34" t="n">
        <f aca="false">IF(S$8=1,IF(Reales!$C$49="PYG",IF(S$10&gt;0,N(Reales!S49)/S$10,0),N(Reales!S49)),MAX(0,MIN(R$252-R$249+S$240,S$229+S$233+S$237)))</f>
        <v>44385.1623754038</v>
      </c>
      <c r="T241" s="34" t="n">
        <f aca="false">IF(T$8=1,IF(Reales!$C$49="PYG",IF(T$10&gt;0,N(Reales!T49)/T$10,0),N(Reales!T49)),MAX(0,MIN(S$252-S$249+T$240,T$229+T$233+T$237)))</f>
        <v>44718.0510932194</v>
      </c>
      <c r="U241" s="34" t="n">
        <f aca="false">IF(U$8=1,IF(Reales!$C$49="PYG",IF(U$10&gt;0,N(Reales!U49)/U$10,0),N(Reales!U49)),MAX(0,MIN(T$252-T$249+U$240,U$229+U$233+U$237)))</f>
        <v>45053.4364764185</v>
      </c>
      <c r="V241" s="34" t="n">
        <f aca="false">IF(V$8=1,IF(Reales!$C$49="PYG",IF(V$10&gt;0,N(Reales!V49)/V$10,0),N(Reales!V49)),MAX(0,MIN(U$252-U$249+V$240,V$229+V$233+V$237)))</f>
        <v>45391.3372499916</v>
      </c>
      <c r="W241" s="34" t="n">
        <f aca="false">IF(W$8=1,IF(Reales!$C$49="PYG",IF(W$10&gt;0,N(Reales!W49)/W$10,0),N(Reales!W49)),MAX(0,MIN(V$252-V$249+W$240,W$229+W$233+W$237)))</f>
        <v>45731.7722793666</v>
      </c>
      <c r="X241" s="34" t="n">
        <f aca="false">IF(X$8=1,IF(Reales!$C$49="PYG",IF(X$10&gt;0,N(Reales!X49)/X$10,0),N(Reales!X49)),MAX(0,MIN(W$252-W$249+X$240,X$229+X$233+X$237)))</f>
        <v>46074.7605714618</v>
      </c>
      <c r="Y241" s="34" t="n">
        <f aca="false">IF(Y$8=1,IF(Reales!$C$49="PYG",IF(Y$10&gt;0,N(Reales!Y49)/Y$10,0),N(Reales!Y49)),MAX(0,MIN(X$252-X$249+Y$240,Y$229+Y$233+Y$237)))</f>
        <v>46420.3212757478</v>
      </c>
      <c r="Z241" s="34" t="n">
        <f aca="false">IF(Z$8=1,IF(Reales!$C$49="PYG",IF(Z$10&gt;0,N(Reales!Z49)/Z$10,0),N(Reales!Z49)),MAX(0,MIN(Y$252-Y$249+Z$240,Z$229+Z$233+Z$237)))</f>
        <v>46768.4736853159</v>
      </c>
      <c r="AA241" s="34" t="n">
        <f aca="false">IF(AA$8=1,IF(Reales!$C$49="PYG",IF(AA$10&gt;0,N(Reales!AA49)/AA$10,0),N(Reales!AA49)),MAX(0,MIN(Z$252-Z$249+AA$240,AA$229+AA$233+AA$237)))</f>
        <v>47119.2372379558</v>
      </c>
      <c r="AB241" s="34" t="n">
        <f aca="false">IF(AB$8=1,IF(Reales!$C$49="PYG",IF(AB$10&gt;0,N(Reales!AB49)/AB$10,0),N(Reales!AB49)),MAX(0,MIN(AA$252-AA$249+AB$240,AB$229+AB$233+AB$237)))</f>
        <v>47472.6315172404</v>
      </c>
      <c r="AC241" s="34" t="n">
        <f aca="false">IF(AC$8=1,IF(Reales!$C$49="PYG",IF(AC$10&gt;0,N(Reales!AC49)/AC$10,0),N(Reales!AC49)),MAX(0,MIN(AB$252-AB$249+AC$240,AC$229+AC$233+AC$237)))</f>
        <v>47828.6762536197</v>
      </c>
      <c r="AD241" s="34" t="n">
        <f aca="false">IF(AD$8=1,IF(Reales!$C$49="PYG",IF(AD$10&gt;0,N(Reales!AD49)/AD$10,0),N(Reales!AD49)),MAX(0,MIN(AC$252-AC$249+AD$240,AD$229+AD$233+AD$237)))</f>
        <v>48187.3913255219</v>
      </c>
      <c r="AE241" s="34" t="n">
        <f aca="false">IF(AE$8=1,IF(Reales!$C$49="PYG",IF(AE$10&gt;0,N(Reales!AE49)/AE$10,0),N(Reales!AE49)),MAX(0,MIN(AD$252-AD$249+AE$240,AE$229+AE$233+AE$237)))</f>
        <v>48548.7967604633</v>
      </c>
      <c r="AF241" s="34" t="n">
        <f aca="false">IF(AF$8=1,IF(Reales!$C$49="PYG",IF(AF$10&gt;0,N(Reales!AF49)/AF$10,0),N(Reales!AF49)),MAX(0,MIN(AE$252-AE$249+AF$240,AF$229+AF$233+AF$237)))</f>
        <v>48912.9127361668</v>
      </c>
      <c r="AG241" s="34" t="n">
        <f aca="false">IF(AG$8=1,IF(Reales!$C$49="PYG",IF(AG$10&gt;0,N(Reales!AG49)/AG$10,0),N(Reales!AG49)),MAX(0,MIN(AF$252-AF$249+AG$240,AG$229+AG$233+AG$237)))</f>
        <v>49279.759581688</v>
      </c>
      <c r="AH241" s="34" t="n">
        <f aca="false">IF(AH$8=1,IF(Reales!$C$49="PYG",IF(AH$10&gt;0,N(Reales!AH49)/AH$10,0),N(Reales!AH49)),MAX(0,MIN(AG$252-AG$249+AH$240,AH$229+AH$233+AH$237)))</f>
        <v>49649.3577785507</v>
      </c>
      <c r="AI241" s="34" t="n">
        <f aca="false">IF(AI$8=1,IF(Reales!$C$49="PYG",IF(AI$10&gt;0,N(Reales!AI49)/AI$10,0),N(Reales!AI49)),MAX(0,MIN(AH$252-AH$249+AI$240,AI$229+AI$233+AI$237)))</f>
        <v>50021.7279618898</v>
      </c>
      <c r="AJ241" s="34" t="n">
        <f aca="false">IF(AJ$8=1,IF(Reales!$C$49="PYG",IF(AJ$10&gt;0,N(Reales!AJ49)/AJ$10,0),N(Reales!AJ49)),MAX(0,MIN(AI$252-AI$249+AJ$240,AJ$229+AJ$233+AJ$237)))</f>
        <v>50396.890921604</v>
      </c>
      <c r="AK241" s="34" t="n">
        <f aca="false">IF(AK$8=1,IF(Reales!$C$49="PYG",IF(AK$10&gt;0,N(Reales!AK49)/AK$10,0),N(Reales!AK49)),MAX(0,MIN(AJ$252-AJ$249+AK$240,AK$229+AK$233+AK$237)))</f>
        <v>50774.867603516</v>
      </c>
      <c r="AL241" s="34" t="n">
        <f aca="false">IF(AL$8=1,IF(Reales!$C$49="PYG",IF(AL$10&gt;0,N(Reales!AL49)/AL$10,0),N(Reales!AL49)),MAX(0,MIN(AK$252-AK$249+AL$240,AL$229+AL$233+AL$237)))</f>
        <v>51155.6791105424</v>
      </c>
      <c r="AM241" s="34" t="n">
        <f aca="false">IF(AM$8=1,IF(Reales!$C$49="PYG",IF(AM$10&gt;0,N(Reales!AM49)/AM$10,0),N(Reales!AM49)),MAX(0,MIN(AL$252-AL$249+AM$240,AM$229+AM$233+AM$237)))</f>
        <v>51539.3467038715</v>
      </c>
      <c r="AN241" s="34" t="n">
        <f aca="false">IF(AN$8=1,IF(Reales!$C$49="PYG",IF(AN$10&gt;0,N(Reales!AN49)/AN$10,0),N(Reales!AN49)),MAX(0,MIN(AM$252-AM$249+AN$240,AN$229+AN$233+AN$237)))</f>
        <v>51925.8918041505</v>
      </c>
      <c r="AO241" s="34" t="n">
        <f aca="false">IF(AO$8=1,IF(Reales!$C$49="PYG",IF(AO$10&gt;0,N(Reales!AO49)/AO$10,0),N(Reales!AO49)),MAX(0,MIN(AN$252-AN$249+AO$240,AO$229+AO$233+AO$237)))</f>
        <v>52315.3359926816</v>
      </c>
      <c r="AP241" s="34" t="n">
        <f aca="false">IF(AP$8=1,IF(Reales!$C$49="PYG",IF(AP$10&gt;0,N(Reales!AP49)/AP$10,0),N(Reales!AP49)),MAX(0,MIN(AO$252-AO$249+AP$240,AP$229+AP$233+AP$237)))</f>
        <v>52707.7010126267</v>
      </c>
      <c r="AQ241" s="34" t="n">
        <f aca="false">IF(AQ$8=1,IF(Reales!$C$49="PYG",IF(AQ$10&gt;0,N(Reales!AQ49)/AQ$10,0),N(Reales!AQ49)),MAX(0,MIN(AP$252-AP$249+AQ$240,AQ$229+AQ$233+AQ$237)))</f>
        <v>53103.0087702214</v>
      </c>
      <c r="AR241" s="34" t="n">
        <f aca="false">IF(AR$8=1,IF(Reales!$C$49="PYG",IF(AR$10&gt;0,N(Reales!AR49)/AR$10,0),N(Reales!AR49)),MAX(0,MIN(AQ$252-AQ$249+AR$240,AR$229+AR$233+AR$237)))</f>
        <v>53501.2813359981</v>
      </c>
      <c r="AS241" s="34" t="n">
        <f aca="false">IF(AS$8=1,IF(Reales!$C$49="PYG",IF(AS$10&gt;0,N(Reales!AS49)/AS$10,0),N(Reales!AS49)),MAX(0,MIN(AR$252-AR$249+AS$240,AS$229+AS$233+AS$237)))</f>
        <v>53902.5409460181</v>
      </c>
      <c r="AT241" s="34" t="n">
        <f aca="false">IF(AT$8=1,IF(Reales!$C$49="PYG",IF(AT$10&gt;0,N(Reales!AT49)/AT$10,0),N(Reales!AT49)),MAX(0,MIN(AS$252-AS$249+AT$240,AT$229+AT$233+AT$237)))</f>
        <v>54306.8100031132</v>
      </c>
      <c r="AU241" s="34" t="n">
        <f aca="false">IF(AU$8=1,IF(Reales!$C$49="PYG",IF(AU$10&gt;0,N(Reales!AU49)/AU$10,0),N(Reales!AU49)),MAX(0,MIN(AT$252-AT$249+AU$240,AU$229+AU$233+AU$237)))</f>
        <v>54714.1110781366</v>
      </c>
      <c r="AV241" s="34" t="n">
        <f aca="false">IF(AV$8=1,IF(Reales!$C$49="PYG",IF(AV$10&gt;0,N(Reales!AV49)/AV$10,0),N(Reales!AV49)),MAX(0,MIN(AU$252-AU$249+AV$240,AV$229+AV$233+AV$237)))</f>
        <v>55124.4669112226</v>
      </c>
      <c r="AW241" s="34" t="n">
        <f aca="false">IF(AW$8=1,IF(Reales!$C$49="PYG",IF(AW$10&gt;0,N(Reales!AW49)/AW$10,0),N(Reales!AW49)),MAX(0,MIN(AV$252-AV$249+AW$240,AW$229+AW$233+AW$237)))</f>
        <v>55537.9004130568</v>
      </c>
      <c r="AX241" s="34" t="n">
        <f aca="false">IF(AX$8=1,IF(Reales!$C$49="PYG",IF(AX$10&gt;0,N(Reales!AX49)/AX$10,0),N(Reales!AX49)),MAX(0,MIN(AW$252-AW$249+AX$240,AX$229+AX$233+AX$237)))</f>
        <v>55954.4346661547</v>
      </c>
      <c r="AY241" s="34" t="n">
        <f aca="false">IF(AY$8=1,IF(Reales!$C$49="PYG",IF(AY$10&gt;0,N(Reales!AY49)/AY$10,0),N(Reales!AY49)),MAX(0,MIN(AX$252-AX$249+AY$240,AY$229+AY$233+AY$237)))</f>
        <v>56374.0929261509</v>
      </c>
      <c r="AZ241" s="34" t="n">
        <f aca="false">IF(AZ$8=1,IF(Reales!$C$49="PYG",IF(AZ$10&gt;0,N(Reales!AZ49)/AZ$10,0),N(Reales!AZ49)),MAX(0,MIN(AY$252-AY$249+AZ$240,AZ$229+AZ$233+AZ$237)))</f>
        <v>56796.898623097</v>
      </c>
      <c r="BA241" s="34" t="n">
        <f aca="false">IF(BA$8=1,IF(Reales!$C$49="PYG",IF(BA$10&gt;0,N(Reales!BA49)/BA$10,0),N(Reales!BA49)),MAX(0,MIN(AZ$252-AZ$249+BA$240,BA$229+BA$233+BA$237)))</f>
        <v>57222.8753627702</v>
      </c>
      <c r="BB241" s="34" t="n">
        <f aca="false">IF(BB$8=1,IF(Reales!$C$49="PYG",IF(BB$10&gt;0,N(Reales!BB49)/BB$10,0),N(Reales!BB49)),MAX(0,MIN(BA$252-BA$249+BB$240,BB$229+BB$233+BB$237)))</f>
        <v>57652.046927991</v>
      </c>
      <c r="BC241" s="34" t="n">
        <f aca="false">IF(BC$8=1,IF(Reales!$C$49="PYG",IF(BC$10&gt;0,N(Reales!BC49)/BC$10,0),N(Reales!BC49)),MAX(0,MIN(BB$252-BB$249+BC$240,BC$229+BC$233+BC$237)))</f>
        <v>58084.4372799509</v>
      </c>
      <c r="BD241" s="34" t="n">
        <f aca="false">IF(BD$8=1,IF(Reales!$C$49="PYG",IF(BD$10&gt;0,N(Reales!BD49)/BD$10,0),N(Reales!BD49)),MAX(0,MIN(BC$252-BC$249+BD$240,BD$229+BD$233+BD$237)))</f>
        <v>58520.0705595506</v>
      </c>
      <c r="BE241" s="34" t="n">
        <f aca="false">IF(BE$8=1,IF(Reales!$C$49="PYG",IF(BE$10&gt;0,N(Reales!BE49)/BE$10,0),N(Reales!BE49)),MAX(0,MIN(BD$252-BD$249+BE$240,BE$229+BE$233+BE$237)))</f>
        <v>58958.9710887472</v>
      </c>
      <c r="BF241" s="34" t="n">
        <f aca="false">IF(BF$8=1,IF(Reales!$C$49="PYG",IF(BF$10&gt;0,N(Reales!BF49)/BF$10,0),N(Reales!BF49)),MAX(0,MIN(BE$252-BE$249+BF$240,BF$229+BF$233+BF$237)))</f>
        <v>59401.1633719128</v>
      </c>
      <c r="BG241" s="34" t="n">
        <f aca="false">IF(BG$8=1,IF(Reales!$C$49="PYG",IF(BG$10&gt;0,N(Reales!BG49)/BG$10,0),N(Reales!BG49)),MAX(0,MIN(BF$252-BF$249+BG$240,BG$229+BG$233+BG$237)))</f>
        <v>59846.6720972021</v>
      </c>
      <c r="BH241" s="34" t="n">
        <f aca="false">IF(BH$8=1,IF(Reales!$C$49="PYG",IF(BH$10&gt;0,N(Reales!BH49)/BH$10,0),N(Reales!BH49)),MAX(0,MIN(BG$252-BG$249+BH$240,BH$229+BH$233+BH$237)))</f>
        <v>60295.5221379312</v>
      </c>
      <c r="BI241" s="34" t="n">
        <f aca="false">IF(BI$8=1,IF(Reales!$C$49="PYG",IF(BI$10&gt;0,N(Reales!BI49)/BI$10,0),N(Reales!BI49)),MAX(0,MIN(BH$252-BH$249+BI$240,BI$229+BI$233+BI$237)))</f>
        <v>60747.7385539656</v>
      </c>
      <c r="BJ241" s="34" t="n">
        <f aca="false">IF(BJ$8=1,IF(Reales!$C$49="PYG",IF(BJ$10&gt;0,N(Reales!BJ49)/BJ$10,0),N(Reales!BJ49)),MAX(0,MIN(BI$252-BI$249+BJ$240,BJ$229+BJ$233+BJ$237)))</f>
        <v>61203.3465931204</v>
      </c>
      <c r="BK241" s="34" t="n">
        <f aca="false">IF(BK$8=1,IF(Reales!$C$49="PYG",IF(BK$10&gt;0,N(Reales!BK49)/BK$10,0),N(Reales!BK49)),MAX(0,MIN(BJ$252-BJ$249+BK$240,BK$229+BK$233+BK$237)))</f>
        <v>61662.3716925688</v>
      </c>
      <c r="BL241" s="34" t="n">
        <f aca="false">IF(BL$8=1,IF(Reales!$C$49="PYG",IF(BL$10&gt;0,N(Reales!BL49)/BL$10,0),N(Reales!BL49)),MAX(0,MIN(BK$252-BK$249+BL$240,BL$229+BL$233+BL$237)))</f>
        <v>62124.839480263</v>
      </c>
      <c r="BM241" s="34" t="n">
        <f aca="false">IF(BM$8=1,IF(Reales!$C$49="PYG",IF(BM$10&gt;0,N(Reales!BM49)/BM$10,0),N(Reales!BM49)),MAX(0,MIN(BL$252-BL$249+BM$240,BM$229+BM$233+BM$237)))</f>
        <v>62590.7757763667</v>
      </c>
      <c r="BN241" s="34" t="n">
        <f aca="false">IF(BN$8=1,IF(Reales!$C$49="PYG",IF(BN$10&gt;0,N(Reales!BN49)/BN$10,0),N(Reales!BN49)),MAX(0,MIN(BM$252-BM$249+BN$240,BN$229+BN$233+BN$237)))</f>
        <v>0</v>
      </c>
      <c r="BO241" s="34" t="n">
        <f aca="false">IF(BO$8=1,IF(Reales!$C$49="PYG",IF(BO$10&gt;0,N(Reales!BO49)/BO$10,0),N(Reales!BO49)),MAX(0,MIN(BN$252-BN$249+BO$240,BO$229+BO$233+BO$237)))</f>
        <v>0</v>
      </c>
      <c r="BP241" s="34" t="n">
        <f aca="false">IF(BP$8=1,IF(Reales!$C$49="PYG",IF(BP$10&gt;0,N(Reales!BP49)/BP$10,0),N(Reales!BP49)),MAX(0,MIN(BO$252-BO$249+BP$240,BP$229+BP$233+BP$237)))</f>
        <v>0</v>
      </c>
      <c r="BQ241" s="34" t="n">
        <f aca="false">IF(BQ$8=1,IF(Reales!$C$49="PYG",IF(BQ$10&gt;0,N(Reales!BQ49)/BQ$10,0),N(Reales!BQ49)),MAX(0,MIN(BP$252-BP$249+BQ$240,BQ$229+BQ$233+BQ$237)))</f>
        <v>0</v>
      </c>
      <c r="BR241" s="34" t="n">
        <f aca="false">IF(BR$8=1,IF(Reales!$C$49="PYG",IF(BR$10&gt;0,N(Reales!BR49)/BR$10,0),N(Reales!BR49)),MAX(0,MIN(BQ$252-BQ$249+BR$240,BR$229+BR$233+BR$237)))</f>
        <v>0</v>
      </c>
      <c r="BS241" s="34" t="n">
        <f aca="false">IF(BS$8=1,IF(Reales!$C$49="PYG",IF(BS$10&gt;0,N(Reales!BS49)/BS$10,0),N(Reales!BS49)),MAX(0,MIN(BR$252-BR$249+BS$240,BS$229+BS$233+BS$237)))</f>
        <v>0</v>
      </c>
      <c r="BT241" s="34" t="n">
        <f aca="false">IF(BT$8=1,IF(Reales!$C$49="PYG",IF(BT$10&gt;0,N(Reales!BT49)/BT$10,0),N(Reales!BT49)),MAX(0,MIN(BS$252-BS$249+BT$240,BT$229+BT$233+BT$237)))</f>
        <v>0</v>
      </c>
      <c r="BU241" s="34" t="n">
        <f aca="false">IF(BU$8=1,IF(Reales!$C$49="PYG",IF(BU$10&gt;0,N(Reales!BU49)/BU$10,0),N(Reales!BU49)),MAX(0,MIN(BT$252-BT$249+BU$240,BU$229+BU$233+BU$237)))</f>
        <v>0</v>
      </c>
      <c r="BV241" s="34" t="n">
        <f aca="false">IF(BV$8=1,IF(Reales!$C$49="PYG",IF(BV$10&gt;0,N(Reales!BV49)/BV$10,0),N(Reales!BV49)),MAX(0,MIN(BU$252-BU$249+BV$240,BV$229+BV$233+BV$237)))</f>
        <v>0</v>
      </c>
      <c r="BW241" s="34" t="n">
        <f aca="false">IF(BW$8=1,IF(Reales!$C$49="PYG",IF(BW$10&gt;0,N(Reales!BW49)/BW$10,0),N(Reales!BW49)),MAX(0,MIN(BV$252-BV$249+BW$240,BW$229+BW$233+BW$237)))</f>
        <v>0</v>
      </c>
      <c r="BX241" s="34" t="n">
        <f aca="false">IF(BX$8=1,IF(Reales!$C$49="PYG",IF(BX$10&gt;0,N(Reales!BX49)/BX$10,0),N(Reales!BX49)),MAX(0,MIN(BW$252-BW$249+BX$240,BX$229+BX$233+BX$237)))</f>
        <v>0</v>
      </c>
      <c r="BY241" s="34" t="n">
        <f aca="false">IF(BY$8=1,IF(Reales!$C$49="PYG",IF(BY$10&gt;0,N(Reales!BY49)/BY$10,0),N(Reales!BY49)),MAX(0,MIN(BX$252-BX$249+BY$240,BY$229+BY$233+BY$237)))</f>
        <v>0</v>
      </c>
      <c r="BZ241" s="34" t="n">
        <f aca="false">IF(BZ$8=1,IF(Reales!$C$49="PYG",IF(BZ$10&gt;0,N(Reales!BZ49)/BZ$10,0),N(Reales!BZ49)),MAX(0,MIN(BY$252-BY$249+BZ$240,BZ$229+BZ$233+BZ$237)))</f>
        <v>0</v>
      </c>
      <c r="CA241" s="34" t="n">
        <f aca="false">IF(CA$8=1,IF(Reales!$C$49="PYG",IF(CA$10&gt;0,N(Reales!CA49)/CA$10,0),N(Reales!CA49)),MAX(0,MIN(BZ$252-BZ$249+CA$240,CA$229+CA$233+CA$237)))</f>
        <v>0</v>
      </c>
      <c r="CB241" s="34" t="n">
        <f aca="false">IF(CB$8=1,IF(Reales!$C$49="PYG",IF(CB$10&gt;0,N(Reales!CB49)/CB$10,0),N(Reales!CB49)),MAX(0,MIN(CA$252-CA$249+CB$240,CB$229+CB$233+CB$237)))</f>
        <v>0</v>
      </c>
      <c r="CC241" s="34" t="n">
        <f aca="false">IF(CC$8=1,IF(Reales!$C$49="PYG",IF(CC$10&gt;0,N(Reales!CC49)/CC$10,0),N(Reales!CC49)),MAX(0,MIN(CB$252-CB$249+CC$240,CC$229+CC$233+CC$237)))</f>
        <v>0</v>
      </c>
      <c r="CD241" s="34" t="n">
        <f aca="false">IF(CD$8=1,IF(Reales!$C$49="PYG",IF(CD$10&gt;0,N(Reales!CD49)/CD$10,0),N(Reales!CD49)),MAX(0,MIN(CC$252-CC$249+CD$240,CD$229+CD$233+CD$237)))</f>
        <v>0</v>
      </c>
      <c r="CE241" s="34" t="n">
        <f aca="false">IF(CE$8=1,IF(Reales!$C$49="PYG",IF(CE$10&gt;0,N(Reales!CE49)/CE$10,0),N(Reales!CE49)),MAX(0,MIN(CD$252-CD$249+CE$240,CE$229+CE$233+CE$237)))</f>
        <v>0</v>
      </c>
      <c r="CF241" s="34" t="n">
        <f aca="false">IF(CF$8=1,IF(Reales!$C$49="PYG",IF(CF$10&gt;0,N(Reales!CF49)/CF$10,0),N(Reales!CF49)),MAX(0,MIN(CE$252-CE$249+CF$240,CF$229+CF$233+CF$237)))</f>
        <v>0</v>
      </c>
      <c r="CG241" s="34" t="n">
        <f aca="false">IF(CG$8=1,IF(Reales!$C$49="PYG",IF(CG$10&gt;0,N(Reales!CG49)/CG$10,0),N(Reales!CG49)),MAX(0,MIN(CF$252-CF$249+CG$240,CG$229+CG$233+CG$237)))</f>
        <v>0</v>
      </c>
      <c r="CH241" s="34" t="n">
        <f aca="false">IF(CH$8=1,IF(Reales!$C$49="PYG",IF(CH$10&gt;0,N(Reales!CH49)/CH$10,0),N(Reales!CH49)),MAX(0,MIN(CG$252-CG$249+CH$240,CH$229+CH$233+CH$237)))</f>
        <v>0</v>
      </c>
      <c r="CI241" s="34" t="n">
        <f aca="false">IF(CI$8=1,IF(Reales!$C$49="PYG",IF(CI$10&gt;0,N(Reales!CI49)/CI$10,0),N(Reales!CI49)),MAX(0,MIN(CH$252-CH$249+CI$240,CI$229+CI$233+CI$237)))</f>
        <v>0</v>
      </c>
      <c r="CJ241" s="34" t="n">
        <f aca="false">IF(CJ$8=1,IF(Reales!$C$49="PYG",IF(CJ$10&gt;0,N(Reales!CJ49)/CJ$10,0),N(Reales!CJ49)),MAX(0,MIN(CI$252-CI$249+CJ$240,CJ$229+CJ$233+CJ$237)))</f>
        <v>0</v>
      </c>
      <c r="CK241" s="34" t="n">
        <f aca="false">IF(CK$8=1,IF(Reales!$C$49="PYG",IF(CK$10&gt;0,N(Reales!CK49)/CK$10,0),N(Reales!CK49)),MAX(0,MIN(CJ$252-CJ$249+CK$240,CK$229+CK$233+CK$237)))</f>
        <v>0</v>
      </c>
      <c r="CL241" s="34" t="n">
        <f aca="false">IF(CL$8=1,IF(Reales!$C$49="PYG",IF(CL$10&gt;0,N(Reales!CL49)/CL$10,0),N(Reales!CL49)),MAX(0,MIN(CK$252-CK$249+CL$240,CL$229+CL$233+CL$237)))</f>
        <v>0</v>
      </c>
      <c r="CM241" s="34" t="n">
        <f aca="false">IF(CM$8=1,IF(Reales!$C$49="PYG",IF(CM$10&gt;0,N(Reales!CM49)/CM$10,0),N(Reales!CM49)),MAX(0,MIN(CL$252-CL$249+CM$240,CM$229+CM$233+CM$237)))</f>
        <v>0</v>
      </c>
      <c r="CN241" s="34" t="n">
        <f aca="false">IF(CN$8=1,IF(Reales!$C$49="PYG",IF(CN$10&gt;0,N(Reales!CN49)/CN$10,0),N(Reales!CN49)),MAX(0,MIN(CM$252-CM$249+CN$240,CN$229+CN$233+CN$237)))</f>
        <v>0</v>
      </c>
      <c r="CO241" s="34" t="n">
        <f aca="false">IF(CO$8=1,IF(Reales!$C$49="PYG",IF(CO$10&gt;0,N(Reales!CO49)/CO$10,0),N(Reales!CO49)),MAX(0,MIN(CN$252-CN$249+CO$240,CO$229+CO$233+CO$237)))</f>
        <v>0</v>
      </c>
      <c r="CP241" s="34" t="n">
        <f aca="false">IF(CP$8=1,IF(Reales!$C$49="PYG",IF(CP$10&gt;0,N(Reales!CP49)/CP$10,0),N(Reales!CP49)),MAX(0,MIN(CO$252-CO$249+CP$240,CP$229+CP$233+CP$237)))</f>
        <v>0</v>
      </c>
      <c r="CQ241" s="34" t="n">
        <f aca="false">IF(CQ$8=1,IF(Reales!$C$49="PYG",IF(CQ$10&gt;0,N(Reales!CQ49)/CQ$10,0),N(Reales!CQ49)),MAX(0,MIN(CP$252-CP$249+CQ$240,CQ$229+CQ$233+CQ$237)))</f>
        <v>0</v>
      </c>
      <c r="CR241" s="34" t="n">
        <f aca="false">IF(CR$8=1,IF(Reales!$C$49="PYG",IF(CR$10&gt;0,N(Reales!CR49)/CR$10,0),N(Reales!CR49)),MAX(0,MIN(CQ$252-CQ$249+CR$240,CR$229+CR$233+CR$237)))</f>
        <v>0</v>
      </c>
      <c r="CS241" s="34" t="n">
        <f aca="false">IF(CS$8=1,IF(Reales!$C$49="PYG",IF(CS$10&gt;0,N(Reales!CS49)/CS$10,0),N(Reales!CS49)),MAX(0,MIN(CR$252-CR$249+CS$240,CS$229+CS$233+CS$237)))</f>
        <v>0</v>
      </c>
      <c r="CT241" s="34" t="n">
        <f aca="false">IF(CT$8=1,IF(Reales!$C$49="PYG",IF(CT$10&gt;0,N(Reales!CT49)/CT$10,0),N(Reales!CT49)),MAX(0,MIN(CS$252-CS$249+CT$240,CT$229+CT$233+CT$237)))</f>
        <v>0</v>
      </c>
      <c r="CU241" s="34" t="n">
        <f aca="false">IF(CU$8=1,IF(Reales!$C$49="PYG",IF(CU$10&gt;0,N(Reales!CU49)/CU$10,0),N(Reales!CU49)),MAX(0,MIN(CT$252-CT$249+CU$240,CU$229+CU$233+CU$237)))</f>
        <v>0</v>
      </c>
      <c r="CV241" s="34" t="n">
        <f aca="false">IF(CV$8=1,IF(Reales!$C$49="PYG",IF(CV$10&gt;0,N(Reales!CV49)/CV$10,0),N(Reales!CV49)),MAX(0,MIN(CU$252-CU$249+CV$240,CV$229+CV$233+CV$237)))</f>
        <v>0</v>
      </c>
      <c r="CW241" s="34" t="n">
        <f aca="false">IF(CW$8=1,IF(Reales!$C$49="PYG",IF(CW$10&gt;0,N(Reales!CW49)/CW$10,0),N(Reales!CW49)),MAX(0,MIN(CV$252-CV$249+CW$240,CW$229+CW$233+CW$237)))</f>
        <v>0</v>
      </c>
      <c r="CX241" s="34" t="n">
        <f aca="false">IF(CX$8=1,IF(Reales!$C$49="PYG",IF(CX$10&gt;0,N(Reales!CX49)/CX$10,0),N(Reales!CX49)),MAX(0,MIN(CW$252-CW$249+CX$240,CX$229+CX$233+CX$237)))</f>
        <v>0</v>
      </c>
      <c r="CY241" s="34" t="n">
        <f aca="false">IF(CY$8=1,IF(Reales!$C$49="PYG",IF(CY$10&gt;0,N(Reales!CY49)/CY$10,0),N(Reales!CY49)),MAX(0,MIN(CX$252-CX$249+CY$240,CY$229+CY$233+CY$237)))</f>
        <v>0</v>
      </c>
      <c r="CZ241" s="34" t="n">
        <f aca="false">IF(CZ$8=1,IF(Reales!$C$49="PYG",IF(CZ$10&gt;0,N(Reales!CZ49)/CZ$10,0),N(Reales!CZ49)),MAX(0,MIN(CY$252-CY$249+CZ$240,CZ$229+CZ$233+CZ$237)))</f>
        <v>0</v>
      </c>
      <c r="DA241" s="34" t="n">
        <f aca="false">IF(DA$8=1,IF(Reales!$C$49="PYG",IF(DA$10&gt;0,N(Reales!DA49)/DA$10,0),N(Reales!DA49)),MAX(0,MIN(CZ$252-CZ$249+DA$240,DA$229+DA$233+DA$237)))</f>
        <v>0</v>
      </c>
      <c r="DB241" s="34" t="n">
        <f aca="false">IF(DB$8=1,IF(Reales!$C$49="PYG",IF(DB$10&gt;0,N(Reales!DB49)/DB$10,0),N(Reales!DB49)),MAX(0,MIN(DA$252-DA$249+DB$240,DB$229+DB$233+DB$237)))</f>
        <v>0</v>
      </c>
      <c r="DC241" s="34" t="n">
        <f aca="false">IF(DC$8=1,IF(Reales!$C$49="PYG",IF(DC$10&gt;0,N(Reales!DC49)/DC$10,0),N(Reales!DC49)),MAX(0,MIN(DB$252-DB$249+DC$240,DC$229+DC$233+DC$237)))</f>
        <v>0</v>
      </c>
      <c r="DD241" s="34" t="n">
        <f aca="false">IF(DD$8=1,IF(Reales!$C$49="PYG",IF(DD$10&gt;0,N(Reales!DD49)/DD$10,0),N(Reales!DD49)),MAX(0,MIN(DC$252-DC$249+DD$240,DD$229+DD$233+DD$237)))</f>
        <v>0</v>
      </c>
      <c r="DE241" s="34" t="n">
        <f aca="false">IF(DE$8=1,IF(Reales!$C$49="PYG",IF(DE$10&gt;0,N(Reales!DE49)/DE$10,0),N(Reales!DE49)),MAX(0,MIN(DD$252-DD$249+DE$240,DE$229+DE$233+DE$237)))</f>
        <v>0</v>
      </c>
      <c r="DF241" s="34" t="n">
        <f aca="false">IF(DF$8=1,IF(Reales!$C$49="PYG",IF(DF$10&gt;0,N(Reales!DF49)/DF$10,0),N(Reales!DF49)),MAX(0,MIN(DE$252-DE$249+DF$240,DF$229+DF$233+DF$237)))</f>
        <v>0</v>
      </c>
      <c r="DG241" s="34" t="n">
        <f aca="false">IF(DG$8=1,IF(Reales!$C$49="PYG",IF(DG$10&gt;0,N(Reales!DG49)/DG$10,0),N(Reales!DG49)),MAX(0,MIN(DF$252-DF$249+DG$240,DG$229+DG$233+DG$237)))</f>
        <v>0</v>
      </c>
      <c r="DH241" s="34" t="n">
        <f aca="false">IF(DH$8=1,IF(Reales!$C$49="PYG",IF(DH$10&gt;0,N(Reales!DH49)/DH$10,0),N(Reales!DH49)),MAX(0,MIN(DG$252-DG$249+DH$240,DH$229+DH$233+DH$237)))</f>
        <v>0</v>
      </c>
      <c r="DI241" s="34" t="n">
        <f aca="false">IF(DI$8=1,IF(Reales!$C$49="PYG",IF(DI$10&gt;0,N(Reales!DI49)/DI$10,0),N(Reales!DI49)),MAX(0,MIN(DH$252-DH$249+DI$240,DI$229+DI$233+DI$237)))</f>
        <v>0</v>
      </c>
      <c r="DJ241" s="34" t="n">
        <f aca="false">IF(DJ$8=1,IF(Reales!$C$49="PYG",IF(DJ$10&gt;0,N(Reales!DJ49)/DJ$10,0),N(Reales!DJ49)),MAX(0,MIN(DI$252-DI$249+DJ$240,DJ$229+DJ$233+DJ$237)))</f>
        <v>0</v>
      </c>
      <c r="DK241" s="34" t="n">
        <f aca="false">IF(DK$8=1,IF(Reales!$C$49="PYG",IF(DK$10&gt;0,N(Reales!DK49)/DK$10,0),N(Reales!DK49)),MAX(0,MIN(DJ$252-DJ$249+DK$240,DK$229+DK$233+DK$237)))</f>
        <v>0</v>
      </c>
      <c r="DL241" s="34" t="n">
        <f aca="false">IF(DL$8=1,IF(Reales!$C$49="PYG",IF(DL$10&gt;0,N(Reales!DL49)/DL$10,0),N(Reales!DL49)),MAX(0,MIN(DK$252-DK$249+DL$240,DL$229+DL$233+DL$237)))</f>
        <v>0</v>
      </c>
      <c r="DM241" s="34" t="n">
        <f aca="false">IF(DM$8=1,IF(Reales!$C$49="PYG",IF(DM$10&gt;0,N(Reales!DM49)/DM$10,0),N(Reales!DM49)),MAX(0,MIN(DL$252-DL$249+DM$240,DM$229+DM$233+DM$237)))</f>
        <v>0</v>
      </c>
      <c r="DN241" s="34" t="n">
        <f aca="false">IF(DN$8=1,IF(Reales!$C$49="PYG",IF(DN$10&gt;0,N(Reales!DN49)/DN$10,0),N(Reales!DN49)),MAX(0,MIN(DM$252-DM$249+DN$240,DN$229+DN$233+DN$237)))</f>
        <v>0</v>
      </c>
      <c r="DO241" s="34" t="n">
        <f aca="false">IF(DO$8=1,IF(Reales!$C$49="PYG",IF(DO$10&gt;0,N(Reales!DO49)/DO$10,0),N(Reales!DO49)),MAX(0,MIN(DN$252-DN$249+DO$240,DO$229+DO$233+DO$237)))</f>
        <v>0</v>
      </c>
      <c r="DP241" s="34" t="n">
        <f aca="false">IF(DP$8=1,IF(Reales!$C$49="PYG",IF(DP$10&gt;0,N(Reales!DP49)/DP$10,0),N(Reales!DP49)),MAX(0,MIN(DO$252-DO$249+DP$240,DP$229+DP$233+DP$237)))</f>
        <v>0</v>
      </c>
      <c r="DQ241" s="34" t="n">
        <f aca="false">IF(DQ$8=1,IF(Reales!$C$49="PYG",IF(DQ$10&gt;0,N(Reales!DQ49)/DQ$10,0),N(Reales!DQ49)),MAX(0,MIN(DP$252-DP$249+DQ$240,DQ$229+DQ$233+DQ$237)))</f>
        <v>0</v>
      </c>
      <c r="DR241" s="34" t="n">
        <f aca="false">IF(DR$8=1,IF(Reales!$C$49="PYG",IF(DR$10&gt;0,N(Reales!DR49)/DR$10,0),N(Reales!DR49)),MAX(0,MIN(DQ$252-DQ$249+DR$240,DR$229+DR$233+DR$237)))</f>
        <v>0</v>
      </c>
      <c r="DS241" s="34" t="n">
        <f aca="false">IF(DS$8=1,IF(Reales!$C$49="PYG",IF(DS$10&gt;0,N(Reales!DS49)/DS$10,0),N(Reales!DS49)),MAX(0,MIN(DR$252-DR$249+DS$240,DS$229+DS$233+DS$237)))</f>
        <v>0</v>
      </c>
      <c r="DT241" s="34" t="n">
        <f aca="false">IF(DT$8=1,IF(Reales!$C$49="PYG",IF(DT$10&gt;0,N(Reales!DT49)/DT$10,0),N(Reales!DT49)),MAX(0,MIN(DS$252-DS$249+DT$240,DT$229+DT$233+DT$237)))</f>
        <v>0</v>
      </c>
      <c r="DU241" s="34" t="n">
        <f aca="false">IF(DU$8=1,IF(Reales!$C$49="PYG",IF(DU$10&gt;0,N(Reales!DU49)/DU$10,0),N(Reales!DU49)),MAX(0,MIN(DT$252-DT$249+DU$240,DU$229+DU$233+DU$237)))</f>
        <v>0</v>
      </c>
      <c r="DV241" s="34" t="n">
        <f aca="false">IF(DV$8=1,IF(Reales!$C$49="PYG",IF(DV$10&gt;0,N(Reales!DV49)/DV$10,0),N(Reales!DV49)),MAX(0,MIN(DU$252-DU$249+DV$240,DV$229+DV$233+DV$237)))</f>
        <v>0</v>
      </c>
      <c r="DW241" s="34" t="n">
        <f aca="false">IF(DW$8=1,IF(Reales!$C$49="PYG",IF(DW$10&gt;0,N(Reales!DW49)/DW$10,0),N(Reales!DW49)),MAX(0,MIN(DV$252-DV$249+DW$240,DW$229+DW$233+DW$237)))</f>
        <v>0</v>
      </c>
      <c r="DX241" s="34" t="n">
        <f aca="false">IF(DX$8=1,IF(Reales!$C$49="PYG",IF(DX$10&gt;0,N(Reales!DX49)/DX$10,0),N(Reales!DX49)),MAX(0,MIN(DW$252-DW$249+DX$240,DX$229+DX$233+DX$237)))</f>
        <v>0</v>
      </c>
      <c r="DY241" s="34" t="n">
        <f aca="false">IF(DY$8=1,IF(Reales!$C$49="PYG",IF(DY$10&gt;0,N(Reales!DY49)/DY$10,0),N(Reales!DY49)),MAX(0,MIN(DX$252-DX$249+DY$240,DY$229+DY$233+DY$237)))</f>
        <v>0</v>
      </c>
      <c r="DZ241" s="34" t="n">
        <f aca="false">IF(DZ$8=1,IF(Reales!$C$49="PYG",IF(DZ$10&gt;0,N(Reales!DZ49)/DZ$10,0),N(Reales!DZ49)),MAX(0,MIN(DY$252-DY$249+DZ$240,DZ$229+DZ$233+DZ$237)))</f>
        <v>0</v>
      </c>
      <c r="EA241" s="34" t="n">
        <f aca="false">IF(EA$8=1,IF(Reales!$C$49="PYG",IF(EA$10&gt;0,N(Reales!EA49)/EA$10,0),N(Reales!EA49)),MAX(0,MIN(DZ$252-DZ$249+EA$240,EA$229+EA$233+EA$237)))</f>
        <v>0</v>
      </c>
      <c r="EB241" s="34" t="n">
        <f aca="false">IF(EB$8=1,IF(Reales!$C$49="PYG",IF(EB$10&gt;0,N(Reales!EB49)/EB$10,0),N(Reales!EB49)),MAX(0,MIN(EA$252-EA$249+EB$240,EB$229+EB$233+EB$237)))</f>
        <v>0</v>
      </c>
      <c r="EC241" s="34" t="n">
        <f aca="false">IF(EC$8=1,IF(Reales!$C$49="PYG",IF(EC$10&gt;0,N(Reales!EC49)/EC$10,0),N(Reales!EC49)),MAX(0,MIN(EB$252-EB$249+EC$240,EC$229+EC$233+EC$237)))</f>
        <v>0</v>
      </c>
      <c r="ED241" s="34" t="n">
        <f aca="false">IF(ED$8=1,IF(Reales!$C$49="PYG",IF(ED$10&gt;0,N(Reales!ED49)/ED$10,0),N(Reales!ED49)),MAX(0,MIN(EC$252-EC$249+ED$240,ED$229+ED$233+ED$237)))</f>
        <v>0</v>
      </c>
      <c r="EE241" s="34" t="n">
        <f aca="false">IF(EE$8=1,IF(Reales!$C$49="PYG",IF(EE$10&gt;0,N(Reales!EE49)/EE$10,0),N(Reales!EE49)),MAX(0,MIN(ED$252-ED$249+EE$240,EE$229+EE$233+EE$237)))</f>
        <v>0</v>
      </c>
      <c r="EF241" s="34" t="n">
        <f aca="false">IF(EF$8=1,IF(Reales!$C$49="PYG",IF(EF$10&gt;0,N(Reales!EF49)/EF$10,0),N(Reales!EF49)),MAX(0,MIN(EE$252-EE$249+EF$240,EF$229+EF$233+EF$237)))</f>
        <v>0</v>
      </c>
      <c r="EG241" s="34" t="n">
        <f aca="false">IF(EG$8=1,IF(Reales!$C$49="PYG",IF(EG$10&gt;0,N(Reales!EG49)/EG$10,0),N(Reales!EG49)),MAX(0,MIN(EF$252-EF$249+EG$240,EG$229+EG$233+EG$237)))</f>
        <v>0</v>
      </c>
      <c r="EH241" s="34" t="n">
        <f aca="false">IF(EH$8=1,IF(Reales!$C$49="PYG",IF(EH$10&gt;0,N(Reales!EH49)/EH$10,0),N(Reales!EH49)),MAX(0,MIN(EG$252-EG$249+EH$240,EH$229+EH$233+EH$237)))</f>
        <v>0</v>
      </c>
      <c r="EI241" s="34" t="n">
        <f aca="false">IF(EI$8=1,IF(Reales!$C$49="PYG",IF(EI$10&gt;0,N(Reales!EI49)/EI$10,0),N(Reales!EI49)),MAX(0,MIN(EH$252-EH$249+EI$240,EI$229+EI$233+EI$237)))</f>
        <v>0</v>
      </c>
      <c r="EJ241" s="34" t="n">
        <f aca="false">IF(EJ$8=1,IF(Reales!$C$49="PYG",IF(EJ$10&gt;0,N(Reales!EJ49)/EJ$10,0),N(Reales!EJ49)),MAX(0,MIN(EI$252-EI$249+EJ$240,EJ$229+EJ$233+EJ$237)))</f>
        <v>0</v>
      </c>
      <c r="EK241" s="34" t="n">
        <f aca="false">IF(EK$8=1,IF(Reales!$C$49="PYG",IF(EK$10&gt;0,N(Reales!EK49)/EK$10,0),N(Reales!EK49)),MAX(0,MIN(EJ$252-EJ$249+EK$240,EK$229+EK$233+EK$237)))</f>
        <v>0</v>
      </c>
      <c r="EL241" s="34" t="n">
        <f aca="false">IF(EL$8=1,IF(Reales!$C$49="PYG",IF(EL$10&gt;0,N(Reales!EL49)/EL$10,0),N(Reales!EL49)),MAX(0,MIN(EK$252-EK$249+EL$240,EL$229+EL$233+EL$237)))</f>
        <v>0</v>
      </c>
      <c r="EM241" s="34" t="n">
        <f aca="false">IF(EM$8=1,IF(Reales!$C$49="PYG",IF(EM$10&gt;0,N(Reales!EM49)/EM$10,0),N(Reales!EM49)),MAX(0,MIN(EL$252-EL$249+EM$240,EM$229+EM$233+EM$237)))</f>
        <v>0</v>
      </c>
      <c r="EN241" s="34" t="n">
        <f aca="false">IF(EN$8=1,IF(Reales!$C$49="PYG",IF(EN$10&gt;0,N(Reales!EN49)/EN$10,0),N(Reales!EN49)),MAX(0,MIN(EM$252-EM$249+EN$240,EN$229+EN$233+EN$237)))</f>
        <v>0</v>
      </c>
      <c r="EO241" s="34" t="n">
        <f aca="false">IF(EO$8=1,IF(Reales!$C$49="PYG",IF(EO$10&gt;0,N(Reales!EO49)/EO$10,0),N(Reales!EO49)),MAX(0,MIN(EN$252-EN$249+EO$240,EO$229+EO$233+EO$237)))</f>
        <v>0</v>
      </c>
      <c r="EP241" s="34" t="n">
        <f aca="false">IF(EP$8=1,IF(Reales!$C$49="PYG",IF(EP$10&gt;0,N(Reales!EP49)/EP$10,0),N(Reales!EP49)),MAX(0,MIN(EO$252-EO$249+EP$240,EP$229+EP$233+EP$237)))</f>
        <v>0</v>
      </c>
      <c r="EQ241" s="34" t="n">
        <f aca="false">IF(EQ$8=1,IF(Reales!$C$49="PYG",IF(EQ$10&gt;0,N(Reales!EQ49)/EQ$10,0),N(Reales!EQ49)),MAX(0,MIN(EP$252-EP$249+EQ$240,EQ$229+EQ$233+EQ$237)))</f>
        <v>0</v>
      </c>
      <c r="ER241" s="34" t="n">
        <f aca="false">IF(ER$8=1,IF(Reales!$C$49="PYG",IF(ER$10&gt;0,N(Reales!ER49)/ER$10,0),N(Reales!ER49)),MAX(0,MIN(EQ$252-EQ$249+ER$240,ER$229+ER$233+ER$237)))</f>
        <v>0</v>
      </c>
      <c r="ES241" s="34" t="n">
        <f aca="false">IF(ES$8=1,IF(Reales!$C$49="PYG",IF(ES$10&gt;0,N(Reales!ES49)/ES$10,0),N(Reales!ES49)),MAX(0,MIN(ER$252-ER$249+ES$240,ES$229+ES$233+ES$237)))</f>
        <v>0</v>
      </c>
    </row>
    <row r="242" customFormat="false" ht="15" hidden="false" customHeight="false" outlineLevel="0" collapsed="false">
      <c r="A242" s="2" t="s">
        <v>852</v>
      </c>
      <c r="B242" s="6" t="s">
        <v>707</v>
      </c>
      <c r="C242" s="6" t="s">
        <v>250</v>
      </c>
      <c r="E242" s="40" t="n">
        <f aca="false">SUM(F242:ES242)</f>
        <v>1139710</v>
      </c>
      <c r="F242" s="34" t="n">
        <f aca="false">IF(F$8=1,IF(Reales!$C$50="PYG",IF(F$10&gt;0,N(Reales!F50)/F$10,0),N(Reales!F50)),SUMIF(Ap_MesV,1,Ap_MontoV)*F$9)</f>
        <v>767782</v>
      </c>
      <c r="G242" s="34" t="n">
        <f aca="false">IF(G$8=1,IF(Reales!$C$50="PYG",IF(G$10&gt;0,N(Reales!G50)/G$10,0),N(Reales!G50)),SUMIF(Ap_MesV,2,Ap_MontoV)*G$9)</f>
        <v>0</v>
      </c>
      <c r="H242" s="34" t="n">
        <f aca="false">IF(H$8=1,IF(Reales!$C$50="PYG",IF(H$10&gt;0,N(Reales!H50)/H$10,0),N(Reales!H50)),SUMIF(Ap_MesV,3,Ap_MontoV)*H$9)</f>
        <v>0</v>
      </c>
      <c r="I242" s="34" t="n">
        <f aca="false">IF(I$8=1,IF(Reales!$C$50="PYG",IF(I$10&gt;0,N(Reales!I50)/I$10,0),N(Reales!I50)),SUMIF(Ap_MesV,4,Ap_MontoV)*I$9)</f>
        <v>0</v>
      </c>
      <c r="J242" s="34" t="n">
        <f aca="false">IF(J$8=1,IF(Reales!$C$50="PYG",IF(J$10&gt;0,N(Reales!J50)/J$10,0),N(Reales!J50)),SUMIF(Ap_MesV,5,Ap_MontoV)*J$9)</f>
        <v>0</v>
      </c>
      <c r="K242" s="34" t="n">
        <f aca="false">IF(K$8=1,IF(Reales!$C$50="PYG",IF(K$10&gt;0,N(Reales!K50)/K$10,0),N(Reales!K50)),SUMIF(Ap_MesV,6,Ap_MontoV)*K$9)</f>
        <v>0</v>
      </c>
      <c r="L242" s="34" t="n">
        <f aca="false">IF(L$8=1,IF(Reales!$C$50="PYG",IF(L$10&gt;0,N(Reales!L50)/L$10,0),N(Reales!L50)),SUMIF(Ap_MesV,7,Ap_MontoV)*L$9)</f>
        <v>0</v>
      </c>
      <c r="M242" s="34" t="n">
        <f aca="false">IF(M$8=1,IF(Reales!$C$50="PYG",IF(M$10&gt;0,N(Reales!M50)/M$10,0),N(Reales!M50)),SUMIF(Ap_MesV,8,Ap_MontoV)*M$9)</f>
        <v>0</v>
      </c>
      <c r="N242" s="34" t="n">
        <f aca="false">IF(N$8=1,IF(Reales!$C$50="PYG",IF(N$10&gt;0,N(Reales!N50)/N$10,0),N(Reales!N50)),SUMIF(Ap_MesV,9,Ap_MontoV)*N$9)</f>
        <v>0</v>
      </c>
      <c r="O242" s="34" t="n">
        <f aca="false">IF(O$8=1,IF(Reales!$C$50="PYG",IF(O$10&gt;0,N(Reales!O50)/O$10,0),N(Reales!O50)),SUMIF(Ap_MesV,10,Ap_MontoV)*O$9)</f>
        <v>0</v>
      </c>
      <c r="P242" s="34" t="n">
        <f aca="false">IF(P$8=1,IF(Reales!$C$50="PYG",IF(P$10&gt;0,N(Reales!P50)/P$10,0),N(Reales!P50)),SUMIF(Ap_MesV,11,Ap_MontoV)*P$9)</f>
        <v>0</v>
      </c>
      <c r="Q242" s="34" t="n">
        <f aca="false">IF(Q$8=1,IF(Reales!$C$50="PYG",IF(Q$10&gt;0,N(Reales!Q50)/Q$10,0),N(Reales!Q50)),SUMIF(Ap_MesV,12,Ap_MontoV)*Q$9)</f>
        <v>0</v>
      </c>
      <c r="R242" s="34" t="n">
        <f aca="false">IF(R$8=1,IF(Reales!$C$50="PYG",IF(R$10&gt;0,N(Reales!R50)/R$10,0),N(Reales!R50)),SUMIF(Ap_MesV,13,Ap_MontoV)*R$9)</f>
        <v>371928</v>
      </c>
      <c r="S242" s="34" t="n">
        <f aca="false">IF(S$8=1,IF(Reales!$C$50="PYG",IF(S$10&gt;0,N(Reales!S50)/S$10,0),N(Reales!S50)),SUMIF(Ap_MesV,14,Ap_MontoV)*S$9)</f>
        <v>0</v>
      </c>
      <c r="T242" s="34" t="n">
        <f aca="false">IF(T$8=1,IF(Reales!$C$50="PYG",IF(T$10&gt;0,N(Reales!T50)/T$10,0),N(Reales!T50)),SUMIF(Ap_MesV,15,Ap_MontoV)*T$9)</f>
        <v>0</v>
      </c>
      <c r="U242" s="34" t="n">
        <f aca="false">IF(U$8=1,IF(Reales!$C$50="PYG",IF(U$10&gt;0,N(Reales!U50)/U$10,0),N(Reales!U50)),SUMIF(Ap_MesV,16,Ap_MontoV)*U$9)</f>
        <v>0</v>
      </c>
      <c r="V242" s="34" t="n">
        <f aca="false">IF(V$8=1,IF(Reales!$C$50="PYG",IF(V$10&gt;0,N(Reales!V50)/V$10,0),N(Reales!V50)),SUMIF(Ap_MesV,17,Ap_MontoV)*V$9)</f>
        <v>0</v>
      </c>
      <c r="W242" s="34" t="n">
        <f aca="false">IF(W$8=1,IF(Reales!$C$50="PYG",IF(W$10&gt;0,N(Reales!W50)/W$10,0),N(Reales!W50)),SUMIF(Ap_MesV,18,Ap_MontoV)*W$9)</f>
        <v>0</v>
      </c>
      <c r="X242" s="34" t="n">
        <f aca="false">IF(X$8=1,IF(Reales!$C$50="PYG",IF(X$10&gt;0,N(Reales!X50)/X$10,0),N(Reales!X50)),SUMIF(Ap_MesV,19,Ap_MontoV)*X$9)</f>
        <v>0</v>
      </c>
      <c r="Y242" s="34" t="n">
        <f aca="false">IF(Y$8=1,IF(Reales!$C$50="PYG",IF(Y$10&gt;0,N(Reales!Y50)/Y$10,0),N(Reales!Y50)),SUMIF(Ap_MesV,20,Ap_MontoV)*Y$9)</f>
        <v>0</v>
      </c>
      <c r="Z242" s="34" t="n">
        <f aca="false">IF(Z$8=1,IF(Reales!$C$50="PYG",IF(Z$10&gt;0,N(Reales!Z50)/Z$10,0),N(Reales!Z50)),SUMIF(Ap_MesV,21,Ap_MontoV)*Z$9)</f>
        <v>0</v>
      </c>
      <c r="AA242" s="34" t="n">
        <f aca="false">IF(AA$8=1,IF(Reales!$C$50="PYG",IF(AA$10&gt;0,N(Reales!AA50)/AA$10,0),N(Reales!AA50)),SUMIF(Ap_MesV,22,Ap_MontoV)*AA$9)</f>
        <v>0</v>
      </c>
      <c r="AB242" s="34" t="n">
        <f aca="false">IF(AB$8=1,IF(Reales!$C$50="PYG",IF(AB$10&gt;0,N(Reales!AB50)/AB$10,0),N(Reales!AB50)),SUMIF(Ap_MesV,23,Ap_MontoV)*AB$9)</f>
        <v>0</v>
      </c>
      <c r="AC242" s="34" t="n">
        <f aca="false">IF(AC$8=1,IF(Reales!$C$50="PYG",IF(AC$10&gt;0,N(Reales!AC50)/AC$10,0),N(Reales!AC50)),SUMIF(Ap_MesV,24,Ap_MontoV)*AC$9)</f>
        <v>0</v>
      </c>
      <c r="AD242" s="34" t="n">
        <f aca="false">IF(AD$8=1,IF(Reales!$C$50="PYG",IF(AD$10&gt;0,N(Reales!AD50)/AD$10,0),N(Reales!AD50)),SUMIF(Ap_MesV,25,Ap_MontoV)*AD$9)</f>
        <v>0</v>
      </c>
      <c r="AE242" s="34" t="n">
        <f aca="false">IF(AE$8=1,IF(Reales!$C$50="PYG",IF(AE$10&gt;0,N(Reales!AE50)/AE$10,0),N(Reales!AE50)),SUMIF(Ap_MesV,26,Ap_MontoV)*AE$9)</f>
        <v>0</v>
      </c>
      <c r="AF242" s="34" t="n">
        <f aca="false">IF(AF$8=1,IF(Reales!$C$50="PYG",IF(AF$10&gt;0,N(Reales!AF50)/AF$10,0),N(Reales!AF50)),SUMIF(Ap_MesV,27,Ap_MontoV)*AF$9)</f>
        <v>0</v>
      </c>
      <c r="AG242" s="34" t="n">
        <f aca="false">IF(AG$8=1,IF(Reales!$C$50="PYG",IF(AG$10&gt;0,N(Reales!AG50)/AG$10,0),N(Reales!AG50)),SUMIF(Ap_MesV,28,Ap_MontoV)*AG$9)</f>
        <v>0</v>
      </c>
      <c r="AH242" s="34" t="n">
        <f aca="false">IF(AH$8=1,IF(Reales!$C$50="PYG",IF(AH$10&gt;0,N(Reales!AH50)/AH$10,0),N(Reales!AH50)),SUMIF(Ap_MesV,29,Ap_MontoV)*AH$9)</f>
        <v>0</v>
      </c>
      <c r="AI242" s="34" t="n">
        <f aca="false">IF(AI$8=1,IF(Reales!$C$50="PYG",IF(AI$10&gt;0,N(Reales!AI50)/AI$10,0),N(Reales!AI50)),SUMIF(Ap_MesV,30,Ap_MontoV)*AI$9)</f>
        <v>0</v>
      </c>
      <c r="AJ242" s="34" t="n">
        <f aca="false">IF(AJ$8=1,IF(Reales!$C$50="PYG",IF(AJ$10&gt;0,N(Reales!AJ50)/AJ$10,0),N(Reales!AJ50)),SUMIF(Ap_MesV,31,Ap_MontoV)*AJ$9)</f>
        <v>0</v>
      </c>
      <c r="AK242" s="34" t="n">
        <f aca="false">IF(AK$8=1,IF(Reales!$C$50="PYG",IF(AK$10&gt;0,N(Reales!AK50)/AK$10,0),N(Reales!AK50)),SUMIF(Ap_MesV,32,Ap_MontoV)*AK$9)</f>
        <v>0</v>
      </c>
      <c r="AL242" s="34" t="n">
        <f aca="false">IF(AL$8=1,IF(Reales!$C$50="PYG",IF(AL$10&gt;0,N(Reales!AL50)/AL$10,0),N(Reales!AL50)),SUMIF(Ap_MesV,33,Ap_MontoV)*AL$9)</f>
        <v>0</v>
      </c>
      <c r="AM242" s="34" t="n">
        <f aca="false">IF(AM$8=1,IF(Reales!$C$50="PYG",IF(AM$10&gt;0,N(Reales!AM50)/AM$10,0),N(Reales!AM50)),SUMIF(Ap_MesV,34,Ap_MontoV)*AM$9)</f>
        <v>0</v>
      </c>
      <c r="AN242" s="34" t="n">
        <f aca="false">IF(AN$8=1,IF(Reales!$C$50="PYG",IF(AN$10&gt;0,N(Reales!AN50)/AN$10,0),N(Reales!AN50)),SUMIF(Ap_MesV,35,Ap_MontoV)*AN$9)</f>
        <v>0</v>
      </c>
      <c r="AO242" s="34" t="n">
        <f aca="false">IF(AO$8=1,IF(Reales!$C$50="PYG",IF(AO$10&gt;0,N(Reales!AO50)/AO$10,0),N(Reales!AO50)),SUMIF(Ap_MesV,36,Ap_MontoV)*AO$9)</f>
        <v>0</v>
      </c>
      <c r="AP242" s="34" t="n">
        <f aca="false">IF(AP$8=1,IF(Reales!$C$50="PYG",IF(AP$10&gt;0,N(Reales!AP50)/AP$10,0),N(Reales!AP50)),SUMIF(Ap_MesV,37,Ap_MontoV)*AP$9)</f>
        <v>0</v>
      </c>
      <c r="AQ242" s="34" t="n">
        <f aca="false">IF(AQ$8=1,IF(Reales!$C$50="PYG",IF(AQ$10&gt;0,N(Reales!AQ50)/AQ$10,0),N(Reales!AQ50)),SUMIF(Ap_MesV,38,Ap_MontoV)*AQ$9)</f>
        <v>0</v>
      </c>
      <c r="AR242" s="34" t="n">
        <f aca="false">IF(AR$8=1,IF(Reales!$C$50="PYG",IF(AR$10&gt;0,N(Reales!AR50)/AR$10,0),N(Reales!AR50)),SUMIF(Ap_MesV,39,Ap_MontoV)*AR$9)</f>
        <v>0</v>
      </c>
      <c r="AS242" s="34" t="n">
        <f aca="false">IF(AS$8=1,IF(Reales!$C$50="PYG",IF(AS$10&gt;0,N(Reales!AS50)/AS$10,0),N(Reales!AS50)),SUMIF(Ap_MesV,40,Ap_MontoV)*AS$9)</f>
        <v>0</v>
      </c>
      <c r="AT242" s="34" t="n">
        <f aca="false">IF(AT$8=1,IF(Reales!$C$50="PYG",IF(AT$10&gt;0,N(Reales!AT50)/AT$10,0),N(Reales!AT50)),SUMIF(Ap_MesV,41,Ap_MontoV)*AT$9)</f>
        <v>0</v>
      </c>
      <c r="AU242" s="34" t="n">
        <f aca="false">IF(AU$8=1,IF(Reales!$C$50="PYG",IF(AU$10&gt;0,N(Reales!AU50)/AU$10,0),N(Reales!AU50)),SUMIF(Ap_MesV,42,Ap_MontoV)*AU$9)</f>
        <v>0</v>
      </c>
      <c r="AV242" s="34" t="n">
        <f aca="false">IF(AV$8=1,IF(Reales!$C$50="PYG",IF(AV$10&gt;0,N(Reales!AV50)/AV$10,0),N(Reales!AV50)),SUMIF(Ap_MesV,43,Ap_MontoV)*AV$9)</f>
        <v>0</v>
      </c>
      <c r="AW242" s="34" t="n">
        <f aca="false">IF(AW$8=1,IF(Reales!$C$50="PYG",IF(AW$10&gt;0,N(Reales!AW50)/AW$10,0),N(Reales!AW50)),SUMIF(Ap_MesV,44,Ap_MontoV)*AW$9)</f>
        <v>0</v>
      </c>
      <c r="AX242" s="34" t="n">
        <f aca="false">IF(AX$8=1,IF(Reales!$C$50="PYG",IF(AX$10&gt;0,N(Reales!AX50)/AX$10,0),N(Reales!AX50)),SUMIF(Ap_MesV,45,Ap_MontoV)*AX$9)</f>
        <v>0</v>
      </c>
      <c r="AY242" s="34" t="n">
        <f aca="false">IF(AY$8=1,IF(Reales!$C$50="PYG",IF(AY$10&gt;0,N(Reales!AY50)/AY$10,0),N(Reales!AY50)),SUMIF(Ap_MesV,46,Ap_MontoV)*AY$9)</f>
        <v>0</v>
      </c>
      <c r="AZ242" s="34" t="n">
        <f aca="false">IF(AZ$8=1,IF(Reales!$C$50="PYG",IF(AZ$10&gt;0,N(Reales!AZ50)/AZ$10,0),N(Reales!AZ50)),SUMIF(Ap_MesV,47,Ap_MontoV)*AZ$9)</f>
        <v>0</v>
      </c>
      <c r="BA242" s="34" t="n">
        <f aca="false">IF(BA$8=1,IF(Reales!$C$50="PYG",IF(BA$10&gt;0,N(Reales!BA50)/BA$10,0),N(Reales!BA50)),SUMIF(Ap_MesV,48,Ap_MontoV)*BA$9)</f>
        <v>0</v>
      </c>
      <c r="BB242" s="34" t="n">
        <f aca="false">IF(BB$8=1,IF(Reales!$C$50="PYG",IF(BB$10&gt;0,N(Reales!BB50)/BB$10,0),N(Reales!BB50)),SUMIF(Ap_MesV,49,Ap_MontoV)*BB$9)</f>
        <v>0</v>
      </c>
      <c r="BC242" s="34" t="n">
        <f aca="false">IF(BC$8=1,IF(Reales!$C$50="PYG",IF(BC$10&gt;0,N(Reales!BC50)/BC$10,0),N(Reales!BC50)),SUMIF(Ap_MesV,50,Ap_MontoV)*BC$9)</f>
        <v>0</v>
      </c>
      <c r="BD242" s="34" t="n">
        <f aca="false">IF(BD$8=1,IF(Reales!$C$50="PYG",IF(BD$10&gt;0,N(Reales!BD50)/BD$10,0),N(Reales!BD50)),SUMIF(Ap_MesV,51,Ap_MontoV)*BD$9)</f>
        <v>0</v>
      </c>
      <c r="BE242" s="34" t="n">
        <f aca="false">IF(BE$8=1,IF(Reales!$C$50="PYG",IF(BE$10&gt;0,N(Reales!BE50)/BE$10,0),N(Reales!BE50)),SUMIF(Ap_MesV,52,Ap_MontoV)*BE$9)</f>
        <v>0</v>
      </c>
      <c r="BF242" s="34" t="n">
        <f aca="false">IF(BF$8=1,IF(Reales!$C$50="PYG",IF(BF$10&gt;0,N(Reales!BF50)/BF$10,0),N(Reales!BF50)),SUMIF(Ap_MesV,53,Ap_MontoV)*BF$9)</f>
        <v>0</v>
      </c>
      <c r="BG242" s="34" t="n">
        <f aca="false">IF(BG$8=1,IF(Reales!$C$50="PYG",IF(BG$10&gt;0,N(Reales!BG50)/BG$10,0),N(Reales!BG50)),SUMIF(Ap_MesV,54,Ap_MontoV)*BG$9)</f>
        <v>0</v>
      </c>
      <c r="BH242" s="34" t="n">
        <f aca="false">IF(BH$8=1,IF(Reales!$C$50="PYG",IF(BH$10&gt;0,N(Reales!BH50)/BH$10,0),N(Reales!BH50)),SUMIF(Ap_MesV,55,Ap_MontoV)*BH$9)</f>
        <v>0</v>
      </c>
      <c r="BI242" s="34" t="n">
        <f aca="false">IF(BI$8=1,IF(Reales!$C$50="PYG",IF(BI$10&gt;0,N(Reales!BI50)/BI$10,0),N(Reales!BI50)),SUMIF(Ap_MesV,56,Ap_MontoV)*BI$9)</f>
        <v>0</v>
      </c>
      <c r="BJ242" s="34" t="n">
        <f aca="false">IF(BJ$8=1,IF(Reales!$C$50="PYG",IF(BJ$10&gt;0,N(Reales!BJ50)/BJ$10,0),N(Reales!BJ50)),SUMIF(Ap_MesV,57,Ap_MontoV)*BJ$9)</f>
        <v>0</v>
      </c>
      <c r="BK242" s="34" t="n">
        <f aca="false">IF(BK$8=1,IF(Reales!$C$50="PYG",IF(BK$10&gt;0,N(Reales!BK50)/BK$10,0),N(Reales!BK50)),SUMIF(Ap_MesV,58,Ap_MontoV)*BK$9)</f>
        <v>0</v>
      </c>
      <c r="BL242" s="34" t="n">
        <f aca="false">IF(BL$8=1,IF(Reales!$C$50="PYG",IF(BL$10&gt;0,N(Reales!BL50)/BL$10,0),N(Reales!BL50)),SUMIF(Ap_MesV,59,Ap_MontoV)*BL$9)</f>
        <v>0</v>
      </c>
      <c r="BM242" s="34" t="n">
        <f aca="false">IF(BM$8=1,IF(Reales!$C$50="PYG",IF(BM$10&gt;0,N(Reales!BM50)/BM$10,0),N(Reales!BM50)),SUMIF(Ap_MesV,60,Ap_MontoV)*BM$9)</f>
        <v>0</v>
      </c>
      <c r="BN242" s="34" t="n">
        <f aca="false">IF(BN$8=1,IF(Reales!$C$50="PYG",IF(BN$10&gt;0,N(Reales!BN50)/BN$10,0),N(Reales!BN50)),SUMIF(Ap_MesV,61,Ap_MontoV)*BN$9)</f>
        <v>0</v>
      </c>
      <c r="BO242" s="34" t="n">
        <f aca="false">IF(BO$8=1,IF(Reales!$C$50="PYG",IF(BO$10&gt;0,N(Reales!BO50)/BO$10,0),N(Reales!BO50)),SUMIF(Ap_MesV,62,Ap_MontoV)*BO$9)</f>
        <v>0</v>
      </c>
      <c r="BP242" s="34" t="n">
        <f aca="false">IF(BP$8=1,IF(Reales!$C$50="PYG",IF(BP$10&gt;0,N(Reales!BP50)/BP$10,0),N(Reales!BP50)),SUMIF(Ap_MesV,63,Ap_MontoV)*BP$9)</f>
        <v>0</v>
      </c>
      <c r="BQ242" s="34" t="n">
        <f aca="false">IF(BQ$8=1,IF(Reales!$C$50="PYG",IF(BQ$10&gt;0,N(Reales!BQ50)/BQ$10,0),N(Reales!BQ50)),SUMIF(Ap_MesV,64,Ap_MontoV)*BQ$9)</f>
        <v>0</v>
      </c>
      <c r="BR242" s="34" t="n">
        <f aca="false">IF(BR$8=1,IF(Reales!$C$50="PYG",IF(BR$10&gt;0,N(Reales!BR50)/BR$10,0),N(Reales!BR50)),SUMIF(Ap_MesV,65,Ap_MontoV)*BR$9)</f>
        <v>0</v>
      </c>
      <c r="BS242" s="34" t="n">
        <f aca="false">IF(BS$8=1,IF(Reales!$C$50="PYG",IF(BS$10&gt;0,N(Reales!BS50)/BS$10,0),N(Reales!BS50)),SUMIF(Ap_MesV,66,Ap_MontoV)*BS$9)</f>
        <v>0</v>
      </c>
      <c r="BT242" s="34" t="n">
        <f aca="false">IF(BT$8=1,IF(Reales!$C$50="PYG",IF(BT$10&gt;0,N(Reales!BT50)/BT$10,0),N(Reales!BT50)),SUMIF(Ap_MesV,67,Ap_MontoV)*BT$9)</f>
        <v>0</v>
      </c>
      <c r="BU242" s="34" t="n">
        <f aca="false">IF(BU$8=1,IF(Reales!$C$50="PYG",IF(BU$10&gt;0,N(Reales!BU50)/BU$10,0),N(Reales!BU50)),SUMIF(Ap_MesV,68,Ap_MontoV)*BU$9)</f>
        <v>0</v>
      </c>
      <c r="BV242" s="34" t="n">
        <f aca="false">IF(BV$8=1,IF(Reales!$C$50="PYG",IF(BV$10&gt;0,N(Reales!BV50)/BV$10,0),N(Reales!BV50)),SUMIF(Ap_MesV,69,Ap_MontoV)*BV$9)</f>
        <v>0</v>
      </c>
      <c r="BW242" s="34" t="n">
        <f aca="false">IF(BW$8=1,IF(Reales!$C$50="PYG",IF(BW$10&gt;0,N(Reales!BW50)/BW$10,0),N(Reales!BW50)),SUMIF(Ap_MesV,70,Ap_MontoV)*BW$9)</f>
        <v>0</v>
      </c>
      <c r="BX242" s="34" t="n">
        <f aca="false">IF(BX$8=1,IF(Reales!$C$50="PYG",IF(BX$10&gt;0,N(Reales!BX50)/BX$10,0),N(Reales!BX50)),SUMIF(Ap_MesV,71,Ap_MontoV)*BX$9)</f>
        <v>0</v>
      </c>
      <c r="BY242" s="34" t="n">
        <f aca="false">IF(BY$8=1,IF(Reales!$C$50="PYG",IF(BY$10&gt;0,N(Reales!BY50)/BY$10,0),N(Reales!BY50)),SUMIF(Ap_MesV,72,Ap_MontoV)*BY$9)</f>
        <v>0</v>
      </c>
      <c r="BZ242" s="34" t="n">
        <f aca="false">IF(BZ$8=1,IF(Reales!$C$50="PYG",IF(BZ$10&gt;0,N(Reales!BZ50)/BZ$10,0),N(Reales!BZ50)),SUMIF(Ap_MesV,73,Ap_MontoV)*BZ$9)</f>
        <v>0</v>
      </c>
      <c r="CA242" s="34" t="n">
        <f aca="false">IF(CA$8=1,IF(Reales!$C$50="PYG",IF(CA$10&gt;0,N(Reales!CA50)/CA$10,0),N(Reales!CA50)),SUMIF(Ap_MesV,74,Ap_MontoV)*CA$9)</f>
        <v>0</v>
      </c>
      <c r="CB242" s="34" t="n">
        <f aca="false">IF(CB$8=1,IF(Reales!$C$50="PYG",IF(CB$10&gt;0,N(Reales!CB50)/CB$10,0),N(Reales!CB50)),SUMIF(Ap_MesV,75,Ap_MontoV)*CB$9)</f>
        <v>0</v>
      </c>
      <c r="CC242" s="34" t="n">
        <f aca="false">IF(CC$8=1,IF(Reales!$C$50="PYG",IF(CC$10&gt;0,N(Reales!CC50)/CC$10,0),N(Reales!CC50)),SUMIF(Ap_MesV,76,Ap_MontoV)*CC$9)</f>
        <v>0</v>
      </c>
      <c r="CD242" s="34" t="n">
        <f aca="false">IF(CD$8=1,IF(Reales!$C$50="PYG",IF(CD$10&gt;0,N(Reales!CD50)/CD$10,0),N(Reales!CD50)),SUMIF(Ap_MesV,77,Ap_MontoV)*CD$9)</f>
        <v>0</v>
      </c>
      <c r="CE242" s="34" t="n">
        <f aca="false">IF(CE$8=1,IF(Reales!$C$50="PYG",IF(CE$10&gt;0,N(Reales!CE50)/CE$10,0),N(Reales!CE50)),SUMIF(Ap_MesV,78,Ap_MontoV)*CE$9)</f>
        <v>0</v>
      </c>
      <c r="CF242" s="34" t="n">
        <f aca="false">IF(CF$8=1,IF(Reales!$C$50="PYG",IF(CF$10&gt;0,N(Reales!CF50)/CF$10,0),N(Reales!CF50)),SUMIF(Ap_MesV,79,Ap_MontoV)*CF$9)</f>
        <v>0</v>
      </c>
      <c r="CG242" s="34" t="n">
        <f aca="false">IF(CG$8=1,IF(Reales!$C$50="PYG",IF(CG$10&gt;0,N(Reales!CG50)/CG$10,0),N(Reales!CG50)),SUMIF(Ap_MesV,80,Ap_MontoV)*CG$9)</f>
        <v>0</v>
      </c>
      <c r="CH242" s="34" t="n">
        <f aca="false">IF(CH$8=1,IF(Reales!$C$50="PYG",IF(CH$10&gt;0,N(Reales!CH50)/CH$10,0),N(Reales!CH50)),SUMIF(Ap_MesV,81,Ap_MontoV)*CH$9)</f>
        <v>0</v>
      </c>
      <c r="CI242" s="34" t="n">
        <f aca="false">IF(CI$8=1,IF(Reales!$C$50="PYG",IF(CI$10&gt;0,N(Reales!CI50)/CI$10,0),N(Reales!CI50)),SUMIF(Ap_MesV,82,Ap_MontoV)*CI$9)</f>
        <v>0</v>
      </c>
      <c r="CJ242" s="34" t="n">
        <f aca="false">IF(CJ$8=1,IF(Reales!$C$50="PYG",IF(CJ$10&gt;0,N(Reales!CJ50)/CJ$10,0),N(Reales!CJ50)),SUMIF(Ap_MesV,83,Ap_MontoV)*CJ$9)</f>
        <v>0</v>
      </c>
      <c r="CK242" s="34" t="n">
        <f aca="false">IF(CK$8=1,IF(Reales!$C$50="PYG",IF(CK$10&gt;0,N(Reales!CK50)/CK$10,0),N(Reales!CK50)),SUMIF(Ap_MesV,84,Ap_MontoV)*CK$9)</f>
        <v>0</v>
      </c>
      <c r="CL242" s="34" t="n">
        <f aca="false">IF(CL$8=1,IF(Reales!$C$50="PYG",IF(CL$10&gt;0,N(Reales!CL50)/CL$10,0),N(Reales!CL50)),SUMIF(Ap_MesV,85,Ap_MontoV)*CL$9)</f>
        <v>0</v>
      </c>
      <c r="CM242" s="34" t="n">
        <f aca="false">IF(CM$8=1,IF(Reales!$C$50="PYG",IF(CM$10&gt;0,N(Reales!CM50)/CM$10,0),N(Reales!CM50)),SUMIF(Ap_MesV,86,Ap_MontoV)*CM$9)</f>
        <v>0</v>
      </c>
      <c r="CN242" s="34" t="n">
        <f aca="false">IF(CN$8=1,IF(Reales!$C$50="PYG",IF(CN$10&gt;0,N(Reales!CN50)/CN$10,0),N(Reales!CN50)),SUMIF(Ap_MesV,87,Ap_MontoV)*CN$9)</f>
        <v>0</v>
      </c>
      <c r="CO242" s="34" t="n">
        <f aca="false">IF(CO$8=1,IF(Reales!$C$50="PYG",IF(CO$10&gt;0,N(Reales!CO50)/CO$10,0),N(Reales!CO50)),SUMIF(Ap_MesV,88,Ap_MontoV)*CO$9)</f>
        <v>0</v>
      </c>
      <c r="CP242" s="34" t="n">
        <f aca="false">IF(CP$8=1,IF(Reales!$C$50="PYG",IF(CP$10&gt;0,N(Reales!CP50)/CP$10,0),N(Reales!CP50)),SUMIF(Ap_MesV,89,Ap_MontoV)*CP$9)</f>
        <v>0</v>
      </c>
      <c r="CQ242" s="34" t="n">
        <f aca="false">IF(CQ$8=1,IF(Reales!$C$50="PYG",IF(CQ$10&gt;0,N(Reales!CQ50)/CQ$10,0),N(Reales!CQ50)),SUMIF(Ap_MesV,90,Ap_MontoV)*CQ$9)</f>
        <v>0</v>
      </c>
      <c r="CR242" s="34" t="n">
        <f aca="false">IF(CR$8=1,IF(Reales!$C$50="PYG",IF(CR$10&gt;0,N(Reales!CR50)/CR$10,0),N(Reales!CR50)),SUMIF(Ap_MesV,91,Ap_MontoV)*CR$9)</f>
        <v>0</v>
      </c>
      <c r="CS242" s="34" t="n">
        <f aca="false">IF(CS$8=1,IF(Reales!$C$50="PYG",IF(CS$10&gt;0,N(Reales!CS50)/CS$10,0),N(Reales!CS50)),SUMIF(Ap_MesV,92,Ap_MontoV)*CS$9)</f>
        <v>0</v>
      </c>
      <c r="CT242" s="34" t="n">
        <f aca="false">IF(CT$8=1,IF(Reales!$C$50="PYG",IF(CT$10&gt;0,N(Reales!CT50)/CT$10,0),N(Reales!CT50)),SUMIF(Ap_MesV,93,Ap_MontoV)*CT$9)</f>
        <v>0</v>
      </c>
      <c r="CU242" s="34" t="n">
        <f aca="false">IF(CU$8=1,IF(Reales!$C$50="PYG",IF(CU$10&gt;0,N(Reales!CU50)/CU$10,0),N(Reales!CU50)),SUMIF(Ap_MesV,94,Ap_MontoV)*CU$9)</f>
        <v>0</v>
      </c>
      <c r="CV242" s="34" t="n">
        <f aca="false">IF(CV$8=1,IF(Reales!$C$50="PYG",IF(CV$10&gt;0,N(Reales!CV50)/CV$10,0),N(Reales!CV50)),SUMIF(Ap_MesV,95,Ap_MontoV)*CV$9)</f>
        <v>0</v>
      </c>
      <c r="CW242" s="34" t="n">
        <f aca="false">IF(CW$8=1,IF(Reales!$C$50="PYG",IF(CW$10&gt;0,N(Reales!CW50)/CW$10,0),N(Reales!CW50)),SUMIF(Ap_MesV,96,Ap_MontoV)*CW$9)</f>
        <v>0</v>
      </c>
      <c r="CX242" s="34" t="n">
        <f aca="false">IF(CX$8=1,IF(Reales!$C$50="PYG",IF(CX$10&gt;0,N(Reales!CX50)/CX$10,0),N(Reales!CX50)),SUMIF(Ap_MesV,97,Ap_MontoV)*CX$9)</f>
        <v>0</v>
      </c>
      <c r="CY242" s="34" t="n">
        <f aca="false">IF(CY$8=1,IF(Reales!$C$50="PYG",IF(CY$10&gt;0,N(Reales!CY50)/CY$10,0),N(Reales!CY50)),SUMIF(Ap_MesV,98,Ap_MontoV)*CY$9)</f>
        <v>0</v>
      </c>
      <c r="CZ242" s="34" t="n">
        <f aca="false">IF(CZ$8=1,IF(Reales!$C$50="PYG",IF(CZ$10&gt;0,N(Reales!CZ50)/CZ$10,0),N(Reales!CZ50)),SUMIF(Ap_MesV,99,Ap_MontoV)*CZ$9)</f>
        <v>0</v>
      </c>
      <c r="DA242" s="34" t="n">
        <f aca="false">IF(DA$8=1,IF(Reales!$C$50="PYG",IF(DA$10&gt;0,N(Reales!DA50)/DA$10,0),N(Reales!DA50)),SUMIF(Ap_MesV,100,Ap_MontoV)*DA$9)</f>
        <v>0</v>
      </c>
      <c r="DB242" s="34" t="n">
        <f aca="false">IF(DB$8=1,IF(Reales!$C$50="PYG",IF(DB$10&gt;0,N(Reales!DB50)/DB$10,0),N(Reales!DB50)),SUMIF(Ap_MesV,101,Ap_MontoV)*DB$9)</f>
        <v>0</v>
      </c>
      <c r="DC242" s="34" t="n">
        <f aca="false">IF(DC$8=1,IF(Reales!$C$50="PYG",IF(DC$10&gt;0,N(Reales!DC50)/DC$10,0),N(Reales!DC50)),SUMIF(Ap_MesV,102,Ap_MontoV)*DC$9)</f>
        <v>0</v>
      </c>
      <c r="DD242" s="34" t="n">
        <f aca="false">IF(DD$8=1,IF(Reales!$C$50="PYG",IF(DD$10&gt;0,N(Reales!DD50)/DD$10,0),N(Reales!DD50)),SUMIF(Ap_MesV,103,Ap_MontoV)*DD$9)</f>
        <v>0</v>
      </c>
      <c r="DE242" s="34" t="n">
        <f aca="false">IF(DE$8=1,IF(Reales!$C$50="PYG",IF(DE$10&gt;0,N(Reales!DE50)/DE$10,0),N(Reales!DE50)),SUMIF(Ap_MesV,104,Ap_MontoV)*DE$9)</f>
        <v>0</v>
      </c>
      <c r="DF242" s="34" t="n">
        <f aca="false">IF(DF$8=1,IF(Reales!$C$50="PYG",IF(DF$10&gt;0,N(Reales!DF50)/DF$10,0),N(Reales!DF50)),SUMIF(Ap_MesV,105,Ap_MontoV)*DF$9)</f>
        <v>0</v>
      </c>
      <c r="DG242" s="34" t="n">
        <f aca="false">IF(DG$8=1,IF(Reales!$C$50="PYG",IF(DG$10&gt;0,N(Reales!DG50)/DG$10,0),N(Reales!DG50)),SUMIF(Ap_MesV,106,Ap_MontoV)*DG$9)</f>
        <v>0</v>
      </c>
      <c r="DH242" s="34" t="n">
        <f aca="false">IF(DH$8=1,IF(Reales!$C$50="PYG",IF(DH$10&gt;0,N(Reales!DH50)/DH$10,0),N(Reales!DH50)),SUMIF(Ap_MesV,107,Ap_MontoV)*DH$9)</f>
        <v>0</v>
      </c>
      <c r="DI242" s="34" t="n">
        <f aca="false">IF(DI$8=1,IF(Reales!$C$50="PYG",IF(DI$10&gt;0,N(Reales!DI50)/DI$10,0),N(Reales!DI50)),SUMIF(Ap_MesV,108,Ap_MontoV)*DI$9)</f>
        <v>0</v>
      </c>
      <c r="DJ242" s="34" t="n">
        <f aca="false">IF(DJ$8=1,IF(Reales!$C$50="PYG",IF(DJ$10&gt;0,N(Reales!DJ50)/DJ$10,0),N(Reales!DJ50)),SUMIF(Ap_MesV,109,Ap_MontoV)*DJ$9)</f>
        <v>0</v>
      </c>
      <c r="DK242" s="34" t="n">
        <f aca="false">IF(DK$8=1,IF(Reales!$C$50="PYG",IF(DK$10&gt;0,N(Reales!DK50)/DK$10,0),N(Reales!DK50)),SUMIF(Ap_MesV,110,Ap_MontoV)*DK$9)</f>
        <v>0</v>
      </c>
      <c r="DL242" s="34" t="n">
        <f aca="false">IF(DL$8=1,IF(Reales!$C$50="PYG",IF(DL$10&gt;0,N(Reales!DL50)/DL$10,0),N(Reales!DL50)),SUMIF(Ap_MesV,111,Ap_MontoV)*DL$9)</f>
        <v>0</v>
      </c>
      <c r="DM242" s="34" t="n">
        <f aca="false">IF(DM$8=1,IF(Reales!$C$50="PYG",IF(DM$10&gt;0,N(Reales!DM50)/DM$10,0),N(Reales!DM50)),SUMIF(Ap_MesV,112,Ap_MontoV)*DM$9)</f>
        <v>0</v>
      </c>
      <c r="DN242" s="34" t="n">
        <f aca="false">IF(DN$8=1,IF(Reales!$C$50="PYG",IF(DN$10&gt;0,N(Reales!DN50)/DN$10,0),N(Reales!DN50)),SUMIF(Ap_MesV,113,Ap_MontoV)*DN$9)</f>
        <v>0</v>
      </c>
      <c r="DO242" s="34" t="n">
        <f aca="false">IF(DO$8=1,IF(Reales!$C$50="PYG",IF(DO$10&gt;0,N(Reales!DO50)/DO$10,0),N(Reales!DO50)),SUMIF(Ap_MesV,114,Ap_MontoV)*DO$9)</f>
        <v>0</v>
      </c>
      <c r="DP242" s="34" t="n">
        <f aca="false">IF(DP$8=1,IF(Reales!$C$50="PYG",IF(DP$10&gt;0,N(Reales!DP50)/DP$10,0),N(Reales!DP50)),SUMIF(Ap_MesV,115,Ap_MontoV)*DP$9)</f>
        <v>0</v>
      </c>
      <c r="DQ242" s="34" t="n">
        <f aca="false">IF(DQ$8=1,IF(Reales!$C$50="PYG",IF(DQ$10&gt;0,N(Reales!DQ50)/DQ$10,0),N(Reales!DQ50)),SUMIF(Ap_MesV,116,Ap_MontoV)*DQ$9)</f>
        <v>0</v>
      </c>
      <c r="DR242" s="34" t="n">
        <f aca="false">IF(DR$8=1,IF(Reales!$C$50="PYG",IF(DR$10&gt;0,N(Reales!DR50)/DR$10,0),N(Reales!DR50)),SUMIF(Ap_MesV,117,Ap_MontoV)*DR$9)</f>
        <v>0</v>
      </c>
      <c r="DS242" s="34" t="n">
        <f aca="false">IF(DS$8=1,IF(Reales!$C$50="PYG",IF(DS$10&gt;0,N(Reales!DS50)/DS$10,0),N(Reales!DS50)),SUMIF(Ap_MesV,118,Ap_MontoV)*DS$9)</f>
        <v>0</v>
      </c>
      <c r="DT242" s="34" t="n">
        <f aca="false">IF(DT$8=1,IF(Reales!$C$50="PYG",IF(DT$10&gt;0,N(Reales!DT50)/DT$10,0),N(Reales!DT50)),SUMIF(Ap_MesV,119,Ap_MontoV)*DT$9)</f>
        <v>0</v>
      </c>
      <c r="DU242" s="34" t="n">
        <f aca="false">IF(DU$8=1,IF(Reales!$C$50="PYG",IF(DU$10&gt;0,N(Reales!DU50)/DU$10,0),N(Reales!DU50)),SUMIF(Ap_MesV,120,Ap_MontoV)*DU$9)</f>
        <v>0</v>
      </c>
      <c r="DV242" s="34" t="n">
        <f aca="false">IF(DV$8=1,IF(Reales!$C$50="PYG",IF(DV$10&gt;0,N(Reales!DV50)/DV$10,0),N(Reales!DV50)),SUMIF(Ap_MesV,121,Ap_MontoV)*DV$9)</f>
        <v>0</v>
      </c>
      <c r="DW242" s="34" t="n">
        <f aca="false">IF(DW$8=1,IF(Reales!$C$50="PYG",IF(DW$10&gt;0,N(Reales!DW50)/DW$10,0),N(Reales!DW50)),SUMIF(Ap_MesV,122,Ap_MontoV)*DW$9)</f>
        <v>0</v>
      </c>
      <c r="DX242" s="34" t="n">
        <f aca="false">IF(DX$8=1,IF(Reales!$C$50="PYG",IF(DX$10&gt;0,N(Reales!DX50)/DX$10,0),N(Reales!DX50)),SUMIF(Ap_MesV,123,Ap_MontoV)*DX$9)</f>
        <v>0</v>
      </c>
      <c r="DY242" s="34" t="n">
        <f aca="false">IF(DY$8=1,IF(Reales!$C$50="PYG",IF(DY$10&gt;0,N(Reales!DY50)/DY$10,0),N(Reales!DY50)),SUMIF(Ap_MesV,124,Ap_MontoV)*DY$9)</f>
        <v>0</v>
      </c>
      <c r="DZ242" s="34" t="n">
        <f aca="false">IF(DZ$8=1,IF(Reales!$C$50="PYG",IF(DZ$10&gt;0,N(Reales!DZ50)/DZ$10,0),N(Reales!DZ50)),SUMIF(Ap_MesV,125,Ap_MontoV)*DZ$9)</f>
        <v>0</v>
      </c>
      <c r="EA242" s="34" t="n">
        <f aca="false">IF(EA$8=1,IF(Reales!$C$50="PYG",IF(EA$10&gt;0,N(Reales!EA50)/EA$10,0),N(Reales!EA50)),SUMIF(Ap_MesV,126,Ap_MontoV)*EA$9)</f>
        <v>0</v>
      </c>
      <c r="EB242" s="34" t="n">
        <f aca="false">IF(EB$8=1,IF(Reales!$C$50="PYG",IF(EB$10&gt;0,N(Reales!EB50)/EB$10,0),N(Reales!EB50)),SUMIF(Ap_MesV,127,Ap_MontoV)*EB$9)</f>
        <v>0</v>
      </c>
      <c r="EC242" s="34" t="n">
        <f aca="false">IF(EC$8=1,IF(Reales!$C$50="PYG",IF(EC$10&gt;0,N(Reales!EC50)/EC$10,0),N(Reales!EC50)),SUMIF(Ap_MesV,128,Ap_MontoV)*EC$9)</f>
        <v>0</v>
      </c>
      <c r="ED242" s="34" t="n">
        <f aca="false">IF(ED$8=1,IF(Reales!$C$50="PYG",IF(ED$10&gt;0,N(Reales!ED50)/ED$10,0),N(Reales!ED50)),SUMIF(Ap_MesV,129,Ap_MontoV)*ED$9)</f>
        <v>0</v>
      </c>
      <c r="EE242" s="34" t="n">
        <f aca="false">IF(EE$8=1,IF(Reales!$C$50="PYG",IF(EE$10&gt;0,N(Reales!EE50)/EE$10,0),N(Reales!EE50)),SUMIF(Ap_MesV,130,Ap_MontoV)*EE$9)</f>
        <v>0</v>
      </c>
      <c r="EF242" s="34" t="n">
        <f aca="false">IF(EF$8=1,IF(Reales!$C$50="PYG",IF(EF$10&gt;0,N(Reales!EF50)/EF$10,0),N(Reales!EF50)),SUMIF(Ap_MesV,131,Ap_MontoV)*EF$9)</f>
        <v>0</v>
      </c>
      <c r="EG242" s="34" t="n">
        <f aca="false">IF(EG$8=1,IF(Reales!$C$50="PYG",IF(EG$10&gt;0,N(Reales!EG50)/EG$10,0),N(Reales!EG50)),SUMIF(Ap_MesV,132,Ap_MontoV)*EG$9)</f>
        <v>0</v>
      </c>
      <c r="EH242" s="34" t="n">
        <f aca="false">IF(EH$8=1,IF(Reales!$C$50="PYG",IF(EH$10&gt;0,N(Reales!EH50)/EH$10,0),N(Reales!EH50)),SUMIF(Ap_MesV,133,Ap_MontoV)*EH$9)</f>
        <v>0</v>
      </c>
      <c r="EI242" s="34" t="n">
        <f aca="false">IF(EI$8=1,IF(Reales!$C$50="PYG",IF(EI$10&gt;0,N(Reales!EI50)/EI$10,0),N(Reales!EI50)),SUMIF(Ap_MesV,134,Ap_MontoV)*EI$9)</f>
        <v>0</v>
      </c>
      <c r="EJ242" s="34" t="n">
        <f aca="false">IF(EJ$8=1,IF(Reales!$C$50="PYG",IF(EJ$10&gt;0,N(Reales!EJ50)/EJ$10,0),N(Reales!EJ50)),SUMIF(Ap_MesV,135,Ap_MontoV)*EJ$9)</f>
        <v>0</v>
      </c>
      <c r="EK242" s="34" t="n">
        <f aca="false">IF(EK$8=1,IF(Reales!$C$50="PYG",IF(EK$10&gt;0,N(Reales!EK50)/EK$10,0),N(Reales!EK50)),SUMIF(Ap_MesV,136,Ap_MontoV)*EK$9)</f>
        <v>0</v>
      </c>
      <c r="EL242" s="34" t="n">
        <f aca="false">IF(EL$8=1,IF(Reales!$C$50="PYG",IF(EL$10&gt;0,N(Reales!EL50)/EL$10,0),N(Reales!EL50)),SUMIF(Ap_MesV,137,Ap_MontoV)*EL$9)</f>
        <v>0</v>
      </c>
      <c r="EM242" s="34" t="n">
        <f aca="false">IF(EM$8=1,IF(Reales!$C$50="PYG",IF(EM$10&gt;0,N(Reales!EM50)/EM$10,0),N(Reales!EM50)),SUMIF(Ap_MesV,138,Ap_MontoV)*EM$9)</f>
        <v>0</v>
      </c>
      <c r="EN242" s="34" t="n">
        <f aca="false">IF(EN$8=1,IF(Reales!$C$50="PYG",IF(EN$10&gt;0,N(Reales!EN50)/EN$10,0),N(Reales!EN50)),SUMIF(Ap_MesV,139,Ap_MontoV)*EN$9)</f>
        <v>0</v>
      </c>
      <c r="EO242" s="34" t="n">
        <f aca="false">IF(EO$8=1,IF(Reales!$C$50="PYG",IF(EO$10&gt;0,N(Reales!EO50)/EO$10,0),N(Reales!EO50)),SUMIF(Ap_MesV,140,Ap_MontoV)*EO$9)</f>
        <v>0</v>
      </c>
      <c r="EP242" s="34" t="n">
        <f aca="false">IF(EP$8=1,IF(Reales!$C$50="PYG",IF(EP$10&gt;0,N(Reales!EP50)/EP$10,0),N(Reales!EP50)),SUMIF(Ap_MesV,141,Ap_MontoV)*EP$9)</f>
        <v>0</v>
      </c>
      <c r="EQ242" s="34" t="n">
        <f aca="false">IF(EQ$8=1,IF(Reales!$C$50="PYG",IF(EQ$10&gt;0,N(Reales!EQ50)/EQ$10,0),N(Reales!EQ50)),SUMIF(Ap_MesV,142,Ap_MontoV)*EQ$9)</f>
        <v>0</v>
      </c>
      <c r="ER242" s="34" t="n">
        <f aca="false">IF(ER$8=1,IF(Reales!$C$50="PYG",IF(ER$10&gt;0,N(Reales!ER50)/ER$10,0),N(Reales!ER50)),SUMIF(Ap_MesV,143,Ap_MontoV)*ER$9)</f>
        <v>0</v>
      </c>
      <c r="ES242" s="34" t="n">
        <f aca="false">IF(ES$8=1,IF(Reales!$C$50="PYG",IF(ES$10&gt;0,N(Reales!ES50)/ES$10,0),N(Reales!ES50)),SUMIF(Ap_MesV,144,Ap_MontoV)*ES$9)</f>
        <v>0</v>
      </c>
    </row>
    <row r="243" customFormat="false" ht="15" hidden="false" customHeight="false" outlineLevel="0" collapsed="false">
      <c r="A243" s="2" t="s">
        <v>853</v>
      </c>
      <c r="B243" s="6" t="s">
        <v>709</v>
      </c>
      <c r="C243" s="6" t="s">
        <v>549</v>
      </c>
      <c r="F243" s="19" t="n">
        <f aca="false">IF(AND(N(V_LC_Lim)&gt;0,1&gt;=MAX(1,N(V_LC_Desde)),1&lt;=IF(N(V_LC_Hasta)=0,Fin,N(V_LC_Hasta))),1,0)</f>
        <v>0</v>
      </c>
      <c r="G243" s="19" t="n">
        <f aca="false">IF(AND(N(V_LC_Lim)&gt;0,2&gt;=MAX(1,N(V_LC_Desde)),2&lt;=IF(N(V_LC_Hasta)=0,Fin,N(V_LC_Hasta))),1,0)</f>
        <v>0</v>
      </c>
      <c r="H243" s="19" t="n">
        <f aca="false">IF(AND(N(V_LC_Lim)&gt;0,3&gt;=MAX(1,N(V_LC_Desde)),3&lt;=IF(N(V_LC_Hasta)=0,Fin,N(V_LC_Hasta))),1,0)</f>
        <v>0</v>
      </c>
      <c r="I243" s="19" t="n">
        <f aca="false">IF(AND(N(V_LC_Lim)&gt;0,4&gt;=MAX(1,N(V_LC_Desde)),4&lt;=IF(N(V_LC_Hasta)=0,Fin,N(V_LC_Hasta))),1,0)</f>
        <v>0</v>
      </c>
      <c r="J243" s="19" t="n">
        <f aca="false">IF(AND(N(V_LC_Lim)&gt;0,5&gt;=MAX(1,N(V_LC_Desde)),5&lt;=IF(N(V_LC_Hasta)=0,Fin,N(V_LC_Hasta))),1,0)</f>
        <v>0</v>
      </c>
      <c r="K243" s="19" t="n">
        <f aca="false">IF(AND(N(V_LC_Lim)&gt;0,6&gt;=MAX(1,N(V_LC_Desde)),6&lt;=IF(N(V_LC_Hasta)=0,Fin,N(V_LC_Hasta))),1,0)</f>
        <v>0</v>
      </c>
      <c r="L243" s="19" t="n">
        <f aca="false">IF(AND(N(V_LC_Lim)&gt;0,7&gt;=MAX(1,N(V_LC_Desde)),7&lt;=IF(N(V_LC_Hasta)=0,Fin,N(V_LC_Hasta))),1,0)</f>
        <v>0</v>
      </c>
      <c r="M243" s="19" t="n">
        <f aca="false">IF(AND(N(V_LC_Lim)&gt;0,8&gt;=MAX(1,N(V_LC_Desde)),8&lt;=IF(N(V_LC_Hasta)=0,Fin,N(V_LC_Hasta))),1,0)</f>
        <v>0</v>
      </c>
      <c r="N243" s="19" t="n">
        <f aca="false">IF(AND(N(V_LC_Lim)&gt;0,9&gt;=MAX(1,N(V_LC_Desde)),9&lt;=IF(N(V_LC_Hasta)=0,Fin,N(V_LC_Hasta))),1,0)</f>
        <v>0</v>
      </c>
      <c r="O243" s="19" t="n">
        <f aca="false">IF(AND(N(V_LC_Lim)&gt;0,10&gt;=MAX(1,N(V_LC_Desde)),10&lt;=IF(N(V_LC_Hasta)=0,Fin,N(V_LC_Hasta))),1,0)</f>
        <v>0</v>
      </c>
      <c r="P243" s="19" t="n">
        <f aca="false">IF(AND(N(V_LC_Lim)&gt;0,11&gt;=MAX(1,N(V_LC_Desde)),11&lt;=IF(N(V_LC_Hasta)=0,Fin,N(V_LC_Hasta))),1,0)</f>
        <v>0</v>
      </c>
      <c r="Q243" s="19" t="n">
        <f aca="false">IF(AND(N(V_LC_Lim)&gt;0,12&gt;=MAX(1,N(V_LC_Desde)),12&lt;=IF(N(V_LC_Hasta)=0,Fin,N(V_LC_Hasta))),1,0)</f>
        <v>0</v>
      </c>
      <c r="R243" s="19" t="n">
        <f aca="false">IF(AND(N(V_LC_Lim)&gt;0,13&gt;=MAX(1,N(V_LC_Desde)),13&lt;=IF(N(V_LC_Hasta)=0,Fin,N(V_LC_Hasta))),1,0)</f>
        <v>0</v>
      </c>
      <c r="S243" s="19" t="n">
        <f aca="false">IF(AND(N(V_LC_Lim)&gt;0,14&gt;=MAX(1,N(V_LC_Desde)),14&lt;=IF(N(V_LC_Hasta)=0,Fin,N(V_LC_Hasta))),1,0)</f>
        <v>0</v>
      </c>
      <c r="T243" s="19" t="n">
        <f aca="false">IF(AND(N(V_LC_Lim)&gt;0,15&gt;=MAX(1,N(V_LC_Desde)),15&lt;=IF(N(V_LC_Hasta)=0,Fin,N(V_LC_Hasta))),1,0)</f>
        <v>0</v>
      </c>
      <c r="U243" s="19" t="n">
        <f aca="false">IF(AND(N(V_LC_Lim)&gt;0,16&gt;=MAX(1,N(V_LC_Desde)),16&lt;=IF(N(V_LC_Hasta)=0,Fin,N(V_LC_Hasta))),1,0)</f>
        <v>0</v>
      </c>
      <c r="V243" s="19" t="n">
        <f aca="false">IF(AND(N(V_LC_Lim)&gt;0,17&gt;=MAX(1,N(V_LC_Desde)),17&lt;=IF(N(V_LC_Hasta)=0,Fin,N(V_LC_Hasta))),1,0)</f>
        <v>0</v>
      </c>
      <c r="W243" s="19" t="n">
        <f aca="false">IF(AND(N(V_LC_Lim)&gt;0,18&gt;=MAX(1,N(V_LC_Desde)),18&lt;=IF(N(V_LC_Hasta)=0,Fin,N(V_LC_Hasta))),1,0)</f>
        <v>0</v>
      </c>
      <c r="X243" s="19" t="n">
        <f aca="false">IF(AND(N(V_LC_Lim)&gt;0,19&gt;=MAX(1,N(V_LC_Desde)),19&lt;=IF(N(V_LC_Hasta)=0,Fin,N(V_LC_Hasta))),1,0)</f>
        <v>0</v>
      </c>
      <c r="Y243" s="19" t="n">
        <f aca="false">IF(AND(N(V_LC_Lim)&gt;0,20&gt;=MAX(1,N(V_LC_Desde)),20&lt;=IF(N(V_LC_Hasta)=0,Fin,N(V_LC_Hasta))),1,0)</f>
        <v>0</v>
      </c>
      <c r="Z243" s="19" t="n">
        <f aca="false">IF(AND(N(V_LC_Lim)&gt;0,21&gt;=MAX(1,N(V_LC_Desde)),21&lt;=IF(N(V_LC_Hasta)=0,Fin,N(V_LC_Hasta))),1,0)</f>
        <v>0</v>
      </c>
      <c r="AA243" s="19" t="n">
        <f aca="false">IF(AND(N(V_LC_Lim)&gt;0,22&gt;=MAX(1,N(V_LC_Desde)),22&lt;=IF(N(V_LC_Hasta)=0,Fin,N(V_LC_Hasta))),1,0)</f>
        <v>0</v>
      </c>
      <c r="AB243" s="19" t="n">
        <f aca="false">IF(AND(N(V_LC_Lim)&gt;0,23&gt;=MAX(1,N(V_LC_Desde)),23&lt;=IF(N(V_LC_Hasta)=0,Fin,N(V_LC_Hasta))),1,0)</f>
        <v>0</v>
      </c>
      <c r="AC243" s="19" t="n">
        <f aca="false">IF(AND(N(V_LC_Lim)&gt;0,24&gt;=MAX(1,N(V_LC_Desde)),24&lt;=IF(N(V_LC_Hasta)=0,Fin,N(V_LC_Hasta))),1,0)</f>
        <v>0</v>
      </c>
      <c r="AD243" s="19" t="n">
        <f aca="false">IF(AND(N(V_LC_Lim)&gt;0,25&gt;=MAX(1,N(V_LC_Desde)),25&lt;=IF(N(V_LC_Hasta)=0,Fin,N(V_LC_Hasta))),1,0)</f>
        <v>0</v>
      </c>
      <c r="AE243" s="19" t="n">
        <f aca="false">IF(AND(N(V_LC_Lim)&gt;0,26&gt;=MAX(1,N(V_LC_Desde)),26&lt;=IF(N(V_LC_Hasta)=0,Fin,N(V_LC_Hasta))),1,0)</f>
        <v>0</v>
      </c>
      <c r="AF243" s="19" t="n">
        <f aca="false">IF(AND(N(V_LC_Lim)&gt;0,27&gt;=MAX(1,N(V_LC_Desde)),27&lt;=IF(N(V_LC_Hasta)=0,Fin,N(V_LC_Hasta))),1,0)</f>
        <v>0</v>
      </c>
      <c r="AG243" s="19" t="n">
        <f aca="false">IF(AND(N(V_LC_Lim)&gt;0,28&gt;=MAX(1,N(V_LC_Desde)),28&lt;=IF(N(V_LC_Hasta)=0,Fin,N(V_LC_Hasta))),1,0)</f>
        <v>0</v>
      </c>
      <c r="AH243" s="19" t="n">
        <f aca="false">IF(AND(N(V_LC_Lim)&gt;0,29&gt;=MAX(1,N(V_LC_Desde)),29&lt;=IF(N(V_LC_Hasta)=0,Fin,N(V_LC_Hasta))),1,0)</f>
        <v>0</v>
      </c>
      <c r="AI243" s="19" t="n">
        <f aca="false">IF(AND(N(V_LC_Lim)&gt;0,30&gt;=MAX(1,N(V_LC_Desde)),30&lt;=IF(N(V_LC_Hasta)=0,Fin,N(V_LC_Hasta))),1,0)</f>
        <v>0</v>
      </c>
      <c r="AJ243" s="19" t="n">
        <f aca="false">IF(AND(N(V_LC_Lim)&gt;0,31&gt;=MAX(1,N(V_LC_Desde)),31&lt;=IF(N(V_LC_Hasta)=0,Fin,N(V_LC_Hasta))),1,0)</f>
        <v>0</v>
      </c>
      <c r="AK243" s="19" t="n">
        <f aca="false">IF(AND(N(V_LC_Lim)&gt;0,32&gt;=MAX(1,N(V_LC_Desde)),32&lt;=IF(N(V_LC_Hasta)=0,Fin,N(V_LC_Hasta))),1,0)</f>
        <v>0</v>
      </c>
      <c r="AL243" s="19" t="n">
        <f aca="false">IF(AND(N(V_LC_Lim)&gt;0,33&gt;=MAX(1,N(V_LC_Desde)),33&lt;=IF(N(V_LC_Hasta)=0,Fin,N(V_LC_Hasta))),1,0)</f>
        <v>0</v>
      </c>
      <c r="AM243" s="19" t="n">
        <f aca="false">IF(AND(N(V_LC_Lim)&gt;0,34&gt;=MAX(1,N(V_LC_Desde)),34&lt;=IF(N(V_LC_Hasta)=0,Fin,N(V_LC_Hasta))),1,0)</f>
        <v>0</v>
      </c>
      <c r="AN243" s="19" t="n">
        <f aca="false">IF(AND(N(V_LC_Lim)&gt;0,35&gt;=MAX(1,N(V_LC_Desde)),35&lt;=IF(N(V_LC_Hasta)=0,Fin,N(V_LC_Hasta))),1,0)</f>
        <v>0</v>
      </c>
      <c r="AO243" s="19" t="n">
        <f aca="false">IF(AND(N(V_LC_Lim)&gt;0,36&gt;=MAX(1,N(V_LC_Desde)),36&lt;=IF(N(V_LC_Hasta)=0,Fin,N(V_LC_Hasta))),1,0)</f>
        <v>0</v>
      </c>
      <c r="AP243" s="19" t="n">
        <f aca="false">IF(AND(N(V_LC_Lim)&gt;0,37&gt;=MAX(1,N(V_LC_Desde)),37&lt;=IF(N(V_LC_Hasta)=0,Fin,N(V_LC_Hasta))),1,0)</f>
        <v>0</v>
      </c>
      <c r="AQ243" s="19" t="n">
        <f aca="false">IF(AND(N(V_LC_Lim)&gt;0,38&gt;=MAX(1,N(V_LC_Desde)),38&lt;=IF(N(V_LC_Hasta)=0,Fin,N(V_LC_Hasta))),1,0)</f>
        <v>0</v>
      </c>
      <c r="AR243" s="19" t="n">
        <f aca="false">IF(AND(N(V_LC_Lim)&gt;0,39&gt;=MAX(1,N(V_LC_Desde)),39&lt;=IF(N(V_LC_Hasta)=0,Fin,N(V_LC_Hasta))),1,0)</f>
        <v>0</v>
      </c>
      <c r="AS243" s="19" t="n">
        <f aca="false">IF(AND(N(V_LC_Lim)&gt;0,40&gt;=MAX(1,N(V_LC_Desde)),40&lt;=IF(N(V_LC_Hasta)=0,Fin,N(V_LC_Hasta))),1,0)</f>
        <v>0</v>
      </c>
      <c r="AT243" s="19" t="n">
        <f aca="false">IF(AND(N(V_LC_Lim)&gt;0,41&gt;=MAX(1,N(V_LC_Desde)),41&lt;=IF(N(V_LC_Hasta)=0,Fin,N(V_LC_Hasta))),1,0)</f>
        <v>0</v>
      </c>
      <c r="AU243" s="19" t="n">
        <f aca="false">IF(AND(N(V_LC_Lim)&gt;0,42&gt;=MAX(1,N(V_LC_Desde)),42&lt;=IF(N(V_LC_Hasta)=0,Fin,N(V_LC_Hasta))),1,0)</f>
        <v>0</v>
      </c>
      <c r="AV243" s="19" t="n">
        <f aca="false">IF(AND(N(V_LC_Lim)&gt;0,43&gt;=MAX(1,N(V_LC_Desde)),43&lt;=IF(N(V_LC_Hasta)=0,Fin,N(V_LC_Hasta))),1,0)</f>
        <v>0</v>
      </c>
      <c r="AW243" s="19" t="n">
        <f aca="false">IF(AND(N(V_LC_Lim)&gt;0,44&gt;=MAX(1,N(V_LC_Desde)),44&lt;=IF(N(V_LC_Hasta)=0,Fin,N(V_LC_Hasta))),1,0)</f>
        <v>0</v>
      </c>
      <c r="AX243" s="19" t="n">
        <f aca="false">IF(AND(N(V_LC_Lim)&gt;0,45&gt;=MAX(1,N(V_LC_Desde)),45&lt;=IF(N(V_LC_Hasta)=0,Fin,N(V_LC_Hasta))),1,0)</f>
        <v>0</v>
      </c>
      <c r="AY243" s="19" t="n">
        <f aca="false">IF(AND(N(V_LC_Lim)&gt;0,46&gt;=MAX(1,N(V_LC_Desde)),46&lt;=IF(N(V_LC_Hasta)=0,Fin,N(V_LC_Hasta))),1,0)</f>
        <v>0</v>
      </c>
      <c r="AZ243" s="19" t="n">
        <f aca="false">IF(AND(N(V_LC_Lim)&gt;0,47&gt;=MAX(1,N(V_LC_Desde)),47&lt;=IF(N(V_LC_Hasta)=0,Fin,N(V_LC_Hasta))),1,0)</f>
        <v>0</v>
      </c>
      <c r="BA243" s="19" t="n">
        <f aca="false">IF(AND(N(V_LC_Lim)&gt;0,48&gt;=MAX(1,N(V_LC_Desde)),48&lt;=IF(N(V_LC_Hasta)=0,Fin,N(V_LC_Hasta))),1,0)</f>
        <v>0</v>
      </c>
      <c r="BB243" s="19" t="n">
        <f aca="false">IF(AND(N(V_LC_Lim)&gt;0,49&gt;=MAX(1,N(V_LC_Desde)),49&lt;=IF(N(V_LC_Hasta)=0,Fin,N(V_LC_Hasta))),1,0)</f>
        <v>0</v>
      </c>
      <c r="BC243" s="19" t="n">
        <f aca="false">IF(AND(N(V_LC_Lim)&gt;0,50&gt;=MAX(1,N(V_LC_Desde)),50&lt;=IF(N(V_LC_Hasta)=0,Fin,N(V_LC_Hasta))),1,0)</f>
        <v>0</v>
      </c>
      <c r="BD243" s="19" t="n">
        <f aca="false">IF(AND(N(V_LC_Lim)&gt;0,51&gt;=MAX(1,N(V_LC_Desde)),51&lt;=IF(N(V_LC_Hasta)=0,Fin,N(V_LC_Hasta))),1,0)</f>
        <v>0</v>
      </c>
      <c r="BE243" s="19" t="n">
        <f aca="false">IF(AND(N(V_LC_Lim)&gt;0,52&gt;=MAX(1,N(V_LC_Desde)),52&lt;=IF(N(V_LC_Hasta)=0,Fin,N(V_LC_Hasta))),1,0)</f>
        <v>0</v>
      </c>
      <c r="BF243" s="19" t="n">
        <f aca="false">IF(AND(N(V_LC_Lim)&gt;0,53&gt;=MAX(1,N(V_LC_Desde)),53&lt;=IF(N(V_LC_Hasta)=0,Fin,N(V_LC_Hasta))),1,0)</f>
        <v>0</v>
      </c>
      <c r="BG243" s="19" t="n">
        <f aca="false">IF(AND(N(V_LC_Lim)&gt;0,54&gt;=MAX(1,N(V_LC_Desde)),54&lt;=IF(N(V_LC_Hasta)=0,Fin,N(V_LC_Hasta))),1,0)</f>
        <v>0</v>
      </c>
      <c r="BH243" s="19" t="n">
        <f aca="false">IF(AND(N(V_LC_Lim)&gt;0,55&gt;=MAX(1,N(V_LC_Desde)),55&lt;=IF(N(V_LC_Hasta)=0,Fin,N(V_LC_Hasta))),1,0)</f>
        <v>0</v>
      </c>
      <c r="BI243" s="19" t="n">
        <f aca="false">IF(AND(N(V_LC_Lim)&gt;0,56&gt;=MAX(1,N(V_LC_Desde)),56&lt;=IF(N(V_LC_Hasta)=0,Fin,N(V_LC_Hasta))),1,0)</f>
        <v>0</v>
      </c>
      <c r="BJ243" s="19" t="n">
        <f aca="false">IF(AND(N(V_LC_Lim)&gt;0,57&gt;=MAX(1,N(V_LC_Desde)),57&lt;=IF(N(V_LC_Hasta)=0,Fin,N(V_LC_Hasta))),1,0)</f>
        <v>0</v>
      </c>
      <c r="BK243" s="19" t="n">
        <f aca="false">IF(AND(N(V_LC_Lim)&gt;0,58&gt;=MAX(1,N(V_LC_Desde)),58&lt;=IF(N(V_LC_Hasta)=0,Fin,N(V_LC_Hasta))),1,0)</f>
        <v>0</v>
      </c>
      <c r="BL243" s="19" t="n">
        <f aca="false">IF(AND(N(V_LC_Lim)&gt;0,59&gt;=MAX(1,N(V_LC_Desde)),59&lt;=IF(N(V_LC_Hasta)=0,Fin,N(V_LC_Hasta))),1,0)</f>
        <v>0</v>
      </c>
      <c r="BM243" s="19" t="n">
        <f aca="false">IF(AND(N(V_LC_Lim)&gt;0,60&gt;=MAX(1,N(V_LC_Desde)),60&lt;=IF(N(V_LC_Hasta)=0,Fin,N(V_LC_Hasta))),1,0)</f>
        <v>0</v>
      </c>
      <c r="BN243" s="19" t="n">
        <f aca="false">IF(AND(N(V_LC_Lim)&gt;0,61&gt;=MAX(1,N(V_LC_Desde)),61&lt;=IF(N(V_LC_Hasta)=0,Fin,N(V_LC_Hasta))),1,0)</f>
        <v>0</v>
      </c>
      <c r="BO243" s="19" t="n">
        <f aca="false">IF(AND(N(V_LC_Lim)&gt;0,62&gt;=MAX(1,N(V_LC_Desde)),62&lt;=IF(N(V_LC_Hasta)=0,Fin,N(V_LC_Hasta))),1,0)</f>
        <v>0</v>
      </c>
      <c r="BP243" s="19" t="n">
        <f aca="false">IF(AND(N(V_LC_Lim)&gt;0,63&gt;=MAX(1,N(V_LC_Desde)),63&lt;=IF(N(V_LC_Hasta)=0,Fin,N(V_LC_Hasta))),1,0)</f>
        <v>0</v>
      </c>
      <c r="BQ243" s="19" t="n">
        <f aca="false">IF(AND(N(V_LC_Lim)&gt;0,64&gt;=MAX(1,N(V_LC_Desde)),64&lt;=IF(N(V_LC_Hasta)=0,Fin,N(V_LC_Hasta))),1,0)</f>
        <v>0</v>
      </c>
      <c r="BR243" s="19" t="n">
        <f aca="false">IF(AND(N(V_LC_Lim)&gt;0,65&gt;=MAX(1,N(V_LC_Desde)),65&lt;=IF(N(V_LC_Hasta)=0,Fin,N(V_LC_Hasta))),1,0)</f>
        <v>0</v>
      </c>
      <c r="BS243" s="19" t="n">
        <f aca="false">IF(AND(N(V_LC_Lim)&gt;0,66&gt;=MAX(1,N(V_LC_Desde)),66&lt;=IF(N(V_LC_Hasta)=0,Fin,N(V_LC_Hasta))),1,0)</f>
        <v>0</v>
      </c>
      <c r="BT243" s="19" t="n">
        <f aca="false">IF(AND(N(V_LC_Lim)&gt;0,67&gt;=MAX(1,N(V_LC_Desde)),67&lt;=IF(N(V_LC_Hasta)=0,Fin,N(V_LC_Hasta))),1,0)</f>
        <v>0</v>
      </c>
      <c r="BU243" s="19" t="n">
        <f aca="false">IF(AND(N(V_LC_Lim)&gt;0,68&gt;=MAX(1,N(V_LC_Desde)),68&lt;=IF(N(V_LC_Hasta)=0,Fin,N(V_LC_Hasta))),1,0)</f>
        <v>0</v>
      </c>
      <c r="BV243" s="19" t="n">
        <f aca="false">IF(AND(N(V_LC_Lim)&gt;0,69&gt;=MAX(1,N(V_LC_Desde)),69&lt;=IF(N(V_LC_Hasta)=0,Fin,N(V_LC_Hasta))),1,0)</f>
        <v>0</v>
      </c>
      <c r="BW243" s="19" t="n">
        <f aca="false">IF(AND(N(V_LC_Lim)&gt;0,70&gt;=MAX(1,N(V_LC_Desde)),70&lt;=IF(N(V_LC_Hasta)=0,Fin,N(V_LC_Hasta))),1,0)</f>
        <v>0</v>
      </c>
      <c r="BX243" s="19" t="n">
        <f aca="false">IF(AND(N(V_LC_Lim)&gt;0,71&gt;=MAX(1,N(V_LC_Desde)),71&lt;=IF(N(V_LC_Hasta)=0,Fin,N(V_LC_Hasta))),1,0)</f>
        <v>0</v>
      </c>
      <c r="BY243" s="19" t="n">
        <f aca="false">IF(AND(N(V_LC_Lim)&gt;0,72&gt;=MAX(1,N(V_LC_Desde)),72&lt;=IF(N(V_LC_Hasta)=0,Fin,N(V_LC_Hasta))),1,0)</f>
        <v>0</v>
      </c>
      <c r="BZ243" s="19" t="n">
        <f aca="false">IF(AND(N(V_LC_Lim)&gt;0,73&gt;=MAX(1,N(V_LC_Desde)),73&lt;=IF(N(V_LC_Hasta)=0,Fin,N(V_LC_Hasta))),1,0)</f>
        <v>0</v>
      </c>
      <c r="CA243" s="19" t="n">
        <f aca="false">IF(AND(N(V_LC_Lim)&gt;0,74&gt;=MAX(1,N(V_LC_Desde)),74&lt;=IF(N(V_LC_Hasta)=0,Fin,N(V_LC_Hasta))),1,0)</f>
        <v>0</v>
      </c>
      <c r="CB243" s="19" t="n">
        <f aca="false">IF(AND(N(V_LC_Lim)&gt;0,75&gt;=MAX(1,N(V_LC_Desde)),75&lt;=IF(N(V_LC_Hasta)=0,Fin,N(V_LC_Hasta))),1,0)</f>
        <v>0</v>
      </c>
      <c r="CC243" s="19" t="n">
        <f aca="false">IF(AND(N(V_LC_Lim)&gt;0,76&gt;=MAX(1,N(V_LC_Desde)),76&lt;=IF(N(V_LC_Hasta)=0,Fin,N(V_LC_Hasta))),1,0)</f>
        <v>0</v>
      </c>
      <c r="CD243" s="19" t="n">
        <f aca="false">IF(AND(N(V_LC_Lim)&gt;0,77&gt;=MAX(1,N(V_LC_Desde)),77&lt;=IF(N(V_LC_Hasta)=0,Fin,N(V_LC_Hasta))),1,0)</f>
        <v>0</v>
      </c>
      <c r="CE243" s="19" t="n">
        <f aca="false">IF(AND(N(V_LC_Lim)&gt;0,78&gt;=MAX(1,N(V_LC_Desde)),78&lt;=IF(N(V_LC_Hasta)=0,Fin,N(V_LC_Hasta))),1,0)</f>
        <v>0</v>
      </c>
      <c r="CF243" s="19" t="n">
        <f aca="false">IF(AND(N(V_LC_Lim)&gt;0,79&gt;=MAX(1,N(V_LC_Desde)),79&lt;=IF(N(V_LC_Hasta)=0,Fin,N(V_LC_Hasta))),1,0)</f>
        <v>0</v>
      </c>
      <c r="CG243" s="19" t="n">
        <f aca="false">IF(AND(N(V_LC_Lim)&gt;0,80&gt;=MAX(1,N(V_LC_Desde)),80&lt;=IF(N(V_LC_Hasta)=0,Fin,N(V_LC_Hasta))),1,0)</f>
        <v>0</v>
      </c>
      <c r="CH243" s="19" t="n">
        <f aca="false">IF(AND(N(V_LC_Lim)&gt;0,81&gt;=MAX(1,N(V_LC_Desde)),81&lt;=IF(N(V_LC_Hasta)=0,Fin,N(V_LC_Hasta))),1,0)</f>
        <v>0</v>
      </c>
      <c r="CI243" s="19" t="n">
        <f aca="false">IF(AND(N(V_LC_Lim)&gt;0,82&gt;=MAX(1,N(V_LC_Desde)),82&lt;=IF(N(V_LC_Hasta)=0,Fin,N(V_LC_Hasta))),1,0)</f>
        <v>0</v>
      </c>
      <c r="CJ243" s="19" t="n">
        <f aca="false">IF(AND(N(V_LC_Lim)&gt;0,83&gt;=MAX(1,N(V_LC_Desde)),83&lt;=IF(N(V_LC_Hasta)=0,Fin,N(V_LC_Hasta))),1,0)</f>
        <v>0</v>
      </c>
      <c r="CK243" s="19" t="n">
        <f aca="false">IF(AND(N(V_LC_Lim)&gt;0,84&gt;=MAX(1,N(V_LC_Desde)),84&lt;=IF(N(V_LC_Hasta)=0,Fin,N(V_LC_Hasta))),1,0)</f>
        <v>0</v>
      </c>
      <c r="CL243" s="19" t="n">
        <f aca="false">IF(AND(N(V_LC_Lim)&gt;0,85&gt;=MAX(1,N(V_LC_Desde)),85&lt;=IF(N(V_LC_Hasta)=0,Fin,N(V_LC_Hasta))),1,0)</f>
        <v>0</v>
      </c>
      <c r="CM243" s="19" t="n">
        <f aca="false">IF(AND(N(V_LC_Lim)&gt;0,86&gt;=MAX(1,N(V_LC_Desde)),86&lt;=IF(N(V_LC_Hasta)=0,Fin,N(V_LC_Hasta))),1,0)</f>
        <v>0</v>
      </c>
      <c r="CN243" s="19" t="n">
        <f aca="false">IF(AND(N(V_LC_Lim)&gt;0,87&gt;=MAX(1,N(V_LC_Desde)),87&lt;=IF(N(V_LC_Hasta)=0,Fin,N(V_LC_Hasta))),1,0)</f>
        <v>0</v>
      </c>
      <c r="CO243" s="19" t="n">
        <f aca="false">IF(AND(N(V_LC_Lim)&gt;0,88&gt;=MAX(1,N(V_LC_Desde)),88&lt;=IF(N(V_LC_Hasta)=0,Fin,N(V_LC_Hasta))),1,0)</f>
        <v>0</v>
      </c>
      <c r="CP243" s="19" t="n">
        <f aca="false">IF(AND(N(V_LC_Lim)&gt;0,89&gt;=MAX(1,N(V_LC_Desde)),89&lt;=IF(N(V_LC_Hasta)=0,Fin,N(V_LC_Hasta))),1,0)</f>
        <v>0</v>
      </c>
      <c r="CQ243" s="19" t="n">
        <f aca="false">IF(AND(N(V_LC_Lim)&gt;0,90&gt;=MAX(1,N(V_LC_Desde)),90&lt;=IF(N(V_LC_Hasta)=0,Fin,N(V_LC_Hasta))),1,0)</f>
        <v>0</v>
      </c>
      <c r="CR243" s="19" t="n">
        <f aca="false">IF(AND(N(V_LC_Lim)&gt;0,91&gt;=MAX(1,N(V_LC_Desde)),91&lt;=IF(N(V_LC_Hasta)=0,Fin,N(V_LC_Hasta))),1,0)</f>
        <v>0</v>
      </c>
      <c r="CS243" s="19" t="n">
        <f aca="false">IF(AND(N(V_LC_Lim)&gt;0,92&gt;=MAX(1,N(V_LC_Desde)),92&lt;=IF(N(V_LC_Hasta)=0,Fin,N(V_LC_Hasta))),1,0)</f>
        <v>0</v>
      </c>
      <c r="CT243" s="19" t="n">
        <f aca="false">IF(AND(N(V_LC_Lim)&gt;0,93&gt;=MAX(1,N(V_LC_Desde)),93&lt;=IF(N(V_LC_Hasta)=0,Fin,N(V_LC_Hasta))),1,0)</f>
        <v>0</v>
      </c>
      <c r="CU243" s="19" t="n">
        <f aca="false">IF(AND(N(V_LC_Lim)&gt;0,94&gt;=MAX(1,N(V_LC_Desde)),94&lt;=IF(N(V_LC_Hasta)=0,Fin,N(V_LC_Hasta))),1,0)</f>
        <v>0</v>
      </c>
      <c r="CV243" s="19" t="n">
        <f aca="false">IF(AND(N(V_LC_Lim)&gt;0,95&gt;=MAX(1,N(V_LC_Desde)),95&lt;=IF(N(V_LC_Hasta)=0,Fin,N(V_LC_Hasta))),1,0)</f>
        <v>0</v>
      </c>
      <c r="CW243" s="19" t="n">
        <f aca="false">IF(AND(N(V_LC_Lim)&gt;0,96&gt;=MAX(1,N(V_LC_Desde)),96&lt;=IF(N(V_LC_Hasta)=0,Fin,N(V_LC_Hasta))),1,0)</f>
        <v>0</v>
      </c>
      <c r="CX243" s="19" t="n">
        <f aca="false">IF(AND(N(V_LC_Lim)&gt;0,97&gt;=MAX(1,N(V_LC_Desde)),97&lt;=IF(N(V_LC_Hasta)=0,Fin,N(V_LC_Hasta))),1,0)</f>
        <v>0</v>
      </c>
      <c r="CY243" s="19" t="n">
        <f aca="false">IF(AND(N(V_LC_Lim)&gt;0,98&gt;=MAX(1,N(V_LC_Desde)),98&lt;=IF(N(V_LC_Hasta)=0,Fin,N(V_LC_Hasta))),1,0)</f>
        <v>0</v>
      </c>
      <c r="CZ243" s="19" t="n">
        <f aca="false">IF(AND(N(V_LC_Lim)&gt;0,99&gt;=MAX(1,N(V_LC_Desde)),99&lt;=IF(N(V_LC_Hasta)=0,Fin,N(V_LC_Hasta))),1,0)</f>
        <v>0</v>
      </c>
      <c r="DA243" s="19" t="n">
        <f aca="false">IF(AND(N(V_LC_Lim)&gt;0,100&gt;=MAX(1,N(V_LC_Desde)),100&lt;=IF(N(V_LC_Hasta)=0,Fin,N(V_LC_Hasta))),1,0)</f>
        <v>0</v>
      </c>
      <c r="DB243" s="19" t="n">
        <f aca="false">IF(AND(N(V_LC_Lim)&gt;0,101&gt;=MAX(1,N(V_LC_Desde)),101&lt;=IF(N(V_LC_Hasta)=0,Fin,N(V_LC_Hasta))),1,0)</f>
        <v>0</v>
      </c>
      <c r="DC243" s="19" t="n">
        <f aca="false">IF(AND(N(V_LC_Lim)&gt;0,102&gt;=MAX(1,N(V_LC_Desde)),102&lt;=IF(N(V_LC_Hasta)=0,Fin,N(V_LC_Hasta))),1,0)</f>
        <v>0</v>
      </c>
      <c r="DD243" s="19" t="n">
        <f aca="false">IF(AND(N(V_LC_Lim)&gt;0,103&gt;=MAX(1,N(V_LC_Desde)),103&lt;=IF(N(V_LC_Hasta)=0,Fin,N(V_LC_Hasta))),1,0)</f>
        <v>0</v>
      </c>
      <c r="DE243" s="19" t="n">
        <f aca="false">IF(AND(N(V_LC_Lim)&gt;0,104&gt;=MAX(1,N(V_LC_Desde)),104&lt;=IF(N(V_LC_Hasta)=0,Fin,N(V_LC_Hasta))),1,0)</f>
        <v>0</v>
      </c>
      <c r="DF243" s="19" t="n">
        <f aca="false">IF(AND(N(V_LC_Lim)&gt;0,105&gt;=MAX(1,N(V_LC_Desde)),105&lt;=IF(N(V_LC_Hasta)=0,Fin,N(V_LC_Hasta))),1,0)</f>
        <v>0</v>
      </c>
      <c r="DG243" s="19" t="n">
        <f aca="false">IF(AND(N(V_LC_Lim)&gt;0,106&gt;=MAX(1,N(V_LC_Desde)),106&lt;=IF(N(V_LC_Hasta)=0,Fin,N(V_LC_Hasta))),1,0)</f>
        <v>0</v>
      </c>
      <c r="DH243" s="19" t="n">
        <f aca="false">IF(AND(N(V_LC_Lim)&gt;0,107&gt;=MAX(1,N(V_LC_Desde)),107&lt;=IF(N(V_LC_Hasta)=0,Fin,N(V_LC_Hasta))),1,0)</f>
        <v>0</v>
      </c>
      <c r="DI243" s="19" t="n">
        <f aca="false">IF(AND(N(V_LC_Lim)&gt;0,108&gt;=MAX(1,N(V_LC_Desde)),108&lt;=IF(N(V_LC_Hasta)=0,Fin,N(V_LC_Hasta))),1,0)</f>
        <v>0</v>
      </c>
      <c r="DJ243" s="19" t="n">
        <f aca="false">IF(AND(N(V_LC_Lim)&gt;0,109&gt;=MAX(1,N(V_LC_Desde)),109&lt;=IF(N(V_LC_Hasta)=0,Fin,N(V_LC_Hasta))),1,0)</f>
        <v>0</v>
      </c>
      <c r="DK243" s="19" t="n">
        <f aca="false">IF(AND(N(V_LC_Lim)&gt;0,110&gt;=MAX(1,N(V_LC_Desde)),110&lt;=IF(N(V_LC_Hasta)=0,Fin,N(V_LC_Hasta))),1,0)</f>
        <v>0</v>
      </c>
      <c r="DL243" s="19" t="n">
        <f aca="false">IF(AND(N(V_LC_Lim)&gt;0,111&gt;=MAX(1,N(V_LC_Desde)),111&lt;=IF(N(V_LC_Hasta)=0,Fin,N(V_LC_Hasta))),1,0)</f>
        <v>0</v>
      </c>
      <c r="DM243" s="19" t="n">
        <f aca="false">IF(AND(N(V_LC_Lim)&gt;0,112&gt;=MAX(1,N(V_LC_Desde)),112&lt;=IF(N(V_LC_Hasta)=0,Fin,N(V_LC_Hasta))),1,0)</f>
        <v>0</v>
      </c>
      <c r="DN243" s="19" t="n">
        <f aca="false">IF(AND(N(V_LC_Lim)&gt;0,113&gt;=MAX(1,N(V_LC_Desde)),113&lt;=IF(N(V_LC_Hasta)=0,Fin,N(V_LC_Hasta))),1,0)</f>
        <v>0</v>
      </c>
      <c r="DO243" s="19" t="n">
        <f aca="false">IF(AND(N(V_LC_Lim)&gt;0,114&gt;=MAX(1,N(V_LC_Desde)),114&lt;=IF(N(V_LC_Hasta)=0,Fin,N(V_LC_Hasta))),1,0)</f>
        <v>0</v>
      </c>
      <c r="DP243" s="19" t="n">
        <f aca="false">IF(AND(N(V_LC_Lim)&gt;0,115&gt;=MAX(1,N(V_LC_Desde)),115&lt;=IF(N(V_LC_Hasta)=0,Fin,N(V_LC_Hasta))),1,0)</f>
        <v>0</v>
      </c>
      <c r="DQ243" s="19" t="n">
        <f aca="false">IF(AND(N(V_LC_Lim)&gt;0,116&gt;=MAX(1,N(V_LC_Desde)),116&lt;=IF(N(V_LC_Hasta)=0,Fin,N(V_LC_Hasta))),1,0)</f>
        <v>0</v>
      </c>
      <c r="DR243" s="19" t="n">
        <f aca="false">IF(AND(N(V_LC_Lim)&gt;0,117&gt;=MAX(1,N(V_LC_Desde)),117&lt;=IF(N(V_LC_Hasta)=0,Fin,N(V_LC_Hasta))),1,0)</f>
        <v>0</v>
      </c>
      <c r="DS243" s="19" t="n">
        <f aca="false">IF(AND(N(V_LC_Lim)&gt;0,118&gt;=MAX(1,N(V_LC_Desde)),118&lt;=IF(N(V_LC_Hasta)=0,Fin,N(V_LC_Hasta))),1,0)</f>
        <v>0</v>
      </c>
      <c r="DT243" s="19" t="n">
        <f aca="false">IF(AND(N(V_LC_Lim)&gt;0,119&gt;=MAX(1,N(V_LC_Desde)),119&lt;=IF(N(V_LC_Hasta)=0,Fin,N(V_LC_Hasta))),1,0)</f>
        <v>0</v>
      </c>
      <c r="DU243" s="19" t="n">
        <f aca="false">IF(AND(N(V_LC_Lim)&gt;0,120&gt;=MAX(1,N(V_LC_Desde)),120&lt;=IF(N(V_LC_Hasta)=0,Fin,N(V_LC_Hasta))),1,0)</f>
        <v>0</v>
      </c>
      <c r="DV243" s="19" t="n">
        <f aca="false">IF(AND(N(V_LC_Lim)&gt;0,121&gt;=MAX(1,N(V_LC_Desde)),121&lt;=IF(N(V_LC_Hasta)=0,Fin,N(V_LC_Hasta))),1,0)</f>
        <v>0</v>
      </c>
      <c r="DW243" s="19" t="n">
        <f aca="false">IF(AND(N(V_LC_Lim)&gt;0,122&gt;=MAX(1,N(V_LC_Desde)),122&lt;=IF(N(V_LC_Hasta)=0,Fin,N(V_LC_Hasta))),1,0)</f>
        <v>0</v>
      </c>
      <c r="DX243" s="19" t="n">
        <f aca="false">IF(AND(N(V_LC_Lim)&gt;0,123&gt;=MAX(1,N(V_LC_Desde)),123&lt;=IF(N(V_LC_Hasta)=0,Fin,N(V_LC_Hasta))),1,0)</f>
        <v>0</v>
      </c>
      <c r="DY243" s="19" t="n">
        <f aca="false">IF(AND(N(V_LC_Lim)&gt;0,124&gt;=MAX(1,N(V_LC_Desde)),124&lt;=IF(N(V_LC_Hasta)=0,Fin,N(V_LC_Hasta))),1,0)</f>
        <v>0</v>
      </c>
      <c r="DZ243" s="19" t="n">
        <f aca="false">IF(AND(N(V_LC_Lim)&gt;0,125&gt;=MAX(1,N(V_LC_Desde)),125&lt;=IF(N(V_LC_Hasta)=0,Fin,N(V_LC_Hasta))),1,0)</f>
        <v>0</v>
      </c>
      <c r="EA243" s="19" t="n">
        <f aca="false">IF(AND(N(V_LC_Lim)&gt;0,126&gt;=MAX(1,N(V_LC_Desde)),126&lt;=IF(N(V_LC_Hasta)=0,Fin,N(V_LC_Hasta))),1,0)</f>
        <v>0</v>
      </c>
      <c r="EB243" s="19" t="n">
        <f aca="false">IF(AND(N(V_LC_Lim)&gt;0,127&gt;=MAX(1,N(V_LC_Desde)),127&lt;=IF(N(V_LC_Hasta)=0,Fin,N(V_LC_Hasta))),1,0)</f>
        <v>0</v>
      </c>
      <c r="EC243" s="19" t="n">
        <f aca="false">IF(AND(N(V_LC_Lim)&gt;0,128&gt;=MAX(1,N(V_LC_Desde)),128&lt;=IF(N(V_LC_Hasta)=0,Fin,N(V_LC_Hasta))),1,0)</f>
        <v>0</v>
      </c>
      <c r="ED243" s="19" t="n">
        <f aca="false">IF(AND(N(V_LC_Lim)&gt;0,129&gt;=MAX(1,N(V_LC_Desde)),129&lt;=IF(N(V_LC_Hasta)=0,Fin,N(V_LC_Hasta))),1,0)</f>
        <v>0</v>
      </c>
      <c r="EE243" s="19" t="n">
        <f aca="false">IF(AND(N(V_LC_Lim)&gt;0,130&gt;=MAX(1,N(V_LC_Desde)),130&lt;=IF(N(V_LC_Hasta)=0,Fin,N(V_LC_Hasta))),1,0)</f>
        <v>0</v>
      </c>
      <c r="EF243" s="19" t="n">
        <f aca="false">IF(AND(N(V_LC_Lim)&gt;0,131&gt;=MAX(1,N(V_LC_Desde)),131&lt;=IF(N(V_LC_Hasta)=0,Fin,N(V_LC_Hasta))),1,0)</f>
        <v>0</v>
      </c>
      <c r="EG243" s="19" t="n">
        <f aca="false">IF(AND(N(V_LC_Lim)&gt;0,132&gt;=MAX(1,N(V_LC_Desde)),132&lt;=IF(N(V_LC_Hasta)=0,Fin,N(V_LC_Hasta))),1,0)</f>
        <v>0</v>
      </c>
      <c r="EH243" s="19" t="n">
        <f aca="false">IF(AND(N(V_LC_Lim)&gt;0,133&gt;=MAX(1,N(V_LC_Desde)),133&lt;=IF(N(V_LC_Hasta)=0,Fin,N(V_LC_Hasta))),1,0)</f>
        <v>0</v>
      </c>
      <c r="EI243" s="19" t="n">
        <f aca="false">IF(AND(N(V_LC_Lim)&gt;0,134&gt;=MAX(1,N(V_LC_Desde)),134&lt;=IF(N(V_LC_Hasta)=0,Fin,N(V_LC_Hasta))),1,0)</f>
        <v>0</v>
      </c>
      <c r="EJ243" s="19" t="n">
        <f aca="false">IF(AND(N(V_LC_Lim)&gt;0,135&gt;=MAX(1,N(V_LC_Desde)),135&lt;=IF(N(V_LC_Hasta)=0,Fin,N(V_LC_Hasta))),1,0)</f>
        <v>0</v>
      </c>
      <c r="EK243" s="19" t="n">
        <f aca="false">IF(AND(N(V_LC_Lim)&gt;0,136&gt;=MAX(1,N(V_LC_Desde)),136&lt;=IF(N(V_LC_Hasta)=0,Fin,N(V_LC_Hasta))),1,0)</f>
        <v>0</v>
      </c>
      <c r="EL243" s="19" t="n">
        <f aca="false">IF(AND(N(V_LC_Lim)&gt;0,137&gt;=MAX(1,N(V_LC_Desde)),137&lt;=IF(N(V_LC_Hasta)=0,Fin,N(V_LC_Hasta))),1,0)</f>
        <v>0</v>
      </c>
      <c r="EM243" s="19" t="n">
        <f aca="false">IF(AND(N(V_LC_Lim)&gt;0,138&gt;=MAX(1,N(V_LC_Desde)),138&lt;=IF(N(V_LC_Hasta)=0,Fin,N(V_LC_Hasta))),1,0)</f>
        <v>0</v>
      </c>
      <c r="EN243" s="19" t="n">
        <f aca="false">IF(AND(N(V_LC_Lim)&gt;0,139&gt;=MAX(1,N(V_LC_Desde)),139&lt;=IF(N(V_LC_Hasta)=0,Fin,N(V_LC_Hasta))),1,0)</f>
        <v>0</v>
      </c>
      <c r="EO243" s="19" t="n">
        <f aca="false">IF(AND(N(V_LC_Lim)&gt;0,140&gt;=MAX(1,N(V_LC_Desde)),140&lt;=IF(N(V_LC_Hasta)=0,Fin,N(V_LC_Hasta))),1,0)</f>
        <v>0</v>
      </c>
      <c r="EP243" s="19" t="n">
        <f aca="false">IF(AND(N(V_LC_Lim)&gt;0,141&gt;=MAX(1,N(V_LC_Desde)),141&lt;=IF(N(V_LC_Hasta)=0,Fin,N(V_LC_Hasta))),1,0)</f>
        <v>0</v>
      </c>
      <c r="EQ243" s="19" t="n">
        <f aca="false">IF(AND(N(V_LC_Lim)&gt;0,142&gt;=MAX(1,N(V_LC_Desde)),142&lt;=IF(N(V_LC_Hasta)=0,Fin,N(V_LC_Hasta))),1,0)</f>
        <v>0</v>
      </c>
      <c r="ER243" s="19" t="n">
        <f aca="false">IF(AND(N(V_LC_Lim)&gt;0,143&gt;=MAX(1,N(V_LC_Desde)),143&lt;=IF(N(V_LC_Hasta)=0,Fin,N(V_LC_Hasta))),1,0)</f>
        <v>0</v>
      </c>
      <c r="ES243" s="19" t="n">
        <f aca="false">IF(AND(N(V_LC_Lim)&gt;0,144&gt;=MAX(1,N(V_LC_Desde)),144&lt;=IF(N(V_LC_Hasta)=0,Fin,N(V_LC_Hasta))),1,0)</f>
        <v>0</v>
      </c>
    </row>
    <row r="244" customFormat="false" ht="15" hidden="false" customHeight="false" outlineLevel="0" collapsed="false">
      <c r="A244" s="2" t="s">
        <v>854</v>
      </c>
      <c r="B244" s="6" t="s">
        <v>711</v>
      </c>
      <c r="C244" s="6" t="s">
        <v>250</v>
      </c>
      <c r="E244" s="40" t="n">
        <f aca="false">SUM(F244:ES244)</f>
        <v>0</v>
      </c>
      <c r="F244" s="34" t="n">
        <f aca="false">IF(F$8=1,0,0*N(V_LC_Tasa)/12*F$9)</f>
        <v>0</v>
      </c>
      <c r="G244" s="34" t="n">
        <f aca="false">IF(G$8=1,0,F$249*N(V_LC_Tasa)/12*G$9)</f>
        <v>0</v>
      </c>
      <c r="H244" s="34" t="n">
        <f aca="false">IF(H$8=1,0,G$249*N(V_LC_Tasa)/12*H$9)</f>
        <v>0</v>
      </c>
      <c r="I244" s="34" t="n">
        <f aca="false">IF(I$8=1,0,H$249*N(V_LC_Tasa)/12*I$9)</f>
        <v>0</v>
      </c>
      <c r="J244" s="34" t="n">
        <f aca="false">IF(J$8=1,0,I$249*N(V_LC_Tasa)/12*J$9)</f>
        <v>0</v>
      </c>
      <c r="K244" s="34" t="n">
        <f aca="false">IF(K$8=1,0,J$249*N(V_LC_Tasa)/12*K$9)</f>
        <v>0</v>
      </c>
      <c r="L244" s="34" t="n">
        <f aca="false">IF(L$8=1,0,K$249*N(V_LC_Tasa)/12*L$9)</f>
        <v>0</v>
      </c>
      <c r="M244" s="34" t="n">
        <f aca="false">IF(M$8=1,0,L$249*N(V_LC_Tasa)/12*M$9)</f>
        <v>0</v>
      </c>
      <c r="N244" s="34" t="n">
        <f aca="false">IF(N$8=1,0,M$249*N(V_LC_Tasa)/12*N$9)</f>
        <v>0</v>
      </c>
      <c r="O244" s="34" t="n">
        <f aca="false">IF(O$8=1,0,N$249*N(V_LC_Tasa)/12*O$9)</f>
        <v>0</v>
      </c>
      <c r="P244" s="34" t="n">
        <f aca="false">IF(P$8=1,0,O$249*N(V_LC_Tasa)/12*P$9)</f>
        <v>0</v>
      </c>
      <c r="Q244" s="34" t="n">
        <f aca="false">IF(Q$8=1,0,P$249*N(V_LC_Tasa)/12*Q$9)</f>
        <v>0</v>
      </c>
      <c r="R244" s="34" t="n">
        <f aca="false">IF(R$8=1,0,Q$249*N(V_LC_Tasa)/12*R$9)</f>
        <v>0</v>
      </c>
      <c r="S244" s="34" t="n">
        <f aca="false">IF(S$8=1,0,R$249*N(V_LC_Tasa)/12*S$9)</f>
        <v>0</v>
      </c>
      <c r="T244" s="34" t="n">
        <f aca="false">IF(T$8=1,0,S$249*N(V_LC_Tasa)/12*T$9)</f>
        <v>0</v>
      </c>
      <c r="U244" s="34" t="n">
        <f aca="false">IF(U$8=1,0,T$249*N(V_LC_Tasa)/12*U$9)</f>
        <v>0</v>
      </c>
      <c r="V244" s="34" t="n">
        <f aca="false">IF(V$8=1,0,U$249*N(V_LC_Tasa)/12*V$9)</f>
        <v>0</v>
      </c>
      <c r="W244" s="34" t="n">
        <f aca="false">IF(W$8=1,0,V$249*N(V_LC_Tasa)/12*W$9)</f>
        <v>0</v>
      </c>
      <c r="X244" s="34" t="n">
        <f aca="false">IF(X$8=1,0,W$249*N(V_LC_Tasa)/12*X$9)</f>
        <v>0</v>
      </c>
      <c r="Y244" s="34" t="n">
        <f aca="false">IF(Y$8=1,0,X$249*N(V_LC_Tasa)/12*Y$9)</f>
        <v>0</v>
      </c>
      <c r="Z244" s="34" t="n">
        <f aca="false">IF(Z$8=1,0,Y$249*N(V_LC_Tasa)/12*Z$9)</f>
        <v>0</v>
      </c>
      <c r="AA244" s="34" t="n">
        <f aca="false">IF(AA$8=1,0,Z$249*N(V_LC_Tasa)/12*AA$9)</f>
        <v>0</v>
      </c>
      <c r="AB244" s="34" t="n">
        <f aca="false">IF(AB$8=1,0,AA$249*N(V_LC_Tasa)/12*AB$9)</f>
        <v>0</v>
      </c>
      <c r="AC244" s="34" t="n">
        <f aca="false">IF(AC$8=1,0,AB$249*N(V_LC_Tasa)/12*AC$9)</f>
        <v>0</v>
      </c>
      <c r="AD244" s="34" t="n">
        <f aca="false">IF(AD$8=1,0,AC$249*N(V_LC_Tasa)/12*AD$9)</f>
        <v>0</v>
      </c>
      <c r="AE244" s="34" t="n">
        <f aca="false">IF(AE$8=1,0,AD$249*N(V_LC_Tasa)/12*AE$9)</f>
        <v>0</v>
      </c>
      <c r="AF244" s="34" t="n">
        <f aca="false">IF(AF$8=1,0,AE$249*N(V_LC_Tasa)/12*AF$9)</f>
        <v>0</v>
      </c>
      <c r="AG244" s="34" t="n">
        <f aca="false">IF(AG$8=1,0,AF$249*N(V_LC_Tasa)/12*AG$9)</f>
        <v>0</v>
      </c>
      <c r="AH244" s="34" t="n">
        <f aca="false">IF(AH$8=1,0,AG$249*N(V_LC_Tasa)/12*AH$9)</f>
        <v>0</v>
      </c>
      <c r="AI244" s="34" t="n">
        <f aca="false">IF(AI$8=1,0,AH$249*N(V_LC_Tasa)/12*AI$9)</f>
        <v>0</v>
      </c>
      <c r="AJ244" s="34" t="n">
        <f aca="false">IF(AJ$8=1,0,AI$249*N(V_LC_Tasa)/12*AJ$9)</f>
        <v>0</v>
      </c>
      <c r="AK244" s="34" t="n">
        <f aca="false">IF(AK$8=1,0,AJ$249*N(V_LC_Tasa)/12*AK$9)</f>
        <v>0</v>
      </c>
      <c r="AL244" s="34" t="n">
        <f aca="false">IF(AL$8=1,0,AK$249*N(V_LC_Tasa)/12*AL$9)</f>
        <v>0</v>
      </c>
      <c r="AM244" s="34" t="n">
        <f aca="false">IF(AM$8=1,0,AL$249*N(V_LC_Tasa)/12*AM$9)</f>
        <v>0</v>
      </c>
      <c r="AN244" s="34" t="n">
        <f aca="false">IF(AN$8=1,0,AM$249*N(V_LC_Tasa)/12*AN$9)</f>
        <v>0</v>
      </c>
      <c r="AO244" s="34" t="n">
        <f aca="false">IF(AO$8=1,0,AN$249*N(V_LC_Tasa)/12*AO$9)</f>
        <v>0</v>
      </c>
      <c r="AP244" s="34" t="n">
        <f aca="false">IF(AP$8=1,0,AO$249*N(V_LC_Tasa)/12*AP$9)</f>
        <v>0</v>
      </c>
      <c r="AQ244" s="34" t="n">
        <f aca="false">IF(AQ$8=1,0,AP$249*N(V_LC_Tasa)/12*AQ$9)</f>
        <v>0</v>
      </c>
      <c r="AR244" s="34" t="n">
        <f aca="false">IF(AR$8=1,0,AQ$249*N(V_LC_Tasa)/12*AR$9)</f>
        <v>0</v>
      </c>
      <c r="AS244" s="34" t="n">
        <f aca="false">IF(AS$8=1,0,AR$249*N(V_LC_Tasa)/12*AS$9)</f>
        <v>0</v>
      </c>
      <c r="AT244" s="34" t="n">
        <f aca="false">IF(AT$8=1,0,AS$249*N(V_LC_Tasa)/12*AT$9)</f>
        <v>0</v>
      </c>
      <c r="AU244" s="34" t="n">
        <f aca="false">IF(AU$8=1,0,AT$249*N(V_LC_Tasa)/12*AU$9)</f>
        <v>0</v>
      </c>
      <c r="AV244" s="34" t="n">
        <f aca="false">IF(AV$8=1,0,AU$249*N(V_LC_Tasa)/12*AV$9)</f>
        <v>0</v>
      </c>
      <c r="AW244" s="34" t="n">
        <f aca="false">IF(AW$8=1,0,AV$249*N(V_LC_Tasa)/12*AW$9)</f>
        <v>0</v>
      </c>
      <c r="AX244" s="34" t="n">
        <f aca="false">IF(AX$8=1,0,AW$249*N(V_LC_Tasa)/12*AX$9)</f>
        <v>0</v>
      </c>
      <c r="AY244" s="34" t="n">
        <f aca="false">IF(AY$8=1,0,AX$249*N(V_LC_Tasa)/12*AY$9)</f>
        <v>0</v>
      </c>
      <c r="AZ244" s="34" t="n">
        <f aca="false">IF(AZ$8=1,0,AY$249*N(V_LC_Tasa)/12*AZ$9)</f>
        <v>0</v>
      </c>
      <c r="BA244" s="34" t="n">
        <f aca="false">IF(BA$8=1,0,AZ$249*N(V_LC_Tasa)/12*BA$9)</f>
        <v>0</v>
      </c>
      <c r="BB244" s="34" t="n">
        <f aca="false">IF(BB$8=1,0,BA$249*N(V_LC_Tasa)/12*BB$9)</f>
        <v>0</v>
      </c>
      <c r="BC244" s="34" t="n">
        <f aca="false">IF(BC$8=1,0,BB$249*N(V_LC_Tasa)/12*BC$9)</f>
        <v>0</v>
      </c>
      <c r="BD244" s="34" t="n">
        <f aca="false">IF(BD$8=1,0,BC$249*N(V_LC_Tasa)/12*BD$9)</f>
        <v>0</v>
      </c>
      <c r="BE244" s="34" t="n">
        <f aca="false">IF(BE$8=1,0,BD$249*N(V_LC_Tasa)/12*BE$9)</f>
        <v>0</v>
      </c>
      <c r="BF244" s="34" t="n">
        <f aca="false">IF(BF$8=1,0,BE$249*N(V_LC_Tasa)/12*BF$9)</f>
        <v>0</v>
      </c>
      <c r="BG244" s="34" t="n">
        <f aca="false">IF(BG$8=1,0,BF$249*N(V_LC_Tasa)/12*BG$9)</f>
        <v>0</v>
      </c>
      <c r="BH244" s="34" t="n">
        <f aca="false">IF(BH$8=1,0,BG$249*N(V_LC_Tasa)/12*BH$9)</f>
        <v>0</v>
      </c>
      <c r="BI244" s="34" t="n">
        <f aca="false">IF(BI$8=1,0,BH$249*N(V_LC_Tasa)/12*BI$9)</f>
        <v>0</v>
      </c>
      <c r="BJ244" s="34" t="n">
        <f aca="false">IF(BJ$8=1,0,BI$249*N(V_LC_Tasa)/12*BJ$9)</f>
        <v>0</v>
      </c>
      <c r="BK244" s="34" t="n">
        <f aca="false">IF(BK$8=1,0,BJ$249*N(V_LC_Tasa)/12*BK$9)</f>
        <v>0</v>
      </c>
      <c r="BL244" s="34" t="n">
        <f aca="false">IF(BL$8=1,0,BK$249*N(V_LC_Tasa)/12*BL$9)</f>
        <v>0</v>
      </c>
      <c r="BM244" s="34" t="n">
        <f aca="false">IF(BM$8=1,0,BL$249*N(V_LC_Tasa)/12*BM$9)</f>
        <v>0</v>
      </c>
      <c r="BN244" s="34" t="n">
        <f aca="false">IF(BN$8=1,0,BM$249*N(V_LC_Tasa)/12*BN$9)</f>
        <v>0</v>
      </c>
      <c r="BO244" s="34" t="n">
        <f aca="false">IF(BO$8=1,0,BN$249*N(V_LC_Tasa)/12*BO$9)</f>
        <v>0</v>
      </c>
      <c r="BP244" s="34" t="n">
        <f aca="false">IF(BP$8=1,0,BO$249*N(V_LC_Tasa)/12*BP$9)</f>
        <v>0</v>
      </c>
      <c r="BQ244" s="34" t="n">
        <f aca="false">IF(BQ$8=1,0,BP$249*N(V_LC_Tasa)/12*BQ$9)</f>
        <v>0</v>
      </c>
      <c r="BR244" s="34" t="n">
        <f aca="false">IF(BR$8=1,0,BQ$249*N(V_LC_Tasa)/12*BR$9)</f>
        <v>0</v>
      </c>
      <c r="BS244" s="34" t="n">
        <f aca="false">IF(BS$8=1,0,BR$249*N(V_LC_Tasa)/12*BS$9)</f>
        <v>0</v>
      </c>
      <c r="BT244" s="34" t="n">
        <f aca="false">IF(BT$8=1,0,BS$249*N(V_LC_Tasa)/12*BT$9)</f>
        <v>0</v>
      </c>
      <c r="BU244" s="34" t="n">
        <f aca="false">IF(BU$8=1,0,BT$249*N(V_LC_Tasa)/12*BU$9)</f>
        <v>0</v>
      </c>
      <c r="BV244" s="34" t="n">
        <f aca="false">IF(BV$8=1,0,BU$249*N(V_LC_Tasa)/12*BV$9)</f>
        <v>0</v>
      </c>
      <c r="BW244" s="34" t="n">
        <f aca="false">IF(BW$8=1,0,BV$249*N(V_LC_Tasa)/12*BW$9)</f>
        <v>0</v>
      </c>
      <c r="BX244" s="34" t="n">
        <f aca="false">IF(BX$8=1,0,BW$249*N(V_LC_Tasa)/12*BX$9)</f>
        <v>0</v>
      </c>
      <c r="BY244" s="34" t="n">
        <f aca="false">IF(BY$8=1,0,BX$249*N(V_LC_Tasa)/12*BY$9)</f>
        <v>0</v>
      </c>
      <c r="BZ244" s="34" t="n">
        <f aca="false">IF(BZ$8=1,0,BY$249*N(V_LC_Tasa)/12*BZ$9)</f>
        <v>0</v>
      </c>
      <c r="CA244" s="34" t="n">
        <f aca="false">IF(CA$8=1,0,BZ$249*N(V_LC_Tasa)/12*CA$9)</f>
        <v>0</v>
      </c>
      <c r="CB244" s="34" t="n">
        <f aca="false">IF(CB$8=1,0,CA$249*N(V_LC_Tasa)/12*CB$9)</f>
        <v>0</v>
      </c>
      <c r="CC244" s="34" t="n">
        <f aca="false">IF(CC$8=1,0,CB$249*N(V_LC_Tasa)/12*CC$9)</f>
        <v>0</v>
      </c>
      <c r="CD244" s="34" t="n">
        <f aca="false">IF(CD$8=1,0,CC$249*N(V_LC_Tasa)/12*CD$9)</f>
        <v>0</v>
      </c>
      <c r="CE244" s="34" t="n">
        <f aca="false">IF(CE$8=1,0,CD$249*N(V_LC_Tasa)/12*CE$9)</f>
        <v>0</v>
      </c>
      <c r="CF244" s="34" t="n">
        <f aca="false">IF(CF$8=1,0,CE$249*N(V_LC_Tasa)/12*CF$9)</f>
        <v>0</v>
      </c>
      <c r="CG244" s="34" t="n">
        <f aca="false">IF(CG$8=1,0,CF$249*N(V_LC_Tasa)/12*CG$9)</f>
        <v>0</v>
      </c>
      <c r="CH244" s="34" t="n">
        <f aca="false">IF(CH$8=1,0,CG$249*N(V_LC_Tasa)/12*CH$9)</f>
        <v>0</v>
      </c>
      <c r="CI244" s="34" t="n">
        <f aca="false">IF(CI$8=1,0,CH$249*N(V_LC_Tasa)/12*CI$9)</f>
        <v>0</v>
      </c>
      <c r="CJ244" s="34" t="n">
        <f aca="false">IF(CJ$8=1,0,CI$249*N(V_LC_Tasa)/12*CJ$9)</f>
        <v>0</v>
      </c>
      <c r="CK244" s="34" t="n">
        <f aca="false">IF(CK$8=1,0,CJ$249*N(V_LC_Tasa)/12*CK$9)</f>
        <v>0</v>
      </c>
      <c r="CL244" s="34" t="n">
        <f aca="false">IF(CL$8=1,0,CK$249*N(V_LC_Tasa)/12*CL$9)</f>
        <v>0</v>
      </c>
      <c r="CM244" s="34" t="n">
        <f aca="false">IF(CM$8=1,0,CL$249*N(V_LC_Tasa)/12*CM$9)</f>
        <v>0</v>
      </c>
      <c r="CN244" s="34" t="n">
        <f aca="false">IF(CN$8=1,0,CM$249*N(V_LC_Tasa)/12*CN$9)</f>
        <v>0</v>
      </c>
      <c r="CO244" s="34" t="n">
        <f aca="false">IF(CO$8=1,0,CN$249*N(V_LC_Tasa)/12*CO$9)</f>
        <v>0</v>
      </c>
      <c r="CP244" s="34" t="n">
        <f aca="false">IF(CP$8=1,0,CO$249*N(V_LC_Tasa)/12*CP$9)</f>
        <v>0</v>
      </c>
      <c r="CQ244" s="34" t="n">
        <f aca="false">IF(CQ$8=1,0,CP$249*N(V_LC_Tasa)/12*CQ$9)</f>
        <v>0</v>
      </c>
      <c r="CR244" s="34" t="n">
        <f aca="false">IF(CR$8=1,0,CQ$249*N(V_LC_Tasa)/12*CR$9)</f>
        <v>0</v>
      </c>
      <c r="CS244" s="34" t="n">
        <f aca="false">IF(CS$8=1,0,CR$249*N(V_LC_Tasa)/12*CS$9)</f>
        <v>0</v>
      </c>
      <c r="CT244" s="34" t="n">
        <f aca="false">IF(CT$8=1,0,CS$249*N(V_LC_Tasa)/12*CT$9)</f>
        <v>0</v>
      </c>
      <c r="CU244" s="34" t="n">
        <f aca="false">IF(CU$8=1,0,CT$249*N(V_LC_Tasa)/12*CU$9)</f>
        <v>0</v>
      </c>
      <c r="CV244" s="34" t="n">
        <f aca="false">IF(CV$8=1,0,CU$249*N(V_LC_Tasa)/12*CV$9)</f>
        <v>0</v>
      </c>
      <c r="CW244" s="34" t="n">
        <f aca="false">IF(CW$8=1,0,CV$249*N(V_LC_Tasa)/12*CW$9)</f>
        <v>0</v>
      </c>
      <c r="CX244" s="34" t="n">
        <f aca="false">IF(CX$8=1,0,CW$249*N(V_LC_Tasa)/12*CX$9)</f>
        <v>0</v>
      </c>
      <c r="CY244" s="34" t="n">
        <f aca="false">IF(CY$8=1,0,CX$249*N(V_LC_Tasa)/12*CY$9)</f>
        <v>0</v>
      </c>
      <c r="CZ244" s="34" t="n">
        <f aca="false">IF(CZ$8=1,0,CY$249*N(V_LC_Tasa)/12*CZ$9)</f>
        <v>0</v>
      </c>
      <c r="DA244" s="34" t="n">
        <f aca="false">IF(DA$8=1,0,CZ$249*N(V_LC_Tasa)/12*DA$9)</f>
        <v>0</v>
      </c>
      <c r="DB244" s="34" t="n">
        <f aca="false">IF(DB$8=1,0,DA$249*N(V_LC_Tasa)/12*DB$9)</f>
        <v>0</v>
      </c>
      <c r="DC244" s="34" t="n">
        <f aca="false">IF(DC$8=1,0,DB$249*N(V_LC_Tasa)/12*DC$9)</f>
        <v>0</v>
      </c>
      <c r="DD244" s="34" t="n">
        <f aca="false">IF(DD$8=1,0,DC$249*N(V_LC_Tasa)/12*DD$9)</f>
        <v>0</v>
      </c>
      <c r="DE244" s="34" t="n">
        <f aca="false">IF(DE$8=1,0,DD$249*N(V_LC_Tasa)/12*DE$9)</f>
        <v>0</v>
      </c>
      <c r="DF244" s="34" t="n">
        <f aca="false">IF(DF$8=1,0,DE$249*N(V_LC_Tasa)/12*DF$9)</f>
        <v>0</v>
      </c>
      <c r="DG244" s="34" t="n">
        <f aca="false">IF(DG$8=1,0,DF$249*N(V_LC_Tasa)/12*DG$9)</f>
        <v>0</v>
      </c>
      <c r="DH244" s="34" t="n">
        <f aca="false">IF(DH$8=1,0,DG$249*N(V_LC_Tasa)/12*DH$9)</f>
        <v>0</v>
      </c>
      <c r="DI244" s="34" t="n">
        <f aca="false">IF(DI$8=1,0,DH$249*N(V_LC_Tasa)/12*DI$9)</f>
        <v>0</v>
      </c>
      <c r="DJ244" s="34" t="n">
        <f aca="false">IF(DJ$8=1,0,DI$249*N(V_LC_Tasa)/12*DJ$9)</f>
        <v>0</v>
      </c>
      <c r="DK244" s="34" t="n">
        <f aca="false">IF(DK$8=1,0,DJ$249*N(V_LC_Tasa)/12*DK$9)</f>
        <v>0</v>
      </c>
      <c r="DL244" s="34" t="n">
        <f aca="false">IF(DL$8=1,0,DK$249*N(V_LC_Tasa)/12*DL$9)</f>
        <v>0</v>
      </c>
      <c r="DM244" s="34" t="n">
        <f aca="false">IF(DM$8=1,0,DL$249*N(V_LC_Tasa)/12*DM$9)</f>
        <v>0</v>
      </c>
      <c r="DN244" s="34" t="n">
        <f aca="false">IF(DN$8=1,0,DM$249*N(V_LC_Tasa)/12*DN$9)</f>
        <v>0</v>
      </c>
      <c r="DO244" s="34" t="n">
        <f aca="false">IF(DO$8=1,0,DN$249*N(V_LC_Tasa)/12*DO$9)</f>
        <v>0</v>
      </c>
      <c r="DP244" s="34" t="n">
        <f aca="false">IF(DP$8=1,0,DO$249*N(V_LC_Tasa)/12*DP$9)</f>
        <v>0</v>
      </c>
      <c r="DQ244" s="34" t="n">
        <f aca="false">IF(DQ$8=1,0,DP$249*N(V_LC_Tasa)/12*DQ$9)</f>
        <v>0</v>
      </c>
      <c r="DR244" s="34" t="n">
        <f aca="false">IF(DR$8=1,0,DQ$249*N(V_LC_Tasa)/12*DR$9)</f>
        <v>0</v>
      </c>
      <c r="DS244" s="34" t="n">
        <f aca="false">IF(DS$8=1,0,DR$249*N(V_LC_Tasa)/12*DS$9)</f>
        <v>0</v>
      </c>
      <c r="DT244" s="34" t="n">
        <f aca="false">IF(DT$8=1,0,DS$249*N(V_LC_Tasa)/12*DT$9)</f>
        <v>0</v>
      </c>
      <c r="DU244" s="34" t="n">
        <f aca="false">IF(DU$8=1,0,DT$249*N(V_LC_Tasa)/12*DU$9)</f>
        <v>0</v>
      </c>
      <c r="DV244" s="34" t="n">
        <f aca="false">IF(DV$8=1,0,DU$249*N(V_LC_Tasa)/12*DV$9)</f>
        <v>0</v>
      </c>
      <c r="DW244" s="34" t="n">
        <f aca="false">IF(DW$8=1,0,DV$249*N(V_LC_Tasa)/12*DW$9)</f>
        <v>0</v>
      </c>
      <c r="DX244" s="34" t="n">
        <f aca="false">IF(DX$8=1,0,DW$249*N(V_LC_Tasa)/12*DX$9)</f>
        <v>0</v>
      </c>
      <c r="DY244" s="34" t="n">
        <f aca="false">IF(DY$8=1,0,DX$249*N(V_LC_Tasa)/12*DY$9)</f>
        <v>0</v>
      </c>
      <c r="DZ244" s="34" t="n">
        <f aca="false">IF(DZ$8=1,0,DY$249*N(V_LC_Tasa)/12*DZ$9)</f>
        <v>0</v>
      </c>
      <c r="EA244" s="34" t="n">
        <f aca="false">IF(EA$8=1,0,DZ$249*N(V_LC_Tasa)/12*EA$9)</f>
        <v>0</v>
      </c>
      <c r="EB244" s="34" t="n">
        <f aca="false">IF(EB$8=1,0,EA$249*N(V_LC_Tasa)/12*EB$9)</f>
        <v>0</v>
      </c>
      <c r="EC244" s="34" t="n">
        <f aca="false">IF(EC$8=1,0,EB$249*N(V_LC_Tasa)/12*EC$9)</f>
        <v>0</v>
      </c>
      <c r="ED244" s="34" t="n">
        <f aca="false">IF(ED$8=1,0,EC$249*N(V_LC_Tasa)/12*ED$9)</f>
        <v>0</v>
      </c>
      <c r="EE244" s="34" t="n">
        <f aca="false">IF(EE$8=1,0,ED$249*N(V_LC_Tasa)/12*EE$9)</f>
        <v>0</v>
      </c>
      <c r="EF244" s="34" t="n">
        <f aca="false">IF(EF$8=1,0,EE$249*N(V_LC_Tasa)/12*EF$9)</f>
        <v>0</v>
      </c>
      <c r="EG244" s="34" t="n">
        <f aca="false">IF(EG$8=1,0,EF$249*N(V_LC_Tasa)/12*EG$9)</f>
        <v>0</v>
      </c>
      <c r="EH244" s="34" t="n">
        <f aca="false">IF(EH$8=1,0,EG$249*N(V_LC_Tasa)/12*EH$9)</f>
        <v>0</v>
      </c>
      <c r="EI244" s="34" t="n">
        <f aca="false">IF(EI$8=1,0,EH$249*N(V_LC_Tasa)/12*EI$9)</f>
        <v>0</v>
      </c>
      <c r="EJ244" s="34" t="n">
        <f aca="false">IF(EJ$8=1,0,EI$249*N(V_LC_Tasa)/12*EJ$9)</f>
        <v>0</v>
      </c>
      <c r="EK244" s="34" t="n">
        <f aca="false">IF(EK$8=1,0,EJ$249*N(V_LC_Tasa)/12*EK$9)</f>
        <v>0</v>
      </c>
      <c r="EL244" s="34" t="n">
        <f aca="false">IF(EL$8=1,0,EK$249*N(V_LC_Tasa)/12*EL$9)</f>
        <v>0</v>
      </c>
      <c r="EM244" s="34" t="n">
        <f aca="false">IF(EM$8=1,0,EL$249*N(V_LC_Tasa)/12*EM$9)</f>
        <v>0</v>
      </c>
      <c r="EN244" s="34" t="n">
        <f aca="false">IF(EN$8=1,0,EM$249*N(V_LC_Tasa)/12*EN$9)</f>
        <v>0</v>
      </c>
      <c r="EO244" s="34" t="n">
        <f aca="false">IF(EO$8=1,0,EN$249*N(V_LC_Tasa)/12*EO$9)</f>
        <v>0</v>
      </c>
      <c r="EP244" s="34" t="n">
        <f aca="false">IF(EP$8=1,0,EO$249*N(V_LC_Tasa)/12*EP$9)</f>
        <v>0</v>
      </c>
      <c r="EQ244" s="34" t="n">
        <f aca="false">IF(EQ$8=1,0,EP$249*N(V_LC_Tasa)/12*EQ$9)</f>
        <v>0</v>
      </c>
      <c r="ER244" s="34" t="n">
        <f aca="false">IF(ER$8=1,0,EQ$249*N(V_LC_Tasa)/12*ER$9)</f>
        <v>0</v>
      </c>
      <c r="ES244" s="34" t="n">
        <f aca="false">IF(ES$8=1,0,ER$249*N(V_LC_Tasa)/12*ES$9)</f>
        <v>0</v>
      </c>
    </row>
    <row r="245" customFormat="false" ht="15" hidden="false" customHeight="false" outlineLevel="0" collapsed="false">
      <c r="A245" s="2" t="s">
        <v>855</v>
      </c>
      <c r="B245" s="6" t="s">
        <v>713</v>
      </c>
      <c r="C245" s="6" t="s">
        <v>250</v>
      </c>
      <c r="E245" s="40" t="n">
        <f aca="false">MIN(F245:ES245)</f>
        <v>-311740.118672618</v>
      </c>
      <c r="F245" s="34" t="n">
        <f aca="false">0+F$220-F$221+F$240-F$241-F$209*F$9+F$242</f>
        <v>535727.93036656</v>
      </c>
      <c r="G245" s="34" t="n">
        <f aca="false">F$258+G$220-G$221+G$240-G$241-G$209*G$9+G$242</f>
        <v>555194.83809215</v>
      </c>
      <c r="H245" s="34" t="n">
        <f aca="false">G$258+H$220-H$221+H$240-H$241-H$209*H$9+H$242</f>
        <v>574661.745817739</v>
      </c>
      <c r="I245" s="34" t="n">
        <f aca="false">H$258+I$220-I$221+I$240-I$241-I$209*I$9+I$242</f>
        <v>594128.653543329</v>
      </c>
      <c r="J245" s="34" t="n">
        <f aca="false">I$258+J$220-J$221+J$240-J$241-J$209*J$9+J$242</f>
        <v>613595.561268919</v>
      </c>
      <c r="K245" s="34" t="n">
        <f aca="false">J$258+K$220-K$221+K$240-K$241-K$209*K$9+K$242</f>
        <v>633062.468994509</v>
      </c>
      <c r="L245" s="34" t="n">
        <f aca="false">K$258+L$220-L$221+L$240-L$241-L$209*L$9+L$242</f>
        <v>610406.072625411</v>
      </c>
      <c r="M245" s="34" t="n">
        <f aca="false">L$258+M$220-M$221+M$240-M$241-M$209*M$9+M$242</f>
        <v>587781.268734384</v>
      </c>
      <c r="N245" s="34" t="n">
        <f aca="false">M$258+N$220-N$221+N$240-N$241-N$209*N$9+N$242</f>
        <v>565188.294265013</v>
      </c>
      <c r="O245" s="34" t="n">
        <f aca="false">N$258+O$220-O$221+O$240-O$241-O$209*O$9+O$242</f>
        <v>542627.387937962</v>
      </c>
      <c r="P245" s="34" t="n">
        <f aca="false">O$258+P$220-P$221+P$240-P$241-P$209*P$9+P$242</f>
        <v>520098.790264297</v>
      </c>
      <c r="Q245" s="34" t="n">
        <f aca="false">P$258+Q$220-Q$221+Q$240-Q$241-Q$209*Q$9+Q$242</f>
        <v>497602.743558918</v>
      </c>
      <c r="R245" s="34" t="n">
        <f aca="false">Q$258+R$220-R$221+R$240-R$241-R$209*R$9+R$242</f>
        <v>129920.95007682</v>
      </c>
      <c r="S245" s="34" t="n">
        <f aca="false">R$258+S$220-S$221+S$240-S$241-S$209*S$9+S$242</f>
        <v>145489.642054168</v>
      </c>
      <c r="T245" s="34" t="n">
        <f aca="false">S$258+T$220-T$221+T$240-T$241-T$209*T$9+T$242</f>
        <v>161091.622903299</v>
      </c>
      <c r="U245" s="34" t="n">
        <f aca="false">T$258+U$220-U$221+U$240-U$241-U$209*U$9+U$242</f>
        <v>176727.142290749</v>
      </c>
      <c r="V245" s="34" t="n">
        <f aca="false">U$258+V$220-V$221+V$240-V$241-V$209*V$9+V$242</f>
        <v>192396.451755556</v>
      </c>
      <c r="W245" s="34" t="n">
        <f aca="false">V$258+W$220-W$221+W$240-W$241-W$209*W$9+W$242</f>
        <v>208099.804723301</v>
      </c>
      <c r="X245" s="34" t="n">
        <f aca="false">W$258+X$220-X$221+X$240-X$241-X$209*X$9+X$242</f>
        <v>223837.456520255</v>
      </c>
      <c r="Y245" s="34" t="n">
        <f aca="false">X$258+Y$220-Y$221+Y$240-Y$241-Y$209*Y$9+Y$242</f>
        <v>239609.664387639</v>
      </c>
      <c r="Z245" s="34" t="n">
        <f aca="false">Y$258+Z$220-Z$221+Z$240-Z$241-Z$209*Z$9+Z$242</f>
        <v>255416.687495978</v>
      </c>
      <c r="AA245" s="34" t="n">
        <f aca="false">Z$258+AA$220-AA$221+AA$240-AA$241-AA$209*AA$9+AA$242</f>
        <v>271258.786959582</v>
      </c>
      <c r="AB245" s="34" t="n">
        <f aca="false">AA$258+AB$220-AB$221+AB$240-AB$241-AB$209*AB$9+AB$242</f>
        <v>287136.225851114</v>
      </c>
      <c r="AC245" s="34" t="n">
        <f aca="false">AB$258+AC$220-AC$221+AC$240-AC$241-AC$209*AC$9+AC$242</f>
        <v>303049.269216285</v>
      </c>
      <c r="AD245" s="34" t="n">
        <f aca="false">AC$258+AD$220-AD$221+AD$240-AD$241-AD$209*AD$9+AD$242</f>
        <v>-311740.118672618</v>
      </c>
      <c r="AE245" s="34" t="n">
        <f aca="false">AD$258+AE$220-AE$221+AE$240-AE$241-AE$209*AE$9+AE$242</f>
        <v>-259166.435385603</v>
      </c>
      <c r="AF245" s="34" t="n">
        <f aca="false">AE$258+AF$220-AF$221+AF$240-AF$241-AF$209*AF$9+AF$242</f>
        <v>-206556.340501018</v>
      </c>
      <c r="AG245" s="34" t="n">
        <f aca="false">AF$258+AG$220-AG$221+AG$240-AG$241-AG$209*AG$9+AG$242</f>
        <v>-153909.560931882</v>
      </c>
      <c r="AH245" s="34" t="n">
        <f aca="false">AG$258+AH$220-AH$221+AH$240-AH$241-AH$209*AH$9+AH$242</f>
        <v>-101225.821543058</v>
      </c>
      <c r="AI245" s="34" t="n">
        <f aca="false">AH$258+AI$220-AI$221+AI$240-AI$241-AI$209*AI$9+AI$242</f>
        <v>-48504.8451359012</v>
      </c>
      <c r="AJ245" s="34" t="n">
        <f aca="false">AI$258+AJ$220-AJ$221+AJ$240-AJ$241-AJ$209*AJ$9+AJ$242</f>
        <v>4253.64756722731</v>
      </c>
      <c r="AK245" s="34" t="n">
        <f aca="false">AJ$258+AK$220-AK$221+AK$240-AK$241-AK$209*AK$9+AK$242</f>
        <v>57049.9379385471</v>
      </c>
      <c r="AL245" s="34" t="n">
        <f aca="false">AK$258+AL$220-AL$221+AL$240-AL$241-AL$209*AL$9+AL$242</f>
        <v>109884.309460569</v>
      </c>
      <c r="AM245" s="34" t="n">
        <f aca="false">AL$258+AM$220-AM$221+AM$240-AM$241-AM$209*AM$9+AM$242</f>
        <v>162757.047741925</v>
      </c>
      <c r="AN245" s="34" t="n">
        <f aca="false">AM$258+AN$220-AN$221+AN$240-AN$241-AN$209*AN$9+AN$242</f>
        <v>215668.440533308</v>
      </c>
      <c r="AO245" s="34" t="n">
        <f aca="false">AN$258+AO$220-AO$221+AO$240-AO$241-AO$209*AO$9+AO$242</f>
        <v>268618.777743544</v>
      </c>
      <c r="AP245" s="34" t="n">
        <f aca="false">AO$258+AP$220-AP$221+AP$240-AP$241-AP$209*AP$9+AP$242</f>
        <v>-204392.169462804</v>
      </c>
      <c r="AQ245" s="34" t="n">
        <f aca="false">AP$258+AQ$220-AQ$221+AQ$240-AQ$241-AQ$209*AQ$9+AQ$242</f>
        <v>-118554.51596008</v>
      </c>
      <c r="AR245" s="34" t="n">
        <f aca="false">AQ$258+AR$220-AR$221+AR$240-AR$241-AR$209*AR$9+AR$242</f>
        <v>-32677.0352007788</v>
      </c>
      <c r="AS245" s="34" t="n">
        <f aca="false">AR$258+AS$220-AS$221+AS$240-AS$241-AS$209*AS$9+AS$242</f>
        <v>53240.5715195248</v>
      </c>
      <c r="AT245" s="34" t="n">
        <f aca="false">AS$258+AT$220-AT$221+AT$240-AT$241-AT$209*AT$9+AT$242</f>
        <v>139198.605145538</v>
      </c>
      <c r="AU245" s="34" t="n">
        <f aca="false">AT$258+AU$220-AU$221+AU$240-AU$241-AU$209*AU$9+AU$242</f>
        <v>225197.368879053</v>
      </c>
      <c r="AV245" s="34" t="n">
        <f aca="false">AU$258+AV$220-AV$221+AV$240-AV$241-AV$209*AV$9+AV$242</f>
        <v>311237.168195877</v>
      </c>
      <c r="AW245" s="34" t="n">
        <f aca="false">AV$258+AW$220-AW$221+AW$240-AW$241-AW$209*AW$9+AW$242</f>
        <v>397318.310862885</v>
      </c>
      <c r="AX245" s="34" t="n">
        <f aca="false">AW$258+AX$220-AX$221+AX$240-AX$241-AX$209*AX$9+AX$242</f>
        <v>483441.106955202</v>
      </c>
      <c r="AY245" s="34" t="n">
        <f aca="false">AX$258+AY$220-AY$221+AY$240-AY$241-AY$209*AY$9+AY$242</f>
        <v>569605.868873519</v>
      </c>
      <c r="AZ245" s="34" t="n">
        <f aca="false">AY$258+AZ$220-AZ$221+AZ$240-AZ$241-AZ$209*AZ$9+AZ$242</f>
        <v>655812.91136153</v>
      </c>
      <c r="BA245" s="34" t="n">
        <f aca="false">AZ$258+BA$220-BA$221+BA$240-BA$241-BA$209*BA$9+BA$242</f>
        <v>742062.551523509</v>
      </c>
      <c r="BB245" s="34" t="n">
        <f aca="false">BA$258+BB$220-BB$221+BB$240-BB$241-BB$209*BB$9+BB$242</f>
        <v>791565.146132666</v>
      </c>
      <c r="BC245" s="34" t="n">
        <f aca="false">BB$258+BC$220-BC$221+BC$240-BC$241-BC$209*BC$9+BC$242</f>
        <v>879220.527482878</v>
      </c>
      <c r="BD245" s="34" t="n">
        <f aca="false">BC$258+BD$220-BD$221+BD$240-BD$241-BD$209*BD$9+BD$242</f>
        <v>966919.47216105</v>
      </c>
      <c r="BE245" s="34" t="n">
        <f aca="false">BD$258+BE$220-BE$221+BE$240-BE$241-BE$209*BE$9+BE$242</f>
        <v>1054662.30689214</v>
      </c>
      <c r="BF245" s="34" t="n">
        <f aca="false">BE$258+BF$220-BF$221+BF$240-BF$241-BF$209*BF$9+BF$242</f>
        <v>337495.982470628</v>
      </c>
      <c r="BG245" s="34" t="n">
        <f aca="false">BF$258+BG$220-BG$221+BG$240-BG$241-BG$209*BG$9+BG$242</f>
        <v>425327.587302565</v>
      </c>
      <c r="BH245" s="34" t="n">
        <f aca="false">BG$258+BH$220-BH$221+BH$240-BH$241-BH$209*BH$9+BH$242</f>
        <v>513204.077138576</v>
      </c>
      <c r="BI245" s="34" t="n">
        <f aca="false">BH$258+BI$220-BI$221+BI$240-BI$241-BI$209*BI$9+BI$242</f>
        <v>601125.788616189</v>
      </c>
      <c r="BJ245" s="34" t="n">
        <f aca="false">BI$258+BJ$220-BJ$221+BJ$240-BJ$241-BJ$209*BJ$9+BJ$242</f>
        <v>689093.060897719</v>
      </c>
      <c r="BK245" s="34" t="n">
        <f aca="false">BJ$258+BK$220-BK$221+BK$240-BK$241-BK$209*BK$9+BK$242</f>
        <v>777106.235689193</v>
      </c>
      <c r="BL245" s="34" t="n">
        <f aca="false">BK$258+BL$220-BL$221+BL$240-BL$241-BL$209*BL$9+BL$242</f>
        <v>865165.657259436</v>
      </c>
      <c r="BM245" s="34" t="n">
        <f aca="false">BL$258+BM$220-BM$221+BM$240-BM$241-BM$209*BM$9+BM$242</f>
        <v>953271.672459288</v>
      </c>
      <c r="BN245" s="34" t="n">
        <f aca="false">BM$258+BN$220-BN$221+BN$240-BN$241-BN$209*BN$9+BN$242</f>
        <v>1070847.25778852</v>
      </c>
      <c r="BO245" s="34" t="n">
        <f aca="false">BN$258+BO$220-BO$221+BO$240-BO$241-BO$209*BO$9+BO$242</f>
        <v>1226147.69958634</v>
      </c>
      <c r="BP245" s="34" t="n">
        <f aca="false">BO$258+BP$220-BP$221+BP$240-BP$241-BP$209*BP$9+BP$242</f>
        <v>1381448.14138417</v>
      </c>
      <c r="BQ245" s="34" t="n">
        <f aca="false">BP$258+BQ$220-BQ$221+BQ$240-BQ$241-BQ$209*BQ$9+BQ$242</f>
        <v>1536748.583182</v>
      </c>
      <c r="BR245" s="34" t="n">
        <f aca="false">BQ$258+BR$220-BR$221+BR$240-BR$241-BR$209*BR$9+BR$242</f>
        <v>228122.480611604</v>
      </c>
      <c r="BS245" s="34" t="n">
        <f aca="false">BR$258+BS$220-BS$221+BS$240-BS$241-BS$209*BS$9+BS$242</f>
        <v>383422.92240943</v>
      </c>
      <c r="BT245" s="34" t="n">
        <f aca="false">BS$258+BT$220-BT$221+BT$240-BT$241-BT$209*BT$9+BT$242</f>
        <v>538723.364207257</v>
      </c>
      <c r="BU245" s="34" t="n">
        <f aca="false">BT$258+BU$220-BU$221+BU$240-BU$241-BU$209*BU$9+BU$242</f>
        <v>694023.806005083</v>
      </c>
      <c r="BV245" s="34" t="n">
        <f aca="false">BU$258+BV$220-BV$221+BV$240-BV$241-BV$209*BV$9+BV$242</f>
        <v>849324.247802909</v>
      </c>
      <c r="BW245" s="34" t="n">
        <f aca="false">BV$258+BW$220-BW$221+BW$240-BW$241-BW$209*BW$9+BW$242</f>
        <v>1004624.68960073</v>
      </c>
      <c r="BX245" s="34" t="n">
        <f aca="false">BW$258+BX$220-BX$221+BX$240-BX$241-BX$209*BX$9+BX$242</f>
        <v>1159925.13139856</v>
      </c>
      <c r="BY245" s="34" t="n">
        <f aca="false">BX$258+BY$220-BY$221+BY$240-BY$241-BY$209*BY$9+BY$242</f>
        <v>1315225.57319639</v>
      </c>
      <c r="BZ245" s="34" t="n">
        <f aca="false">BY$258+BZ$220-BZ$221+BZ$240-BZ$241-BZ$209*BZ$9+BZ$242</f>
        <v>1436551.70246101</v>
      </c>
      <c r="CA245" s="34" t="n">
        <f aca="false">BZ$258+CA$220-CA$221+CA$240-CA$241-CA$209*CA$9+CA$242</f>
        <v>1595967.72495041</v>
      </c>
      <c r="CB245" s="34" t="n">
        <f aca="false">CA$258+CB$220-CB$221+CB$240-CB$241-CB$209*CB$9+CB$242</f>
        <v>1755383.74743981</v>
      </c>
      <c r="CC245" s="34" t="n">
        <f aca="false">CB$258+CC$220-CC$221+CC$240-CC$241-CC$209*CC$9+CC$242</f>
        <v>1914799.76992921</v>
      </c>
      <c r="CD245" s="34" t="n">
        <f aca="false">CC$258+CD$220-CD$221+CD$240-CD$241-CD$209*CD$9+CD$242</f>
        <v>280027.099844691</v>
      </c>
      <c r="CE245" s="34" t="n">
        <f aca="false">CD$258+CE$220-CE$221+CE$240-CE$241-CE$209*CE$9+CE$242</f>
        <v>439443.122334091</v>
      </c>
      <c r="CF245" s="34" t="n">
        <f aca="false">CE$258+CF$220-CF$221+CF$240-CF$241-CF$209*CF$9+CF$242</f>
        <v>598859.144823491</v>
      </c>
      <c r="CG245" s="34" t="n">
        <f aca="false">CF$258+CG$220-CG$221+CG$240-CG$241-CG$209*CG$9+CG$242</f>
        <v>758275.167312891</v>
      </c>
      <c r="CH245" s="34" t="n">
        <f aca="false">CG$258+CH$220-CH$221+CH$240-CH$241-CH$209*CH$9+CH$242</f>
        <v>917691.18980229</v>
      </c>
      <c r="CI245" s="34" t="n">
        <f aca="false">CH$258+CI$220-CI$221+CI$240-CI$241-CI$209*CI$9+CI$242</f>
        <v>1077107.21229169</v>
      </c>
      <c r="CJ245" s="34" t="n">
        <f aca="false">CI$258+CJ$220-CJ$221+CJ$240-CJ$241-CJ$209*CJ$9+CJ$242</f>
        <v>1236523.23478109</v>
      </c>
      <c r="CK245" s="34" t="n">
        <f aca="false">CJ$258+CK$220-CK$221+CK$240-CK$241-CK$209*CK$9+CK$242</f>
        <v>1395939.25727049</v>
      </c>
      <c r="CL245" s="34" t="n">
        <f aca="false">CK$258+CL$220-CL$221+CL$240-CL$241-CL$209*CL$9+CL$242</f>
        <v>1521040.85812226</v>
      </c>
      <c r="CM245" s="34" t="n">
        <f aca="false">CL$258+CM$220-CM$221+CM$240-CM$241-CM$209*CM$9+CM$242</f>
        <v>1684600.67666855</v>
      </c>
      <c r="CN245" s="34" t="n">
        <f aca="false">CM$258+CN$220-CN$221+CN$240-CN$241-CN$209*CN$9+CN$242</f>
        <v>1848160.49521483</v>
      </c>
      <c r="CO245" s="34" t="n">
        <f aca="false">CN$258+CO$220-CO$221+CO$240-CO$241-CO$209*CO$9+CO$242</f>
        <v>2011720.31376112</v>
      </c>
      <c r="CP245" s="34" t="n">
        <f aca="false">CO$258+CP$220-CP$221+CP$240-CP$241-CP$209*CP$9+CP$242</f>
        <v>331704.47143461</v>
      </c>
      <c r="CQ245" s="34" t="n">
        <f aca="false">CP$258+CQ$220-CQ$221+CQ$240-CQ$241-CQ$209*CQ$9+CQ$242</f>
        <v>495264.289980898</v>
      </c>
      <c r="CR245" s="34" t="n">
        <f aca="false">CQ$258+CR$220-CR$221+CR$240-CR$241-CR$209*CR$9+CR$242</f>
        <v>658824.108527185</v>
      </c>
      <c r="CS245" s="34" t="n">
        <f aca="false">CR$258+CS$220-CS$221+CS$240-CS$241-CS$209*CS$9+CS$242</f>
        <v>822383.927073473</v>
      </c>
      <c r="CT245" s="34" t="n">
        <f aca="false">CS$258+CT$220-CT$221+CT$240-CT$241-CT$209*CT$9+CT$242</f>
        <v>985943.74561976</v>
      </c>
      <c r="CU245" s="34" t="n">
        <f aca="false">CT$258+CU$220-CU$221+CU$240-CU$241-CU$209*CU$9+CU$242</f>
        <v>1149503.56416605</v>
      </c>
      <c r="CV245" s="34" t="n">
        <f aca="false">CU$258+CV$220-CV$221+CV$240-CV$241-CV$209*CV$9+CV$242</f>
        <v>1313063.38271234</v>
      </c>
      <c r="CW245" s="34" t="n">
        <f aca="false">CV$258+CW$220-CW$221+CW$240-CW$241-CW$209*CW$9+CW$242</f>
        <v>1476623.20125862</v>
      </c>
      <c r="CX245" s="34" t="n">
        <f aca="false">CW$258+CX$220-CX$221+CX$240-CX$241-CX$209*CX$9+CX$242</f>
        <v>1605525.07895819</v>
      </c>
      <c r="CY245" s="34" t="n">
        <f aca="false">CX$258+CY$220-CY$221+CY$240-CY$241-CY$209*CY$9+CY$242</f>
        <v>1773256.8086071</v>
      </c>
      <c r="CZ245" s="34" t="n">
        <f aca="false">CY$258+CZ$220-CZ$221+CZ$240-CZ$241-CZ$209*CZ$9+CZ$242</f>
        <v>1940988.53825601</v>
      </c>
      <c r="DA245" s="34" t="n">
        <f aca="false">CZ$258+DA$220-DA$221+DA$240-DA$241-DA$209*DA$9+DA$242</f>
        <v>2108720.26790492</v>
      </c>
      <c r="DB245" s="34" t="n">
        <f aca="false">DA$258+DB$220-DB$221+DB$240-DB$241-DB$209*DB$9+DB$242</f>
        <v>383150.783998375</v>
      </c>
      <c r="DC245" s="34" t="n">
        <f aca="false">DB$258+DC$220-DC$221+DC$240-DC$241-DC$209*DC$9+DC$242</f>
        <v>550882.513647283</v>
      </c>
      <c r="DD245" s="34" t="n">
        <f aca="false">DC$258+DD$220-DD$221+DD$240-DD$241-DD$209*DD$9+DD$242</f>
        <v>718614.24329619</v>
      </c>
      <c r="DE245" s="34" t="n">
        <f aca="false">DD$258+DE$220-DE$221+DE$240-DE$241-DE$209*DE$9+DE$242</f>
        <v>886345.972945098</v>
      </c>
      <c r="DF245" s="34" t="n">
        <f aca="false">DE$258+DF$220-DF$221+DF$240-DF$241-DF$209*DF$9+DF$242</f>
        <v>1054077.70259401</v>
      </c>
      <c r="DG245" s="34" t="n">
        <f aca="false">DF$258+DG$220-DG$221+DG$240-DG$241-DG$209*DG$9+DG$242</f>
        <v>1221809.43224291</v>
      </c>
      <c r="DH245" s="34" t="n">
        <f aca="false">DG$258+DH$220-DH$221+DH$240-DH$241-DH$209*DH$9+DH$242</f>
        <v>1389541.16189182</v>
      </c>
      <c r="DI245" s="34" t="n">
        <f aca="false">DH$258+DI$220-DI$221+DI$240-DI$241-DI$209*DI$9+DI$242</f>
        <v>1557272.89154073</v>
      </c>
      <c r="DJ245" s="34" t="n">
        <f aca="false">DI$258+DJ$220-DJ$221+DJ$240-DJ$241-DJ$209*DJ$9+DJ$242</f>
        <v>1689999.71669704</v>
      </c>
      <c r="DK245" s="34" t="n">
        <f aca="false">DJ$258+DK$220-DK$221+DK$240-DK$241-DK$209*DK$9+DK$242</f>
        <v>1861931.35981212</v>
      </c>
      <c r="DL245" s="34" t="n">
        <f aca="false">DK$258+DL$220-DL$221+DL$240-DL$241-DL$209*DL$9+DL$242</f>
        <v>2033863.00292721</v>
      </c>
      <c r="DM245" s="34" t="n">
        <f aca="false">DL$258+DM$220-DM$221+DM$240-DM$241-DM$209*DM$9+DM$242</f>
        <v>2205794.64604229</v>
      </c>
      <c r="DN245" s="34" t="n">
        <f aca="false">DM$258+DN$220-DN$221+DN$240-DN$241-DN$209*DN$9+DN$242</f>
        <v>434362.142370491</v>
      </c>
      <c r="DO245" s="34" t="n">
        <f aca="false">DN$258+DO$220-DO$221+DO$240-DO$241-DO$209*DO$9+DO$242</f>
        <v>606293.785485577</v>
      </c>
      <c r="DP245" s="34" t="n">
        <f aca="false">DO$258+DP$220-DP$221+DP$240-DP$241-DP$209*DP$9+DP$242</f>
        <v>778225.428600663</v>
      </c>
      <c r="DQ245" s="34" t="n">
        <f aca="false">DP$258+DQ$220-DQ$221+DQ$240-DQ$241-DQ$209*DQ$9+DQ$242</f>
        <v>950157.071715749</v>
      </c>
      <c r="DR245" s="34" t="n">
        <f aca="false">DQ$258+DR$220-DR$221+DR$240-DR$241-DR$209*DR$9+DR$242</f>
        <v>1122088.71483084</v>
      </c>
      <c r="DS245" s="34" t="n">
        <f aca="false">DR$258+DS$220-DS$221+DS$240-DS$241-DS$209*DS$9+DS$242</f>
        <v>1294020.35794592</v>
      </c>
      <c r="DT245" s="34" t="n">
        <f aca="false">DS$258+DT$220-DT$221+DT$240-DT$241-DT$209*DT$9+DT$242</f>
        <v>1465952.00106101</v>
      </c>
      <c r="DU245" s="34" t="n">
        <f aca="false">DT$258+DU$220-DU$221+DU$240-DU$241-DU$209*DU$9+DU$242</f>
        <v>1637883.64417609</v>
      </c>
      <c r="DV245" s="34" t="n">
        <f aca="false">DU$258+DV$220-DV$221+DV$240-DV$241-DV$209*DV$9+DV$242</f>
        <v>1637883.64417609</v>
      </c>
      <c r="DW245" s="34" t="n">
        <f aca="false">DV$258+DW$220-DW$221+DW$240-DW$241-DW$209*DW$9+DW$242</f>
        <v>1637883.64417609</v>
      </c>
      <c r="DX245" s="34" t="n">
        <f aca="false">DW$258+DX$220-DX$221+DX$240-DX$241-DX$209*DX$9+DX$242</f>
        <v>1637883.64417609</v>
      </c>
      <c r="DY245" s="34" t="n">
        <f aca="false">DX$258+DY$220-DY$221+DY$240-DY$241-DY$209*DY$9+DY$242</f>
        <v>1637883.64417609</v>
      </c>
      <c r="DZ245" s="34" t="n">
        <f aca="false">DY$258+DZ$220-DZ$221+DZ$240-DZ$241-DZ$209*DZ$9+DZ$242</f>
        <v>1637883.64417609</v>
      </c>
      <c r="EA245" s="34" t="n">
        <f aca="false">DZ$258+EA$220-EA$221+EA$240-EA$241-EA$209*EA$9+EA$242</f>
        <v>1637883.64417609</v>
      </c>
      <c r="EB245" s="34" t="n">
        <f aca="false">EA$258+EB$220-EB$221+EB$240-EB$241-EB$209*EB$9+EB$242</f>
        <v>1637883.64417609</v>
      </c>
      <c r="EC245" s="34" t="n">
        <f aca="false">EB$258+EC$220-EC$221+EC$240-EC$241-EC$209*EC$9+EC$242</f>
        <v>1637883.64417609</v>
      </c>
      <c r="ED245" s="34" t="n">
        <f aca="false">EC$258+ED$220-ED$221+ED$240-ED$241-ED$209*ED$9+ED$242</f>
        <v>1637883.64417609</v>
      </c>
      <c r="EE245" s="34" t="n">
        <f aca="false">ED$258+EE$220-EE$221+EE$240-EE$241-EE$209*EE$9+EE$242</f>
        <v>1637883.64417609</v>
      </c>
      <c r="EF245" s="34" t="n">
        <f aca="false">EE$258+EF$220-EF$221+EF$240-EF$241-EF$209*EF$9+EF$242</f>
        <v>1637883.64417609</v>
      </c>
      <c r="EG245" s="34" t="n">
        <f aca="false">EF$258+EG$220-EG$221+EG$240-EG$241-EG$209*EG$9+EG$242</f>
        <v>1637883.64417609</v>
      </c>
      <c r="EH245" s="34" t="n">
        <f aca="false">EG$258+EH$220-EH$221+EH$240-EH$241-EH$209*EH$9+EH$242</f>
        <v>1637883.64417609</v>
      </c>
      <c r="EI245" s="34" t="n">
        <f aca="false">EH$258+EI$220-EI$221+EI$240-EI$241-EI$209*EI$9+EI$242</f>
        <v>1637883.64417609</v>
      </c>
      <c r="EJ245" s="34" t="n">
        <f aca="false">EI$258+EJ$220-EJ$221+EJ$240-EJ$241-EJ$209*EJ$9+EJ$242</f>
        <v>1637883.64417609</v>
      </c>
      <c r="EK245" s="34" t="n">
        <f aca="false">EJ$258+EK$220-EK$221+EK$240-EK$241-EK$209*EK$9+EK$242</f>
        <v>1637883.64417609</v>
      </c>
      <c r="EL245" s="34" t="n">
        <f aca="false">EK$258+EL$220-EL$221+EL$240-EL$241-EL$209*EL$9+EL$242</f>
        <v>1637883.64417609</v>
      </c>
      <c r="EM245" s="34" t="n">
        <f aca="false">EL$258+EM$220-EM$221+EM$240-EM$241-EM$209*EM$9+EM$242</f>
        <v>1637883.64417609</v>
      </c>
      <c r="EN245" s="34" t="n">
        <f aca="false">EM$258+EN$220-EN$221+EN$240-EN$241-EN$209*EN$9+EN$242</f>
        <v>1637883.64417609</v>
      </c>
      <c r="EO245" s="34" t="n">
        <f aca="false">EN$258+EO$220-EO$221+EO$240-EO$241-EO$209*EO$9+EO$242</f>
        <v>1637883.64417609</v>
      </c>
      <c r="EP245" s="34" t="n">
        <f aca="false">EO$258+EP$220-EP$221+EP$240-EP$241-EP$209*EP$9+EP$242</f>
        <v>1637883.64417609</v>
      </c>
      <c r="EQ245" s="34" t="n">
        <f aca="false">EP$258+EQ$220-EQ$221+EQ$240-EQ$241-EQ$209*EQ$9+EQ$242</f>
        <v>1637883.64417609</v>
      </c>
      <c r="ER245" s="34" t="n">
        <f aca="false">EQ$258+ER$220-ER$221+ER$240-ER$241-ER$209*ER$9+ER$242</f>
        <v>1637883.64417609</v>
      </c>
      <c r="ES245" s="34" t="n">
        <f aca="false">ER$258+ES$220-ES$221+ES$240-ES$241-ES$209*ES$9+ES$242</f>
        <v>1637883.64417609</v>
      </c>
    </row>
    <row r="246" customFormat="false" ht="15" hidden="false" customHeight="false" outlineLevel="0" collapsed="false">
      <c r="A246" s="2" t="s">
        <v>856</v>
      </c>
      <c r="B246" s="6" t="s">
        <v>164</v>
      </c>
      <c r="C246" s="6" t="s">
        <v>250</v>
      </c>
      <c r="F246" s="34" t="n">
        <f aca="false">F$175*V_CajaMin/DiasMes*F$9</f>
        <v>39863.0136986301</v>
      </c>
      <c r="G246" s="34" t="n">
        <f aca="false">G$175*V_CajaMin/DiasMes*G$9</f>
        <v>39863.0136986301</v>
      </c>
      <c r="H246" s="34" t="n">
        <f aca="false">H$175*V_CajaMin/DiasMes*H$9</f>
        <v>39863.0136986301</v>
      </c>
      <c r="I246" s="34" t="n">
        <f aca="false">I$175*V_CajaMin/DiasMes*I$9</f>
        <v>39863.0136986301</v>
      </c>
      <c r="J246" s="34" t="n">
        <f aca="false">J$175*V_CajaMin/DiasMes*J$9</f>
        <v>39863.0136986301</v>
      </c>
      <c r="K246" s="34" t="n">
        <f aca="false">K$175*V_CajaMin/DiasMes*K$9</f>
        <v>39863.0136986301</v>
      </c>
      <c r="L246" s="34" t="n">
        <f aca="false">L$175*V_CajaMin/DiasMes*L$9</f>
        <v>39863.0136986301</v>
      </c>
      <c r="M246" s="34" t="n">
        <f aca="false">M$175*V_CajaMin/DiasMes*M$9</f>
        <v>39863.0136986301</v>
      </c>
      <c r="N246" s="34" t="n">
        <f aca="false">N$175*V_CajaMin/DiasMes*N$9</f>
        <v>39863.0136986301</v>
      </c>
      <c r="O246" s="34" t="n">
        <f aca="false">O$175*V_CajaMin/DiasMes*O$9</f>
        <v>39863.0136986301</v>
      </c>
      <c r="P246" s="34" t="n">
        <f aca="false">P$175*V_CajaMin/DiasMes*P$9</f>
        <v>39863.0136986301</v>
      </c>
      <c r="Q246" s="34" t="n">
        <f aca="false">Q$175*V_CajaMin/DiasMes*Q$9</f>
        <v>39863.0136986301</v>
      </c>
      <c r="R246" s="34" t="n">
        <f aca="false">R$175*V_CajaMin/DiasMes*R$9</f>
        <v>50804.3835616438</v>
      </c>
      <c r="S246" s="34" t="n">
        <f aca="false">S$175*V_CajaMin/DiasMes*S$9</f>
        <v>50804.3835616438</v>
      </c>
      <c r="T246" s="34" t="n">
        <f aca="false">T$175*V_CajaMin/DiasMes*T$9</f>
        <v>50804.3835616438</v>
      </c>
      <c r="U246" s="34" t="n">
        <f aca="false">U$175*V_CajaMin/DiasMes*U$9</f>
        <v>50804.3835616438</v>
      </c>
      <c r="V246" s="34" t="n">
        <f aca="false">V$175*V_CajaMin/DiasMes*V$9</f>
        <v>50804.3835616438</v>
      </c>
      <c r="W246" s="34" t="n">
        <f aca="false">W$175*V_CajaMin/DiasMes*W$9</f>
        <v>50804.3835616438</v>
      </c>
      <c r="X246" s="34" t="n">
        <f aca="false">X$175*V_CajaMin/DiasMes*X$9</f>
        <v>50804.3835616438</v>
      </c>
      <c r="Y246" s="34" t="n">
        <f aca="false">Y$175*V_CajaMin/DiasMes*Y$9</f>
        <v>50804.3835616438</v>
      </c>
      <c r="Z246" s="34" t="n">
        <f aca="false">Z$175*V_CajaMin/DiasMes*Z$9</f>
        <v>50804.3835616438</v>
      </c>
      <c r="AA246" s="34" t="n">
        <f aca="false">AA$175*V_CajaMin/DiasMes*AA$9</f>
        <v>50804.3835616438</v>
      </c>
      <c r="AB246" s="34" t="n">
        <f aca="false">AB$175*V_CajaMin/DiasMes*AB$9</f>
        <v>50804.3835616438</v>
      </c>
      <c r="AC246" s="34" t="n">
        <f aca="false">AC$175*V_CajaMin/DiasMes*AC$9</f>
        <v>50804.3835616438</v>
      </c>
      <c r="AD246" s="34" t="n">
        <f aca="false">AD$175*V_CajaMin/DiasMes*AD$9</f>
        <v>61960.5945205479</v>
      </c>
      <c r="AE246" s="34" t="n">
        <f aca="false">AE$175*V_CajaMin/DiasMes*AE$9</f>
        <v>61960.5945205479</v>
      </c>
      <c r="AF246" s="34" t="n">
        <f aca="false">AF$175*V_CajaMin/DiasMes*AF$9</f>
        <v>61960.5945205479</v>
      </c>
      <c r="AG246" s="34" t="n">
        <f aca="false">AG$175*V_CajaMin/DiasMes*AG$9</f>
        <v>61960.5945205479</v>
      </c>
      <c r="AH246" s="34" t="n">
        <f aca="false">AH$175*V_CajaMin/DiasMes*AH$9</f>
        <v>61960.5945205479</v>
      </c>
      <c r="AI246" s="34" t="n">
        <f aca="false">AI$175*V_CajaMin/DiasMes*AI$9</f>
        <v>61960.5945205479</v>
      </c>
      <c r="AJ246" s="34" t="n">
        <f aca="false">AJ$175*V_CajaMin/DiasMes*AJ$9</f>
        <v>61960.5945205479</v>
      </c>
      <c r="AK246" s="34" t="n">
        <f aca="false">AK$175*V_CajaMin/DiasMes*AK$9</f>
        <v>61960.5945205479</v>
      </c>
      <c r="AL246" s="34" t="n">
        <f aca="false">AL$175*V_CajaMin/DiasMes*AL$9</f>
        <v>61960.5945205479</v>
      </c>
      <c r="AM246" s="34" t="n">
        <f aca="false">AM$175*V_CajaMin/DiasMes*AM$9</f>
        <v>61960.5945205479</v>
      </c>
      <c r="AN246" s="34" t="n">
        <f aca="false">AN$175*V_CajaMin/DiasMes*AN$9</f>
        <v>61960.5945205479</v>
      </c>
      <c r="AO246" s="34" t="n">
        <f aca="false">AO$175*V_CajaMin/DiasMes*AO$9</f>
        <v>61960.5945205479</v>
      </c>
      <c r="AP246" s="34" t="n">
        <f aca="false">AP$175*V_CajaMin/DiasMes*AP$9</f>
        <v>71387.1569589041</v>
      </c>
      <c r="AQ246" s="34" t="n">
        <f aca="false">AQ$175*V_CajaMin/DiasMes*AQ$9</f>
        <v>71387.1569589041</v>
      </c>
      <c r="AR246" s="34" t="n">
        <f aca="false">AR$175*V_CajaMin/DiasMes*AR$9</f>
        <v>71387.1569589041</v>
      </c>
      <c r="AS246" s="34" t="n">
        <f aca="false">AS$175*V_CajaMin/DiasMes*AS$9</f>
        <v>71387.1569589041</v>
      </c>
      <c r="AT246" s="34" t="n">
        <f aca="false">AT$175*V_CajaMin/DiasMes*AT$9</f>
        <v>71387.1569589041</v>
      </c>
      <c r="AU246" s="34" t="n">
        <f aca="false">AU$175*V_CajaMin/DiasMes*AU$9</f>
        <v>71387.1569589041</v>
      </c>
      <c r="AV246" s="34" t="n">
        <f aca="false">AV$175*V_CajaMin/DiasMes*AV$9</f>
        <v>71387.1569589041</v>
      </c>
      <c r="AW246" s="34" t="n">
        <f aca="false">AW$175*V_CajaMin/DiasMes*AW$9</f>
        <v>71387.1569589041</v>
      </c>
      <c r="AX246" s="34" t="n">
        <f aca="false">AX$175*V_CajaMin/DiasMes*AX$9</f>
        <v>71387.1569589041</v>
      </c>
      <c r="AY246" s="34" t="n">
        <f aca="false">AY$175*V_CajaMin/DiasMes*AY$9</f>
        <v>71387.1569589041</v>
      </c>
      <c r="AZ246" s="34" t="n">
        <f aca="false">AZ$175*V_CajaMin/DiasMes*AZ$9</f>
        <v>71387.1569589041</v>
      </c>
      <c r="BA246" s="34" t="n">
        <f aca="false">BA$175*V_CajaMin/DiasMes*BA$9</f>
        <v>71387.1569589041</v>
      </c>
      <c r="BB246" s="34" t="n">
        <f aca="false">BB$175*V_CajaMin/DiasMes*BB$9</f>
        <v>72101.0285284932</v>
      </c>
      <c r="BC246" s="34" t="n">
        <f aca="false">BC$175*V_CajaMin/DiasMes*BC$9</f>
        <v>72101.0285284932</v>
      </c>
      <c r="BD246" s="34" t="n">
        <f aca="false">BD$175*V_CajaMin/DiasMes*BD$9</f>
        <v>72101.0285284932</v>
      </c>
      <c r="BE246" s="34" t="n">
        <f aca="false">BE$175*V_CajaMin/DiasMes*BE$9</f>
        <v>72101.0285284932</v>
      </c>
      <c r="BF246" s="34" t="n">
        <f aca="false">BF$175*V_CajaMin/DiasMes*BF$9</f>
        <v>72101.0285284932</v>
      </c>
      <c r="BG246" s="34" t="n">
        <f aca="false">BG$175*V_CajaMin/DiasMes*BG$9</f>
        <v>72101.0285284932</v>
      </c>
      <c r="BH246" s="34" t="n">
        <f aca="false">BH$175*V_CajaMin/DiasMes*BH$9</f>
        <v>72101.0285284932</v>
      </c>
      <c r="BI246" s="34" t="n">
        <f aca="false">BI$175*V_CajaMin/DiasMes*BI$9</f>
        <v>72101.0285284932</v>
      </c>
      <c r="BJ246" s="34" t="n">
        <f aca="false">BJ$175*V_CajaMin/DiasMes*BJ$9</f>
        <v>72101.0285284932</v>
      </c>
      <c r="BK246" s="34" t="n">
        <f aca="false">BK$175*V_CajaMin/DiasMes*BK$9</f>
        <v>72101.0285284932</v>
      </c>
      <c r="BL246" s="34" t="n">
        <f aca="false">BL$175*V_CajaMin/DiasMes*BL$9</f>
        <v>72101.0285284932</v>
      </c>
      <c r="BM246" s="34" t="n">
        <f aca="false">BM$175*V_CajaMin/DiasMes*BM$9</f>
        <v>72101.0285284932</v>
      </c>
      <c r="BN246" s="34" t="n">
        <f aca="false">BN$175*V_CajaMin/DiasMes*BN$9</f>
        <v>72822.0388137781</v>
      </c>
      <c r="BO246" s="34" t="n">
        <f aca="false">BO$175*V_CajaMin/DiasMes*BO$9</f>
        <v>72822.0388137781</v>
      </c>
      <c r="BP246" s="34" t="n">
        <f aca="false">BP$175*V_CajaMin/DiasMes*BP$9</f>
        <v>72822.0388137781</v>
      </c>
      <c r="BQ246" s="34" t="n">
        <f aca="false">BQ$175*V_CajaMin/DiasMes*BQ$9</f>
        <v>72822.0388137781</v>
      </c>
      <c r="BR246" s="34" t="n">
        <f aca="false">BR$175*V_CajaMin/DiasMes*BR$9</f>
        <v>72822.0388137781</v>
      </c>
      <c r="BS246" s="34" t="n">
        <f aca="false">BS$175*V_CajaMin/DiasMes*BS$9</f>
        <v>72822.0388137781</v>
      </c>
      <c r="BT246" s="34" t="n">
        <f aca="false">BT$175*V_CajaMin/DiasMes*BT$9</f>
        <v>72822.0388137781</v>
      </c>
      <c r="BU246" s="34" t="n">
        <f aca="false">BU$175*V_CajaMin/DiasMes*BU$9</f>
        <v>72822.0388137781</v>
      </c>
      <c r="BV246" s="34" t="n">
        <f aca="false">BV$175*V_CajaMin/DiasMes*BV$9</f>
        <v>72822.0388137781</v>
      </c>
      <c r="BW246" s="34" t="n">
        <f aca="false">BW$175*V_CajaMin/DiasMes*BW$9</f>
        <v>72822.0388137781</v>
      </c>
      <c r="BX246" s="34" t="n">
        <f aca="false">BX$175*V_CajaMin/DiasMes*BX$9</f>
        <v>72822.0388137781</v>
      </c>
      <c r="BY246" s="34" t="n">
        <f aca="false">BY$175*V_CajaMin/DiasMes*BY$9</f>
        <v>72822.0388137781</v>
      </c>
      <c r="BZ246" s="34" t="n">
        <f aca="false">BZ$175*V_CajaMin/DiasMes*BZ$9</f>
        <v>73550.2592019159</v>
      </c>
      <c r="CA246" s="34" t="n">
        <f aca="false">CA$175*V_CajaMin/DiasMes*CA$9</f>
        <v>73550.2592019159</v>
      </c>
      <c r="CB246" s="34" t="n">
        <f aca="false">CB$175*V_CajaMin/DiasMes*CB$9</f>
        <v>73550.2592019159</v>
      </c>
      <c r="CC246" s="34" t="n">
        <f aca="false">CC$175*V_CajaMin/DiasMes*CC$9</f>
        <v>73550.2592019159</v>
      </c>
      <c r="CD246" s="34" t="n">
        <f aca="false">CD$175*V_CajaMin/DiasMes*CD$9</f>
        <v>73550.2592019159</v>
      </c>
      <c r="CE246" s="34" t="n">
        <f aca="false">CE$175*V_CajaMin/DiasMes*CE$9</f>
        <v>73550.2592019159</v>
      </c>
      <c r="CF246" s="34" t="n">
        <f aca="false">CF$175*V_CajaMin/DiasMes*CF$9</f>
        <v>73550.2592019159</v>
      </c>
      <c r="CG246" s="34" t="n">
        <f aca="false">CG$175*V_CajaMin/DiasMes*CG$9</f>
        <v>73550.2592019159</v>
      </c>
      <c r="CH246" s="34" t="n">
        <f aca="false">CH$175*V_CajaMin/DiasMes*CH$9</f>
        <v>73550.2592019159</v>
      </c>
      <c r="CI246" s="34" t="n">
        <f aca="false">CI$175*V_CajaMin/DiasMes*CI$9</f>
        <v>73550.2592019159</v>
      </c>
      <c r="CJ246" s="34" t="n">
        <f aca="false">CJ$175*V_CajaMin/DiasMes*CJ$9</f>
        <v>73550.2592019159</v>
      </c>
      <c r="CK246" s="34" t="n">
        <f aca="false">CK$175*V_CajaMin/DiasMes*CK$9</f>
        <v>73550.2592019159</v>
      </c>
      <c r="CL246" s="34" t="n">
        <f aca="false">CL$175*V_CajaMin/DiasMes*CL$9</f>
        <v>74285.761793935</v>
      </c>
      <c r="CM246" s="34" t="n">
        <f aca="false">CM$175*V_CajaMin/DiasMes*CM$9</f>
        <v>74285.761793935</v>
      </c>
      <c r="CN246" s="34" t="n">
        <f aca="false">CN$175*V_CajaMin/DiasMes*CN$9</f>
        <v>74285.761793935</v>
      </c>
      <c r="CO246" s="34" t="n">
        <f aca="false">CO$175*V_CajaMin/DiasMes*CO$9</f>
        <v>74285.761793935</v>
      </c>
      <c r="CP246" s="34" t="n">
        <f aca="false">CP$175*V_CajaMin/DiasMes*CP$9</f>
        <v>74285.761793935</v>
      </c>
      <c r="CQ246" s="34" t="n">
        <f aca="false">CQ$175*V_CajaMin/DiasMes*CQ$9</f>
        <v>74285.761793935</v>
      </c>
      <c r="CR246" s="34" t="n">
        <f aca="false">CR$175*V_CajaMin/DiasMes*CR$9</f>
        <v>74285.761793935</v>
      </c>
      <c r="CS246" s="34" t="n">
        <f aca="false">CS$175*V_CajaMin/DiasMes*CS$9</f>
        <v>74285.761793935</v>
      </c>
      <c r="CT246" s="34" t="n">
        <f aca="false">CT$175*V_CajaMin/DiasMes*CT$9</f>
        <v>74285.761793935</v>
      </c>
      <c r="CU246" s="34" t="n">
        <f aca="false">CU$175*V_CajaMin/DiasMes*CU$9</f>
        <v>74285.761793935</v>
      </c>
      <c r="CV246" s="34" t="n">
        <f aca="false">CV$175*V_CajaMin/DiasMes*CV$9</f>
        <v>74285.761793935</v>
      </c>
      <c r="CW246" s="34" t="n">
        <f aca="false">CW$175*V_CajaMin/DiasMes*CW$9</f>
        <v>74285.761793935</v>
      </c>
      <c r="CX246" s="34" t="n">
        <f aca="false">CX$175*V_CajaMin/DiasMes*CX$9</f>
        <v>75028.6194118744</v>
      </c>
      <c r="CY246" s="34" t="n">
        <f aca="false">CY$175*V_CajaMin/DiasMes*CY$9</f>
        <v>75028.6194118744</v>
      </c>
      <c r="CZ246" s="34" t="n">
        <f aca="false">CZ$175*V_CajaMin/DiasMes*CZ$9</f>
        <v>75028.6194118744</v>
      </c>
      <c r="DA246" s="34" t="n">
        <f aca="false">DA$175*V_CajaMin/DiasMes*DA$9</f>
        <v>75028.6194118744</v>
      </c>
      <c r="DB246" s="34" t="n">
        <f aca="false">DB$175*V_CajaMin/DiasMes*DB$9</f>
        <v>75028.6194118744</v>
      </c>
      <c r="DC246" s="34" t="n">
        <f aca="false">DC$175*V_CajaMin/DiasMes*DC$9</f>
        <v>75028.6194118744</v>
      </c>
      <c r="DD246" s="34" t="n">
        <f aca="false">DD$175*V_CajaMin/DiasMes*DD$9</f>
        <v>75028.6194118744</v>
      </c>
      <c r="DE246" s="34" t="n">
        <f aca="false">DE$175*V_CajaMin/DiasMes*DE$9</f>
        <v>75028.6194118744</v>
      </c>
      <c r="DF246" s="34" t="n">
        <f aca="false">DF$175*V_CajaMin/DiasMes*DF$9</f>
        <v>75028.6194118744</v>
      </c>
      <c r="DG246" s="34" t="n">
        <f aca="false">DG$175*V_CajaMin/DiasMes*DG$9</f>
        <v>75028.6194118744</v>
      </c>
      <c r="DH246" s="34" t="n">
        <f aca="false">DH$175*V_CajaMin/DiasMes*DH$9</f>
        <v>75028.6194118744</v>
      </c>
      <c r="DI246" s="34" t="n">
        <f aca="false">DI$175*V_CajaMin/DiasMes*DI$9</f>
        <v>75028.6194118744</v>
      </c>
      <c r="DJ246" s="34" t="n">
        <f aca="false">DJ$175*V_CajaMin/DiasMes*DJ$9</f>
        <v>75778.9056059931</v>
      </c>
      <c r="DK246" s="34" t="n">
        <f aca="false">DK$175*V_CajaMin/DiasMes*DK$9</f>
        <v>75778.9056059931</v>
      </c>
      <c r="DL246" s="34" t="n">
        <f aca="false">DL$175*V_CajaMin/DiasMes*DL$9</f>
        <v>75778.9056059931</v>
      </c>
      <c r="DM246" s="34" t="n">
        <f aca="false">DM$175*V_CajaMin/DiasMes*DM$9</f>
        <v>75778.9056059931</v>
      </c>
      <c r="DN246" s="34" t="n">
        <f aca="false">DN$175*V_CajaMin/DiasMes*DN$9</f>
        <v>75778.9056059931</v>
      </c>
      <c r="DO246" s="34" t="n">
        <f aca="false">DO$175*V_CajaMin/DiasMes*DO$9</f>
        <v>75778.9056059931</v>
      </c>
      <c r="DP246" s="34" t="n">
        <f aca="false">DP$175*V_CajaMin/DiasMes*DP$9</f>
        <v>75778.9056059931</v>
      </c>
      <c r="DQ246" s="34" t="n">
        <f aca="false">DQ$175*V_CajaMin/DiasMes*DQ$9</f>
        <v>75778.9056059931</v>
      </c>
      <c r="DR246" s="34" t="n">
        <f aca="false">DR$175*V_CajaMin/DiasMes*DR$9</f>
        <v>75778.9056059931</v>
      </c>
      <c r="DS246" s="34" t="n">
        <f aca="false">DS$175*V_CajaMin/DiasMes*DS$9</f>
        <v>75778.9056059931</v>
      </c>
      <c r="DT246" s="34" t="n">
        <f aca="false">DT$175*V_CajaMin/DiasMes*DT$9</f>
        <v>75778.9056059931</v>
      </c>
      <c r="DU246" s="34" t="n">
        <f aca="false">DU$175*V_CajaMin/DiasMes*DU$9</f>
        <v>75778.9056059931</v>
      </c>
      <c r="DV246" s="34" t="n">
        <f aca="false">DV$175*V_CajaMin/DiasMes*DV$9</f>
        <v>0</v>
      </c>
      <c r="DW246" s="34" t="n">
        <f aca="false">DW$175*V_CajaMin/DiasMes*DW$9</f>
        <v>0</v>
      </c>
      <c r="DX246" s="34" t="n">
        <f aca="false">DX$175*V_CajaMin/DiasMes*DX$9</f>
        <v>0</v>
      </c>
      <c r="DY246" s="34" t="n">
        <f aca="false">DY$175*V_CajaMin/DiasMes*DY$9</f>
        <v>0</v>
      </c>
      <c r="DZ246" s="34" t="n">
        <f aca="false">DZ$175*V_CajaMin/DiasMes*DZ$9</f>
        <v>0</v>
      </c>
      <c r="EA246" s="34" t="n">
        <f aca="false">EA$175*V_CajaMin/DiasMes*EA$9</f>
        <v>0</v>
      </c>
      <c r="EB246" s="34" t="n">
        <f aca="false">EB$175*V_CajaMin/DiasMes*EB$9</f>
        <v>0</v>
      </c>
      <c r="EC246" s="34" t="n">
        <f aca="false">EC$175*V_CajaMin/DiasMes*EC$9</f>
        <v>0</v>
      </c>
      <c r="ED246" s="34" t="n">
        <f aca="false">ED$175*V_CajaMin/DiasMes*ED$9</f>
        <v>0</v>
      </c>
      <c r="EE246" s="34" t="n">
        <f aca="false">EE$175*V_CajaMin/DiasMes*EE$9</f>
        <v>0</v>
      </c>
      <c r="EF246" s="34" t="n">
        <f aca="false">EF$175*V_CajaMin/DiasMes*EF$9</f>
        <v>0</v>
      </c>
      <c r="EG246" s="34" t="n">
        <f aca="false">EG$175*V_CajaMin/DiasMes*EG$9</f>
        <v>0</v>
      </c>
      <c r="EH246" s="34" t="n">
        <f aca="false">EH$175*V_CajaMin/DiasMes*EH$9</f>
        <v>0</v>
      </c>
      <c r="EI246" s="34" t="n">
        <f aca="false">EI$175*V_CajaMin/DiasMes*EI$9</f>
        <v>0</v>
      </c>
      <c r="EJ246" s="34" t="n">
        <f aca="false">EJ$175*V_CajaMin/DiasMes*EJ$9</f>
        <v>0</v>
      </c>
      <c r="EK246" s="34" t="n">
        <f aca="false">EK$175*V_CajaMin/DiasMes*EK$9</f>
        <v>0</v>
      </c>
      <c r="EL246" s="34" t="n">
        <f aca="false">EL$175*V_CajaMin/DiasMes*EL$9</f>
        <v>0</v>
      </c>
      <c r="EM246" s="34" t="n">
        <f aca="false">EM$175*V_CajaMin/DiasMes*EM$9</f>
        <v>0</v>
      </c>
      <c r="EN246" s="34" t="n">
        <f aca="false">EN$175*V_CajaMin/DiasMes*EN$9</f>
        <v>0</v>
      </c>
      <c r="EO246" s="34" t="n">
        <f aca="false">EO$175*V_CajaMin/DiasMes*EO$9</f>
        <v>0</v>
      </c>
      <c r="EP246" s="34" t="n">
        <f aca="false">EP$175*V_CajaMin/DiasMes*EP$9</f>
        <v>0</v>
      </c>
      <c r="EQ246" s="34" t="n">
        <f aca="false">EQ$175*V_CajaMin/DiasMes*EQ$9</f>
        <v>0</v>
      </c>
      <c r="ER246" s="34" t="n">
        <f aca="false">ER$175*V_CajaMin/DiasMes*ER$9</f>
        <v>0</v>
      </c>
      <c r="ES246" s="34" t="n">
        <f aca="false">ES$175*V_CajaMin/DiasMes*ES$9</f>
        <v>0</v>
      </c>
    </row>
    <row r="247" customFormat="false" ht="15" hidden="false" customHeight="false" outlineLevel="0" collapsed="false">
      <c r="A247" s="2" t="s">
        <v>857</v>
      </c>
      <c r="B247" s="6" t="s">
        <v>716</v>
      </c>
      <c r="C247" s="6" t="s">
        <v>250</v>
      </c>
      <c r="E247" s="40" t="n">
        <f aca="false">SUM(F247:ES247)</f>
        <v>0</v>
      </c>
      <c r="F247" s="34" t="n">
        <f aca="false">IF(F$8=1,0,IF(F$243=1,MIN(MAX(0,N(V_LC_Lim)-0),MAX(0,F$246-F$245)),0)*F$9)</f>
        <v>0</v>
      </c>
      <c r="G247" s="34" t="n">
        <f aca="false">IF(G$8=1,0,IF(G$243=1,MIN(MAX(0,N(V_LC_Lim)-F$249),MAX(0,G$246-G$245)),0)*G$9)</f>
        <v>0</v>
      </c>
      <c r="H247" s="34" t="n">
        <f aca="false">IF(H$8=1,0,IF(H$243=1,MIN(MAX(0,N(V_LC_Lim)-G$249),MAX(0,H$246-H$245)),0)*H$9)</f>
        <v>0</v>
      </c>
      <c r="I247" s="34" t="n">
        <f aca="false">IF(I$8=1,0,IF(I$243=1,MIN(MAX(0,N(V_LC_Lim)-H$249),MAX(0,I$246-I$245)),0)*I$9)</f>
        <v>0</v>
      </c>
      <c r="J247" s="34" t="n">
        <f aca="false">IF(J$8=1,0,IF(J$243=1,MIN(MAX(0,N(V_LC_Lim)-I$249),MAX(0,J$246-J$245)),0)*J$9)</f>
        <v>0</v>
      </c>
      <c r="K247" s="34" t="n">
        <f aca="false">IF(K$8=1,0,IF(K$243=1,MIN(MAX(0,N(V_LC_Lim)-J$249),MAX(0,K$246-K$245)),0)*K$9)</f>
        <v>0</v>
      </c>
      <c r="L247" s="34" t="n">
        <f aca="false">IF(L$8=1,0,IF(L$243=1,MIN(MAX(0,N(V_LC_Lim)-K$249),MAX(0,L$246-L$245)),0)*L$9)</f>
        <v>0</v>
      </c>
      <c r="M247" s="34" t="n">
        <f aca="false">IF(M$8=1,0,IF(M$243=1,MIN(MAX(0,N(V_LC_Lim)-L$249),MAX(0,M$246-M$245)),0)*M$9)</f>
        <v>0</v>
      </c>
      <c r="N247" s="34" t="n">
        <f aca="false">IF(N$8=1,0,IF(N$243=1,MIN(MAX(0,N(V_LC_Lim)-M$249),MAX(0,N$246-N$245)),0)*N$9)</f>
        <v>0</v>
      </c>
      <c r="O247" s="34" t="n">
        <f aca="false">IF(O$8=1,0,IF(O$243=1,MIN(MAX(0,N(V_LC_Lim)-N$249),MAX(0,O$246-O$245)),0)*O$9)</f>
        <v>0</v>
      </c>
      <c r="P247" s="34" t="n">
        <f aca="false">IF(P$8=1,0,IF(P$243=1,MIN(MAX(0,N(V_LC_Lim)-O$249),MAX(0,P$246-P$245)),0)*P$9)</f>
        <v>0</v>
      </c>
      <c r="Q247" s="34" t="n">
        <f aca="false">IF(Q$8=1,0,IF(Q$243=1,MIN(MAX(0,N(V_LC_Lim)-P$249),MAX(0,Q$246-Q$245)),0)*Q$9)</f>
        <v>0</v>
      </c>
      <c r="R247" s="34" t="n">
        <f aca="false">IF(R$8=1,0,IF(R$243=1,MIN(MAX(0,N(V_LC_Lim)-Q$249),MAX(0,R$246-R$245)),0)*R$9)</f>
        <v>0</v>
      </c>
      <c r="S247" s="34" t="n">
        <f aca="false">IF(S$8=1,0,IF(S$243=1,MIN(MAX(0,N(V_LC_Lim)-R$249),MAX(0,S$246-S$245)),0)*S$9)</f>
        <v>0</v>
      </c>
      <c r="T247" s="34" t="n">
        <f aca="false">IF(T$8=1,0,IF(T$243=1,MIN(MAX(0,N(V_LC_Lim)-S$249),MAX(0,T$246-T$245)),0)*T$9)</f>
        <v>0</v>
      </c>
      <c r="U247" s="34" t="n">
        <f aca="false">IF(U$8=1,0,IF(U$243=1,MIN(MAX(0,N(V_LC_Lim)-T$249),MAX(0,U$246-U$245)),0)*U$9)</f>
        <v>0</v>
      </c>
      <c r="V247" s="34" t="n">
        <f aca="false">IF(V$8=1,0,IF(V$243=1,MIN(MAX(0,N(V_LC_Lim)-U$249),MAX(0,V$246-V$245)),0)*V$9)</f>
        <v>0</v>
      </c>
      <c r="W247" s="34" t="n">
        <f aca="false">IF(W$8=1,0,IF(W$243=1,MIN(MAX(0,N(V_LC_Lim)-V$249),MAX(0,W$246-W$245)),0)*W$9)</f>
        <v>0</v>
      </c>
      <c r="X247" s="34" t="n">
        <f aca="false">IF(X$8=1,0,IF(X$243=1,MIN(MAX(0,N(V_LC_Lim)-W$249),MAX(0,X$246-X$245)),0)*X$9)</f>
        <v>0</v>
      </c>
      <c r="Y247" s="34" t="n">
        <f aca="false">IF(Y$8=1,0,IF(Y$243=1,MIN(MAX(0,N(V_LC_Lim)-X$249),MAX(0,Y$246-Y$245)),0)*Y$9)</f>
        <v>0</v>
      </c>
      <c r="Z247" s="34" t="n">
        <f aca="false">IF(Z$8=1,0,IF(Z$243=1,MIN(MAX(0,N(V_LC_Lim)-Y$249),MAX(0,Z$246-Z$245)),0)*Z$9)</f>
        <v>0</v>
      </c>
      <c r="AA247" s="34" t="n">
        <f aca="false">IF(AA$8=1,0,IF(AA$243=1,MIN(MAX(0,N(V_LC_Lim)-Z$249),MAX(0,AA$246-AA$245)),0)*AA$9)</f>
        <v>0</v>
      </c>
      <c r="AB247" s="34" t="n">
        <f aca="false">IF(AB$8=1,0,IF(AB$243=1,MIN(MAX(0,N(V_LC_Lim)-AA$249),MAX(0,AB$246-AB$245)),0)*AB$9)</f>
        <v>0</v>
      </c>
      <c r="AC247" s="34" t="n">
        <f aca="false">IF(AC$8=1,0,IF(AC$243=1,MIN(MAX(0,N(V_LC_Lim)-AB$249),MAX(0,AC$246-AC$245)),0)*AC$9)</f>
        <v>0</v>
      </c>
      <c r="AD247" s="34" t="n">
        <f aca="false">IF(AD$8=1,0,IF(AD$243=1,MIN(MAX(0,N(V_LC_Lim)-AC$249),MAX(0,AD$246-AD$245)),0)*AD$9)</f>
        <v>0</v>
      </c>
      <c r="AE247" s="34" t="n">
        <f aca="false">IF(AE$8=1,0,IF(AE$243=1,MIN(MAX(0,N(V_LC_Lim)-AD$249),MAX(0,AE$246-AE$245)),0)*AE$9)</f>
        <v>0</v>
      </c>
      <c r="AF247" s="34" t="n">
        <f aca="false">IF(AF$8=1,0,IF(AF$243=1,MIN(MAX(0,N(V_LC_Lim)-AE$249),MAX(0,AF$246-AF$245)),0)*AF$9)</f>
        <v>0</v>
      </c>
      <c r="AG247" s="34" t="n">
        <f aca="false">IF(AG$8=1,0,IF(AG$243=1,MIN(MAX(0,N(V_LC_Lim)-AF$249),MAX(0,AG$246-AG$245)),0)*AG$9)</f>
        <v>0</v>
      </c>
      <c r="AH247" s="34" t="n">
        <f aca="false">IF(AH$8=1,0,IF(AH$243=1,MIN(MAX(0,N(V_LC_Lim)-AG$249),MAX(0,AH$246-AH$245)),0)*AH$9)</f>
        <v>0</v>
      </c>
      <c r="AI247" s="34" t="n">
        <f aca="false">IF(AI$8=1,0,IF(AI$243=1,MIN(MAX(0,N(V_LC_Lim)-AH$249),MAX(0,AI$246-AI$245)),0)*AI$9)</f>
        <v>0</v>
      </c>
      <c r="AJ247" s="34" t="n">
        <f aca="false">IF(AJ$8=1,0,IF(AJ$243=1,MIN(MAX(0,N(V_LC_Lim)-AI$249),MAX(0,AJ$246-AJ$245)),0)*AJ$9)</f>
        <v>0</v>
      </c>
      <c r="AK247" s="34" t="n">
        <f aca="false">IF(AK$8=1,0,IF(AK$243=1,MIN(MAX(0,N(V_LC_Lim)-AJ$249),MAX(0,AK$246-AK$245)),0)*AK$9)</f>
        <v>0</v>
      </c>
      <c r="AL247" s="34" t="n">
        <f aca="false">IF(AL$8=1,0,IF(AL$243=1,MIN(MAX(0,N(V_LC_Lim)-AK$249),MAX(0,AL$246-AL$245)),0)*AL$9)</f>
        <v>0</v>
      </c>
      <c r="AM247" s="34" t="n">
        <f aca="false">IF(AM$8=1,0,IF(AM$243=1,MIN(MAX(0,N(V_LC_Lim)-AL$249),MAX(0,AM$246-AM$245)),0)*AM$9)</f>
        <v>0</v>
      </c>
      <c r="AN247" s="34" t="n">
        <f aca="false">IF(AN$8=1,0,IF(AN$243=1,MIN(MAX(0,N(V_LC_Lim)-AM$249),MAX(0,AN$246-AN$245)),0)*AN$9)</f>
        <v>0</v>
      </c>
      <c r="AO247" s="34" t="n">
        <f aca="false">IF(AO$8=1,0,IF(AO$243=1,MIN(MAX(0,N(V_LC_Lim)-AN$249),MAX(0,AO$246-AO$245)),0)*AO$9)</f>
        <v>0</v>
      </c>
      <c r="AP247" s="34" t="n">
        <f aca="false">IF(AP$8=1,0,IF(AP$243=1,MIN(MAX(0,N(V_LC_Lim)-AO$249),MAX(0,AP$246-AP$245)),0)*AP$9)</f>
        <v>0</v>
      </c>
      <c r="AQ247" s="34" t="n">
        <f aca="false">IF(AQ$8=1,0,IF(AQ$243=1,MIN(MAX(0,N(V_LC_Lim)-AP$249),MAX(0,AQ$246-AQ$245)),0)*AQ$9)</f>
        <v>0</v>
      </c>
      <c r="AR247" s="34" t="n">
        <f aca="false">IF(AR$8=1,0,IF(AR$243=1,MIN(MAX(0,N(V_LC_Lim)-AQ$249),MAX(0,AR$246-AR$245)),0)*AR$9)</f>
        <v>0</v>
      </c>
      <c r="AS247" s="34" t="n">
        <f aca="false">IF(AS$8=1,0,IF(AS$243=1,MIN(MAX(0,N(V_LC_Lim)-AR$249),MAX(0,AS$246-AS$245)),0)*AS$9)</f>
        <v>0</v>
      </c>
      <c r="AT247" s="34" t="n">
        <f aca="false">IF(AT$8=1,0,IF(AT$243=1,MIN(MAX(0,N(V_LC_Lim)-AS$249),MAX(0,AT$246-AT$245)),0)*AT$9)</f>
        <v>0</v>
      </c>
      <c r="AU247" s="34" t="n">
        <f aca="false">IF(AU$8=1,0,IF(AU$243=1,MIN(MAX(0,N(V_LC_Lim)-AT$249),MAX(0,AU$246-AU$245)),0)*AU$9)</f>
        <v>0</v>
      </c>
      <c r="AV247" s="34" t="n">
        <f aca="false">IF(AV$8=1,0,IF(AV$243=1,MIN(MAX(0,N(V_LC_Lim)-AU$249),MAX(0,AV$246-AV$245)),0)*AV$9)</f>
        <v>0</v>
      </c>
      <c r="AW247" s="34" t="n">
        <f aca="false">IF(AW$8=1,0,IF(AW$243=1,MIN(MAX(0,N(V_LC_Lim)-AV$249),MAX(0,AW$246-AW$245)),0)*AW$9)</f>
        <v>0</v>
      </c>
      <c r="AX247" s="34" t="n">
        <f aca="false">IF(AX$8=1,0,IF(AX$243=1,MIN(MAX(0,N(V_LC_Lim)-AW$249),MAX(0,AX$246-AX$245)),0)*AX$9)</f>
        <v>0</v>
      </c>
      <c r="AY247" s="34" t="n">
        <f aca="false">IF(AY$8=1,0,IF(AY$243=1,MIN(MAX(0,N(V_LC_Lim)-AX$249),MAX(0,AY$246-AY$245)),0)*AY$9)</f>
        <v>0</v>
      </c>
      <c r="AZ247" s="34" t="n">
        <f aca="false">IF(AZ$8=1,0,IF(AZ$243=1,MIN(MAX(0,N(V_LC_Lim)-AY$249),MAX(0,AZ$246-AZ$245)),0)*AZ$9)</f>
        <v>0</v>
      </c>
      <c r="BA247" s="34" t="n">
        <f aca="false">IF(BA$8=1,0,IF(BA$243=1,MIN(MAX(0,N(V_LC_Lim)-AZ$249),MAX(0,BA$246-BA$245)),0)*BA$9)</f>
        <v>0</v>
      </c>
      <c r="BB247" s="34" t="n">
        <f aca="false">IF(BB$8=1,0,IF(BB$243=1,MIN(MAX(0,N(V_LC_Lim)-BA$249),MAX(0,BB$246-BB$245)),0)*BB$9)</f>
        <v>0</v>
      </c>
      <c r="BC247" s="34" t="n">
        <f aca="false">IF(BC$8=1,0,IF(BC$243=1,MIN(MAX(0,N(V_LC_Lim)-BB$249),MAX(0,BC$246-BC$245)),0)*BC$9)</f>
        <v>0</v>
      </c>
      <c r="BD247" s="34" t="n">
        <f aca="false">IF(BD$8=1,0,IF(BD$243=1,MIN(MAX(0,N(V_LC_Lim)-BC$249),MAX(0,BD$246-BD$245)),0)*BD$9)</f>
        <v>0</v>
      </c>
      <c r="BE247" s="34" t="n">
        <f aca="false">IF(BE$8=1,0,IF(BE$243=1,MIN(MAX(0,N(V_LC_Lim)-BD$249),MAX(0,BE$246-BE$245)),0)*BE$9)</f>
        <v>0</v>
      </c>
      <c r="BF247" s="34" t="n">
        <f aca="false">IF(BF$8=1,0,IF(BF$243=1,MIN(MAX(0,N(V_LC_Lim)-BE$249),MAX(0,BF$246-BF$245)),0)*BF$9)</f>
        <v>0</v>
      </c>
      <c r="BG247" s="34" t="n">
        <f aca="false">IF(BG$8=1,0,IF(BG$243=1,MIN(MAX(0,N(V_LC_Lim)-BF$249),MAX(0,BG$246-BG$245)),0)*BG$9)</f>
        <v>0</v>
      </c>
      <c r="BH247" s="34" t="n">
        <f aca="false">IF(BH$8=1,0,IF(BH$243=1,MIN(MAX(0,N(V_LC_Lim)-BG$249),MAX(0,BH$246-BH$245)),0)*BH$9)</f>
        <v>0</v>
      </c>
      <c r="BI247" s="34" t="n">
        <f aca="false">IF(BI$8=1,0,IF(BI$243=1,MIN(MAX(0,N(V_LC_Lim)-BH$249),MAX(0,BI$246-BI$245)),0)*BI$9)</f>
        <v>0</v>
      </c>
      <c r="BJ247" s="34" t="n">
        <f aca="false">IF(BJ$8=1,0,IF(BJ$243=1,MIN(MAX(0,N(V_LC_Lim)-BI$249),MAX(0,BJ$246-BJ$245)),0)*BJ$9)</f>
        <v>0</v>
      </c>
      <c r="BK247" s="34" t="n">
        <f aca="false">IF(BK$8=1,0,IF(BK$243=1,MIN(MAX(0,N(V_LC_Lim)-BJ$249),MAX(0,BK$246-BK$245)),0)*BK$9)</f>
        <v>0</v>
      </c>
      <c r="BL247" s="34" t="n">
        <f aca="false">IF(BL$8=1,0,IF(BL$243=1,MIN(MAX(0,N(V_LC_Lim)-BK$249),MAX(0,BL$246-BL$245)),0)*BL$9)</f>
        <v>0</v>
      </c>
      <c r="BM247" s="34" t="n">
        <f aca="false">IF(BM$8=1,0,IF(BM$243=1,MIN(MAX(0,N(V_LC_Lim)-BL$249),MAX(0,BM$246-BM$245)),0)*BM$9)</f>
        <v>0</v>
      </c>
      <c r="BN247" s="34" t="n">
        <f aca="false">IF(BN$8=1,0,IF(BN$243=1,MIN(MAX(0,N(V_LC_Lim)-BM$249),MAX(0,BN$246-BN$245)),0)*BN$9)</f>
        <v>0</v>
      </c>
      <c r="BO247" s="34" t="n">
        <f aca="false">IF(BO$8=1,0,IF(BO$243=1,MIN(MAX(0,N(V_LC_Lim)-BN$249),MAX(0,BO$246-BO$245)),0)*BO$9)</f>
        <v>0</v>
      </c>
      <c r="BP247" s="34" t="n">
        <f aca="false">IF(BP$8=1,0,IF(BP$243=1,MIN(MAX(0,N(V_LC_Lim)-BO$249),MAX(0,BP$246-BP$245)),0)*BP$9)</f>
        <v>0</v>
      </c>
      <c r="BQ247" s="34" t="n">
        <f aca="false">IF(BQ$8=1,0,IF(BQ$243=1,MIN(MAX(0,N(V_LC_Lim)-BP$249),MAX(0,BQ$246-BQ$245)),0)*BQ$9)</f>
        <v>0</v>
      </c>
      <c r="BR247" s="34" t="n">
        <f aca="false">IF(BR$8=1,0,IF(BR$243=1,MIN(MAX(0,N(V_LC_Lim)-BQ$249),MAX(0,BR$246-BR$245)),0)*BR$9)</f>
        <v>0</v>
      </c>
      <c r="BS247" s="34" t="n">
        <f aca="false">IF(BS$8=1,0,IF(BS$243=1,MIN(MAX(0,N(V_LC_Lim)-BR$249),MAX(0,BS$246-BS$245)),0)*BS$9)</f>
        <v>0</v>
      </c>
      <c r="BT247" s="34" t="n">
        <f aca="false">IF(BT$8=1,0,IF(BT$243=1,MIN(MAX(0,N(V_LC_Lim)-BS$249),MAX(0,BT$246-BT$245)),0)*BT$9)</f>
        <v>0</v>
      </c>
      <c r="BU247" s="34" t="n">
        <f aca="false">IF(BU$8=1,0,IF(BU$243=1,MIN(MAX(0,N(V_LC_Lim)-BT$249),MAX(0,BU$246-BU$245)),0)*BU$9)</f>
        <v>0</v>
      </c>
      <c r="BV247" s="34" t="n">
        <f aca="false">IF(BV$8=1,0,IF(BV$243=1,MIN(MAX(0,N(V_LC_Lim)-BU$249),MAX(0,BV$246-BV$245)),0)*BV$9)</f>
        <v>0</v>
      </c>
      <c r="BW247" s="34" t="n">
        <f aca="false">IF(BW$8=1,0,IF(BW$243=1,MIN(MAX(0,N(V_LC_Lim)-BV$249),MAX(0,BW$246-BW$245)),0)*BW$9)</f>
        <v>0</v>
      </c>
      <c r="BX247" s="34" t="n">
        <f aca="false">IF(BX$8=1,0,IF(BX$243=1,MIN(MAX(0,N(V_LC_Lim)-BW$249),MAX(0,BX$246-BX$245)),0)*BX$9)</f>
        <v>0</v>
      </c>
      <c r="BY247" s="34" t="n">
        <f aca="false">IF(BY$8=1,0,IF(BY$243=1,MIN(MAX(0,N(V_LC_Lim)-BX$249),MAX(0,BY$246-BY$245)),0)*BY$9)</f>
        <v>0</v>
      </c>
      <c r="BZ247" s="34" t="n">
        <f aca="false">IF(BZ$8=1,0,IF(BZ$243=1,MIN(MAX(0,N(V_LC_Lim)-BY$249),MAX(0,BZ$246-BZ$245)),0)*BZ$9)</f>
        <v>0</v>
      </c>
      <c r="CA247" s="34" t="n">
        <f aca="false">IF(CA$8=1,0,IF(CA$243=1,MIN(MAX(0,N(V_LC_Lim)-BZ$249),MAX(0,CA$246-CA$245)),0)*CA$9)</f>
        <v>0</v>
      </c>
      <c r="CB247" s="34" t="n">
        <f aca="false">IF(CB$8=1,0,IF(CB$243=1,MIN(MAX(0,N(V_LC_Lim)-CA$249),MAX(0,CB$246-CB$245)),0)*CB$9)</f>
        <v>0</v>
      </c>
      <c r="CC247" s="34" t="n">
        <f aca="false">IF(CC$8=1,0,IF(CC$243=1,MIN(MAX(0,N(V_LC_Lim)-CB$249),MAX(0,CC$246-CC$245)),0)*CC$9)</f>
        <v>0</v>
      </c>
      <c r="CD247" s="34" t="n">
        <f aca="false">IF(CD$8=1,0,IF(CD$243=1,MIN(MAX(0,N(V_LC_Lim)-CC$249),MAX(0,CD$246-CD$245)),0)*CD$9)</f>
        <v>0</v>
      </c>
      <c r="CE247" s="34" t="n">
        <f aca="false">IF(CE$8=1,0,IF(CE$243=1,MIN(MAX(0,N(V_LC_Lim)-CD$249),MAX(0,CE$246-CE$245)),0)*CE$9)</f>
        <v>0</v>
      </c>
      <c r="CF247" s="34" t="n">
        <f aca="false">IF(CF$8=1,0,IF(CF$243=1,MIN(MAX(0,N(V_LC_Lim)-CE$249),MAX(0,CF$246-CF$245)),0)*CF$9)</f>
        <v>0</v>
      </c>
      <c r="CG247" s="34" t="n">
        <f aca="false">IF(CG$8=1,0,IF(CG$243=1,MIN(MAX(0,N(V_LC_Lim)-CF$249),MAX(0,CG$246-CG$245)),0)*CG$9)</f>
        <v>0</v>
      </c>
      <c r="CH247" s="34" t="n">
        <f aca="false">IF(CH$8=1,0,IF(CH$243=1,MIN(MAX(0,N(V_LC_Lim)-CG$249),MAX(0,CH$246-CH$245)),0)*CH$9)</f>
        <v>0</v>
      </c>
      <c r="CI247" s="34" t="n">
        <f aca="false">IF(CI$8=1,0,IF(CI$243=1,MIN(MAX(0,N(V_LC_Lim)-CH$249),MAX(0,CI$246-CI$245)),0)*CI$9)</f>
        <v>0</v>
      </c>
      <c r="CJ247" s="34" t="n">
        <f aca="false">IF(CJ$8=1,0,IF(CJ$243=1,MIN(MAX(0,N(V_LC_Lim)-CI$249),MAX(0,CJ$246-CJ$245)),0)*CJ$9)</f>
        <v>0</v>
      </c>
      <c r="CK247" s="34" t="n">
        <f aca="false">IF(CK$8=1,0,IF(CK$243=1,MIN(MAX(0,N(V_LC_Lim)-CJ$249),MAX(0,CK$246-CK$245)),0)*CK$9)</f>
        <v>0</v>
      </c>
      <c r="CL247" s="34" t="n">
        <f aca="false">IF(CL$8=1,0,IF(CL$243=1,MIN(MAX(0,N(V_LC_Lim)-CK$249),MAX(0,CL$246-CL$245)),0)*CL$9)</f>
        <v>0</v>
      </c>
      <c r="CM247" s="34" t="n">
        <f aca="false">IF(CM$8=1,0,IF(CM$243=1,MIN(MAX(0,N(V_LC_Lim)-CL$249),MAX(0,CM$246-CM$245)),0)*CM$9)</f>
        <v>0</v>
      </c>
      <c r="CN247" s="34" t="n">
        <f aca="false">IF(CN$8=1,0,IF(CN$243=1,MIN(MAX(0,N(V_LC_Lim)-CM$249),MAX(0,CN$246-CN$245)),0)*CN$9)</f>
        <v>0</v>
      </c>
      <c r="CO247" s="34" t="n">
        <f aca="false">IF(CO$8=1,0,IF(CO$243=1,MIN(MAX(0,N(V_LC_Lim)-CN$249),MAX(0,CO$246-CO$245)),0)*CO$9)</f>
        <v>0</v>
      </c>
      <c r="CP247" s="34" t="n">
        <f aca="false">IF(CP$8=1,0,IF(CP$243=1,MIN(MAX(0,N(V_LC_Lim)-CO$249),MAX(0,CP$246-CP$245)),0)*CP$9)</f>
        <v>0</v>
      </c>
      <c r="CQ247" s="34" t="n">
        <f aca="false">IF(CQ$8=1,0,IF(CQ$243=1,MIN(MAX(0,N(V_LC_Lim)-CP$249),MAX(0,CQ$246-CQ$245)),0)*CQ$9)</f>
        <v>0</v>
      </c>
      <c r="CR247" s="34" t="n">
        <f aca="false">IF(CR$8=1,0,IF(CR$243=1,MIN(MAX(0,N(V_LC_Lim)-CQ$249),MAX(0,CR$246-CR$245)),0)*CR$9)</f>
        <v>0</v>
      </c>
      <c r="CS247" s="34" t="n">
        <f aca="false">IF(CS$8=1,0,IF(CS$243=1,MIN(MAX(0,N(V_LC_Lim)-CR$249),MAX(0,CS$246-CS$245)),0)*CS$9)</f>
        <v>0</v>
      </c>
      <c r="CT247" s="34" t="n">
        <f aca="false">IF(CT$8=1,0,IF(CT$243=1,MIN(MAX(0,N(V_LC_Lim)-CS$249),MAX(0,CT$246-CT$245)),0)*CT$9)</f>
        <v>0</v>
      </c>
      <c r="CU247" s="34" t="n">
        <f aca="false">IF(CU$8=1,0,IF(CU$243=1,MIN(MAX(0,N(V_LC_Lim)-CT$249),MAX(0,CU$246-CU$245)),0)*CU$9)</f>
        <v>0</v>
      </c>
      <c r="CV247" s="34" t="n">
        <f aca="false">IF(CV$8=1,0,IF(CV$243=1,MIN(MAX(0,N(V_LC_Lim)-CU$249),MAX(0,CV$246-CV$245)),0)*CV$9)</f>
        <v>0</v>
      </c>
      <c r="CW247" s="34" t="n">
        <f aca="false">IF(CW$8=1,0,IF(CW$243=1,MIN(MAX(0,N(V_LC_Lim)-CV$249),MAX(0,CW$246-CW$245)),0)*CW$9)</f>
        <v>0</v>
      </c>
      <c r="CX247" s="34" t="n">
        <f aca="false">IF(CX$8=1,0,IF(CX$243=1,MIN(MAX(0,N(V_LC_Lim)-CW$249),MAX(0,CX$246-CX$245)),0)*CX$9)</f>
        <v>0</v>
      </c>
      <c r="CY247" s="34" t="n">
        <f aca="false">IF(CY$8=1,0,IF(CY$243=1,MIN(MAX(0,N(V_LC_Lim)-CX$249),MAX(0,CY$246-CY$245)),0)*CY$9)</f>
        <v>0</v>
      </c>
      <c r="CZ247" s="34" t="n">
        <f aca="false">IF(CZ$8=1,0,IF(CZ$243=1,MIN(MAX(0,N(V_LC_Lim)-CY$249),MAX(0,CZ$246-CZ$245)),0)*CZ$9)</f>
        <v>0</v>
      </c>
      <c r="DA247" s="34" t="n">
        <f aca="false">IF(DA$8=1,0,IF(DA$243=1,MIN(MAX(0,N(V_LC_Lim)-CZ$249),MAX(0,DA$246-DA$245)),0)*DA$9)</f>
        <v>0</v>
      </c>
      <c r="DB247" s="34" t="n">
        <f aca="false">IF(DB$8=1,0,IF(DB$243=1,MIN(MAX(0,N(V_LC_Lim)-DA$249),MAX(0,DB$246-DB$245)),0)*DB$9)</f>
        <v>0</v>
      </c>
      <c r="DC247" s="34" t="n">
        <f aca="false">IF(DC$8=1,0,IF(DC$243=1,MIN(MAX(0,N(V_LC_Lim)-DB$249),MAX(0,DC$246-DC$245)),0)*DC$9)</f>
        <v>0</v>
      </c>
      <c r="DD247" s="34" t="n">
        <f aca="false">IF(DD$8=1,0,IF(DD$243=1,MIN(MAX(0,N(V_LC_Lim)-DC$249),MAX(0,DD$246-DD$245)),0)*DD$9)</f>
        <v>0</v>
      </c>
      <c r="DE247" s="34" t="n">
        <f aca="false">IF(DE$8=1,0,IF(DE$243=1,MIN(MAX(0,N(V_LC_Lim)-DD$249),MAX(0,DE$246-DE$245)),0)*DE$9)</f>
        <v>0</v>
      </c>
      <c r="DF247" s="34" t="n">
        <f aca="false">IF(DF$8=1,0,IF(DF$243=1,MIN(MAX(0,N(V_LC_Lim)-DE$249),MAX(0,DF$246-DF$245)),0)*DF$9)</f>
        <v>0</v>
      </c>
      <c r="DG247" s="34" t="n">
        <f aca="false">IF(DG$8=1,0,IF(DG$243=1,MIN(MAX(0,N(V_LC_Lim)-DF$249),MAX(0,DG$246-DG$245)),0)*DG$9)</f>
        <v>0</v>
      </c>
      <c r="DH247" s="34" t="n">
        <f aca="false">IF(DH$8=1,0,IF(DH$243=1,MIN(MAX(0,N(V_LC_Lim)-DG$249),MAX(0,DH$246-DH$245)),0)*DH$9)</f>
        <v>0</v>
      </c>
      <c r="DI247" s="34" t="n">
        <f aca="false">IF(DI$8=1,0,IF(DI$243=1,MIN(MAX(0,N(V_LC_Lim)-DH$249),MAX(0,DI$246-DI$245)),0)*DI$9)</f>
        <v>0</v>
      </c>
      <c r="DJ247" s="34" t="n">
        <f aca="false">IF(DJ$8=1,0,IF(DJ$243=1,MIN(MAX(0,N(V_LC_Lim)-DI$249),MAX(0,DJ$246-DJ$245)),0)*DJ$9)</f>
        <v>0</v>
      </c>
      <c r="DK247" s="34" t="n">
        <f aca="false">IF(DK$8=1,0,IF(DK$243=1,MIN(MAX(0,N(V_LC_Lim)-DJ$249),MAX(0,DK$246-DK$245)),0)*DK$9)</f>
        <v>0</v>
      </c>
      <c r="DL247" s="34" t="n">
        <f aca="false">IF(DL$8=1,0,IF(DL$243=1,MIN(MAX(0,N(V_LC_Lim)-DK$249),MAX(0,DL$246-DL$245)),0)*DL$9)</f>
        <v>0</v>
      </c>
      <c r="DM247" s="34" t="n">
        <f aca="false">IF(DM$8=1,0,IF(DM$243=1,MIN(MAX(0,N(V_LC_Lim)-DL$249),MAX(0,DM$246-DM$245)),0)*DM$9)</f>
        <v>0</v>
      </c>
      <c r="DN247" s="34" t="n">
        <f aca="false">IF(DN$8=1,0,IF(DN$243=1,MIN(MAX(0,N(V_LC_Lim)-DM$249),MAX(0,DN$246-DN$245)),0)*DN$9)</f>
        <v>0</v>
      </c>
      <c r="DO247" s="34" t="n">
        <f aca="false">IF(DO$8=1,0,IF(DO$243=1,MIN(MAX(0,N(V_LC_Lim)-DN$249),MAX(0,DO$246-DO$245)),0)*DO$9)</f>
        <v>0</v>
      </c>
      <c r="DP247" s="34" t="n">
        <f aca="false">IF(DP$8=1,0,IF(DP$243=1,MIN(MAX(0,N(V_LC_Lim)-DO$249),MAX(0,DP$246-DP$245)),0)*DP$9)</f>
        <v>0</v>
      </c>
      <c r="DQ247" s="34" t="n">
        <f aca="false">IF(DQ$8=1,0,IF(DQ$243=1,MIN(MAX(0,N(V_LC_Lim)-DP$249),MAX(0,DQ$246-DQ$245)),0)*DQ$9)</f>
        <v>0</v>
      </c>
      <c r="DR247" s="34" t="n">
        <f aca="false">IF(DR$8=1,0,IF(DR$243=1,MIN(MAX(0,N(V_LC_Lim)-DQ$249),MAX(0,DR$246-DR$245)),0)*DR$9)</f>
        <v>0</v>
      </c>
      <c r="DS247" s="34" t="n">
        <f aca="false">IF(DS$8=1,0,IF(DS$243=1,MIN(MAX(0,N(V_LC_Lim)-DR$249),MAX(0,DS$246-DS$245)),0)*DS$9)</f>
        <v>0</v>
      </c>
      <c r="DT247" s="34" t="n">
        <f aca="false">IF(DT$8=1,0,IF(DT$243=1,MIN(MAX(0,N(V_LC_Lim)-DS$249),MAX(0,DT$246-DT$245)),0)*DT$9)</f>
        <v>0</v>
      </c>
      <c r="DU247" s="34" t="n">
        <f aca="false">IF(DU$8=1,0,IF(DU$243=1,MIN(MAX(0,N(V_LC_Lim)-DT$249),MAX(0,DU$246-DU$245)),0)*DU$9)</f>
        <v>0</v>
      </c>
      <c r="DV247" s="34" t="n">
        <f aca="false">IF(DV$8=1,0,IF(DV$243=1,MIN(MAX(0,N(V_LC_Lim)-DU$249),MAX(0,DV$246-DV$245)),0)*DV$9)</f>
        <v>0</v>
      </c>
      <c r="DW247" s="34" t="n">
        <f aca="false">IF(DW$8=1,0,IF(DW$243=1,MIN(MAX(0,N(V_LC_Lim)-DV$249),MAX(0,DW$246-DW$245)),0)*DW$9)</f>
        <v>0</v>
      </c>
      <c r="DX247" s="34" t="n">
        <f aca="false">IF(DX$8=1,0,IF(DX$243=1,MIN(MAX(0,N(V_LC_Lim)-DW$249),MAX(0,DX$246-DX$245)),0)*DX$9)</f>
        <v>0</v>
      </c>
      <c r="DY247" s="34" t="n">
        <f aca="false">IF(DY$8=1,0,IF(DY$243=1,MIN(MAX(0,N(V_LC_Lim)-DX$249),MAX(0,DY$246-DY$245)),0)*DY$9)</f>
        <v>0</v>
      </c>
      <c r="DZ247" s="34" t="n">
        <f aca="false">IF(DZ$8=1,0,IF(DZ$243=1,MIN(MAX(0,N(V_LC_Lim)-DY$249),MAX(0,DZ$246-DZ$245)),0)*DZ$9)</f>
        <v>0</v>
      </c>
      <c r="EA247" s="34" t="n">
        <f aca="false">IF(EA$8=1,0,IF(EA$243=1,MIN(MAX(0,N(V_LC_Lim)-DZ$249),MAX(0,EA$246-EA$245)),0)*EA$9)</f>
        <v>0</v>
      </c>
      <c r="EB247" s="34" t="n">
        <f aca="false">IF(EB$8=1,0,IF(EB$243=1,MIN(MAX(0,N(V_LC_Lim)-EA$249),MAX(0,EB$246-EB$245)),0)*EB$9)</f>
        <v>0</v>
      </c>
      <c r="EC247" s="34" t="n">
        <f aca="false">IF(EC$8=1,0,IF(EC$243=1,MIN(MAX(0,N(V_LC_Lim)-EB$249),MAX(0,EC$246-EC$245)),0)*EC$9)</f>
        <v>0</v>
      </c>
      <c r="ED247" s="34" t="n">
        <f aca="false">IF(ED$8=1,0,IF(ED$243=1,MIN(MAX(0,N(V_LC_Lim)-EC$249),MAX(0,ED$246-ED$245)),0)*ED$9)</f>
        <v>0</v>
      </c>
      <c r="EE247" s="34" t="n">
        <f aca="false">IF(EE$8=1,0,IF(EE$243=1,MIN(MAX(0,N(V_LC_Lim)-ED$249),MAX(0,EE$246-EE$245)),0)*EE$9)</f>
        <v>0</v>
      </c>
      <c r="EF247" s="34" t="n">
        <f aca="false">IF(EF$8=1,0,IF(EF$243=1,MIN(MAX(0,N(V_LC_Lim)-EE$249),MAX(0,EF$246-EF$245)),0)*EF$9)</f>
        <v>0</v>
      </c>
      <c r="EG247" s="34" t="n">
        <f aca="false">IF(EG$8=1,0,IF(EG$243=1,MIN(MAX(0,N(V_LC_Lim)-EF$249),MAX(0,EG$246-EG$245)),0)*EG$9)</f>
        <v>0</v>
      </c>
      <c r="EH247" s="34" t="n">
        <f aca="false">IF(EH$8=1,0,IF(EH$243=1,MIN(MAX(0,N(V_LC_Lim)-EG$249),MAX(0,EH$246-EH$245)),0)*EH$9)</f>
        <v>0</v>
      </c>
      <c r="EI247" s="34" t="n">
        <f aca="false">IF(EI$8=1,0,IF(EI$243=1,MIN(MAX(0,N(V_LC_Lim)-EH$249),MAX(0,EI$246-EI$245)),0)*EI$9)</f>
        <v>0</v>
      </c>
      <c r="EJ247" s="34" t="n">
        <f aca="false">IF(EJ$8=1,0,IF(EJ$243=1,MIN(MAX(0,N(V_LC_Lim)-EI$249),MAX(0,EJ$246-EJ$245)),0)*EJ$9)</f>
        <v>0</v>
      </c>
      <c r="EK247" s="34" t="n">
        <f aca="false">IF(EK$8=1,0,IF(EK$243=1,MIN(MAX(0,N(V_LC_Lim)-EJ$249),MAX(0,EK$246-EK$245)),0)*EK$9)</f>
        <v>0</v>
      </c>
      <c r="EL247" s="34" t="n">
        <f aca="false">IF(EL$8=1,0,IF(EL$243=1,MIN(MAX(0,N(V_LC_Lim)-EK$249),MAX(0,EL$246-EL$245)),0)*EL$9)</f>
        <v>0</v>
      </c>
      <c r="EM247" s="34" t="n">
        <f aca="false">IF(EM$8=1,0,IF(EM$243=1,MIN(MAX(0,N(V_LC_Lim)-EL$249),MAX(0,EM$246-EM$245)),0)*EM$9)</f>
        <v>0</v>
      </c>
      <c r="EN247" s="34" t="n">
        <f aca="false">IF(EN$8=1,0,IF(EN$243=1,MIN(MAX(0,N(V_LC_Lim)-EM$249),MAX(0,EN$246-EN$245)),0)*EN$9)</f>
        <v>0</v>
      </c>
      <c r="EO247" s="34" t="n">
        <f aca="false">IF(EO$8=1,0,IF(EO$243=1,MIN(MAX(0,N(V_LC_Lim)-EN$249),MAX(0,EO$246-EO$245)),0)*EO$9)</f>
        <v>0</v>
      </c>
      <c r="EP247" s="34" t="n">
        <f aca="false">IF(EP$8=1,0,IF(EP$243=1,MIN(MAX(0,N(V_LC_Lim)-EO$249),MAX(0,EP$246-EP$245)),0)*EP$9)</f>
        <v>0</v>
      </c>
      <c r="EQ247" s="34" t="n">
        <f aca="false">IF(EQ$8=1,0,IF(EQ$243=1,MIN(MAX(0,N(V_LC_Lim)-EP$249),MAX(0,EQ$246-EQ$245)),0)*EQ$9)</f>
        <v>0</v>
      </c>
      <c r="ER247" s="34" t="n">
        <f aca="false">IF(ER$8=1,0,IF(ER$243=1,MIN(MAX(0,N(V_LC_Lim)-EQ$249),MAX(0,ER$246-ER$245)),0)*ER$9)</f>
        <v>0</v>
      </c>
      <c r="ES247" s="34" t="n">
        <f aca="false">IF(ES$8=1,0,IF(ES$243=1,MIN(MAX(0,N(V_LC_Lim)-ER$249),MAX(0,ES$246-ES$245)),0)*ES$9)</f>
        <v>0</v>
      </c>
    </row>
    <row r="248" customFormat="false" ht="15" hidden="false" customHeight="false" outlineLevel="0" collapsed="false">
      <c r="A248" s="2" t="s">
        <v>858</v>
      </c>
      <c r="B248" s="6" t="s">
        <v>718</v>
      </c>
      <c r="C248" s="6" t="s">
        <v>250</v>
      </c>
      <c r="E248" s="40" t="n">
        <f aca="false">SUM(F248:ES248)</f>
        <v>0</v>
      </c>
      <c r="F248" s="34" t="n">
        <f aca="false">IF(F$8=1,0,IF(F$243=1,MIN(0,MAX(0,F$245-F$246)),0)*F$9)</f>
        <v>0</v>
      </c>
      <c r="G248" s="34" t="n">
        <f aca="false">IF(G$8=1,0,IF(G$243=1,MIN(F$249,MAX(0,G$245-G$246)),F$249)*G$9)</f>
        <v>0</v>
      </c>
      <c r="H248" s="34" t="n">
        <f aca="false">IF(H$8=1,0,IF(H$243=1,MIN(G$249,MAX(0,H$245-H$246)),G$249)*H$9)</f>
        <v>0</v>
      </c>
      <c r="I248" s="34" t="n">
        <f aca="false">IF(I$8=1,0,IF(I$243=1,MIN(H$249,MAX(0,I$245-I$246)),H$249)*I$9)</f>
        <v>0</v>
      </c>
      <c r="J248" s="34" t="n">
        <f aca="false">IF(J$8=1,0,IF(J$243=1,MIN(I$249,MAX(0,J$245-J$246)),I$249)*J$9)</f>
        <v>0</v>
      </c>
      <c r="K248" s="34" t="n">
        <f aca="false">IF(K$8=1,0,IF(K$243=1,MIN(J$249,MAX(0,K$245-K$246)),J$249)*K$9)</f>
        <v>0</v>
      </c>
      <c r="L248" s="34" t="n">
        <f aca="false">IF(L$8=1,0,IF(L$243=1,MIN(K$249,MAX(0,L$245-L$246)),K$249)*L$9)</f>
        <v>0</v>
      </c>
      <c r="M248" s="34" t="n">
        <f aca="false">IF(M$8=1,0,IF(M$243=1,MIN(L$249,MAX(0,M$245-M$246)),L$249)*M$9)</f>
        <v>0</v>
      </c>
      <c r="N248" s="34" t="n">
        <f aca="false">IF(N$8=1,0,IF(N$243=1,MIN(M$249,MAX(0,N$245-N$246)),M$249)*N$9)</f>
        <v>0</v>
      </c>
      <c r="O248" s="34" t="n">
        <f aca="false">IF(O$8=1,0,IF(O$243=1,MIN(N$249,MAX(0,O$245-O$246)),N$249)*O$9)</f>
        <v>0</v>
      </c>
      <c r="P248" s="34" t="n">
        <f aca="false">IF(P$8=1,0,IF(P$243=1,MIN(O$249,MAX(0,P$245-P$246)),O$249)*P$9)</f>
        <v>0</v>
      </c>
      <c r="Q248" s="34" t="n">
        <f aca="false">IF(Q$8=1,0,IF(Q$243=1,MIN(P$249,MAX(0,Q$245-Q$246)),P$249)*Q$9)</f>
        <v>0</v>
      </c>
      <c r="R248" s="34" t="n">
        <f aca="false">IF(R$8=1,0,IF(R$243=1,MIN(Q$249,MAX(0,R$245-R$246)),Q$249)*R$9)</f>
        <v>0</v>
      </c>
      <c r="S248" s="34" t="n">
        <f aca="false">IF(S$8=1,0,IF(S$243=1,MIN(R$249,MAX(0,S$245-S$246)),R$249)*S$9)</f>
        <v>0</v>
      </c>
      <c r="T248" s="34" t="n">
        <f aca="false">IF(T$8=1,0,IF(T$243=1,MIN(S$249,MAX(0,T$245-T$246)),S$249)*T$9)</f>
        <v>0</v>
      </c>
      <c r="U248" s="34" t="n">
        <f aca="false">IF(U$8=1,0,IF(U$243=1,MIN(T$249,MAX(0,U$245-U$246)),T$249)*U$9)</f>
        <v>0</v>
      </c>
      <c r="V248" s="34" t="n">
        <f aca="false">IF(V$8=1,0,IF(V$243=1,MIN(U$249,MAX(0,V$245-V$246)),U$249)*V$9)</f>
        <v>0</v>
      </c>
      <c r="W248" s="34" t="n">
        <f aca="false">IF(W$8=1,0,IF(W$243=1,MIN(V$249,MAX(0,W$245-W$246)),V$249)*W$9)</f>
        <v>0</v>
      </c>
      <c r="X248" s="34" t="n">
        <f aca="false">IF(X$8=1,0,IF(X$243=1,MIN(W$249,MAX(0,X$245-X$246)),W$249)*X$9)</f>
        <v>0</v>
      </c>
      <c r="Y248" s="34" t="n">
        <f aca="false">IF(Y$8=1,0,IF(Y$243=1,MIN(X$249,MAX(0,Y$245-Y$246)),X$249)*Y$9)</f>
        <v>0</v>
      </c>
      <c r="Z248" s="34" t="n">
        <f aca="false">IF(Z$8=1,0,IF(Z$243=1,MIN(Y$249,MAX(0,Z$245-Z$246)),Y$249)*Z$9)</f>
        <v>0</v>
      </c>
      <c r="AA248" s="34" t="n">
        <f aca="false">IF(AA$8=1,0,IF(AA$243=1,MIN(Z$249,MAX(0,AA$245-AA$246)),Z$249)*AA$9)</f>
        <v>0</v>
      </c>
      <c r="AB248" s="34" t="n">
        <f aca="false">IF(AB$8=1,0,IF(AB$243=1,MIN(AA$249,MAX(0,AB$245-AB$246)),AA$249)*AB$9)</f>
        <v>0</v>
      </c>
      <c r="AC248" s="34" t="n">
        <f aca="false">IF(AC$8=1,0,IF(AC$243=1,MIN(AB$249,MAX(0,AC$245-AC$246)),AB$249)*AC$9)</f>
        <v>0</v>
      </c>
      <c r="AD248" s="34" t="n">
        <f aca="false">IF(AD$8=1,0,IF(AD$243=1,MIN(AC$249,MAX(0,AD$245-AD$246)),AC$249)*AD$9)</f>
        <v>0</v>
      </c>
      <c r="AE248" s="34" t="n">
        <f aca="false">IF(AE$8=1,0,IF(AE$243=1,MIN(AD$249,MAX(0,AE$245-AE$246)),AD$249)*AE$9)</f>
        <v>0</v>
      </c>
      <c r="AF248" s="34" t="n">
        <f aca="false">IF(AF$8=1,0,IF(AF$243=1,MIN(AE$249,MAX(0,AF$245-AF$246)),AE$249)*AF$9)</f>
        <v>0</v>
      </c>
      <c r="AG248" s="34" t="n">
        <f aca="false">IF(AG$8=1,0,IF(AG$243=1,MIN(AF$249,MAX(0,AG$245-AG$246)),AF$249)*AG$9)</f>
        <v>0</v>
      </c>
      <c r="AH248" s="34" t="n">
        <f aca="false">IF(AH$8=1,0,IF(AH$243=1,MIN(AG$249,MAX(0,AH$245-AH$246)),AG$249)*AH$9)</f>
        <v>0</v>
      </c>
      <c r="AI248" s="34" t="n">
        <f aca="false">IF(AI$8=1,0,IF(AI$243=1,MIN(AH$249,MAX(0,AI$245-AI$246)),AH$249)*AI$9)</f>
        <v>0</v>
      </c>
      <c r="AJ248" s="34" t="n">
        <f aca="false">IF(AJ$8=1,0,IF(AJ$243=1,MIN(AI$249,MAX(0,AJ$245-AJ$246)),AI$249)*AJ$9)</f>
        <v>0</v>
      </c>
      <c r="AK248" s="34" t="n">
        <f aca="false">IF(AK$8=1,0,IF(AK$243=1,MIN(AJ$249,MAX(0,AK$245-AK$246)),AJ$249)*AK$9)</f>
        <v>0</v>
      </c>
      <c r="AL248" s="34" t="n">
        <f aca="false">IF(AL$8=1,0,IF(AL$243=1,MIN(AK$249,MAX(0,AL$245-AL$246)),AK$249)*AL$9)</f>
        <v>0</v>
      </c>
      <c r="AM248" s="34" t="n">
        <f aca="false">IF(AM$8=1,0,IF(AM$243=1,MIN(AL$249,MAX(0,AM$245-AM$246)),AL$249)*AM$9)</f>
        <v>0</v>
      </c>
      <c r="AN248" s="34" t="n">
        <f aca="false">IF(AN$8=1,0,IF(AN$243=1,MIN(AM$249,MAX(0,AN$245-AN$246)),AM$249)*AN$9)</f>
        <v>0</v>
      </c>
      <c r="AO248" s="34" t="n">
        <f aca="false">IF(AO$8=1,0,IF(AO$243=1,MIN(AN$249,MAX(0,AO$245-AO$246)),AN$249)*AO$9)</f>
        <v>0</v>
      </c>
      <c r="AP248" s="34" t="n">
        <f aca="false">IF(AP$8=1,0,IF(AP$243=1,MIN(AO$249,MAX(0,AP$245-AP$246)),AO$249)*AP$9)</f>
        <v>0</v>
      </c>
      <c r="AQ248" s="34" t="n">
        <f aca="false">IF(AQ$8=1,0,IF(AQ$243=1,MIN(AP$249,MAX(0,AQ$245-AQ$246)),AP$249)*AQ$9)</f>
        <v>0</v>
      </c>
      <c r="AR248" s="34" t="n">
        <f aca="false">IF(AR$8=1,0,IF(AR$243=1,MIN(AQ$249,MAX(0,AR$245-AR$246)),AQ$249)*AR$9)</f>
        <v>0</v>
      </c>
      <c r="AS248" s="34" t="n">
        <f aca="false">IF(AS$8=1,0,IF(AS$243=1,MIN(AR$249,MAX(0,AS$245-AS$246)),AR$249)*AS$9)</f>
        <v>0</v>
      </c>
      <c r="AT248" s="34" t="n">
        <f aca="false">IF(AT$8=1,0,IF(AT$243=1,MIN(AS$249,MAX(0,AT$245-AT$246)),AS$249)*AT$9)</f>
        <v>0</v>
      </c>
      <c r="AU248" s="34" t="n">
        <f aca="false">IF(AU$8=1,0,IF(AU$243=1,MIN(AT$249,MAX(0,AU$245-AU$246)),AT$249)*AU$9)</f>
        <v>0</v>
      </c>
      <c r="AV248" s="34" t="n">
        <f aca="false">IF(AV$8=1,0,IF(AV$243=1,MIN(AU$249,MAX(0,AV$245-AV$246)),AU$249)*AV$9)</f>
        <v>0</v>
      </c>
      <c r="AW248" s="34" t="n">
        <f aca="false">IF(AW$8=1,0,IF(AW$243=1,MIN(AV$249,MAX(0,AW$245-AW$246)),AV$249)*AW$9)</f>
        <v>0</v>
      </c>
      <c r="AX248" s="34" t="n">
        <f aca="false">IF(AX$8=1,0,IF(AX$243=1,MIN(AW$249,MAX(0,AX$245-AX$246)),AW$249)*AX$9)</f>
        <v>0</v>
      </c>
      <c r="AY248" s="34" t="n">
        <f aca="false">IF(AY$8=1,0,IF(AY$243=1,MIN(AX$249,MAX(0,AY$245-AY$246)),AX$249)*AY$9)</f>
        <v>0</v>
      </c>
      <c r="AZ248" s="34" t="n">
        <f aca="false">IF(AZ$8=1,0,IF(AZ$243=1,MIN(AY$249,MAX(0,AZ$245-AZ$246)),AY$249)*AZ$9)</f>
        <v>0</v>
      </c>
      <c r="BA248" s="34" t="n">
        <f aca="false">IF(BA$8=1,0,IF(BA$243=1,MIN(AZ$249,MAX(0,BA$245-BA$246)),AZ$249)*BA$9)</f>
        <v>0</v>
      </c>
      <c r="BB248" s="34" t="n">
        <f aca="false">IF(BB$8=1,0,IF(BB$243=1,MIN(BA$249,MAX(0,BB$245-BB$246)),BA$249)*BB$9)</f>
        <v>0</v>
      </c>
      <c r="BC248" s="34" t="n">
        <f aca="false">IF(BC$8=1,0,IF(BC$243=1,MIN(BB$249,MAX(0,BC$245-BC$246)),BB$249)*BC$9)</f>
        <v>0</v>
      </c>
      <c r="BD248" s="34" t="n">
        <f aca="false">IF(BD$8=1,0,IF(BD$243=1,MIN(BC$249,MAX(0,BD$245-BD$246)),BC$249)*BD$9)</f>
        <v>0</v>
      </c>
      <c r="BE248" s="34" t="n">
        <f aca="false">IF(BE$8=1,0,IF(BE$243=1,MIN(BD$249,MAX(0,BE$245-BE$246)),BD$249)*BE$9)</f>
        <v>0</v>
      </c>
      <c r="BF248" s="34" t="n">
        <f aca="false">IF(BF$8=1,0,IF(BF$243=1,MIN(BE$249,MAX(0,BF$245-BF$246)),BE$249)*BF$9)</f>
        <v>0</v>
      </c>
      <c r="BG248" s="34" t="n">
        <f aca="false">IF(BG$8=1,0,IF(BG$243=1,MIN(BF$249,MAX(0,BG$245-BG$246)),BF$249)*BG$9)</f>
        <v>0</v>
      </c>
      <c r="BH248" s="34" t="n">
        <f aca="false">IF(BH$8=1,0,IF(BH$243=1,MIN(BG$249,MAX(0,BH$245-BH$246)),BG$249)*BH$9)</f>
        <v>0</v>
      </c>
      <c r="BI248" s="34" t="n">
        <f aca="false">IF(BI$8=1,0,IF(BI$243=1,MIN(BH$249,MAX(0,BI$245-BI$246)),BH$249)*BI$9)</f>
        <v>0</v>
      </c>
      <c r="BJ248" s="34" t="n">
        <f aca="false">IF(BJ$8=1,0,IF(BJ$243=1,MIN(BI$249,MAX(0,BJ$245-BJ$246)),BI$249)*BJ$9)</f>
        <v>0</v>
      </c>
      <c r="BK248" s="34" t="n">
        <f aca="false">IF(BK$8=1,0,IF(BK$243=1,MIN(BJ$249,MAX(0,BK$245-BK$246)),BJ$249)*BK$9)</f>
        <v>0</v>
      </c>
      <c r="BL248" s="34" t="n">
        <f aca="false">IF(BL$8=1,0,IF(BL$243=1,MIN(BK$249,MAX(0,BL$245-BL$246)),BK$249)*BL$9)</f>
        <v>0</v>
      </c>
      <c r="BM248" s="34" t="n">
        <f aca="false">IF(BM$8=1,0,IF(BM$243=1,MIN(BL$249,MAX(0,BM$245-BM$246)),BL$249)*BM$9)</f>
        <v>0</v>
      </c>
      <c r="BN248" s="34" t="n">
        <f aca="false">IF(BN$8=1,0,IF(BN$243=1,MIN(BM$249,MAX(0,BN$245-BN$246)),BM$249)*BN$9)</f>
        <v>0</v>
      </c>
      <c r="BO248" s="34" t="n">
        <f aca="false">IF(BO$8=1,0,IF(BO$243=1,MIN(BN$249,MAX(0,BO$245-BO$246)),BN$249)*BO$9)</f>
        <v>0</v>
      </c>
      <c r="BP248" s="34" t="n">
        <f aca="false">IF(BP$8=1,0,IF(BP$243=1,MIN(BO$249,MAX(0,BP$245-BP$246)),BO$249)*BP$9)</f>
        <v>0</v>
      </c>
      <c r="BQ248" s="34" t="n">
        <f aca="false">IF(BQ$8=1,0,IF(BQ$243=1,MIN(BP$249,MAX(0,BQ$245-BQ$246)),BP$249)*BQ$9)</f>
        <v>0</v>
      </c>
      <c r="BR248" s="34" t="n">
        <f aca="false">IF(BR$8=1,0,IF(BR$243=1,MIN(BQ$249,MAX(0,BR$245-BR$246)),BQ$249)*BR$9)</f>
        <v>0</v>
      </c>
      <c r="BS248" s="34" t="n">
        <f aca="false">IF(BS$8=1,0,IF(BS$243=1,MIN(BR$249,MAX(0,BS$245-BS$246)),BR$249)*BS$9)</f>
        <v>0</v>
      </c>
      <c r="BT248" s="34" t="n">
        <f aca="false">IF(BT$8=1,0,IF(BT$243=1,MIN(BS$249,MAX(0,BT$245-BT$246)),BS$249)*BT$9)</f>
        <v>0</v>
      </c>
      <c r="BU248" s="34" t="n">
        <f aca="false">IF(BU$8=1,0,IF(BU$243=1,MIN(BT$249,MAX(0,BU$245-BU$246)),BT$249)*BU$9)</f>
        <v>0</v>
      </c>
      <c r="BV248" s="34" t="n">
        <f aca="false">IF(BV$8=1,0,IF(BV$243=1,MIN(BU$249,MAX(0,BV$245-BV$246)),BU$249)*BV$9)</f>
        <v>0</v>
      </c>
      <c r="BW248" s="34" t="n">
        <f aca="false">IF(BW$8=1,0,IF(BW$243=1,MIN(BV$249,MAX(0,BW$245-BW$246)),BV$249)*BW$9)</f>
        <v>0</v>
      </c>
      <c r="BX248" s="34" t="n">
        <f aca="false">IF(BX$8=1,0,IF(BX$243=1,MIN(BW$249,MAX(0,BX$245-BX$246)),BW$249)*BX$9)</f>
        <v>0</v>
      </c>
      <c r="BY248" s="34" t="n">
        <f aca="false">IF(BY$8=1,0,IF(BY$243=1,MIN(BX$249,MAX(0,BY$245-BY$246)),BX$249)*BY$9)</f>
        <v>0</v>
      </c>
      <c r="BZ248" s="34" t="n">
        <f aca="false">IF(BZ$8=1,0,IF(BZ$243=1,MIN(BY$249,MAX(0,BZ$245-BZ$246)),BY$249)*BZ$9)</f>
        <v>0</v>
      </c>
      <c r="CA248" s="34" t="n">
        <f aca="false">IF(CA$8=1,0,IF(CA$243=1,MIN(BZ$249,MAX(0,CA$245-CA$246)),BZ$249)*CA$9)</f>
        <v>0</v>
      </c>
      <c r="CB248" s="34" t="n">
        <f aca="false">IF(CB$8=1,0,IF(CB$243=1,MIN(CA$249,MAX(0,CB$245-CB$246)),CA$249)*CB$9)</f>
        <v>0</v>
      </c>
      <c r="CC248" s="34" t="n">
        <f aca="false">IF(CC$8=1,0,IF(CC$243=1,MIN(CB$249,MAX(0,CC$245-CC$246)),CB$249)*CC$9)</f>
        <v>0</v>
      </c>
      <c r="CD248" s="34" t="n">
        <f aca="false">IF(CD$8=1,0,IF(CD$243=1,MIN(CC$249,MAX(0,CD$245-CD$246)),CC$249)*CD$9)</f>
        <v>0</v>
      </c>
      <c r="CE248" s="34" t="n">
        <f aca="false">IF(CE$8=1,0,IF(CE$243=1,MIN(CD$249,MAX(0,CE$245-CE$246)),CD$249)*CE$9)</f>
        <v>0</v>
      </c>
      <c r="CF248" s="34" t="n">
        <f aca="false">IF(CF$8=1,0,IF(CF$243=1,MIN(CE$249,MAX(0,CF$245-CF$246)),CE$249)*CF$9)</f>
        <v>0</v>
      </c>
      <c r="CG248" s="34" t="n">
        <f aca="false">IF(CG$8=1,0,IF(CG$243=1,MIN(CF$249,MAX(0,CG$245-CG$246)),CF$249)*CG$9)</f>
        <v>0</v>
      </c>
      <c r="CH248" s="34" t="n">
        <f aca="false">IF(CH$8=1,0,IF(CH$243=1,MIN(CG$249,MAX(0,CH$245-CH$246)),CG$249)*CH$9)</f>
        <v>0</v>
      </c>
      <c r="CI248" s="34" t="n">
        <f aca="false">IF(CI$8=1,0,IF(CI$243=1,MIN(CH$249,MAX(0,CI$245-CI$246)),CH$249)*CI$9)</f>
        <v>0</v>
      </c>
      <c r="CJ248" s="34" t="n">
        <f aca="false">IF(CJ$8=1,0,IF(CJ$243=1,MIN(CI$249,MAX(0,CJ$245-CJ$246)),CI$249)*CJ$9)</f>
        <v>0</v>
      </c>
      <c r="CK248" s="34" t="n">
        <f aca="false">IF(CK$8=1,0,IF(CK$243=1,MIN(CJ$249,MAX(0,CK$245-CK$246)),CJ$249)*CK$9)</f>
        <v>0</v>
      </c>
      <c r="CL248" s="34" t="n">
        <f aca="false">IF(CL$8=1,0,IF(CL$243=1,MIN(CK$249,MAX(0,CL$245-CL$246)),CK$249)*CL$9)</f>
        <v>0</v>
      </c>
      <c r="CM248" s="34" t="n">
        <f aca="false">IF(CM$8=1,0,IF(CM$243=1,MIN(CL$249,MAX(0,CM$245-CM$246)),CL$249)*CM$9)</f>
        <v>0</v>
      </c>
      <c r="CN248" s="34" t="n">
        <f aca="false">IF(CN$8=1,0,IF(CN$243=1,MIN(CM$249,MAX(0,CN$245-CN$246)),CM$249)*CN$9)</f>
        <v>0</v>
      </c>
      <c r="CO248" s="34" t="n">
        <f aca="false">IF(CO$8=1,0,IF(CO$243=1,MIN(CN$249,MAX(0,CO$245-CO$246)),CN$249)*CO$9)</f>
        <v>0</v>
      </c>
      <c r="CP248" s="34" t="n">
        <f aca="false">IF(CP$8=1,0,IF(CP$243=1,MIN(CO$249,MAX(0,CP$245-CP$246)),CO$249)*CP$9)</f>
        <v>0</v>
      </c>
      <c r="CQ248" s="34" t="n">
        <f aca="false">IF(CQ$8=1,0,IF(CQ$243=1,MIN(CP$249,MAX(0,CQ$245-CQ$246)),CP$249)*CQ$9)</f>
        <v>0</v>
      </c>
      <c r="CR248" s="34" t="n">
        <f aca="false">IF(CR$8=1,0,IF(CR$243=1,MIN(CQ$249,MAX(0,CR$245-CR$246)),CQ$249)*CR$9)</f>
        <v>0</v>
      </c>
      <c r="CS248" s="34" t="n">
        <f aca="false">IF(CS$8=1,0,IF(CS$243=1,MIN(CR$249,MAX(0,CS$245-CS$246)),CR$249)*CS$9)</f>
        <v>0</v>
      </c>
      <c r="CT248" s="34" t="n">
        <f aca="false">IF(CT$8=1,0,IF(CT$243=1,MIN(CS$249,MAX(0,CT$245-CT$246)),CS$249)*CT$9)</f>
        <v>0</v>
      </c>
      <c r="CU248" s="34" t="n">
        <f aca="false">IF(CU$8=1,0,IF(CU$243=1,MIN(CT$249,MAX(0,CU$245-CU$246)),CT$249)*CU$9)</f>
        <v>0</v>
      </c>
      <c r="CV248" s="34" t="n">
        <f aca="false">IF(CV$8=1,0,IF(CV$243=1,MIN(CU$249,MAX(0,CV$245-CV$246)),CU$249)*CV$9)</f>
        <v>0</v>
      </c>
      <c r="CW248" s="34" t="n">
        <f aca="false">IF(CW$8=1,0,IF(CW$243=1,MIN(CV$249,MAX(0,CW$245-CW$246)),CV$249)*CW$9)</f>
        <v>0</v>
      </c>
      <c r="CX248" s="34" t="n">
        <f aca="false">IF(CX$8=1,0,IF(CX$243=1,MIN(CW$249,MAX(0,CX$245-CX$246)),CW$249)*CX$9)</f>
        <v>0</v>
      </c>
      <c r="CY248" s="34" t="n">
        <f aca="false">IF(CY$8=1,0,IF(CY$243=1,MIN(CX$249,MAX(0,CY$245-CY$246)),CX$249)*CY$9)</f>
        <v>0</v>
      </c>
      <c r="CZ248" s="34" t="n">
        <f aca="false">IF(CZ$8=1,0,IF(CZ$243=1,MIN(CY$249,MAX(0,CZ$245-CZ$246)),CY$249)*CZ$9)</f>
        <v>0</v>
      </c>
      <c r="DA248" s="34" t="n">
        <f aca="false">IF(DA$8=1,0,IF(DA$243=1,MIN(CZ$249,MAX(0,DA$245-DA$246)),CZ$249)*DA$9)</f>
        <v>0</v>
      </c>
      <c r="DB248" s="34" t="n">
        <f aca="false">IF(DB$8=1,0,IF(DB$243=1,MIN(DA$249,MAX(0,DB$245-DB$246)),DA$249)*DB$9)</f>
        <v>0</v>
      </c>
      <c r="DC248" s="34" t="n">
        <f aca="false">IF(DC$8=1,0,IF(DC$243=1,MIN(DB$249,MAX(0,DC$245-DC$246)),DB$249)*DC$9)</f>
        <v>0</v>
      </c>
      <c r="DD248" s="34" t="n">
        <f aca="false">IF(DD$8=1,0,IF(DD$243=1,MIN(DC$249,MAX(0,DD$245-DD$246)),DC$249)*DD$9)</f>
        <v>0</v>
      </c>
      <c r="DE248" s="34" t="n">
        <f aca="false">IF(DE$8=1,0,IF(DE$243=1,MIN(DD$249,MAX(0,DE$245-DE$246)),DD$249)*DE$9)</f>
        <v>0</v>
      </c>
      <c r="DF248" s="34" t="n">
        <f aca="false">IF(DF$8=1,0,IF(DF$243=1,MIN(DE$249,MAX(0,DF$245-DF$246)),DE$249)*DF$9)</f>
        <v>0</v>
      </c>
      <c r="DG248" s="34" t="n">
        <f aca="false">IF(DG$8=1,0,IF(DG$243=1,MIN(DF$249,MAX(0,DG$245-DG$246)),DF$249)*DG$9)</f>
        <v>0</v>
      </c>
      <c r="DH248" s="34" t="n">
        <f aca="false">IF(DH$8=1,0,IF(DH$243=1,MIN(DG$249,MAX(0,DH$245-DH$246)),DG$249)*DH$9)</f>
        <v>0</v>
      </c>
      <c r="DI248" s="34" t="n">
        <f aca="false">IF(DI$8=1,0,IF(DI$243=1,MIN(DH$249,MAX(0,DI$245-DI$246)),DH$249)*DI$9)</f>
        <v>0</v>
      </c>
      <c r="DJ248" s="34" t="n">
        <f aca="false">IF(DJ$8=1,0,IF(DJ$243=1,MIN(DI$249,MAX(0,DJ$245-DJ$246)),DI$249)*DJ$9)</f>
        <v>0</v>
      </c>
      <c r="DK248" s="34" t="n">
        <f aca="false">IF(DK$8=1,0,IF(DK$243=1,MIN(DJ$249,MAX(0,DK$245-DK$246)),DJ$249)*DK$9)</f>
        <v>0</v>
      </c>
      <c r="DL248" s="34" t="n">
        <f aca="false">IF(DL$8=1,0,IF(DL$243=1,MIN(DK$249,MAX(0,DL$245-DL$246)),DK$249)*DL$9)</f>
        <v>0</v>
      </c>
      <c r="DM248" s="34" t="n">
        <f aca="false">IF(DM$8=1,0,IF(DM$243=1,MIN(DL$249,MAX(0,DM$245-DM$246)),DL$249)*DM$9)</f>
        <v>0</v>
      </c>
      <c r="DN248" s="34" t="n">
        <f aca="false">IF(DN$8=1,0,IF(DN$243=1,MIN(DM$249,MAX(0,DN$245-DN$246)),DM$249)*DN$9)</f>
        <v>0</v>
      </c>
      <c r="DO248" s="34" t="n">
        <f aca="false">IF(DO$8=1,0,IF(DO$243=1,MIN(DN$249,MAX(0,DO$245-DO$246)),DN$249)*DO$9)</f>
        <v>0</v>
      </c>
      <c r="DP248" s="34" t="n">
        <f aca="false">IF(DP$8=1,0,IF(DP$243=1,MIN(DO$249,MAX(0,DP$245-DP$246)),DO$249)*DP$9)</f>
        <v>0</v>
      </c>
      <c r="DQ248" s="34" t="n">
        <f aca="false">IF(DQ$8=1,0,IF(DQ$243=1,MIN(DP$249,MAX(0,DQ$245-DQ$246)),DP$249)*DQ$9)</f>
        <v>0</v>
      </c>
      <c r="DR248" s="34" t="n">
        <f aca="false">IF(DR$8=1,0,IF(DR$243=1,MIN(DQ$249,MAX(0,DR$245-DR$246)),DQ$249)*DR$9)</f>
        <v>0</v>
      </c>
      <c r="DS248" s="34" t="n">
        <f aca="false">IF(DS$8=1,0,IF(DS$243=1,MIN(DR$249,MAX(0,DS$245-DS$246)),DR$249)*DS$9)</f>
        <v>0</v>
      </c>
      <c r="DT248" s="34" t="n">
        <f aca="false">IF(DT$8=1,0,IF(DT$243=1,MIN(DS$249,MAX(0,DT$245-DT$246)),DS$249)*DT$9)</f>
        <v>0</v>
      </c>
      <c r="DU248" s="34" t="n">
        <f aca="false">IF(DU$8=1,0,IF(DU$243=1,MIN(DT$249,MAX(0,DU$245-DU$246)),DT$249)*DU$9)</f>
        <v>0</v>
      </c>
      <c r="DV248" s="34" t="n">
        <f aca="false">IF(DV$8=1,0,IF(DV$243=1,MIN(DU$249,MAX(0,DV$245-DV$246)),DU$249)*DV$9)</f>
        <v>0</v>
      </c>
      <c r="DW248" s="34" t="n">
        <f aca="false">IF(DW$8=1,0,IF(DW$243=1,MIN(DV$249,MAX(0,DW$245-DW$246)),DV$249)*DW$9)</f>
        <v>0</v>
      </c>
      <c r="DX248" s="34" t="n">
        <f aca="false">IF(DX$8=1,0,IF(DX$243=1,MIN(DW$249,MAX(0,DX$245-DX$246)),DW$249)*DX$9)</f>
        <v>0</v>
      </c>
      <c r="DY248" s="34" t="n">
        <f aca="false">IF(DY$8=1,0,IF(DY$243=1,MIN(DX$249,MAX(0,DY$245-DY$246)),DX$249)*DY$9)</f>
        <v>0</v>
      </c>
      <c r="DZ248" s="34" t="n">
        <f aca="false">IF(DZ$8=1,0,IF(DZ$243=1,MIN(DY$249,MAX(0,DZ$245-DZ$246)),DY$249)*DZ$9)</f>
        <v>0</v>
      </c>
      <c r="EA248" s="34" t="n">
        <f aca="false">IF(EA$8=1,0,IF(EA$243=1,MIN(DZ$249,MAX(0,EA$245-EA$246)),DZ$249)*EA$9)</f>
        <v>0</v>
      </c>
      <c r="EB248" s="34" t="n">
        <f aca="false">IF(EB$8=1,0,IF(EB$243=1,MIN(EA$249,MAX(0,EB$245-EB$246)),EA$249)*EB$9)</f>
        <v>0</v>
      </c>
      <c r="EC248" s="34" t="n">
        <f aca="false">IF(EC$8=1,0,IF(EC$243=1,MIN(EB$249,MAX(0,EC$245-EC$246)),EB$249)*EC$9)</f>
        <v>0</v>
      </c>
      <c r="ED248" s="34" t="n">
        <f aca="false">IF(ED$8=1,0,IF(ED$243=1,MIN(EC$249,MAX(0,ED$245-ED$246)),EC$249)*ED$9)</f>
        <v>0</v>
      </c>
      <c r="EE248" s="34" t="n">
        <f aca="false">IF(EE$8=1,0,IF(EE$243=1,MIN(ED$249,MAX(0,EE$245-EE$246)),ED$249)*EE$9)</f>
        <v>0</v>
      </c>
      <c r="EF248" s="34" t="n">
        <f aca="false">IF(EF$8=1,0,IF(EF$243=1,MIN(EE$249,MAX(0,EF$245-EF$246)),EE$249)*EF$9)</f>
        <v>0</v>
      </c>
      <c r="EG248" s="34" t="n">
        <f aca="false">IF(EG$8=1,0,IF(EG$243=1,MIN(EF$249,MAX(0,EG$245-EG$246)),EF$249)*EG$9)</f>
        <v>0</v>
      </c>
      <c r="EH248" s="34" t="n">
        <f aca="false">IF(EH$8=1,0,IF(EH$243=1,MIN(EG$249,MAX(0,EH$245-EH$246)),EG$249)*EH$9)</f>
        <v>0</v>
      </c>
      <c r="EI248" s="34" t="n">
        <f aca="false">IF(EI$8=1,0,IF(EI$243=1,MIN(EH$249,MAX(0,EI$245-EI$246)),EH$249)*EI$9)</f>
        <v>0</v>
      </c>
      <c r="EJ248" s="34" t="n">
        <f aca="false">IF(EJ$8=1,0,IF(EJ$243=1,MIN(EI$249,MAX(0,EJ$245-EJ$246)),EI$249)*EJ$9)</f>
        <v>0</v>
      </c>
      <c r="EK248" s="34" t="n">
        <f aca="false">IF(EK$8=1,0,IF(EK$243=1,MIN(EJ$249,MAX(0,EK$245-EK$246)),EJ$249)*EK$9)</f>
        <v>0</v>
      </c>
      <c r="EL248" s="34" t="n">
        <f aca="false">IF(EL$8=1,0,IF(EL$243=1,MIN(EK$249,MAX(0,EL$245-EL$246)),EK$249)*EL$9)</f>
        <v>0</v>
      </c>
      <c r="EM248" s="34" t="n">
        <f aca="false">IF(EM$8=1,0,IF(EM$243=1,MIN(EL$249,MAX(0,EM$245-EM$246)),EL$249)*EM$9)</f>
        <v>0</v>
      </c>
      <c r="EN248" s="34" t="n">
        <f aca="false">IF(EN$8=1,0,IF(EN$243=1,MIN(EM$249,MAX(0,EN$245-EN$246)),EM$249)*EN$9)</f>
        <v>0</v>
      </c>
      <c r="EO248" s="34" t="n">
        <f aca="false">IF(EO$8=1,0,IF(EO$243=1,MIN(EN$249,MAX(0,EO$245-EO$246)),EN$249)*EO$9)</f>
        <v>0</v>
      </c>
      <c r="EP248" s="34" t="n">
        <f aca="false">IF(EP$8=1,0,IF(EP$243=1,MIN(EO$249,MAX(0,EP$245-EP$246)),EO$249)*EP$9)</f>
        <v>0</v>
      </c>
      <c r="EQ248" s="34" t="n">
        <f aca="false">IF(EQ$8=1,0,IF(EQ$243=1,MIN(EP$249,MAX(0,EQ$245-EQ$246)),EP$249)*EQ$9)</f>
        <v>0</v>
      </c>
      <c r="ER248" s="34" t="n">
        <f aca="false">IF(ER$8=1,0,IF(ER$243=1,MIN(EQ$249,MAX(0,ER$245-ER$246)),EQ$249)*ER$9)</f>
        <v>0</v>
      </c>
      <c r="ES248" s="34" t="n">
        <f aca="false">IF(ES$8=1,0,IF(ES$243=1,MIN(ER$249,MAX(0,ES$245-ES$246)),ER$249)*ES$9)</f>
        <v>0</v>
      </c>
    </row>
    <row r="249" customFormat="false" ht="15" hidden="false" customHeight="false" outlineLevel="0" collapsed="false">
      <c r="A249" s="2" t="s">
        <v>859</v>
      </c>
      <c r="B249" s="6" t="s">
        <v>720</v>
      </c>
      <c r="C249" s="6" t="s">
        <v>250</v>
      </c>
      <c r="E249" s="40" t="n">
        <f aca="false">MAX(F249:ES249)</f>
        <v>0</v>
      </c>
      <c r="F249" s="34" t="n">
        <f aca="false">IF(F$8=1,IF(1=Corte,N(V_LC_Saldo0),0),0+F$247-F$248)</f>
        <v>0</v>
      </c>
      <c r="G249" s="34" t="n">
        <f aca="false">IF(G$8=1,IF(2=Corte,N(V_LC_Saldo0),0),F$249+G$247-G$248)</f>
        <v>0</v>
      </c>
      <c r="H249" s="34" t="n">
        <f aca="false">IF(H$8=1,IF(3=Corte,N(V_LC_Saldo0),0),G$249+H$247-H$248)</f>
        <v>0</v>
      </c>
      <c r="I249" s="34" t="n">
        <f aca="false">IF(I$8=1,IF(4=Corte,N(V_LC_Saldo0),0),H$249+I$247-I$248)</f>
        <v>0</v>
      </c>
      <c r="J249" s="34" t="n">
        <f aca="false">IF(J$8=1,IF(5=Corte,N(V_LC_Saldo0),0),I$249+J$247-J$248)</f>
        <v>0</v>
      </c>
      <c r="K249" s="34" t="n">
        <f aca="false">IF(K$8=1,IF(6=Corte,N(V_LC_Saldo0),0),J$249+K$247-K$248)</f>
        <v>0</v>
      </c>
      <c r="L249" s="34" t="n">
        <f aca="false">IF(L$8=1,IF(7=Corte,N(V_LC_Saldo0),0),K$249+L$247-L$248)</f>
        <v>0</v>
      </c>
      <c r="M249" s="34" t="n">
        <f aca="false">IF(M$8=1,IF(8=Corte,N(V_LC_Saldo0),0),L$249+M$247-M$248)</f>
        <v>0</v>
      </c>
      <c r="N249" s="34" t="n">
        <f aca="false">IF(N$8=1,IF(9=Corte,N(V_LC_Saldo0),0),M$249+N$247-N$248)</f>
        <v>0</v>
      </c>
      <c r="O249" s="34" t="n">
        <f aca="false">IF(O$8=1,IF(10=Corte,N(V_LC_Saldo0),0),N$249+O$247-O$248)</f>
        <v>0</v>
      </c>
      <c r="P249" s="34" t="n">
        <f aca="false">IF(P$8=1,IF(11=Corte,N(V_LC_Saldo0),0),O$249+P$247-P$248)</f>
        <v>0</v>
      </c>
      <c r="Q249" s="34" t="n">
        <f aca="false">IF(Q$8=1,IF(12=Corte,N(V_LC_Saldo0),0),P$249+Q$247-Q$248)</f>
        <v>0</v>
      </c>
      <c r="R249" s="34" t="n">
        <f aca="false">IF(R$8=1,IF(13=Corte,N(V_LC_Saldo0),0),Q$249+R$247-R$248)</f>
        <v>0</v>
      </c>
      <c r="S249" s="34" t="n">
        <f aca="false">IF(S$8=1,IF(14=Corte,N(V_LC_Saldo0),0),R$249+S$247-S$248)</f>
        <v>0</v>
      </c>
      <c r="T249" s="34" t="n">
        <f aca="false">IF(T$8=1,IF(15=Corte,N(V_LC_Saldo0),0),S$249+T$247-T$248)</f>
        <v>0</v>
      </c>
      <c r="U249" s="34" t="n">
        <f aca="false">IF(U$8=1,IF(16=Corte,N(V_LC_Saldo0),0),T$249+U$247-U$248)</f>
        <v>0</v>
      </c>
      <c r="V249" s="34" t="n">
        <f aca="false">IF(V$8=1,IF(17=Corte,N(V_LC_Saldo0),0),U$249+V$247-V$248)</f>
        <v>0</v>
      </c>
      <c r="W249" s="34" t="n">
        <f aca="false">IF(W$8=1,IF(18=Corte,N(V_LC_Saldo0),0),V$249+W$247-W$248)</f>
        <v>0</v>
      </c>
      <c r="X249" s="34" t="n">
        <f aca="false">IF(X$8=1,IF(19=Corte,N(V_LC_Saldo0),0),W$249+X$247-X$248)</f>
        <v>0</v>
      </c>
      <c r="Y249" s="34" t="n">
        <f aca="false">IF(Y$8=1,IF(20=Corte,N(V_LC_Saldo0),0),X$249+Y$247-Y$248)</f>
        <v>0</v>
      </c>
      <c r="Z249" s="34" t="n">
        <f aca="false">IF(Z$8=1,IF(21=Corte,N(V_LC_Saldo0),0),Y$249+Z$247-Z$248)</f>
        <v>0</v>
      </c>
      <c r="AA249" s="34" t="n">
        <f aca="false">IF(AA$8=1,IF(22=Corte,N(V_LC_Saldo0),0),Z$249+AA$247-AA$248)</f>
        <v>0</v>
      </c>
      <c r="AB249" s="34" t="n">
        <f aca="false">IF(AB$8=1,IF(23=Corte,N(V_LC_Saldo0),0),AA$249+AB$247-AB$248)</f>
        <v>0</v>
      </c>
      <c r="AC249" s="34" t="n">
        <f aca="false">IF(AC$8=1,IF(24=Corte,N(V_LC_Saldo0),0),AB$249+AC$247-AC$248)</f>
        <v>0</v>
      </c>
      <c r="AD249" s="34" t="n">
        <f aca="false">IF(AD$8=1,IF(25=Corte,N(V_LC_Saldo0),0),AC$249+AD$247-AD$248)</f>
        <v>0</v>
      </c>
      <c r="AE249" s="34" t="n">
        <f aca="false">IF(AE$8=1,IF(26=Corte,N(V_LC_Saldo0),0),AD$249+AE$247-AE$248)</f>
        <v>0</v>
      </c>
      <c r="AF249" s="34" t="n">
        <f aca="false">IF(AF$8=1,IF(27=Corte,N(V_LC_Saldo0),0),AE$249+AF$247-AF$248)</f>
        <v>0</v>
      </c>
      <c r="AG249" s="34" t="n">
        <f aca="false">IF(AG$8=1,IF(28=Corte,N(V_LC_Saldo0),0),AF$249+AG$247-AG$248)</f>
        <v>0</v>
      </c>
      <c r="AH249" s="34" t="n">
        <f aca="false">IF(AH$8=1,IF(29=Corte,N(V_LC_Saldo0),0),AG$249+AH$247-AH$248)</f>
        <v>0</v>
      </c>
      <c r="AI249" s="34" t="n">
        <f aca="false">IF(AI$8=1,IF(30=Corte,N(V_LC_Saldo0),0),AH$249+AI$247-AI$248)</f>
        <v>0</v>
      </c>
      <c r="AJ249" s="34" t="n">
        <f aca="false">IF(AJ$8=1,IF(31=Corte,N(V_LC_Saldo0),0),AI$249+AJ$247-AJ$248)</f>
        <v>0</v>
      </c>
      <c r="AK249" s="34" t="n">
        <f aca="false">IF(AK$8=1,IF(32=Corte,N(V_LC_Saldo0),0),AJ$249+AK$247-AK$248)</f>
        <v>0</v>
      </c>
      <c r="AL249" s="34" t="n">
        <f aca="false">IF(AL$8=1,IF(33=Corte,N(V_LC_Saldo0),0),AK$249+AL$247-AL$248)</f>
        <v>0</v>
      </c>
      <c r="AM249" s="34" t="n">
        <f aca="false">IF(AM$8=1,IF(34=Corte,N(V_LC_Saldo0),0),AL$249+AM$247-AM$248)</f>
        <v>0</v>
      </c>
      <c r="AN249" s="34" t="n">
        <f aca="false">IF(AN$8=1,IF(35=Corte,N(V_LC_Saldo0),0),AM$249+AN$247-AN$248)</f>
        <v>0</v>
      </c>
      <c r="AO249" s="34" t="n">
        <f aca="false">IF(AO$8=1,IF(36=Corte,N(V_LC_Saldo0),0),AN$249+AO$247-AO$248)</f>
        <v>0</v>
      </c>
      <c r="AP249" s="34" t="n">
        <f aca="false">IF(AP$8=1,IF(37=Corte,N(V_LC_Saldo0),0),AO$249+AP$247-AP$248)</f>
        <v>0</v>
      </c>
      <c r="AQ249" s="34" t="n">
        <f aca="false">IF(AQ$8=1,IF(38=Corte,N(V_LC_Saldo0),0),AP$249+AQ$247-AQ$248)</f>
        <v>0</v>
      </c>
      <c r="AR249" s="34" t="n">
        <f aca="false">IF(AR$8=1,IF(39=Corte,N(V_LC_Saldo0),0),AQ$249+AR$247-AR$248)</f>
        <v>0</v>
      </c>
      <c r="AS249" s="34" t="n">
        <f aca="false">IF(AS$8=1,IF(40=Corte,N(V_LC_Saldo0),0),AR$249+AS$247-AS$248)</f>
        <v>0</v>
      </c>
      <c r="AT249" s="34" t="n">
        <f aca="false">IF(AT$8=1,IF(41=Corte,N(V_LC_Saldo0),0),AS$249+AT$247-AT$248)</f>
        <v>0</v>
      </c>
      <c r="AU249" s="34" t="n">
        <f aca="false">IF(AU$8=1,IF(42=Corte,N(V_LC_Saldo0),0),AT$249+AU$247-AU$248)</f>
        <v>0</v>
      </c>
      <c r="AV249" s="34" t="n">
        <f aca="false">IF(AV$8=1,IF(43=Corte,N(V_LC_Saldo0),0),AU$249+AV$247-AV$248)</f>
        <v>0</v>
      </c>
      <c r="AW249" s="34" t="n">
        <f aca="false">IF(AW$8=1,IF(44=Corte,N(V_LC_Saldo0),0),AV$249+AW$247-AW$248)</f>
        <v>0</v>
      </c>
      <c r="AX249" s="34" t="n">
        <f aca="false">IF(AX$8=1,IF(45=Corte,N(V_LC_Saldo0),0),AW$249+AX$247-AX$248)</f>
        <v>0</v>
      </c>
      <c r="AY249" s="34" t="n">
        <f aca="false">IF(AY$8=1,IF(46=Corte,N(V_LC_Saldo0),0),AX$249+AY$247-AY$248)</f>
        <v>0</v>
      </c>
      <c r="AZ249" s="34" t="n">
        <f aca="false">IF(AZ$8=1,IF(47=Corte,N(V_LC_Saldo0),0),AY$249+AZ$247-AZ$248)</f>
        <v>0</v>
      </c>
      <c r="BA249" s="34" t="n">
        <f aca="false">IF(BA$8=1,IF(48=Corte,N(V_LC_Saldo0),0),AZ$249+BA$247-BA$248)</f>
        <v>0</v>
      </c>
      <c r="BB249" s="34" t="n">
        <f aca="false">IF(BB$8=1,IF(49=Corte,N(V_LC_Saldo0),0),BA$249+BB$247-BB$248)</f>
        <v>0</v>
      </c>
      <c r="BC249" s="34" t="n">
        <f aca="false">IF(BC$8=1,IF(50=Corte,N(V_LC_Saldo0),0),BB$249+BC$247-BC$248)</f>
        <v>0</v>
      </c>
      <c r="BD249" s="34" t="n">
        <f aca="false">IF(BD$8=1,IF(51=Corte,N(V_LC_Saldo0),0),BC$249+BD$247-BD$248)</f>
        <v>0</v>
      </c>
      <c r="BE249" s="34" t="n">
        <f aca="false">IF(BE$8=1,IF(52=Corte,N(V_LC_Saldo0),0),BD$249+BE$247-BE$248)</f>
        <v>0</v>
      </c>
      <c r="BF249" s="34" t="n">
        <f aca="false">IF(BF$8=1,IF(53=Corte,N(V_LC_Saldo0),0),BE$249+BF$247-BF$248)</f>
        <v>0</v>
      </c>
      <c r="BG249" s="34" t="n">
        <f aca="false">IF(BG$8=1,IF(54=Corte,N(V_LC_Saldo0),0),BF$249+BG$247-BG$248)</f>
        <v>0</v>
      </c>
      <c r="BH249" s="34" t="n">
        <f aca="false">IF(BH$8=1,IF(55=Corte,N(V_LC_Saldo0),0),BG$249+BH$247-BH$248)</f>
        <v>0</v>
      </c>
      <c r="BI249" s="34" t="n">
        <f aca="false">IF(BI$8=1,IF(56=Corte,N(V_LC_Saldo0),0),BH$249+BI$247-BI$248)</f>
        <v>0</v>
      </c>
      <c r="BJ249" s="34" t="n">
        <f aca="false">IF(BJ$8=1,IF(57=Corte,N(V_LC_Saldo0),0),BI$249+BJ$247-BJ$248)</f>
        <v>0</v>
      </c>
      <c r="BK249" s="34" t="n">
        <f aca="false">IF(BK$8=1,IF(58=Corte,N(V_LC_Saldo0),0),BJ$249+BK$247-BK$248)</f>
        <v>0</v>
      </c>
      <c r="BL249" s="34" t="n">
        <f aca="false">IF(BL$8=1,IF(59=Corte,N(V_LC_Saldo0),0),BK$249+BL$247-BL$248)</f>
        <v>0</v>
      </c>
      <c r="BM249" s="34" t="n">
        <f aca="false">IF(BM$8=1,IF(60=Corte,N(V_LC_Saldo0),0),BL$249+BM$247-BM$248)</f>
        <v>0</v>
      </c>
      <c r="BN249" s="34" t="n">
        <f aca="false">IF(BN$8=1,IF(61=Corte,N(V_LC_Saldo0),0),BM$249+BN$247-BN$248)</f>
        <v>0</v>
      </c>
      <c r="BO249" s="34" t="n">
        <f aca="false">IF(BO$8=1,IF(62=Corte,N(V_LC_Saldo0),0),BN$249+BO$247-BO$248)</f>
        <v>0</v>
      </c>
      <c r="BP249" s="34" t="n">
        <f aca="false">IF(BP$8=1,IF(63=Corte,N(V_LC_Saldo0),0),BO$249+BP$247-BP$248)</f>
        <v>0</v>
      </c>
      <c r="BQ249" s="34" t="n">
        <f aca="false">IF(BQ$8=1,IF(64=Corte,N(V_LC_Saldo0),0),BP$249+BQ$247-BQ$248)</f>
        <v>0</v>
      </c>
      <c r="BR249" s="34" t="n">
        <f aca="false">IF(BR$8=1,IF(65=Corte,N(V_LC_Saldo0),0),BQ$249+BR$247-BR$248)</f>
        <v>0</v>
      </c>
      <c r="BS249" s="34" t="n">
        <f aca="false">IF(BS$8=1,IF(66=Corte,N(V_LC_Saldo0),0),BR$249+BS$247-BS$248)</f>
        <v>0</v>
      </c>
      <c r="BT249" s="34" t="n">
        <f aca="false">IF(BT$8=1,IF(67=Corte,N(V_LC_Saldo0),0),BS$249+BT$247-BT$248)</f>
        <v>0</v>
      </c>
      <c r="BU249" s="34" t="n">
        <f aca="false">IF(BU$8=1,IF(68=Corte,N(V_LC_Saldo0),0),BT$249+BU$247-BU$248)</f>
        <v>0</v>
      </c>
      <c r="BV249" s="34" t="n">
        <f aca="false">IF(BV$8=1,IF(69=Corte,N(V_LC_Saldo0),0),BU$249+BV$247-BV$248)</f>
        <v>0</v>
      </c>
      <c r="BW249" s="34" t="n">
        <f aca="false">IF(BW$8=1,IF(70=Corte,N(V_LC_Saldo0),0),BV$249+BW$247-BW$248)</f>
        <v>0</v>
      </c>
      <c r="BX249" s="34" t="n">
        <f aca="false">IF(BX$8=1,IF(71=Corte,N(V_LC_Saldo0),0),BW$249+BX$247-BX$248)</f>
        <v>0</v>
      </c>
      <c r="BY249" s="34" t="n">
        <f aca="false">IF(BY$8=1,IF(72=Corte,N(V_LC_Saldo0),0),BX$249+BY$247-BY$248)</f>
        <v>0</v>
      </c>
      <c r="BZ249" s="34" t="n">
        <f aca="false">IF(BZ$8=1,IF(73=Corte,N(V_LC_Saldo0),0),BY$249+BZ$247-BZ$248)</f>
        <v>0</v>
      </c>
      <c r="CA249" s="34" t="n">
        <f aca="false">IF(CA$8=1,IF(74=Corte,N(V_LC_Saldo0),0),BZ$249+CA$247-CA$248)</f>
        <v>0</v>
      </c>
      <c r="CB249" s="34" t="n">
        <f aca="false">IF(CB$8=1,IF(75=Corte,N(V_LC_Saldo0),0),CA$249+CB$247-CB$248)</f>
        <v>0</v>
      </c>
      <c r="CC249" s="34" t="n">
        <f aca="false">IF(CC$8=1,IF(76=Corte,N(V_LC_Saldo0),0),CB$249+CC$247-CC$248)</f>
        <v>0</v>
      </c>
      <c r="CD249" s="34" t="n">
        <f aca="false">IF(CD$8=1,IF(77=Corte,N(V_LC_Saldo0),0),CC$249+CD$247-CD$248)</f>
        <v>0</v>
      </c>
      <c r="CE249" s="34" t="n">
        <f aca="false">IF(CE$8=1,IF(78=Corte,N(V_LC_Saldo0),0),CD$249+CE$247-CE$248)</f>
        <v>0</v>
      </c>
      <c r="CF249" s="34" t="n">
        <f aca="false">IF(CF$8=1,IF(79=Corte,N(V_LC_Saldo0),0),CE$249+CF$247-CF$248)</f>
        <v>0</v>
      </c>
      <c r="CG249" s="34" t="n">
        <f aca="false">IF(CG$8=1,IF(80=Corte,N(V_LC_Saldo0),0),CF$249+CG$247-CG$248)</f>
        <v>0</v>
      </c>
      <c r="CH249" s="34" t="n">
        <f aca="false">IF(CH$8=1,IF(81=Corte,N(V_LC_Saldo0),0),CG$249+CH$247-CH$248)</f>
        <v>0</v>
      </c>
      <c r="CI249" s="34" t="n">
        <f aca="false">IF(CI$8=1,IF(82=Corte,N(V_LC_Saldo0),0),CH$249+CI$247-CI$248)</f>
        <v>0</v>
      </c>
      <c r="CJ249" s="34" t="n">
        <f aca="false">IF(CJ$8=1,IF(83=Corte,N(V_LC_Saldo0),0),CI$249+CJ$247-CJ$248)</f>
        <v>0</v>
      </c>
      <c r="CK249" s="34" t="n">
        <f aca="false">IF(CK$8=1,IF(84=Corte,N(V_LC_Saldo0),0),CJ$249+CK$247-CK$248)</f>
        <v>0</v>
      </c>
      <c r="CL249" s="34" t="n">
        <f aca="false">IF(CL$8=1,IF(85=Corte,N(V_LC_Saldo0),0),CK$249+CL$247-CL$248)</f>
        <v>0</v>
      </c>
      <c r="CM249" s="34" t="n">
        <f aca="false">IF(CM$8=1,IF(86=Corte,N(V_LC_Saldo0),0),CL$249+CM$247-CM$248)</f>
        <v>0</v>
      </c>
      <c r="CN249" s="34" t="n">
        <f aca="false">IF(CN$8=1,IF(87=Corte,N(V_LC_Saldo0),0),CM$249+CN$247-CN$248)</f>
        <v>0</v>
      </c>
      <c r="CO249" s="34" t="n">
        <f aca="false">IF(CO$8=1,IF(88=Corte,N(V_LC_Saldo0),0),CN$249+CO$247-CO$248)</f>
        <v>0</v>
      </c>
      <c r="CP249" s="34" t="n">
        <f aca="false">IF(CP$8=1,IF(89=Corte,N(V_LC_Saldo0),0),CO$249+CP$247-CP$248)</f>
        <v>0</v>
      </c>
      <c r="CQ249" s="34" t="n">
        <f aca="false">IF(CQ$8=1,IF(90=Corte,N(V_LC_Saldo0),0),CP$249+CQ$247-CQ$248)</f>
        <v>0</v>
      </c>
      <c r="CR249" s="34" t="n">
        <f aca="false">IF(CR$8=1,IF(91=Corte,N(V_LC_Saldo0),0),CQ$249+CR$247-CR$248)</f>
        <v>0</v>
      </c>
      <c r="CS249" s="34" t="n">
        <f aca="false">IF(CS$8=1,IF(92=Corte,N(V_LC_Saldo0),0),CR$249+CS$247-CS$248)</f>
        <v>0</v>
      </c>
      <c r="CT249" s="34" t="n">
        <f aca="false">IF(CT$8=1,IF(93=Corte,N(V_LC_Saldo0),0),CS$249+CT$247-CT$248)</f>
        <v>0</v>
      </c>
      <c r="CU249" s="34" t="n">
        <f aca="false">IF(CU$8=1,IF(94=Corte,N(V_LC_Saldo0),0),CT$249+CU$247-CU$248)</f>
        <v>0</v>
      </c>
      <c r="CV249" s="34" t="n">
        <f aca="false">IF(CV$8=1,IF(95=Corte,N(V_LC_Saldo0),0),CU$249+CV$247-CV$248)</f>
        <v>0</v>
      </c>
      <c r="CW249" s="34" t="n">
        <f aca="false">IF(CW$8=1,IF(96=Corte,N(V_LC_Saldo0),0),CV$249+CW$247-CW$248)</f>
        <v>0</v>
      </c>
      <c r="CX249" s="34" t="n">
        <f aca="false">IF(CX$8=1,IF(97=Corte,N(V_LC_Saldo0),0),CW$249+CX$247-CX$248)</f>
        <v>0</v>
      </c>
      <c r="CY249" s="34" t="n">
        <f aca="false">IF(CY$8=1,IF(98=Corte,N(V_LC_Saldo0),0),CX$249+CY$247-CY$248)</f>
        <v>0</v>
      </c>
      <c r="CZ249" s="34" t="n">
        <f aca="false">IF(CZ$8=1,IF(99=Corte,N(V_LC_Saldo0),0),CY$249+CZ$247-CZ$248)</f>
        <v>0</v>
      </c>
      <c r="DA249" s="34" t="n">
        <f aca="false">IF(DA$8=1,IF(100=Corte,N(V_LC_Saldo0),0),CZ$249+DA$247-DA$248)</f>
        <v>0</v>
      </c>
      <c r="DB249" s="34" t="n">
        <f aca="false">IF(DB$8=1,IF(101=Corte,N(V_LC_Saldo0),0),DA$249+DB$247-DB$248)</f>
        <v>0</v>
      </c>
      <c r="DC249" s="34" t="n">
        <f aca="false">IF(DC$8=1,IF(102=Corte,N(V_LC_Saldo0),0),DB$249+DC$247-DC$248)</f>
        <v>0</v>
      </c>
      <c r="DD249" s="34" t="n">
        <f aca="false">IF(DD$8=1,IF(103=Corte,N(V_LC_Saldo0),0),DC$249+DD$247-DD$248)</f>
        <v>0</v>
      </c>
      <c r="DE249" s="34" t="n">
        <f aca="false">IF(DE$8=1,IF(104=Corte,N(V_LC_Saldo0),0),DD$249+DE$247-DE$248)</f>
        <v>0</v>
      </c>
      <c r="DF249" s="34" t="n">
        <f aca="false">IF(DF$8=1,IF(105=Corte,N(V_LC_Saldo0),0),DE$249+DF$247-DF$248)</f>
        <v>0</v>
      </c>
      <c r="DG249" s="34" t="n">
        <f aca="false">IF(DG$8=1,IF(106=Corte,N(V_LC_Saldo0),0),DF$249+DG$247-DG$248)</f>
        <v>0</v>
      </c>
      <c r="DH249" s="34" t="n">
        <f aca="false">IF(DH$8=1,IF(107=Corte,N(V_LC_Saldo0),0),DG$249+DH$247-DH$248)</f>
        <v>0</v>
      </c>
      <c r="DI249" s="34" t="n">
        <f aca="false">IF(DI$8=1,IF(108=Corte,N(V_LC_Saldo0),0),DH$249+DI$247-DI$248)</f>
        <v>0</v>
      </c>
      <c r="DJ249" s="34" t="n">
        <f aca="false">IF(DJ$8=1,IF(109=Corte,N(V_LC_Saldo0),0),DI$249+DJ$247-DJ$248)</f>
        <v>0</v>
      </c>
      <c r="DK249" s="34" t="n">
        <f aca="false">IF(DK$8=1,IF(110=Corte,N(V_LC_Saldo0),0),DJ$249+DK$247-DK$248)</f>
        <v>0</v>
      </c>
      <c r="DL249" s="34" t="n">
        <f aca="false">IF(DL$8=1,IF(111=Corte,N(V_LC_Saldo0),0),DK$249+DL$247-DL$248)</f>
        <v>0</v>
      </c>
      <c r="DM249" s="34" t="n">
        <f aca="false">IF(DM$8=1,IF(112=Corte,N(V_LC_Saldo0),0),DL$249+DM$247-DM$248)</f>
        <v>0</v>
      </c>
      <c r="DN249" s="34" t="n">
        <f aca="false">IF(DN$8=1,IF(113=Corte,N(V_LC_Saldo0),0),DM$249+DN$247-DN$248)</f>
        <v>0</v>
      </c>
      <c r="DO249" s="34" t="n">
        <f aca="false">IF(DO$8=1,IF(114=Corte,N(V_LC_Saldo0),0),DN$249+DO$247-DO$248)</f>
        <v>0</v>
      </c>
      <c r="DP249" s="34" t="n">
        <f aca="false">IF(DP$8=1,IF(115=Corte,N(V_LC_Saldo0),0),DO$249+DP$247-DP$248)</f>
        <v>0</v>
      </c>
      <c r="DQ249" s="34" t="n">
        <f aca="false">IF(DQ$8=1,IF(116=Corte,N(V_LC_Saldo0),0),DP$249+DQ$247-DQ$248)</f>
        <v>0</v>
      </c>
      <c r="DR249" s="34" t="n">
        <f aca="false">IF(DR$8=1,IF(117=Corte,N(V_LC_Saldo0),0),DQ$249+DR$247-DR$248)</f>
        <v>0</v>
      </c>
      <c r="DS249" s="34" t="n">
        <f aca="false">IF(DS$8=1,IF(118=Corte,N(V_LC_Saldo0),0),DR$249+DS$247-DS$248)</f>
        <v>0</v>
      </c>
      <c r="DT249" s="34" t="n">
        <f aca="false">IF(DT$8=1,IF(119=Corte,N(V_LC_Saldo0),0),DS$249+DT$247-DT$248)</f>
        <v>0</v>
      </c>
      <c r="DU249" s="34" t="n">
        <f aca="false">IF(DU$8=1,IF(120=Corte,N(V_LC_Saldo0),0),DT$249+DU$247-DU$248)</f>
        <v>0</v>
      </c>
      <c r="DV249" s="34" t="n">
        <f aca="false">IF(DV$8=1,IF(121=Corte,N(V_LC_Saldo0),0),DU$249+DV$247-DV$248)</f>
        <v>0</v>
      </c>
      <c r="DW249" s="34" t="n">
        <f aca="false">IF(DW$8=1,IF(122=Corte,N(V_LC_Saldo0),0),DV$249+DW$247-DW$248)</f>
        <v>0</v>
      </c>
      <c r="DX249" s="34" t="n">
        <f aca="false">IF(DX$8=1,IF(123=Corte,N(V_LC_Saldo0),0),DW$249+DX$247-DX$248)</f>
        <v>0</v>
      </c>
      <c r="DY249" s="34" t="n">
        <f aca="false">IF(DY$8=1,IF(124=Corte,N(V_LC_Saldo0),0),DX$249+DY$247-DY$248)</f>
        <v>0</v>
      </c>
      <c r="DZ249" s="34" t="n">
        <f aca="false">IF(DZ$8=1,IF(125=Corte,N(V_LC_Saldo0),0),DY$249+DZ$247-DZ$248)</f>
        <v>0</v>
      </c>
      <c r="EA249" s="34" t="n">
        <f aca="false">IF(EA$8=1,IF(126=Corte,N(V_LC_Saldo0),0),DZ$249+EA$247-EA$248)</f>
        <v>0</v>
      </c>
      <c r="EB249" s="34" t="n">
        <f aca="false">IF(EB$8=1,IF(127=Corte,N(V_LC_Saldo0),0),EA$249+EB$247-EB$248)</f>
        <v>0</v>
      </c>
      <c r="EC249" s="34" t="n">
        <f aca="false">IF(EC$8=1,IF(128=Corte,N(V_LC_Saldo0),0),EB$249+EC$247-EC$248)</f>
        <v>0</v>
      </c>
      <c r="ED249" s="34" t="n">
        <f aca="false">IF(ED$8=1,IF(129=Corte,N(V_LC_Saldo0),0),EC$249+ED$247-ED$248)</f>
        <v>0</v>
      </c>
      <c r="EE249" s="34" t="n">
        <f aca="false">IF(EE$8=1,IF(130=Corte,N(V_LC_Saldo0),0),ED$249+EE$247-EE$248)</f>
        <v>0</v>
      </c>
      <c r="EF249" s="34" t="n">
        <f aca="false">IF(EF$8=1,IF(131=Corte,N(V_LC_Saldo0),0),EE$249+EF$247-EF$248)</f>
        <v>0</v>
      </c>
      <c r="EG249" s="34" t="n">
        <f aca="false">IF(EG$8=1,IF(132=Corte,N(V_LC_Saldo0),0),EF$249+EG$247-EG$248)</f>
        <v>0</v>
      </c>
      <c r="EH249" s="34" t="n">
        <f aca="false">IF(EH$8=1,IF(133=Corte,N(V_LC_Saldo0),0),EG$249+EH$247-EH$248)</f>
        <v>0</v>
      </c>
      <c r="EI249" s="34" t="n">
        <f aca="false">IF(EI$8=1,IF(134=Corte,N(V_LC_Saldo0),0),EH$249+EI$247-EI$248)</f>
        <v>0</v>
      </c>
      <c r="EJ249" s="34" t="n">
        <f aca="false">IF(EJ$8=1,IF(135=Corte,N(V_LC_Saldo0),0),EI$249+EJ$247-EJ$248)</f>
        <v>0</v>
      </c>
      <c r="EK249" s="34" t="n">
        <f aca="false">IF(EK$8=1,IF(136=Corte,N(V_LC_Saldo0),0),EJ$249+EK$247-EK$248)</f>
        <v>0</v>
      </c>
      <c r="EL249" s="34" t="n">
        <f aca="false">IF(EL$8=1,IF(137=Corte,N(V_LC_Saldo0),0),EK$249+EL$247-EL$248)</f>
        <v>0</v>
      </c>
      <c r="EM249" s="34" t="n">
        <f aca="false">IF(EM$8=1,IF(138=Corte,N(V_LC_Saldo0),0),EL$249+EM$247-EM$248)</f>
        <v>0</v>
      </c>
      <c r="EN249" s="34" t="n">
        <f aca="false">IF(EN$8=1,IF(139=Corte,N(V_LC_Saldo0),0),EM$249+EN$247-EN$248)</f>
        <v>0</v>
      </c>
      <c r="EO249" s="34" t="n">
        <f aca="false">IF(EO$8=1,IF(140=Corte,N(V_LC_Saldo0),0),EN$249+EO$247-EO$248)</f>
        <v>0</v>
      </c>
      <c r="EP249" s="34" t="n">
        <f aca="false">IF(EP$8=1,IF(141=Corte,N(V_LC_Saldo0),0),EO$249+EP$247-EP$248)</f>
        <v>0</v>
      </c>
      <c r="EQ249" s="34" t="n">
        <f aca="false">IF(EQ$8=1,IF(142=Corte,N(V_LC_Saldo0),0),EP$249+EQ$247-EQ$248)</f>
        <v>0</v>
      </c>
      <c r="ER249" s="34" t="n">
        <f aca="false">IF(ER$8=1,IF(143=Corte,N(V_LC_Saldo0),0),EQ$249+ER$247-ER$248)</f>
        <v>0</v>
      </c>
      <c r="ES249" s="34" t="n">
        <f aca="false">IF(ES$8=1,IF(144=Corte,N(V_LC_Saldo0),0),ER$249+ES$247-ES$248)</f>
        <v>0</v>
      </c>
    </row>
    <row r="250" customFormat="false" ht="15" hidden="false" customHeight="false" outlineLevel="0" collapsed="false">
      <c r="A250" s="2" t="s">
        <v>860</v>
      </c>
      <c r="B250" s="6" t="s">
        <v>722</v>
      </c>
      <c r="C250" s="6" t="s">
        <v>250</v>
      </c>
      <c r="E250" s="40" t="n">
        <f aca="false">SUM(F250:ES250)</f>
        <v>2791587</v>
      </c>
      <c r="F250" s="34" t="n">
        <f aca="false">F$240+F$247</f>
        <v>2791587</v>
      </c>
      <c r="G250" s="34" t="n">
        <f aca="false">G$240+G$247</f>
        <v>0</v>
      </c>
      <c r="H250" s="34" t="n">
        <f aca="false">H$240+H$247</f>
        <v>0</v>
      </c>
      <c r="I250" s="34" t="n">
        <f aca="false">I$240+I$247</f>
        <v>0</v>
      </c>
      <c r="J250" s="34" t="n">
        <f aca="false">J$240+J$247</f>
        <v>0</v>
      </c>
      <c r="K250" s="34" t="n">
        <f aca="false">K$240+K$247</f>
        <v>0</v>
      </c>
      <c r="L250" s="34" t="n">
        <f aca="false">L$240+L$247</f>
        <v>0</v>
      </c>
      <c r="M250" s="34" t="n">
        <f aca="false">M$240+M$247</f>
        <v>0</v>
      </c>
      <c r="N250" s="34" t="n">
        <f aca="false">N$240+N$247</f>
        <v>0</v>
      </c>
      <c r="O250" s="34" t="n">
        <f aca="false">O$240+O$247</f>
        <v>0</v>
      </c>
      <c r="P250" s="34" t="n">
        <f aca="false">P$240+P$247</f>
        <v>0</v>
      </c>
      <c r="Q250" s="34" t="n">
        <f aca="false">Q$240+Q$247</f>
        <v>0</v>
      </c>
      <c r="R250" s="34" t="n">
        <f aca="false">R$240+R$247</f>
        <v>0</v>
      </c>
      <c r="S250" s="34" t="n">
        <f aca="false">S$240+S$247</f>
        <v>0</v>
      </c>
      <c r="T250" s="34" t="n">
        <f aca="false">T$240+T$247</f>
        <v>0</v>
      </c>
      <c r="U250" s="34" t="n">
        <f aca="false">U$240+U$247</f>
        <v>0</v>
      </c>
      <c r="V250" s="34" t="n">
        <f aca="false">V$240+V$247</f>
        <v>0</v>
      </c>
      <c r="W250" s="34" t="n">
        <f aca="false">W$240+W$247</f>
        <v>0</v>
      </c>
      <c r="X250" s="34" t="n">
        <f aca="false">X$240+X$247</f>
        <v>0</v>
      </c>
      <c r="Y250" s="34" t="n">
        <f aca="false">Y$240+Y$247</f>
        <v>0</v>
      </c>
      <c r="Z250" s="34" t="n">
        <f aca="false">Z$240+Z$247</f>
        <v>0</v>
      </c>
      <c r="AA250" s="34" t="n">
        <f aca="false">AA$240+AA$247</f>
        <v>0</v>
      </c>
      <c r="AB250" s="34" t="n">
        <f aca="false">AB$240+AB$247</f>
        <v>0</v>
      </c>
      <c r="AC250" s="34" t="n">
        <f aca="false">AC$240+AC$247</f>
        <v>0</v>
      </c>
      <c r="AD250" s="34" t="n">
        <f aca="false">AD$240+AD$247</f>
        <v>0</v>
      </c>
      <c r="AE250" s="34" t="n">
        <f aca="false">AE$240+AE$247</f>
        <v>0</v>
      </c>
      <c r="AF250" s="34" t="n">
        <f aca="false">AF$240+AF$247</f>
        <v>0</v>
      </c>
      <c r="AG250" s="34" t="n">
        <f aca="false">AG$240+AG$247</f>
        <v>0</v>
      </c>
      <c r="AH250" s="34" t="n">
        <f aca="false">AH$240+AH$247</f>
        <v>0</v>
      </c>
      <c r="AI250" s="34" t="n">
        <f aca="false">AI$240+AI$247</f>
        <v>0</v>
      </c>
      <c r="AJ250" s="34" t="n">
        <f aca="false">AJ$240+AJ$247</f>
        <v>0</v>
      </c>
      <c r="AK250" s="34" t="n">
        <f aca="false">AK$240+AK$247</f>
        <v>0</v>
      </c>
      <c r="AL250" s="34" t="n">
        <f aca="false">AL$240+AL$247</f>
        <v>0</v>
      </c>
      <c r="AM250" s="34" t="n">
        <f aca="false">AM$240+AM$247</f>
        <v>0</v>
      </c>
      <c r="AN250" s="34" t="n">
        <f aca="false">AN$240+AN$247</f>
        <v>0</v>
      </c>
      <c r="AO250" s="34" t="n">
        <f aca="false">AO$240+AO$247</f>
        <v>0</v>
      </c>
      <c r="AP250" s="34" t="n">
        <f aca="false">AP$240+AP$247</f>
        <v>0</v>
      </c>
      <c r="AQ250" s="34" t="n">
        <f aca="false">AQ$240+AQ$247</f>
        <v>0</v>
      </c>
      <c r="AR250" s="34" t="n">
        <f aca="false">AR$240+AR$247</f>
        <v>0</v>
      </c>
      <c r="AS250" s="34" t="n">
        <f aca="false">AS$240+AS$247</f>
        <v>0</v>
      </c>
      <c r="AT250" s="34" t="n">
        <f aca="false">AT$240+AT$247</f>
        <v>0</v>
      </c>
      <c r="AU250" s="34" t="n">
        <f aca="false">AU$240+AU$247</f>
        <v>0</v>
      </c>
      <c r="AV250" s="34" t="n">
        <f aca="false">AV$240+AV$247</f>
        <v>0</v>
      </c>
      <c r="AW250" s="34" t="n">
        <f aca="false">AW$240+AW$247</f>
        <v>0</v>
      </c>
      <c r="AX250" s="34" t="n">
        <f aca="false">AX$240+AX$247</f>
        <v>0</v>
      </c>
      <c r="AY250" s="34" t="n">
        <f aca="false">AY$240+AY$247</f>
        <v>0</v>
      </c>
      <c r="AZ250" s="34" t="n">
        <f aca="false">AZ$240+AZ$247</f>
        <v>0</v>
      </c>
      <c r="BA250" s="34" t="n">
        <f aca="false">BA$240+BA$247</f>
        <v>0</v>
      </c>
      <c r="BB250" s="34" t="n">
        <f aca="false">BB$240+BB$247</f>
        <v>0</v>
      </c>
      <c r="BC250" s="34" t="n">
        <f aca="false">BC$240+BC$247</f>
        <v>0</v>
      </c>
      <c r="BD250" s="34" t="n">
        <f aca="false">BD$240+BD$247</f>
        <v>0</v>
      </c>
      <c r="BE250" s="34" t="n">
        <f aca="false">BE$240+BE$247</f>
        <v>0</v>
      </c>
      <c r="BF250" s="34" t="n">
        <f aca="false">BF$240+BF$247</f>
        <v>0</v>
      </c>
      <c r="BG250" s="34" t="n">
        <f aca="false">BG$240+BG$247</f>
        <v>0</v>
      </c>
      <c r="BH250" s="34" t="n">
        <f aca="false">BH$240+BH$247</f>
        <v>0</v>
      </c>
      <c r="BI250" s="34" t="n">
        <f aca="false">BI$240+BI$247</f>
        <v>0</v>
      </c>
      <c r="BJ250" s="34" t="n">
        <f aca="false">BJ$240+BJ$247</f>
        <v>0</v>
      </c>
      <c r="BK250" s="34" t="n">
        <f aca="false">BK$240+BK$247</f>
        <v>0</v>
      </c>
      <c r="BL250" s="34" t="n">
        <f aca="false">BL$240+BL$247</f>
        <v>0</v>
      </c>
      <c r="BM250" s="34" t="n">
        <f aca="false">BM$240+BM$247</f>
        <v>0</v>
      </c>
      <c r="BN250" s="34" t="n">
        <f aca="false">BN$240+BN$247</f>
        <v>0</v>
      </c>
      <c r="BO250" s="34" t="n">
        <f aca="false">BO$240+BO$247</f>
        <v>0</v>
      </c>
      <c r="BP250" s="34" t="n">
        <f aca="false">BP$240+BP$247</f>
        <v>0</v>
      </c>
      <c r="BQ250" s="34" t="n">
        <f aca="false">BQ$240+BQ$247</f>
        <v>0</v>
      </c>
      <c r="BR250" s="34" t="n">
        <f aca="false">BR$240+BR$247</f>
        <v>0</v>
      </c>
      <c r="BS250" s="34" t="n">
        <f aca="false">BS$240+BS$247</f>
        <v>0</v>
      </c>
      <c r="BT250" s="34" t="n">
        <f aca="false">BT$240+BT$247</f>
        <v>0</v>
      </c>
      <c r="BU250" s="34" t="n">
        <f aca="false">BU$240+BU$247</f>
        <v>0</v>
      </c>
      <c r="BV250" s="34" t="n">
        <f aca="false">BV$240+BV$247</f>
        <v>0</v>
      </c>
      <c r="BW250" s="34" t="n">
        <f aca="false">BW$240+BW$247</f>
        <v>0</v>
      </c>
      <c r="BX250" s="34" t="n">
        <f aca="false">BX$240+BX$247</f>
        <v>0</v>
      </c>
      <c r="BY250" s="34" t="n">
        <f aca="false">BY$240+BY$247</f>
        <v>0</v>
      </c>
      <c r="BZ250" s="34" t="n">
        <f aca="false">BZ$240+BZ$247</f>
        <v>0</v>
      </c>
      <c r="CA250" s="34" t="n">
        <f aca="false">CA$240+CA$247</f>
        <v>0</v>
      </c>
      <c r="CB250" s="34" t="n">
        <f aca="false">CB$240+CB$247</f>
        <v>0</v>
      </c>
      <c r="CC250" s="34" t="n">
        <f aca="false">CC$240+CC$247</f>
        <v>0</v>
      </c>
      <c r="CD250" s="34" t="n">
        <f aca="false">CD$240+CD$247</f>
        <v>0</v>
      </c>
      <c r="CE250" s="34" t="n">
        <f aca="false">CE$240+CE$247</f>
        <v>0</v>
      </c>
      <c r="CF250" s="34" t="n">
        <f aca="false">CF$240+CF$247</f>
        <v>0</v>
      </c>
      <c r="CG250" s="34" t="n">
        <f aca="false">CG$240+CG$247</f>
        <v>0</v>
      </c>
      <c r="CH250" s="34" t="n">
        <f aca="false">CH$240+CH$247</f>
        <v>0</v>
      </c>
      <c r="CI250" s="34" t="n">
        <f aca="false">CI$240+CI$247</f>
        <v>0</v>
      </c>
      <c r="CJ250" s="34" t="n">
        <f aca="false">CJ$240+CJ$247</f>
        <v>0</v>
      </c>
      <c r="CK250" s="34" t="n">
        <f aca="false">CK$240+CK$247</f>
        <v>0</v>
      </c>
      <c r="CL250" s="34" t="n">
        <f aca="false">CL$240+CL$247</f>
        <v>0</v>
      </c>
      <c r="CM250" s="34" t="n">
        <f aca="false">CM$240+CM$247</f>
        <v>0</v>
      </c>
      <c r="CN250" s="34" t="n">
        <f aca="false">CN$240+CN$247</f>
        <v>0</v>
      </c>
      <c r="CO250" s="34" t="n">
        <f aca="false">CO$240+CO$247</f>
        <v>0</v>
      </c>
      <c r="CP250" s="34" t="n">
        <f aca="false">CP$240+CP$247</f>
        <v>0</v>
      </c>
      <c r="CQ250" s="34" t="n">
        <f aca="false">CQ$240+CQ$247</f>
        <v>0</v>
      </c>
      <c r="CR250" s="34" t="n">
        <f aca="false">CR$240+CR$247</f>
        <v>0</v>
      </c>
      <c r="CS250" s="34" t="n">
        <f aca="false">CS$240+CS$247</f>
        <v>0</v>
      </c>
      <c r="CT250" s="34" t="n">
        <f aca="false">CT$240+CT$247</f>
        <v>0</v>
      </c>
      <c r="CU250" s="34" t="n">
        <f aca="false">CU$240+CU$247</f>
        <v>0</v>
      </c>
      <c r="CV250" s="34" t="n">
        <f aca="false">CV$240+CV$247</f>
        <v>0</v>
      </c>
      <c r="CW250" s="34" t="n">
        <f aca="false">CW$240+CW$247</f>
        <v>0</v>
      </c>
      <c r="CX250" s="34" t="n">
        <f aca="false">CX$240+CX$247</f>
        <v>0</v>
      </c>
      <c r="CY250" s="34" t="n">
        <f aca="false">CY$240+CY$247</f>
        <v>0</v>
      </c>
      <c r="CZ250" s="34" t="n">
        <f aca="false">CZ$240+CZ$247</f>
        <v>0</v>
      </c>
      <c r="DA250" s="34" t="n">
        <f aca="false">DA$240+DA$247</f>
        <v>0</v>
      </c>
      <c r="DB250" s="34" t="n">
        <f aca="false">DB$240+DB$247</f>
        <v>0</v>
      </c>
      <c r="DC250" s="34" t="n">
        <f aca="false">DC$240+DC$247</f>
        <v>0</v>
      </c>
      <c r="DD250" s="34" t="n">
        <f aca="false">DD$240+DD$247</f>
        <v>0</v>
      </c>
      <c r="DE250" s="34" t="n">
        <f aca="false">DE$240+DE$247</f>
        <v>0</v>
      </c>
      <c r="DF250" s="34" t="n">
        <f aca="false">DF$240+DF$247</f>
        <v>0</v>
      </c>
      <c r="DG250" s="34" t="n">
        <f aca="false">DG$240+DG$247</f>
        <v>0</v>
      </c>
      <c r="DH250" s="34" t="n">
        <f aca="false">DH$240+DH$247</f>
        <v>0</v>
      </c>
      <c r="DI250" s="34" t="n">
        <f aca="false">DI$240+DI$247</f>
        <v>0</v>
      </c>
      <c r="DJ250" s="34" t="n">
        <f aca="false">DJ$240+DJ$247</f>
        <v>0</v>
      </c>
      <c r="DK250" s="34" t="n">
        <f aca="false">DK$240+DK$247</f>
        <v>0</v>
      </c>
      <c r="DL250" s="34" t="n">
        <f aca="false">DL$240+DL$247</f>
        <v>0</v>
      </c>
      <c r="DM250" s="34" t="n">
        <f aca="false">DM$240+DM$247</f>
        <v>0</v>
      </c>
      <c r="DN250" s="34" t="n">
        <f aca="false">DN$240+DN$247</f>
        <v>0</v>
      </c>
      <c r="DO250" s="34" t="n">
        <f aca="false">DO$240+DO$247</f>
        <v>0</v>
      </c>
      <c r="DP250" s="34" t="n">
        <f aca="false">DP$240+DP$247</f>
        <v>0</v>
      </c>
      <c r="DQ250" s="34" t="n">
        <f aca="false">DQ$240+DQ$247</f>
        <v>0</v>
      </c>
      <c r="DR250" s="34" t="n">
        <f aca="false">DR$240+DR$247</f>
        <v>0</v>
      </c>
      <c r="DS250" s="34" t="n">
        <f aca="false">DS$240+DS$247</f>
        <v>0</v>
      </c>
      <c r="DT250" s="34" t="n">
        <f aca="false">DT$240+DT$247</f>
        <v>0</v>
      </c>
      <c r="DU250" s="34" t="n">
        <f aca="false">DU$240+DU$247</f>
        <v>0</v>
      </c>
      <c r="DV250" s="34" t="n">
        <f aca="false">DV$240+DV$247</f>
        <v>0</v>
      </c>
      <c r="DW250" s="34" t="n">
        <f aca="false">DW$240+DW$247</f>
        <v>0</v>
      </c>
      <c r="DX250" s="34" t="n">
        <f aca="false">DX$240+DX$247</f>
        <v>0</v>
      </c>
      <c r="DY250" s="34" t="n">
        <f aca="false">DY$240+DY$247</f>
        <v>0</v>
      </c>
      <c r="DZ250" s="34" t="n">
        <f aca="false">DZ$240+DZ$247</f>
        <v>0</v>
      </c>
      <c r="EA250" s="34" t="n">
        <f aca="false">EA$240+EA$247</f>
        <v>0</v>
      </c>
      <c r="EB250" s="34" t="n">
        <f aca="false">EB$240+EB$247</f>
        <v>0</v>
      </c>
      <c r="EC250" s="34" t="n">
        <f aca="false">EC$240+EC$247</f>
        <v>0</v>
      </c>
      <c r="ED250" s="34" t="n">
        <f aca="false">ED$240+ED$247</f>
        <v>0</v>
      </c>
      <c r="EE250" s="34" t="n">
        <f aca="false">EE$240+EE$247</f>
        <v>0</v>
      </c>
      <c r="EF250" s="34" t="n">
        <f aca="false">EF$240+EF$247</f>
        <v>0</v>
      </c>
      <c r="EG250" s="34" t="n">
        <f aca="false">EG$240+EG$247</f>
        <v>0</v>
      </c>
      <c r="EH250" s="34" t="n">
        <f aca="false">EH$240+EH$247</f>
        <v>0</v>
      </c>
      <c r="EI250" s="34" t="n">
        <f aca="false">EI$240+EI$247</f>
        <v>0</v>
      </c>
      <c r="EJ250" s="34" t="n">
        <f aca="false">EJ$240+EJ$247</f>
        <v>0</v>
      </c>
      <c r="EK250" s="34" t="n">
        <f aca="false">EK$240+EK$247</f>
        <v>0</v>
      </c>
      <c r="EL250" s="34" t="n">
        <f aca="false">EL$240+EL$247</f>
        <v>0</v>
      </c>
      <c r="EM250" s="34" t="n">
        <f aca="false">EM$240+EM$247</f>
        <v>0</v>
      </c>
      <c r="EN250" s="34" t="n">
        <f aca="false">EN$240+EN$247</f>
        <v>0</v>
      </c>
      <c r="EO250" s="34" t="n">
        <f aca="false">EO$240+EO$247</f>
        <v>0</v>
      </c>
      <c r="EP250" s="34" t="n">
        <f aca="false">EP$240+EP$247</f>
        <v>0</v>
      </c>
      <c r="EQ250" s="34" t="n">
        <f aca="false">EQ$240+EQ$247</f>
        <v>0</v>
      </c>
      <c r="ER250" s="34" t="n">
        <f aca="false">ER$240+ER$247</f>
        <v>0</v>
      </c>
      <c r="ES250" s="34" t="n">
        <f aca="false">ES$240+ES$247</f>
        <v>0</v>
      </c>
    </row>
    <row r="251" customFormat="false" ht="15" hidden="false" customHeight="false" outlineLevel="0" collapsed="false">
      <c r="A251" s="2" t="s">
        <v>861</v>
      </c>
      <c r="B251" s="6" t="s">
        <v>724</v>
      </c>
      <c r="C251" s="6" t="s">
        <v>250</v>
      </c>
      <c r="E251" s="40" t="n">
        <f aca="false">SUM(F251:ES251)</f>
        <v>2791587</v>
      </c>
      <c r="F251" s="34" t="n">
        <f aca="false">F$241+F$248</f>
        <v>0</v>
      </c>
      <c r="G251" s="34" t="n">
        <f aca="false">G$241+G$248</f>
        <v>0</v>
      </c>
      <c r="H251" s="34" t="n">
        <f aca="false">H$241+H$248</f>
        <v>0</v>
      </c>
      <c r="I251" s="34" t="n">
        <f aca="false">I$241+I$248</f>
        <v>0</v>
      </c>
      <c r="J251" s="34" t="n">
        <f aca="false">J$241+J$248</f>
        <v>0</v>
      </c>
      <c r="K251" s="34" t="n">
        <f aca="false">K$241+K$248</f>
        <v>0</v>
      </c>
      <c r="L251" s="34" t="n">
        <f aca="false">L$241+L$248</f>
        <v>42123.3040946878</v>
      </c>
      <c r="M251" s="34" t="n">
        <f aca="false">M$241+M$248</f>
        <v>42439.2288753979</v>
      </c>
      <c r="N251" s="34" t="n">
        <f aca="false">N$241+N$248</f>
        <v>42757.5230919634</v>
      </c>
      <c r="O251" s="34" t="n">
        <f aca="false">O$241+O$248</f>
        <v>43078.2045151531</v>
      </c>
      <c r="P251" s="34" t="n">
        <f aca="false">P$241+P$248</f>
        <v>43401.2910490168</v>
      </c>
      <c r="Q251" s="34" t="n">
        <f aca="false">Q$241+Q$248</f>
        <v>43726.8007318844</v>
      </c>
      <c r="R251" s="34" t="n">
        <f aca="false">R$241+R$248</f>
        <v>44054.7517373735</v>
      </c>
      <c r="S251" s="34" t="n">
        <f aca="false">S$241+S$248</f>
        <v>44385.1623754038</v>
      </c>
      <c r="T251" s="34" t="n">
        <f aca="false">T$241+T$248</f>
        <v>44718.0510932194</v>
      </c>
      <c r="U251" s="34" t="n">
        <f aca="false">U$241+U$248</f>
        <v>45053.4364764185</v>
      </c>
      <c r="V251" s="34" t="n">
        <f aca="false">V$241+V$248</f>
        <v>45391.3372499916</v>
      </c>
      <c r="W251" s="34" t="n">
        <f aca="false">W$241+W$248</f>
        <v>45731.7722793666</v>
      </c>
      <c r="X251" s="34" t="n">
        <f aca="false">X$241+X$248</f>
        <v>46074.7605714618</v>
      </c>
      <c r="Y251" s="34" t="n">
        <f aca="false">Y$241+Y$248</f>
        <v>46420.3212757478</v>
      </c>
      <c r="Z251" s="34" t="n">
        <f aca="false">Z$241+Z$248</f>
        <v>46768.4736853159</v>
      </c>
      <c r="AA251" s="34" t="n">
        <f aca="false">AA$241+AA$248</f>
        <v>47119.2372379558</v>
      </c>
      <c r="AB251" s="34" t="n">
        <f aca="false">AB$241+AB$248</f>
        <v>47472.6315172404</v>
      </c>
      <c r="AC251" s="34" t="n">
        <f aca="false">AC$241+AC$248</f>
        <v>47828.6762536197</v>
      </c>
      <c r="AD251" s="34" t="n">
        <f aca="false">AD$241+AD$248</f>
        <v>48187.3913255219</v>
      </c>
      <c r="AE251" s="34" t="n">
        <f aca="false">AE$241+AE$248</f>
        <v>48548.7967604633</v>
      </c>
      <c r="AF251" s="34" t="n">
        <f aca="false">AF$241+AF$248</f>
        <v>48912.9127361668</v>
      </c>
      <c r="AG251" s="34" t="n">
        <f aca="false">AG$241+AG$248</f>
        <v>49279.759581688</v>
      </c>
      <c r="AH251" s="34" t="n">
        <f aca="false">AH$241+AH$248</f>
        <v>49649.3577785507</v>
      </c>
      <c r="AI251" s="34" t="n">
        <f aca="false">AI$241+AI$248</f>
        <v>50021.7279618898</v>
      </c>
      <c r="AJ251" s="34" t="n">
        <f aca="false">AJ$241+AJ$248</f>
        <v>50396.890921604</v>
      </c>
      <c r="AK251" s="34" t="n">
        <f aca="false">AK$241+AK$248</f>
        <v>50774.867603516</v>
      </c>
      <c r="AL251" s="34" t="n">
        <f aca="false">AL$241+AL$248</f>
        <v>51155.6791105424</v>
      </c>
      <c r="AM251" s="34" t="n">
        <f aca="false">AM$241+AM$248</f>
        <v>51539.3467038715</v>
      </c>
      <c r="AN251" s="34" t="n">
        <f aca="false">AN$241+AN$248</f>
        <v>51925.8918041505</v>
      </c>
      <c r="AO251" s="34" t="n">
        <f aca="false">AO$241+AO$248</f>
        <v>52315.3359926816</v>
      </c>
      <c r="AP251" s="34" t="n">
        <f aca="false">AP$241+AP$248</f>
        <v>52707.7010126267</v>
      </c>
      <c r="AQ251" s="34" t="n">
        <f aca="false">AQ$241+AQ$248</f>
        <v>53103.0087702214</v>
      </c>
      <c r="AR251" s="34" t="n">
        <f aca="false">AR$241+AR$248</f>
        <v>53501.2813359981</v>
      </c>
      <c r="AS251" s="34" t="n">
        <f aca="false">AS$241+AS$248</f>
        <v>53902.5409460181</v>
      </c>
      <c r="AT251" s="34" t="n">
        <f aca="false">AT$241+AT$248</f>
        <v>54306.8100031132</v>
      </c>
      <c r="AU251" s="34" t="n">
        <f aca="false">AU$241+AU$248</f>
        <v>54714.1110781366</v>
      </c>
      <c r="AV251" s="34" t="n">
        <f aca="false">AV$241+AV$248</f>
        <v>55124.4669112226</v>
      </c>
      <c r="AW251" s="34" t="n">
        <f aca="false">AW$241+AW$248</f>
        <v>55537.9004130568</v>
      </c>
      <c r="AX251" s="34" t="n">
        <f aca="false">AX$241+AX$248</f>
        <v>55954.4346661547</v>
      </c>
      <c r="AY251" s="34" t="n">
        <f aca="false">AY$241+AY$248</f>
        <v>56374.0929261509</v>
      </c>
      <c r="AZ251" s="34" t="n">
        <f aca="false">AZ$241+AZ$248</f>
        <v>56796.898623097</v>
      </c>
      <c r="BA251" s="34" t="n">
        <f aca="false">BA$241+BA$248</f>
        <v>57222.8753627702</v>
      </c>
      <c r="BB251" s="34" t="n">
        <f aca="false">BB$241+BB$248</f>
        <v>57652.046927991</v>
      </c>
      <c r="BC251" s="34" t="n">
        <f aca="false">BC$241+BC$248</f>
        <v>58084.4372799509</v>
      </c>
      <c r="BD251" s="34" t="n">
        <f aca="false">BD$241+BD$248</f>
        <v>58520.0705595506</v>
      </c>
      <c r="BE251" s="34" t="n">
        <f aca="false">BE$241+BE$248</f>
        <v>58958.9710887472</v>
      </c>
      <c r="BF251" s="34" t="n">
        <f aca="false">BF$241+BF$248</f>
        <v>59401.1633719128</v>
      </c>
      <c r="BG251" s="34" t="n">
        <f aca="false">BG$241+BG$248</f>
        <v>59846.6720972021</v>
      </c>
      <c r="BH251" s="34" t="n">
        <f aca="false">BH$241+BH$248</f>
        <v>60295.5221379312</v>
      </c>
      <c r="BI251" s="34" t="n">
        <f aca="false">BI$241+BI$248</f>
        <v>60747.7385539656</v>
      </c>
      <c r="BJ251" s="34" t="n">
        <f aca="false">BJ$241+BJ$248</f>
        <v>61203.3465931204</v>
      </c>
      <c r="BK251" s="34" t="n">
        <f aca="false">BK$241+BK$248</f>
        <v>61662.3716925688</v>
      </c>
      <c r="BL251" s="34" t="n">
        <f aca="false">BL$241+BL$248</f>
        <v>62124.839480263</v>
      </c>
      <c r="BM251" s="34" t="n">
        <f aca="false">BM$241+BM$248</f>
        <v>62590.7757763667</v>
      </c>
      <c r="BN251" s="34" t="n">
        <f aca="false">BN$241+BN$248</f>
        <v>0</v>
      </c>
      <c r="BO251" s="34" t="n">
        <f aca="false">BO$241+BO$248</f>
        <v>0</v>
      </c>
      <c r="BP251" s="34" t="n">
        <f aca="false">BP$241+BP$248</f>
        <v>0</v>
      </c>
      <c r="BQ251" s="34" t="n">
        <f aca="false">BQ$241+BQ$248</f>
        <v>0</v>
      </c>
      <c r="BR251" s="34" t="n">
        <f aca="false">BR$241+BR$248</f>
        <v>0</v>
      </c>
      <c r="BS251" s="34" t="n">
        <f aca="false">BS$241+BS$248</f>
        <v>0</v>
      </c>
      <c r="BT251" s="34" t="n">
        <f aca="false">BT$241+BT$248</f>
        <v>0</v>
      </c>
      <c r="BU251" s="34" t="n">
        <f aca="false">BU$241+BU$248</f>
        <v>0</v>
      </c>
      <c r="BV251" s="34" t="n">
        <f aca="false">BV$241+BV$248</f>
        <v>0</v>
      </c>
      <c r="BW251" s="34" t="n">
        <f aca="false">BW$241+BW$248</f>
        <v>0</v>
      </c>
      <c r="BX251" s="34" t="n">
        <f aca="false">BX$241+BX$248</f>
        <v>0</v>
      </c>
      <c r="BY251" s="34" t="n">
        <f aca="false">BY$241+BY$248</f>
        <v>0</v>
      </c>
      <c r="BZ251" s="34" t="n">
        <f aca="false">BZ$241+BZ$248</f>
        <v>0</v>
      </c>
      <c r="CA251" s="34" t="n">
        <f aca="false">CA$241+CA$248</f>
        <v>0</v>
      </c>
      <c r="CB251" s="34" t="n">
        <f aca="false">CB$241+CB$248</f>
        <v>0</v>
      </c>
      <c r="CC251" s="34" t="n">
        <f aca="false">CC$241+CC$248</f>
        <v>0</v>
      </c>
      <c r="CD251" s="34" t="n">
        <f aca="false">CD$241+CD$248</f>
        <v>0</v>
      </c>
      <c r="CE251" s="34" t="n">
        <f aca="false">CE$241+CE$248</f>
        <v>0</v>
      </c>
      <c r="CF251" s="34" t="n">
        <f aca="false">CF$241+CF$248</f>
        <v>0</v>
      </c>
      <c r="CG251" s="34" t="n">
        <f aca="false">CG$241+CG$248</f>
        <v>0</v>
      </c>
      <c r="CH251" s="34" t="n">
        <f aca="false">CH$241+CH$248</f>
        <v>0</v>
      </c>
      <c r="CI251" s="34" t="n">
        <f aca="false">CI$241+CI$248</f>
        <v>0</v>
      </c>
      <c r="CJ251" s="34" t="n">
        <f aca="false">CJ$241+CJ$248</f>
        <v>0</v>
      </c>
      <c r="CK251" s="34" t="n">
        <f aca="false">CK$241+CK$248</f>
        <v>0</v>
      </c>
      <c r="CL251" s="34" t="n">
        <f aca="false">CL$241+CL$248</f>
        <v>0</v>
      </c>
      <c r="CM251" s="34" t="n">
        <f aca="false">CM$241+CM$248</f>
        <v>0</v>
      </c>
      <c r="CN251" s="34" t="n">
        <f aca="false">CN$241+CN$248</f>
        <v>0</v>
      </c>
      <c r="CO251" s="34" t="n">
        <f aca="false">CO$241+CO$248</f>
        <v>0</v>
      </c>
      <c r="CP251" s="34" t="n">
        <f aca="false">CP$241+CP$248</f>
        <v>0</v>
      </c>
      <c r="CQ251" s="34" t="n">
        <f aca="false">CQ$241+CQ$248</f>
        <v>0</v>
      </c>
      <c r="CR251" s="34" t="n">
        <f aca="false">CR$241+CR$248</f>
        <v>0</v>
      </c>
      <c r="CS251" s="34" t="n">
        <f aca="false">CS$241+CS$248</f>
        <v>0</v>
      </c>
      <c r="CT251" s="34" t="n">
        <f aca="false">CT$241+CT$248</f>
        <v>0</v>
      </c>
      <c r="CU251" s="34" t="n">
        <f aca="false">CU$241+CU$248</f>
        <v>0</v>
      </c>
      <c r="CV251" s="34" t="n">
        <f aca="false">CV$241+CV$248</f>
        <v>0</v>
      </c>
      <c r="CW251" s="34" t="n">
        <f aca="false">CW$241+CW$248</f>
        <v>0</v>
      </c>
      <c r="CX251" s="34" t="n">
        <f aca="false">CX$241+CX$248</f>
        <v>0</v>
      </c>
      <c r="CY251" s="34" t="n">
        <f aca="false">CY$241+CY$248</f>
        <v>0</v>
      </c>
      <c r="CZ251" s="34" t="n">
        <f aca="false">CZ$241+CZ$248</f>
        <v>0</v>
      </c>
      <c r="DA251" s="34" t="n">
        <f aca="false">DA$241+DA$248</f>
        <v>0</v>
      </c>
      <c r="DB251" s="34" t="n">
        <f aca="false">DB$241+DB$248</f>
        <v>0</v>
      </c>
      <c r="DC251" s="34" t="n">
        <f aca="false">DC$241+DC$248</f>
        <v>0</v>
      </c>
      <c r="DD251" s="34" t="n">
        <f aca="false">DD$241+DD$248</f>
        <v>0</v>
      </c>
      <c r="DE251" s="34" t="n">
        <f aca="false">DE$241+DE$248</f>
        <v>0</v>
      </c>
      <c r="DF251" s="34" t="n">
        <f aca="false">DF$241+DF$248</f>
        <v>0</v>
      </c>
      <c r="DG251" s="34" t="n">
        <f aca="false">DG$241+DG$248</f>
        <v>0</v>
      </c>
      <c r="DH251" s="34" t="n">
        <f aca="false">DH$241+DH$248</f>
        <v>0</v>
      </c>
      <c r="DI251" s="34" t="n">
        <f aca="false">DI$241+DI$248</f>
        <v>0</v>
      </c>
      <c r="DJ251" s="34" t="n">
        <f aca="false">DJ$241+DJ$248</f>
        <v>0</v>
      </c>
      <c r="DK251" s="34" t="n">
        <f aca="false">DK$241+DK$248</f>
        <v>0</v>
      </c>
      <c r="DL251" s="34" t="n">
        <f aca="false">DL$241+DL$248</f>
        <v>0</v>
      </c>
      <c r="DM251" s="34" t="n">
        <f aca="false">DM$241+DM$248</f>
        <v>0</v>
      </c>
      <c r="DN251" s="34" t="n">
        <f aca="false">DN$241+DN$248</f>
        <v>0</v>
      </c>
      <c r="DO251" s="34" t="n">
        <f aca="false">DO$241+DO$248</f>
        <v>0</v>
      </c>
      <c r="DP251" s="34" t="n">
        <f aca="false">DP$241+DP$248</f>
        <v>0</v>
      </c>
      <c r="DQ251" s="34" t="n">
        <f aca="false">DQ$241+DQ$248</f>
        <v>0</v>
      </c>
      <c r="DR251" s="34" t="n">
        <f aca="false">DR$241+DR$248</f>
        <v>0</v>
      </c>
      <c r="DS251" s="34" t="n">
        <f aca="false">DS$241+DS$248</f>
        <v>0</v>
      </c>
      <c r="DT251" s="34" t="n">
        <f aca="false">DT$241+DT$248</f>
        <v>0</v>
      </c>
      <c r="DU251" s="34" t="n">
        <f aca="false">DU$241+DU$248</f>
        <v>0</v>
      </c>
      <c r="DV251" s="34" t="n">
        <f aca="false">DV$241+DV$248</f>
        <v>0</v>
      </c>
      <c r="DW251" s="34" t="n">
        <f aca="false">DW$241+DW$248</f>
        <v>0</v>
      </c>
      <c r="DX251" s="34" t="n">
        <f aca="false">DX$241+DX$248</f>
        <v>0</v>
      </c>
      <c r="DY251" s="34" t="n">
        <f aca="false">DY$241+DY$248</f>
        <v>0</v>
      </c>
      <c r="DZ251" s="34" t="n">
        <f aca="false">DZ$241+DZ$248</f>
        <v>0</v>
      </c>
      <c r="EA251" s="34" t="n">
        <f aca="false">EA$241+EA$248</f>
        <v>0</v>
      </c>
      <c r="EB251" s="34" t="n">
        <f aca="false">EB$241+EB$248</f>
        <v>0</v>
      </c>
      <c r="EC251" s="34" t="n">
        <f aca="false">EC$241+EC$248</f>
        <v>0</v>
      </c>
      <c r="ED251" s="34" t="n">
        <f aca="false">ED$241+ED$248</f>
        <v>0</v>
      </c>
      <c r="EE251" s="34" t="n">
        <f aca="false">EE$241+EE$248</f>
        <v>0</v>
      </c>
      <c r="EF251" s="34" t="n">
        <f aca="false">EF$241+EF$248</f>
        <v>0</v>
      </c>
      <c r="EG251" s="34" t="n">
        <f aca="false">EG$241+EG$248</f>
        <v>0</v>
      </c>
      <c r="EH251" s="34" t="n">
        <f aca="false">EH$241+EH$248</f>
        <v>0</v>
      </c>
      <c r="EI251" s="34" t="n">
        <f aca="false">EI$241+EI$248</f>
        <v>0</v>
      </c>
      <c r="EJ251" s="34" t="n">
        <f aca="false">EJ$241+EJ$248</f>
        <v>0</v>
      </c>
      <c r="EK251" s="34" t="n">
        <f aca="false">EK$241+EK$248</f>
        <v>0</v>
      </c>
      <c r="EL251" s="34" t="n">
        <f aca="false">EL$241+EL$248</f>
        <v>0</v>
      </c>
      <c r="EM251" s="34" t="n">
        <f aca="false">EM$241+EM$248</f>
        <v>0</v>
      </c>
      <c r="EN251" s="34" t="n">
        <f aca="false">EN$241+EN$248</f>
        <v>0</v>
      </c>
      <c r="EO251" s="34" t="n">
        <f aca="false">EO$241+EO$248</f>
        <v>0</v>
      </c>
      <c r="EP251" s="34" t="n">
        <f aca="false">EP$241+EP$248</f>
        <v>0</v>
      </c>
      <c r="EQ251" s="34" t="n">
        <f aca="false">EQ$241+EQ$248</f>
        <v>0</v>
      </c>
      <c r="ER251" s="34" t="n">
        <f aca="false">ER$241+ER$248</f>
        <v>0</v>
      </c>
      <c r="ES251" s="34" t="n">
        <f aca="false">ES$241+ES$248</f>
        <v>0</v>
      </c>
    </row>
    <row r="252" customFormat="false" ht="15" hidden="false" customHeight="false" outlineLevel="0" collapsed="false">
      <c r="A252" s="2" t="s">
        <v>862</v>
      </c>
      <c r="B252" s="52" t="s">
        <v>726</v>
      </c>
      <c r="C252" s="6" t="s">
        <v>250</v>
      </c>
      <c r="E252" s="40" t="n">
        <f aca="false">MAX(F252:ES252)</f>
        <v>2791587</v>
      </c>
      <c r="F252" s="10" t="n">
        <f aca="false">0+F$250-F$251</f>
        <v>2791587</v>
      </c>
      <c r="G252" s="10" t="n">
        <f aca="false">F$252+G$250-G$251</f>
        <v>2791587</v>
      </c>
      <c r="H252" s="10" t="n">
        <f aca="false">G$252+H$250-H$251</f>
        <v>2791587</v>
      </c>
      <c r="I252" s="10" t="n">
        <f aca="false">H$252+I$250-I$251</f>
        <v>2791587</v>
      </c>
      <c r="J252" s="10" t="n">
        <f aca="false">I$252+J$250-J$251</f>
        <v>2791587</v>
      </c>
      <c r="K252" s="10" t="n">
        <f aca="false">J$252+K$250-K$251</f>
        <v>2791587</v>
      </c>
      <c r="L252" s="10" t="n">
        <f aca="false">K$252+L$250-L$251</f>
        <v>2749463.69590531</v>
      </c>
      <c r="M252" s="10" t="n">
        <f aca="false">L$252+M$250-M$251</f>
        <v>2707024.46702991</v>
      </c>
      <c r="N252" s="10" t="n">
        <f aca="false">M$252+N$250-N$251</f>
        <v>2664266.94393795</v>
      </c>
      <c r="O252" s="10" t="n">
        <f aca="false">N$252+O$250-O$251</f>
        <v>2621188.7394228</v>
      </c>
      <c r="P252" s="10" t="n">
        <f aca="false">O$252+P$250-P$251</f>
        <v>2577787.44837378</v>
      </c>
      <c r="Q252" s="10" t="n">
        <f aca="false">P$252+Q$250-Q$251</f>
        <v>2534060.6476419</v>
      </c>
      <c r="R252" s="10" t="n">
        <f aca="false">Q$252+R$250-R$251</f>
        <v>2490005.89590452</v>
      </c>
      <c r="S252" s="10" t="n">
        <f aca="false">R$252+S$250-S$251</f>
        <v>2445620.73352912</v>
      </c>
      <c r="T252" s="10" t="n">
        <f aca="false">S$252+T$250-T$251</f>
        <v>2400902.6824359</v>
      </c>
      <c r="U252" s="10" t="n">
        <f aca="false">T$252+U$250-U$251</f>
        <v>2355849.24595948</v>
      </c>
      <c r="V252" s="10" t="n">
        <f aca="false">U$252+V$250-V$251</f>
        <v>2310457.90870949</v>
      </c>
      <c r="W252" s="10" t="n">
        <f aca="false">V$252+W$250-W$251</f>
        <v>2264726.13643012</v>
      </c>
      <c r="X252" s="10" t="n">
        <f aca="false">W$252+X$250-X$251</f>
        <v>2218651.37585866</v>
      </c>
      <c r="Y252" s="10" t="n">
        <f aca="false">X$252+Y$250-Y$251</f>
        <v>2172231.05458292</v>
      </c>
      <c r="Z252" s="10" t="n">
        <f aca="false">Y$252+Z$250-Z$251</f>
        <v>2125462.5808976</v>
      </c>
      <c r="AA252" s="10" t="n">
        <f aca="false">Z$252+AA$250-AA$251</f>
        <v>2078343.34365964</v>
      </c>
      <c r="AB252" s="10" t="n">
        <f aca="false">AA$252+AB$250-AB$251</f>
        <v>2030870.7121424</v>
      </c>
      <c r="AC252" s="10" t="n">
        <f aca="false">AB$252+AC$250-AC$251</f>
        <v>1983042.03588878</v>
      </c>
      <c r="AD252" s="10" t="n">
        <f aca="false">AC$252+AD$250-AD$251</f>
        <v>1934854.64456326</v>
      </c>
      <c r="AE252" s="10" t="n">
        <f aca="false">AD$252+AE$250-AE$251</f>
        <v>1886305.8478028</v>
      </c>
      <c r="AF252" s="10" t="n">
        <f aca="false">AE$252+AF$250-AF$251</f>
        <v>1837392.93506663</v>
      </c>
      <c r="AG252" s="10" t="n">
        <f aca="false">AF$252+AG$250-AG$251</f>
        <v>1788113.17548494</v>
      </c>
      <c r="AH252" s="10" t="n">
        <f aca="false">AG$252+AH$250-AH$251</f>
        <v>1738463.81770639</v>
      </c>
      <c r="AI252" s="10" t="n">
        <f aca="false">AH$252+AI$250-AI$251</f>
        <v>1688442.0897445</v>
      </c>
      <c r="AJ252" s="10" t="n">
        <f aca="false">AI$252+AJ$250-AJ$251</f>
        <v>1638045.1988229</v>
      </c>
      <c r="AK252" s="10" t="n">
        <f aca="false">AJ$252+AK$250-AK$251</f>
        <v>1587270.33121938</v>
      </c>
      <c r="AL252" s="10" t="n">
        <f aca="false">AK$252+AL$250-AL$251</f>
        <v>1536114.65210884</v>
      </c>
      <c r="AM252" s="10" t="n">
        <f aca="false">AL$252+AM$250-AM$251</f>
        <v>1484575.30540497</v>
      </c>
      <c r="AN252" s="10" t="n">
        <f aca="false">AM$252+AN$250-AN$251</f>
        <v>1432649.41360082</v>
      </c>
      <c r="AO252" s="10" t="n">
        <f aca="false">AN$252+AO$250-AO$251</f>
        <v>1380334.07760814</v>
      </c>
      <c r="AP252" s="10" t="n">
        <f aca="false">AO$252+AP$250-AP$251</f>
        <v>1327626.37659551</v>
      </c>
      <c r="AQ252" s="10" t="n">
        <f aca="false">AP$252+AQ$250-AQ$251</f>
        <v>1274523.36782529</v>
      </c>
      <c r="AR252" s="10" t="n">
        <f aca="false">AQ$252+AR$250-AR$251</f>
        <v>1221022.08648929</v>
      </c>
      <c r="AS252" s="10" t="n">
        <f aca="false">AR$252+AS$250-AS$251</f>
        <v>1167119.54554327</v>
      </c>
      <c r="AT252" s="10" t="n">
        <f aca="false">AS$252+AT$250-AT$251</f>
        <v>1112812.73554016</v>
      </c>
      <c r="AU252" s="10" t="n">
        <f aca="false">AT$252+AU$250-AU$251</f>
        <v>1058098.62446202</v>
      </c>
      <c r="AV252" s="10" t="n">
        <f aca="false">AU$252+AV$250-AV$251</f>
        <v>1002974.1575508</v>
      </c>
      <c r="AW252" s="10" t="n">
        <f aca="false">AV$252+AW$250-AW$251</f>
        <v>947436.257137743</v>
      </c>
      <c r="AX252" s="10" t="n">
        <f aca="false">AW$252+AX$250-AX$251</f>
        <v>891481.822471588</v>
      </c>
      <c r="AY252" s="10" t="n">
        <f aca="false">AX$252+AY$250-AY$251</f>
        <v>835107.729545437</v>
      </c>
      <c r="AZ252" s="10" t="n">
        <f aca="false">AY$252+AZ$250-AZ$251</f>
        <v>778310.83092234</v>
      </c>
      <c r="BA252" s="10" t="n">
        <f aca="false">AZ$252+BA$250-BA$251</f>
        <v>721087.95555957</v>
      </c>
      <c r="BB252" s="10" t="n">
        <f aca="false">BA$252+BB$250-BB$251</f>
        <v>663435.908631579</v>
      </c>
      <c r="BC252" s="10" t="n">
        <f aca="false">BB$252+BC$250-BC$251</f>
        <v>605351.471351628</v>
      </c>
      <c r="BD252" s="10" t="n">
        <f aca="false">BC$252+BD$250-BD$251</f>
        <v>546831.400792078</v>
      </c>
      <c r="BE252" s="10" t="n">
        <f aca="false">BD$252+BE$250-BE$251</f>
        <v>487872.429703331</v>
      </c>
      <c r="BF252" s="10" t="n">
        <f aca="false">BE$252+BF$250-BF$251</f>
        <v>428471.266331418</v>
      </c>
      <c r="BG252" s="10" t="n">
        <f aca="false">BF$252+BG$250-BG$251</f>
        <v>368624.594234216</v>
      </c>
      <c r="BH252" s="10" t="n">
        <f aca="false">BG$252+BH$250-BH$251</f>
        <v>308329.072096285</v>
      </c>
      <c r="BI252" s="10" t="n">
        <f aca="false">BH$252+BI$250-BI$251</f>
        <v>247581.333542319</v>
      </c>
      <c r="BJ252" s="10" t="n">
        <f aca="false">BI$252+BJ$250-BJ$251</f>
        <v>186377.986949199</v>
      </c>
      <c r="BK252" s="10" t="n">
        <f aca="false">BJ$252+BK$250-BK$251</f>
        <v>124715.61525663</v>
      </c>
      <c r="BL252" s="10" t="n">
        <f aca="false">BK$252+BL$250-BL$251</f>
        <v>62590.7757763667</v>
      </c>
      <c r="BM252" s="10" t="n">
        <f aca="false">BL$252+BM$250-BM$251</f>
        <v>0</v>
      </c>
      <c r="BN252" s="10" t="n">
        <f aca="false">BM$252+BN$250-BN$251</f>
        <v>0</v>
      </c>
      <c r="BO252" s="10" t="n">
        <f aca="false">BN$252+BO$250-BO$251</f>
        <v>0</v>
      </c>
      <c r="BP252" s="10" t="n">
        <f aca="false">BO$252+BP$250-BP$251</f>
        <v>0</v>
      </c>
      <c r="BQ252" s="10" t="n">
        <f aca="false">BP$252+BQ$250-BQ$251</f>
        <v>0</v>
      </c>
      <c r="BR252" s="10" t="n">
        <f aca="false">BQ$252+BR$250-BR$251</f>
        <v>0</v>
      </c>
      <c r="BS252" s="10" t="n">
        <f aca="false">BR$252+BS$250-BS$251</f>
        <v>0</v>
      </c>
      <c r="BT252" s="10" t="n">
        <f aca="false">BS$252+BT$250-BT$251</f>
        <v>0</v>
      </c>
      <c r="BU252" s="10" t="n">
        <f aca="false">BT$252+BU$250-BU$251</f>
        <v>0</v>
      </c>
      <c r="BV252" s="10" t="n">
        <f aca="false">BU$252+BV$250-BV$251</f>
        <v>0</v>
      </c>
      <c r="BW252" s="10" t="n">
        <f aca="false">BV$252+BW$250-BW$251</f>
        <v>0</v>
      </c>
      <c r="BX252" s="10" t="n">
        <f aca="false">BW$252+BX$250-BX$251</f>
        <v>0</v>
      </c>
      <c r="BY252" s="10" t="n">
        <f aca="false">BX$252+BY$250-BY$251</f>
        <v>0</v>
      </c>
      <c r="BZ252" s="10" t="n">
        <f aca="false">BY$252+BZ$250-BZ$251</f>
        <v>0</v>
      </c>
      <c r="CA252" s="10" t="n">
        <f aca="false">BZ$252+CA$250-CA$251</f>
        <v>0</v>
      </c>
      <c r="CB252" s="10" t="n">
        <f aca="false">CA$252+CB$250-CB$251</f>
        <v>0</v>
      </c>
      <c r="CC252" s="10" t="n">
        <f aca="false">CB$252+CC$250-CC$251</f>
        <v>0</v>
      </c>
      <c r="CD252" s="10" t="n">
        <f aca="false">CC$252+CD$250-CD$251</f>
        <v>0</v>
      </c>
      <c r="CE252" s="10" t="n">
        <f aca="false">CD$252+CE$250-CE$251</f>
        <v>0</v>
      </c>
      <c r="CF252" s="10" t="n">
        <f aca="false">CE$252+CF$250-CF$251</f>
        <v>0</v>
      </c>
      <c r="CG252" s="10" t="n">
        <f aca="false">CF$252+CG$250-CG$251</f>
        <v>0</v>
      </c>
      <c r="CH252" s="10" t="n">
        <f aca="false">CG$252+CH$250-CH$251</f>
        <v>0</v>
      </c>
      <c r="CI252" s="10" t="n">
        <f aca="false">CH$252+CI$250-CI$251</f>
        <v>0</v>
      </c>
      <c r="CJ252" s="10" t="n">
        <f aca="false">CI$252+CJ$250-CJ$251</f>
        <v>0</v>
      </c>
      <c r="CK252" s="10" t="n">
        <f aca="false">CJ$252+CK$250-CK$251</f>
        <v>0</v>
      </c>
      <c r="CL252" s="10" t="n">
        <f aca="false">CK$252+CL$250-CL$251</f>
        <v>0</v>
      </c>
      <c r="CM252" s="10" t="n">
        <f aca="false">CL$252+CM$250-CM$251</f>
        <v>0</v>
      </c>
      <c r="CN252" s="10" t="n">
        <f aca="false">CM$252+CN$250-CN$251</f>
        <v>0</v>
      </c>
      <c r="CO252" s="10" t="n">
        <f aca="false">CN$252+CO$250-CO$251</f>
        <v>0</v>
      </c>
      <c r="CP252" s="10" t="n">
        <f aca="false">CO$252+CP$250-CP$251</f>
        <v>0</v>
      </c>
      <c r="CQ252" s="10" t="n">
        <f aca="false">CP$252+CQ$250-CQ$251</f>
        <v>0</v>
      </c>
      <c r="CR252" s="10" t="n">
        <f aca="false">CQ$252+CR$250-CR$251</f>
        <v>0</v>
      </c>
      <c r="CS252" s="10" t="n">
        <f aca="false">CR$252+CS$250-CS$251</f>
        <v>0</v>
      </c>
      <c r="CT252" s="10" t="n">
        <f aca="false">CS$252+CT$250-CT$251</f>
        <v>0</v>
      </c>
      <c r="CU252" s="10" t="n">
        <f aca="false">CT$252+CU$250-CU$251</f>
        <v>0</v>
      </c>
      <c r="CV252" s="10" t="n">
        <f aca="false">CU$252+CV$250-CV$251</f>
        <v>0</v>
      </c>
      <c r="CW252" s="10" t="n">
        <f aca="false">CV$252+CW$250-CW$251</f>
        <v>0</v>
      </c>
      <c r="CX252" s="10" t="n">
        <f aca="false">CW$252+CX$250-CX$251</f>
        <v>0</v>
      </c>
      <c r="CY252" s="10" t="n">
        <f aca="false">CX$252+CY$250-CY$251</f>
        <v>0</v>
      </c>
      <c r="CZ252" s="10" t="n">
        <f aca="false">CY$252+CZ$250-CZ$251</f>
        <v>0</v>
      </c>
      <c r="DA252" s="10" t="n">
        <f aca="false">CZ$252+DA$250-DA$251</f>
        <v>0</v>
      </c>
      <c r="DB252" s="10" t="n">
        <f aca="false">DA$252+DB$250-DB$251</f>
        <v>0</v>
      </c>
      <c r="DC252" s="10" t="n">
        <f aca="false">DB$252+DC$250-DC$251</f>
        <v>0</v>
      </c>
      <c r="DD252" s="10" t="n">
        <f aca="false">DC$252+DD$250-DD$251</f>
        <v>0</v>
      </c>
      <c r="DE252" s="10" t="n">
        <f aca="false">DD$252+DE$250-DE$251</f>
        <v>0</v>
      </c>
      <c r="DF252" s="10" t="n">
        <f aca="false">DE$252+DF$250-DF$251</f>
        <v>0</v>
      </c>
      <c r="DG252" s="10" t="n">
        <f aca="false">DF$252+DG$250-DG$251</f>
        <v>0</v>
      </c>
      <c r="DH252" s="10" t="n">
        <f aca="false">DG$252+DH$250-DH$251</f>
        <v>0</v>
      </c>
      <c r="DI252" s="10" t="n">
        <f aca="false">DH$252+DI$250-DI$251</f>
        <v>0</v>
      </c>
      <c r="DJ252" s="10" t="n">
        <f aca="false">DI$252+DJ$250-DJ$251</f>
        <v>0</v>
      </c>
      <c r="DK252" s="10" t="n">
        <f aca="false">DJ$252+DK$250-DK$251</f>
        <v>0</v>
      </c>
      <c r="DL252" s="10" t="n">
        <f aca="false">DK$252+DL$250-DL$251</f>
        <v>0</v>
      </c>
      <c r="DM252" s="10" t="n">
        <f aca="false">DL$252+DM$250-DM$251</f>
        <v>0</v>
      </c>
      <c r="DN252" s="10" t="n">
        <f aca="false">DM$252+DN$250-DN$251</f>
        <v>0</v>
      </c>
      <c r="DO252" s="10" t="n">
        <f aca="false">DN$252+DO$250-DO$251</f>
        <v>0</v>
      </c>
      <c r="DP252" s="10" t="n">
        <f aca="false">DO$252+DP$250-DP$251</f>
        <v>0</v>
      </c>
      <c r="DQ252" s="10" t="n">
        <f aca="false">DP$252+DQ$250-DQ$251</f>
        <v>0</v>
      </c>
      <c r="DR252" s="10" t="n">
        <f aca="false">DQ$252+DR$250-DR$251</f>
        <v>0</v>
      </c>
      <c r="DS252" s="10" t="n">
        <f aca="false">DR$252+DS$250-DS$251</f>
        <v>0</v>
      </c>
      <c r="DT252" s="10" t="n">
        <f aca="false">DS$252+DT$250-DT$251</f>
        <v>0</v>
      </c>
      <c r="DU252" s="10" t="n">
        <f aca="false">DT$252+DU$250-DU$251</f>
        <v>0</v>
      </c>
      <c r="DV252" s="10" t="n">
        <f aca="false">DU$252+DV$250-DV$251</f>
        <v>0</v>
      </c>
      <c r="DW252" s="10" t="n">
        <f aca="false">DV$252+DW$250-DW$251</f>
        <v>0</v>
      </c>
      <c r="DX252" s="10" t="n">
        <f aca="false">DW$252+DX$250-DX$251</f>
        <v>0</v>
      </c>
      <c r="DY252" s="10" t="n">
        <f aca="false">DX$252+DY$250-DY$251</f>
        <v>0</v>
      </c>
      <c r="DZ252" s="10" t="n">
        <f aca="false">DY$252+DZ$250-DZ$251</f>
        <v>0</v>
      </c>
      <c r="EA252" s="10" t="n">
        <f aca="false">DZ$252+EA$250-EA$251</f>
        <v>0</v>
      </c>
      <c r="EB252" s="10" t="n">
        <f aca="false">EA$252+EB$250-EB$251</f>
        <v>0</v>
      </c>
      <c r="EC252" s="10" t="n">
        <f aca="false">EB$252+EC$250-EC$251</f>
        <v>0</v>
      </c>
      <c r="ED252" s="10" t="n">
        <f aca="false">EC$252+ED$250-ED$251</f>
        <v>0</v>
      </c>
      <c r="EE252" s="10" t="n">
        <f aca="false">ED$252+EE$250-EE$251</f>
        <v>0</v>
      </c>
      <c r="EF252" s="10" t="n">
        <f aca="false">EE$252+EF$250-EF$251</f>
        <v>0</v>
      </c>
      <c r="EG252" s="10" t="n">
        <f aca="false">EF$252+EG$250-EG$251</f>
        <v>0</v>
      </c>
      <c r="EH252" s="10" t="n">
        <f aca="false">EG$252+EH$250-EH$251</f>
        <v>0</v>
      </c>
      <c r="EI252" s="10" t="n">
        <f aca="false">EH$252+EI$250-EI$251</f>
        <v>0</v>
      </c>
      <c r="EJ252" s="10" t="n">
        <f aca="false">EI$252+EJ$250-EJ$251</f>
        <v>0</v>
      </c>
      <c r="EK252" s="10" t="n">
        <f aca="false">EJ$252+EK$250-EK$251</f>
        <v>0</v>
      </c>
      <c r="EL252" s="10" t="n">
        <f aca="false">EK$252+EL$250-EL$251</f>
        <v>0</v>
      </c>
      <c r="EM252" s="10" t="n">
        <f aca="false">EL$252+EM$250-EM$251</f>
        <v>0</v>
      </c>
      <c r="EN252" s="10" t="n">
        <f aca="false">EM$252+EN$250-EN$251</f>
        <v>0</v>
      </c>
      <c r="EO252" s="10" t="n">
        <f aca="false">EN$252+EO$250-EO$251</f>
        <v>0</v>
      </c>
      <c r="EP252" s="10" t="n">
        <f aca="false">EO$252+EP$250-EP$251</f>
        <v>0</v>
      </c>
      <c r="EQ252" s="10" t="n">
        <f aca="false">EP$252+EQ$250-EQ$251</f>
        <v>0</v>
      </c>
      <c r="ER252" s="10" t="n">
        <f aca="false">EQ$252+ER$250-ER$251</f>
        <v>0</v>
      </c>
      <c r="ES252" s="10" t="n">
        <f aca="false">ER$252+ES$250-ES$251</f>
        <v>0</v>
      </c>
    </row>
    <row r="253" customFormat="false" ht="15" hidden="false" customHeight="false" outlineLevel="0" collapsed="false">
      <c r="A253" s="2" t="s">
        <v>863</v>
      </c>
      <c r="B253" s="6" t="s">
        <v>728</v>
      </c>
      <c r="C253" s="6" t="s">
        <v>250</v>
      </c>
      <c r="E253" s="40" t="n">
        <f aca="false">MIN(F253:ES253)</f>
        <v>-311740.118672618</v>
      </c>
      <c r="F253" s="34" t="n">
        <f aca="false">F$245+F$247-F$248</f>
        <v>535727.93036656</v>
      </c>
      <c r="G253" s="34" t="n">
        <f aca="false">G$245+G$247-G$248</f>
        <v>555194.83809215</v>
      </c>
      <c r="H253" s="34" t="n">
        <f aca="false">H$245+H$247-H$248</f>
        <v>574661.745817739</v>
      </c>
      <c r="I253" s="34" t="n">
        <f aca="false">I$245+I$247-I$248</f>
        <v>594128.653543329</v>
      </c>
      <c r="J253" s="34" t="n">
        <f aca="false">J$245+J$247-J$248</f>
        <v>613595.561268919</v>
      </c>
      <c r="K253" s="34" t="n">
        <f aca="false">K$245+K$247-K$248</f>
        <v>633062.468994509</v>
      </c>
      <c r="L253" s="34" t="n">
        <f aca="false">L$245+L$247-L$248</f>
        <v>610406.072625411</v>
      </c>
      <c r="M253" s="34" t="n">
        <f aca="false">M$245+M$247-M$248</f>
        <v>587781.268734384</v>
      </c>
      <c r="N253" s="34" t="n">
        <f aca="false">N$245+N$247-N$248</f>
        <v>565188.294265013</v>
      </c>
      <c r="O253" s="34" t="n">
        <f aca="false">O$245+O$247-O$248</f>
        <v>542627.387937962</v>
      </c>
      <c r="P253" s="34" t="n">
        <f aca="false">P$245+P$247-P$248</f>
        <v>520098.790264297</v>
      </c>
      <c r="Q253" s="34" t="n">
        <f aca="false">Q$245+Q$247-Q$248</f>
        <v>497602.743558918</v>
      </c>
      <c r="R253" s="34" t="n">
        <f aca="false">R$245+R$247-R$248</f>
        <v>129920.95007682</v>
      </c>
      <c r="S253" s="34" t="n">
        <f aca="false">S$245+S$247-S$248</f>
        <v>145489.642054168</v>
      </c>
      <c r="T253" s="34" t="n">
        <f aca="false">T$245+T$247-T$248</f>
        <v>161091.622903299</v>
      </c>
      <c r="U253" s="34" t="n">
        <f aca="false">U$245+U$247-U$248</f>
        <v>176727.142290749</v>
      </c>
      <c r="V253" s="34" t="n">
        <f aca="false">V$245+V$247-V$248</f>
        <v>192396.451755556</v>
      </c>
      <c r="W253" s="34" t="n">
        <f aca="false">W$245+W$247-W$248</f>
        <v>208099.804723301</v>
      </c>
      <c r="X253" s="34" t="n">
        <f aca="false">X$245+X$247-X$248</f>
        <v>223837.456520255</v>
      </c>
      <c r="Y253" s="34" t="n">
        <f aca="false">Y$245+Y$247-Y$248</f>
        <v>239609.664387639</v>
      </c>
      <c r="Z253" s="34" t="n">
        <f aca="false">Z$245+Z$247-Z$248</f>
        <v>255416.687495978</v>
      </c>
      <c r="AA253" s="34" t="n">
        <f aca="false">AA$245+AA$247-AA$248</f>
        <v>271258.786959582</v>
      </c>
      <c r="AB253" s="34" t="n">
        <f aca="false">AB$245+AB$247-AB$248</f>
        <v>287136.225851114</v>
      </c>
      <c r="AC253" s="34" t="n">
        <f aca="false">AC$245+AC$247-AC$248</f>
        <v>303049.269216285</v>
      </c>
      <c r="AD253" s="34" t="n">
        <f aca="false">AD$245+AD$247-AD$248</f>
        <v>-311740.118672618</v>
      </c>
      <c r="AE253" s="34" t="n">
        <f aca="false">AE$245+AE$247-AE$248</f>
        <v>-259166.435385603</v>
      </c>
      <c r="AF253" s="34" t="n">
        <f aca="false">AF$245+AF$247-AF$248</f>
        <v>-206556.340501018</v>
      </c>
      <c r="AG253" s="34" t="n">
        <f aca="false">AG$245+AG$247-AG$248</f>
        <v>-153909.560931882</v>
      </c>
      <c r="AH253" s="34" t="n">
        <f aca="false">AH$245+AH$247-AH$248</f>
        <v>-101225.821543058</v>
      </c>
      <c r="AI253" s="34" t="n">
        <f aca="false">AI$245+AI$247-AI$248</f>
        <v>-48504.8451359012</v>
      </c>
      <c r="AJ253" s="34" t="n">
        <f aca="false">AJ$245+AJ$247-AJ$248</f>
        <v>4253.64756722731</v>
      </c>
      <c r="AK253" s="34" t="n">
        <f aca="false">AK$245+AK$247-AK$248</f>
        <v>57049.9379385471</v>
      </c>
      <c r="AL253" s="34" t="n">
        <f aca="false">AL$245+AL$247-AL$248</f>
        <v>109884.309460569</v>
      </c>
      <c r="AM253" s="34" t="n">
        <f aca="false">AM$245+AM$247-AM$248</f>
        <v>162757.047741925</v>
      </c>
      <c r="AN253" s="34" t="n">
        <f aca="false">AN$245+AN$247-AN$248</f>
        <v>215668.440533308</v>
      </c>
      <c r="AO253" s="34" t="n">
        <f aca="false">AO$245+AO$247-AO$248</f>
        <v>268618.777743544</v>
      </c>
      <c r="AP253" s="34" t="n">
        <f aca="false">AP$245+AP$247-AP$248</f>
        <v>-204392.169462804</v>
      </c>
      <c r="AQ253" s="34" t="n">
        <f aca="false">AQ$245+AQ$247-AQ$248</f>
        <v>-118554.51596008</v>
      </c>
      <c r="AR253" s="34" t="n">
        <f aca="false">AR$245+AR$247-AR$248</f>
        <v>-32677.0352007788</v>
      </c>
      <c r="AS253" s="34" t="n">
        <f aca="false">AS$245+AS$247-AS$248</f>
        <v>53240.5715195248</v>
      </c>
      <c r="AT253" s="34" t="n">
        <f aca="false">AT$245+AT$247-AT$248</f>
        <v>139198.605145538</v>
      </c>
      <c r="AU253" s="34" t="n">
        <f aca="false">AU$245+AU$247-AU$248</f>
        <v>225197.368879053</v>
      </c>
      <c r="AV253" s="34" t="n">
        <f aca="false">AV$245+AV$247-AV$248</f>
        <v>311237.168195877</v>
      </c>
      <c r="AW253" s="34" t="n">
        <f aca="false">AW$245+AW$247-AW$248</f>
        <v>397318.310862885</v>
      </c>
      <c r="AX253" s="34" t="n">
        <f aca="false">AX$245+AX$247-AX$248</f>
        <v>483441.106955202</v>
      </c>
      <c r="AY253" s="34" t="n">
        <f aca="false">AY$245+AY$247-AY$248</f>
        <v>569605.868873519</v>
      </c>
      <c r="AZ253" s="34" t="n">
        <f aca="false">AZ$245+AZ$247-AZ$248</f>
        <v>655812.91136153</v>
      </c>
      <c r="BA253" s="34" t="n">
        <f aca="false">BA$245+BA$247-BA$248</f>
        <v>742062.551523509</v>
      </c>
      <c r="BB253" s="34" t="n">
        <f aca="false">BB$245+BB$247-BB$248</f>
        <v>791565.146132666</v>
      </c>
      <c r="BC253" s="34" t="n">
        <f aca="false">BC$245+BC$247-BC$248</f>
        <v>879220.527482878</v>
      </c>
      <c r="BD253" s="34" t="n">
        <f aca="false">BD$245+BD$247-BD$248</f>
        <v>966919.47216105</v>
      </c>
      <c r="BE253" s="34" t="n">
        <f aca="false">BE$245+BE$247-BE$248</f>
        <v>1054662.30689214</v>
      </c>
      <c r="BF253" s="34" t="n">
        <f aca="false">BF$245+BF$247-BF$248</f>
        <v>337495.982470628</v>
      </c>
      <c r="BG253" s="34" t="n">
        <f aca="false">BG$245+BG$247-BG$248</f>
        <v>425327.587302565</v>
      </c>
      <c r="BH253" s="34" t="n">
        <f aca="false">BH$245+BH$247-BH$248</f>
        <v>513204.077138576</v>
      </c>
      <c r="BI253" s="34" t="n">
        <f aca="false">BI$245+BI$247-BI$248</f>
        <v>601125.788616189</v>
      </c>
      <c r="BJ253" s="34" t="n">
        <f aca="false">BJ$245+BJ$247-BJ$248</f>
        <v>689093.060897719</v>
      </c>
      <c r="BK253" s="34" t="n">
        <f aca="false">BK$245+BK$247-BK$248</f>
        <v>777106.235689193</v>
      </c>
      <c r="BL253" s="34" t="n">
        <f aca="false">BL$245+BL$247-BL$248</f>
        <v>865165.657259436</v>
      </c>
      <c r="BM253" s="34" t="n">
        <f aca="false">BM$245+BM$247-BM$248</f>
        <v>953271.672459288</v>
      </c>
      <c r="BN253" s="34" t="n">
        <f aca="false">BN$245+BN$247-BN$248</f>
        <v>1070847.25778852</v>
      </c>
      <c r="BO253" s="34" t="n">
        <f aca="false">BO$245+BO$247-BO$248</f>
        <v>1226147.69958634</v>
      </c>
      <c r="BP253" s="34" t="n">
        <f aca="false">BP$245+BP$247-BP$248</f>
        <v>1381448.14138417</v>
      </c>
      <c r="BQ253" s="34" t="n">
        <f aca="false">BQ$245+BQ$247-BQ$248</f>
        <v>1536748.583182</v>
      </c>
      <c r="BR253" s="34" t="n">
        <f aca="false">BR$245+BR$247-BR$248</f>
        <v>228122.480611604</v>
      </c>
      <c r="BS253" s="34" t="n">
        <f aca="false">BS$245+BS$247-BS$248</f>
        <v>383422.92240943</v>
      </c>
      <c r="BT253" s="34" t="n">
        <f aca="false">BT$245+BT$247-BT$248</f>
        <v>538723.364207257</v>
      </c>
      <c r="BU253" s="34" t="n">
        <f aca="false">BU$245+BU$247-BU$248</f>
        <v>694023.806005083</v>
      </c>
      <c r="BV253" s="34" t="n">
        <f aca="false">BV$245+BV$247-BV$248</f>
        <v>849324.247802909</v>
      </c>
      <c r="BW253" s="34" t="n">
        <f aca="false">BW$245+BW$247-BW$248</f>
        <v>1004624.68960073</v>
      </c>
      <c r="BX253" s="34" t="n">
        <f aca="false">BX$245+BX$247-BX$248</f>
        <v>1159925.13139856</v>
      </c>
      <c r="BY253" s="34" t="n">
        <f aca="false">BY$245+BY$247-BY$248</f>
        <v>1315225.57319639</v>
      </c>
      <c r="BZ253" s="34" t="n">
        <f aca="false">BZ$245+BZ$247-BZ$248</f>
        <v>1436551.70246101</v>
      </c>
      <c r="CA253" s="34" t="n">
        <f aca="false">CA$245+CA$247-CA$248</f>
        <v>1595967.72495041</v>
      </c>
      <c r="CB253" s="34" t="n">
        <f aca="false">CB$245+CB$247-CB$248</f>
        <v>1755383.74743981</v>
      </c>
      <c r="CC253" s="34" t="n">
        <f aca="false">CC$245+CC$247-CC$248</f>
        <v>1914799.76992921</v>
      </c>
      <c r="CD253" s="34" t="n">
        <f aca="false">CD$245+CD$247-CD$248</f>
        <v>280027.099844691</v>
      </c>
      <c r="CE253" s="34" t="n">
        <f aca="false">CE$245+CE$247-CE$248</f>
        <v>439443.122334091</v>
      </c>
      <c r="CF253" s="34" t="n">
        <f aca="false">CF$245+CF$247-CF$248</f>
        <v>598859.144823491</v>
      </c>
      <c r="CG253" s="34" t="n">
        <f aca="false">CG$245+CG$247-CG$248</f>
        <v>758275.167312891</v>
      </c>
      <c r="CH253" s="34" t="n">
        <f aca="false">CH$245+CH$247-CH$248</f>
        <v>917691.18980229</v>
      </c>
      <c r="CI253" s="34" t="n">
        <f aca="false">CI$245+CI$247-CI$248</f>
        <v>1077107.21229169</v>
      </c>
      <c r="CJ253" s="34" t="n">
        <f aca="false">CJ$245+CJ$247-CJ$248</f>
        <v>1236523.23478109</v>
      </c>
      <c r="CK253" s="34" t="n">
        <f aca="false">CK$245+CK$247-CK$248</f>
        <v>1395939.25727049</v>
      </c>
      <c r="CL253" s="34" t="n">
        <f aca="false">CL$245+CL$247-CL$248</f>
        <v>1521040.85812226</v>
      </c>
      <c r="CM253" s="34" t="n">
        <f aca="false">CM$245+CM$247-CM$248</f>
        <v>1684600.67666855</v>
      </c>
      <c r="CN253" s="34" t="n">
        <f aca="false">CN$245+CN$247-CN$248</f>
        <v>1848160.49521483</v>
      </c>
      <c r="CO253" s="34" t="n">
        <f aca="false">CO$245+CO$247-CO$248</f>
        <v>2011720.31376112</v>
      </c>
      <c r="CP253" s="34" t="n">
        <f aca="false">CP$245+CP$247-CP$248</f>
        <v>331704.47143461</v>
      </c>
      <c r="CQ253" s="34" t="n">
        <f aca="false">CQ$245+CQ$247-CQ$248</f>
        <v>495264.289980898</v>
      </c>
      <c r="CR253" s="34" t="n">
        <f aca="false">CR$245+CR$247-CR$248</f>
        <v>658824.108527185</v>
      </c>
      <c r="CS253" s="34" t="n">
        <f aca="false">CS$245+CS$247-CS$248</f>
        <v>822383.927073473</v>
      </c>
      <c r="CT253" s="34" t="n">
        <f aca="false">CT$245+CT$247-CT$248</f>
        <v>985943.74561976</v>
      </c>
      <c r="CU253" s="34" t="n">
        <f aca="false">CU$245+CU$247-CU$248</f>
        <v>1149503.56416605</v>
      </c>
      <c r="CV253" s="34" t="n">
        <f aca="false">CV$245+CV$247-CV$248</f>
        <v>1313063.38271234</v>
      </c>
      <c r="CW253" s="34" t="n">
        <f aca="false">CW$245+CW$247-CW$248</f>
        <v>1476623.20125862</v>
      </c>
      <c r="CX253" s="34" t="n">
        <f aca="false">CX$245+CX$247-CX$248</f>
        <v>1605525.07895819</v>
      </c>
      <c r="CY253" s="34" t="n">
        <f aca="false">CY$245+CY$247-CY$248</f>
        <v>1773256.8086071</v>
      </c>
      <c r="CZ253" s="34" t="n">
        <f aca="false">CZ$245+CZ$247-CZ$248</f>
        <v>1940988.53825601</v>
      </c>
      <c r="DA253" s="34" t="n">
        <f aca="false">DA$245+DA$247-DA$248</f>
        <v>2108720.26790492</v>
      </c>
      <c r="DB253" s="34" t="n">
        <f aca="false">DB$245+DB$247-DB$248</f>
        <v>383150.783998375</v>
      </c>
      <c r="DC253" s="34" t="n">
        <f aca="false">DC$245+DC$247-DC$248</f>
        <v>550882.513647283</v>
      </c>
      <c r="DD253" s="34" t="n">
        <f aca="false">DD$245+DD$247-DD$248</f>
        <v>718614.24329619</v>
      </c>
      <c r="DE253" s="34" t="n">
        <f aca="false">DE$245+DE$247-DE$248</f>
        <v>886345.972945098</v>
      </c>
      <c r="DF253" s="34" t="n">
        <f aca="false">DF$245+DF$247-DF$248</f>
        <v>1054077.70259401</v>
      </c>
      <c r="DG253" s="34" t="n">
        <f aca="false">DG$245+DG$247-DG$248</f>
        <v>1221809.43224291</v>
      </c>
      <c r="DH253" s="34" t="n">
        <f aca="false">DH$245+DH$247-DH$248</f>
        <v>1389541.16189182</v>
      </c>
      <c r="DI253" s="34" t="n">
        <f aca="false">DI$245+DI$247-DI$248</f>
        <v>1557272.89154073</v>
      </c>
      <c r="DJ253" s="34" t="n">
        <f aca="false">DJ$245+DJ$247-DJ$248</f>
        <v>1689999.71669704</v>
      </c>
      <c r="DK253" s="34" t="n">
        <f aca="false">DK$245+DK$247-DK$248</f>
        <v>1861931.35981212</v>
      </c>
      <c r="DL253" s="34" t="n">
        <f aca="false">DL$245+DL$247-DL$248</f>
        <v>2033863.00292721</v>
      </c>
      <c r="DM253" s="34" t="n">
        <f aca="false">DM$245+DM$247-DM$248</f>
        <v>2205794.64604229</v>
      </c>
      <c r="DN253" s="34" t="n">
        <f aca="false">DN$245+DN$247-DN$248</f>
        <v>434362.142370491</v>
      </c>
      <c r="DO253" s="34" t="n">
        <f aca="false">DO$245+DO$247-DO$248</f>
        <v>606293.785485577</v>
      </c>
      <c r="DP253" s="34" t="n">
        <f aca="false">DP$245+DP$247-DP$248</f>
        <v>778225.428600663</v>
      </c>
      <c r="DQ253" s="34" t="n">
        <f aca="false">DQ$245+DQ$247-DQ$248</f>
        <v>950157.071715749</v>
      </c>
      <c r="DR253" s="34" t="n">
        <f aca="false">DR$245+DR$247-DR$248</f>
        <v>1122088.71483084</v>
      </c>
      <c r="DS253" s="34" t="n">
        <f aca="false">DS$245+DS$247-DS$248</f>
        <v>1294020.35794592</v>
      </c>
      <c r="DT253" s="34" t="n">
        <f aca="false">DT$245+DT$247-DT$248</f>
        <v>1465952.00106101</v>
      </c>
      <c r="DU253" s="34" t="n">
        <f aca="false">DU$245+DU$247-DU$248</f>
        <v>1637883.64417609</v>
      </c>
      <c r="DV253" s="34" t="n">
        <f aca="false">DV$245+DV$247-DV$248</f>
        <v>1637883.64417609</v>
      </c>
      <c r="DW253" s="34" t="n">
        <f aca="false">DW$245+DW$247-DW$248</f>
        <v>1637883.64417609</v>
      </c>
      <c r="DX253" s="34" t="n">
        <f aca="false">DX$245+DX$247-DX$248</f>
        <v>1637883.64417609</v>
      </c>
      <c r="DY253" s="34" t="n">
        <f aca="false">DY$245+DY$247-DY$248</f>
        <v>1637883.64417609</v>
      </c>
      <c r="DZ253" s="34" t="n">
        <f aca="false">DZ$245+DZ$247-DZ$248</f>
        <v>1637883.64417609</v>
      </c>
      <c r="EA253" s="34" t="n">
        <f aca="false">EA$245+EA$247-EA$248</f>
        <v>1637883.64417609</v>
      </c>
      <c r="EB253" s="34" t="n">
        <f aca="false">EB$245+EB$247-EB$248</f>
        <v>1637883.64417609</v>
      </c>
      <c r="EC253" s="34" t="n">
        <f aca="false">EC$245+EC$247-EC$248</f>
        <v>1637883.64417609</v>
      </c>
      <c r="ED253" s="34" t="n">
        <f aca="false">ED$245+ED$247-ED$248</f>
        <v>1637883.64417609</v>
      </c>
      <c r="EE253" s="34" t="n">
        <f aca="false">EE$245+EE$247-EE$248</f>
        <v>1637883.64417609</v>
      </c>
      <c r="EF253" s="34" t="n">
        <f aca="false">EF$245+EF$247-EF$248</f>
        <v>1637883.64417609</v>
      </c>
      <c r="EG253" s="34" t="n">
        <f aca="false">EG$245+EG$247-EG$248</f>
        <v>1637883.64417609</v>
      </c>
      <c r="EH253" s="34" t="n">
        <f aca="false">EH$245+EH$247-EH$248</f>
        <v>1637883.64417609</v>
      </c>
      <c r="EI253" s="34" t="n">
        <f aca="false">EI$245+EI$247-EI$248</f>
        <v>1637883.64417609</v>
      </c>
      <c r="EJ253" s="34" t="n">
        <f aca="false">EJ$245+EJ$247-EJ$248</f>
        <v>1637883.64417609</v>
      </c>
      <c r="EK253" s="34" t="n">
        <f aca="false">EK$245+EK$247-EK$248</f>
        <v>1637883.64417609</v>
      </c>
      <c r="EL253" s="34" t="n">
        <f aca="false">EL$245+EL$247-EL$248</f>
        <v>1637883.64417609</v>
      </c>
      <c r="EM253" s="34" t="n">
        <f aca="false">EM$245+EM$247-EM$248</f>
        <v>1637883.64417609</v>
      </c>
      <c r="EN253" s="34" t="n">
        <f aca="false">EN$245+EN$247-EN$248</f>
        <v>1637883.64417609</v>
      </c>
      <c r="EO253" s="34" t="n">
        <f aca="false">EO$245+EO$247-EO$248</f>
        <v>1637883.64417609</v>
      </c>
      <c r="EP253" s="34" t="n">
        <f aca="false">EP$245+EP$247-EP$248</f>
        <v>1637883.64417609</v>
      </c>
      <c r="EQ253" s="34" t="n">
        <f aca="false">EQ$245+EQ$247-EQ$248</f>
        <v>1637883.64417609</v>
      </c>
      <c r="ER253" s="34" t="n">
        <f aca="false">ER$245+ER$247-ER$248</f>
        <v>1637883.64417609</v>
      </c>
      <c r="ES253" s="34" t="n">
        <f aca="false">ES$245+ES$247-ES$248</f>
        <v>1637883.64417609</v>
      </c>
    </row>
    <row r="254" customFormat="false" ht="15" hidden="false" customHeight="false" outlineLevel="0" collapsed="false">
      <c r="A254" s="2" t="s">
        <v>864</v>
      </c>
      <c r="B254" s="6" t="s">
        <v>730</v>
      </c>
      <c r="C254" s="6" t="s">
        <v>250</v>
      </c>
      <c r="F254" s="34" t="n">
        <f aca="false">IF(F$7=1,F$211,0+F$211)</f>
        <v>13500.8903089231</v>
      </c>
      <c r="G254" s="34" t="n">
        <f aca="false">IF(G$7=1,G$211,F$254+G$211)</f>
        <v>27001.7806178461</v>
      </c>
      <c r="H254" s="34" t="n">
        <f aca="false">IF(H$7=1,H$211,G$254+H$211)</f>
        <v>40502.6709267692</v>
      </c>
      <c r="I254" s="34" t="n">
        <f aca="false">IF(I$7=1,I$211,H$254+I$211)</f>
        <v>54003.5612356923</v>
      </c>
      <c r="J254" s="34" t="n">
        <f aca="false">IF(J$7=1,J$211,I$254+J$211)</f>
        <v>67504.4515446154</v>
      </c>
      <c r="K254" s="34" t="n">
        <f aca="false">IF(K$7=1,K$211,J$254+K$211)</f>
        <v>81005.3418535384</v>
      </c>
      <c r="L254" s="34" t="n">
        <f aca="false">IF(L$7=1,L$211,K$254+L$211)</f>
        <v>94506.2321624615</v>
      </c>
      <c r="M254" s="34" t="n">
        <f aca="false">IF(M$7=1,M$211,L$254+M$211)</f>
        <v>108354.639730166</v>
      </c>
      <c r="N254" s="34" t="n">
        <f aca="false">IF(N$7=1,N$211,M$254+N$211)</f>
        <v>122553.170936092</v>
      </c>
      <c r="O254" s="34" t="n">
        <f aca="false">IF(O$7=1,O$211,N$254+O$211)</f>
        <v>137104.451707527</v>
      </c>
      <c r="P254" s="34" t="n">
        <f aca="false">IF(P$7=1,P$211,O$254+P$211)</f>
        <v>152011.127666212</v>
      </c>
      <c r="Q254" s="34" t="n">
        <f aca="false">IF(Q$7=1,Q$211,P$254+Q$211)</f>
        <v>167275.864276051</v>
      </c>
      <c r="R254" s="34" t="n">
        <f aca="false">IF(R$7=1,R$211,Q$254+R$211)</f>
        <v>52791.0519009191</v>
      </c>
      <c r="S254" s="34" t="n">
        <f aca="false">IF(S$7=1,S$211,R$254+S$211)</f>
        <v>105945.555503672</v>
      </c>
      <c r="T254" s="34" t="n">
        <f aca="false">IF(T$7=1,T$211,S$254+T$211)</f>
        <v>159466.236696021</v>
      </c>
      <c r="U254" s="34" t="n">
        <f aca="false">IF(U$7=1,U$211,T$254+U$211)</f>
        <v>213355.84180989</v>
      </c>
      <c r="V254" s="34" t="n">
        <f aca="false">IF(V$7=1,V$211,U$254+V$211)</f>
        <v>267617.137774689</v>
      </c>
      <c r="W254" s="34" t="n">
        <f aca="false">IF(W$7=1,W$211,V$254+W$211)</f>
        <v>322252.9122718</v>
      </c>
      <c r="X254" s="34" t="n">
        <f aca="false">IF(X$7=1,X$211,W$254+X$211)</f>
        <v>377265.973890217</v>
      </c>
      <c r="Y254" s="34" t="n">
        <f aca="false">IF(Y$7=1,Y$211,X$254+Y$211)</f>
        <v>432659.152283347</v>
      </c>
      <c r="Z254" s="34" t="n">
        <f aca="false">IF(Z$7=1,Z$211,Y$254+Z$211)</f>
        <v>488435.298327003</v>
      </c>
      <c r="AA254" s="34" t="n">
        <f aca="false">IF(AA$7=1,AA$211,Z$254+AA$211)</f>
        <v>544597.284278563</v>
      </c>
      <c r="AB254" s="34" t="n">
        <f aca="false">IF(AB$7=1,AB$211,AA$254+AB$211)</f>
        <v>601148.003937336</v>
      </c>
      <c r="AC254" s="34" t="n">
        <f aca="false">IF(AC$7=1,AC$211,AB$254+AC$211)</f>
        <v>658090.372806125</v>
      </c>
      <c r="AD254" s="34" t="n">
        <f aca="false">IF(AD$7=1,AD$211,AC$254+AD$211)</f>
        <v>93925.5833190422</v>
      </c>
      <c r="AE254" s="34" t="n">
        <f aca="false">IF(AE$7=1,AE$211,AD$254+AE$211)</f>
        <v>188248.71261652</v>
      </c>
      <c r="AF254" s="34" t="n">
        <f aca="false">IF(AF$7=1,AF$211,AE$254+AF$211)</f>
        <v>282972.369487272</v>
      </c>
      <c r="AG254" s="34" t="n">
        <f aca="false">IF(AG$7=1,AG$211,AF$254+AG$211)</f>
        <v>378099.557888097</v>
      </c>
      <c r="AH254" s="34" t="n">
        <f aca="false">IF(AH$7=1,AH$211,AG$254+AH$211)</f>
        <v>473633.30430547</v>
      </c>
      <c r="AI254" s="34" t="n">
        <f aca="false">IF(AI$7=1,AI$211,AH$254+AI$211)</f>
        <v>569576.657924517</v>
      </c>
      <c r="AJ254" s="34" t="n">
        <f aca="false">IF(AJ$7=1,AJ$211,AI$254+AJ$211)</f>
        <v>665932.69079925</v>
      </c>
      <c r="AK254" s="34" t="n">
        <f aca="false">IF(AK$7=1,AK$211,AJ$254+AK$211)</f>
        <v>762704.498024086</v>
      </c>
      <c r="AL254" s="34" t="n">
        <f aca="false">IF(AL$7=1,AL$211,AK$254+AL$211)</f>
        <v>859895.19790665</v>
      </c>
      <c r="AM254" s="34" t="n">
        <f aca="false">IF(AM$7=1,AM$211,AL$254+AM$211)</f>
        <v>957507.932141877</v>
      </c>
      <c r="AN254" s="34" t="n">
        <f aca="false">IF(AN$7=1,AN$211,AM$254+AN$211)</f>
        <v>1055545.86598741</v>
      </c>
      <c r="AO254" s="34" t="n">
        <f aca="false">IF(AO$7=1,AO$211,AN$254+AO$211)</f>
        <v>1154012.18844033</v>
      </c>
      <c r="AP254" s="34" t="n">
        <f aca="false">IF(AP$7=1,AP$211,AO$254+AP$211)</f>
        <v>131706.472989591</v>
      </c>
      <c r="AQ254" s="34" t="n">
        <f aca="false">IF(AQ$7=1,AQ$211,AP$254+AQ$211)</f>
        <v>263847.784512537</v>
      </c>
      <c r="AR254" s="34" t="n">
        <f aca="false">IF(AR$7=1,AR$211,AQ$254+AR$211)</f>
        <v>396427.195857836</v>
      </c>
      <c r="AS254" s="34" t="n">
        <f aca="false">IF(AS$7=1,AS$211,AR$254+AS$211)</f>
        <v>529447.992774158</v>
      </c>
      <c r="AT254" s="34" t="n">
        <f aca="false">IF(AT$7=1,AT$211,AS$254+AT$211)</f>
        <v>662913.485653284</v>
      </c>
      <c r="AU254" s="34" t="n">
        <f aca="false">IF(AU$7=1,AU$211,AT$254+AU$211)</f>
        <v>796827.009714936</v>
      </c>
      <c r="AV254" s="34" t="n">
        <f aca="false">IF(AV$7=1,AV$211,AU$254+AV$211)</f>
        <v>931191.925192983</v>
      </c>
      <c r="AW254" s="34" t="n">
        <f aca="false">IF(AW$7=1,AW$211,AV$254+AW$211)</f>
        <v>1066011.61752305</v>
      </c>
      <c r="AX254" s="34" t="n">
        <f aca="false">IF(AX$7=1,AX$211,AW$254+AX$211)</f>
        <v>1201289.49753152</v>
      </c>
      <c r="AY254" s="34" t="n">
        <f aca="false">IF(AY$7=1,AY$211,AX$254+AY$211)</f>
        <v>1337029.00162599</v>
      </c>
      <c r="AZ254" s="34" t="n">
        <f aca="false">IF(AZ$7=1,AZ$211,AY$254+AZ$211)</f>
        <v>1473233.5919871</v>
      </c>
      <c r="BA254" s="34" t="n">
        <f aca="false">IF(BA$7=1,BA$211,AZ$254+BA$211)</f>
        <v>1609906.75676184</v>
      </c>
      <c r="BB254" s="34" t="n">
        <f aca="false">IF(BB$7=1,BB$211,BA$254+BB$211)</f>
        <v>138464.838493007</v>
      </c>
      <c r="BC254" s="34" t="n">
        <f aca="false">IF(BC$7=1,BC$211,BB$254+BC$211)</f>
        <v>277405.30637317</v>
      </c>
      <c r="BD254" s="34" t="n">
        <f aca="false">IF(BD$7=1,BD$211,BC$254+BD$211)</f>
        <v>416824.970860893</v>
      </c>
      <c r="BE254" s="34" t="n">
        <f aca="false">IF(BE$7=1,BE$211,BD$254+BE$211)</f>
        <v>556727.425930732</v>
      </c>
      <c r="BF254" s="34" t="n">
        <f aca="false">IF(BF$7=1,BF$211,BE$254+BF$211)</f>
        <v>697116.292512053</v>
      </c>
      <c r="BG254" s="34" t="n">
        <f aca="false">IF(BG$7=1,BG$211,BF$254+BG$211)</f>
        <v>837995.218691193</v>
      </c>
      <c r="BH254" s="34" t="n">
        <f aca="false">IF(BH$7=1,BH$211,BG$254+BH$211)</f>
        <v>979367.879915134</v>
      </c>
      <c r="BI254" s="34" t="n">
        <f aca="false">IF(BI$7=1,BI$211,BH$254+BI$211)</f>
        <v>1121237.97919671</v>
      </c>
      <c r="BJ254" s="34" t="n">
        <f aca="false">IF(BJ$7=1,BJ$211,BI$254+BJ$211)</f>
        <v>1263609.24732136</v>
      </c>
      <c r="BK254" s="34" t="n">
        <f aca="false">IF(BK$7=1,BK$211,BJ$254+BK$211)</f>
        <v>1406485.44305541</v>
      </c>
      <c r="BL254" s="34" t="n">
        <f aca="false">IF(BL$7=1,BL$211,BK$254+BL$211)</f>
        <v>1549870.35335591</v>
      </c>
      <c r="BM254" s="34" t="n">
        <f aca="false">IF(BM$7=1,BM$211,BL$254+BM$211)</f>
        <v>1693767.79358213</v>
      </c>
      <c r="BN254" s="34" t="n">
        <f aca="false">IF(BN$7=1,BN$211,BM$254+BN$211)</f>
        <v>149515.724381159</v>
      </c>
      <c r="BO254" s="34" t="n">
        <f aca="false">IF(BO$7=1,BO$211,BN$254+BO$211)</f>
        <v>299031.448762319</v>
      </c>
      <c r="BP254" s="34" t="n">
        <f aca="false">IF(BP$7=1,BP$211,BO$254+BP$211)</f>
        <v>448547.173143478</v>
      </c>
      <c r="BQ254" s="34" t="n">
        <f aca="false">IF(BQ$7=1,BQ$211,BP$254+BQ$211)</f>
        <v>598062.897524638</v>
      </c>
      <c r="BR254" s="34" t="n">
        <f aca="false">IF(BR$7=1,BR$211,BQ$254+BR$211)</f>
        <v>747578.621905797</v>
      </c>
      <c r="BS254" s="34" t="n">
        <f aca="false">IF(BS$7=1,BS$211,BR$254+BS$211)</f>
        <v>897094.346286957</v>
      </c>
      <c r="BT254" s="34" t="n">
        <f aca="false">IF(BT$7=1,BT$211,BS$254+BT$211)</f>
        <v>1046610.07066812</v>
      </c>
      <c r="BU254" s="34" t="n">
        <f aca="false">IF(BU$7=1,BU$211,BT$254+BU$211)</f>
        <v>1196125.79504928</v>
      </c>
      <c r="BV254" s="34" t="n">
        <f aca="false">IF(BV$7=1,BV$211,BU$254+BV$211)</f>
        <v>1345641.51943044</v>
      </c>
      <c r="BW254" s="34" t="n">
        <f aca="false">IF(BW$7=1,BW$211,BV$254+BW$211)</f>
        <v>1495157.2438116</v>
      </c>
      <c r="BX254" s="34" t="n">
        <f aca="false">IF(BX$7=1,BX$211,BW$254+BX$211)</f>
        <v>1644672.96819275</v>
      </c>
      <c r="BY254" s="34" t="n">
        <f aca="false">IF(BY$7=1,BY$211,BX$254+BY$211)</f>
        <v>1794188.69257391</v>
      </c>
      <c r="BZ254" s="34" t="n">
        <f aca="false">IF(BZ$7=1,BZ$211,BY$254+BZ$211)</f>
        <v>153631.305072733</v>
      </c>
      <c r="CA254" s="34" t="n">
        <f aca="false">IF(CA$7=1,CA$211,BZ$254+CA$211)</f>
        <v>307262.610145466</v>
      </c>
      <c r="CB254" s="34" t="n">
        <f aca="false">IF(CB$7=1,CB$211,CA$254+CB$211)</f>
        <v>460893.915218199</v>
      </c>
      <c r="CC254" s="34" t="n">
        <f aca="false">IF(CC$7=1,CC$211,CB$254+CC$211)</f>
        <v>614525.220290932</v>
      </c>
      <c r="CD254" s="34" t="n">
        <f aca="false">IF(CD$7=1,CD$211,CC$254+CD$211)</f>
        <v>768156.525363665</v>
      </c>
      <c r="CE254" s="34" t="n">
        <f aca="false">IF(CE$7=1,CE$211,CD$254+CE$211)</f>
        <v>921787.830436399</v>
      </c>
      <c r="CF254" s="34" t="n">
        <f aca="false">IF(CF$7=1,CF$211,CE$254+CF$211)</f>
        <v>1075419.13550913</v>
      </c>
      <c r="CG254" s="34" t="n">
        <f aca="false">IF(CG$7=1,CG$211,CF$254+CG$211)</f>
        <v>1229050.44058186</v>
      </c>
      <c r="CH254" s="34" t="n">
        <f aca="false">IF(CH$7=1,CH$211,CG$254+CH$211)</f>
        <v>1382681.7456546</v>
      </c>
      <c r="CI254" s="34" t="n">
        <f aca="false">IF(CI$7=1,CI$211,CH$254+CI$211)</f>
        <v>1536313.05072733</v>
      </c>
      <c r="CJ254" s="34" t="n">
        <f aca="false">IF(CJ$7=1,CJ$211,CI$254+CJ$211)</f>
        <v>1689944.35580006</v>
      </c>
      <c r="CK254" s="34" t="n">
        <f aca="false">IF(CK$7=1,CK$211,CJ$254+CK$211)</f>
        <v>1843575.6608728</v>
      </c>
      <c r="CL254" s="34" t="n">
        <f aca="false">IF(CL$7=1,CL$211,CK$254+CL$211)</f>
        <v>157775.101129621</v>
      </c>
      <c r="CM254" s="34" t="n">
        <f aca="false">IF(CM$7=1,CM$211,CL$254+CM$211)</f>
        <v>315550.202259242</v>
      </c>
      <c r="CN254" s="34" t="n">
        <f aca="false">IF(CN$7=1,CN$211,CM$254+CN$211)</f>
        <v>473325.303388863</v>
      </c>
      <c r="CO254" s="34" t="n">
        <f aca="false">IF(CO$7=1,CO$211,CN$254+CO$211)</f>
        <v>631100.404518483</v>
      </c>
      <c r="CP254" s="34" t="n">
        <f aca="false">IF(CP$7=1,CP$211,CO$254+CP$211)</f>
        <v>788875.505648104</v>
      </c>
      <c r="CQ254" s="34" t="n">
        <f aca="false">IF(CQ$7=1,CQ$211,CP$254+CQ$211)</f>
        <v>946650.606777725</v>
      </c>
      <c r="CR254" s="34" t="n">
        <f aca="false">IF(CR$7=1,CR$211,CQ$254+CR$211)</f>
        <v>1104425.70790735</v>
      </c>
      <c r="CS254" s="34" t="n">
        <f aca="false">IF(CS$7=1,CS$211,CR$254+CS$211)</f>
        <v>1262200.80903697</v>
      </c>
      <c r="CT254" s="34" t="n">
        <f aca="false">IF(CT$7=1,CT$211,CS$254+CT$211)</f>
        <v>1419975.91016659</v>
      </c>
      <c r="CU254" s="34" t="n">
        <f aca="false">IF(CU$7=1,CU$211,CT$254+CU$211)</f>
        <v>1577751.01129621</v>
      </c>
      <c r="CV254" s="34" t="n">
        <f aca="false">IF(CV$7=1,CV$211,CU$254+CV$211)</f>
        <v>1735526.11242583</v>
      </c>
      <c r="CW254" s="34" t="n">
        <f aca="false">IF(CW$7=1,CW$211,CV$254+CW$211)</f>
        <v>1893301.21355545</v>
      </c>
      <c r="CX254" s="34" t="n">
        <f aca="false">IF(CX$7=1,CX$211,CW$254+CX$211)</f>
        <v>161947.012232241</v>
      </c>
      <c r="CY254" s="34" t="n">
        <f aca="false">IF(CY$7=1,CY$211,CX$254+CY$211)</f>
        <v>323894.024464482</v>
      </c>
      <c r="CZ254" s="34" t="n">
        <f aca="false">IF(CZ$7=1,CZ$211,CY$254+CZ$211)</f>
        <v>485841.036696723</v>
      </c>
      <c r="DA254" s="34" t="n">
        <f aca="false">IF(DA$7=1,DA$211,CZ$254+DA$211)</f>
        <v>647788.048928964</v>
      </c>
      <c r="DB254" s="34" t="n">
        <f aca="false">IF(DB$7=1,DB$211,DA$254+DB$211)</f>
        <v>809735.061161204</v>
      </c>
      <c r="DC254" s="34" t="n">
        <f aca="false">IF(DC$7=1,DC$211,DB$254+DC$211)</f>
        <v>971682.073393445</v>
      </c>
      <c r="DD254" s="34" t="n">
        <f aca="false">IF(DD$7=1,DD$211,DC$254+DD$211)</f>
        <v>1133629.08562569</v>
      </c>
      <c r="DE254" s="34" t="n">
        <f aca="false">IF(DE$7=1,DE$211,DD$254+DE$211)</f>
        <v>1295576.09785793</v>
      </c>
      <c r="DF254" s="34" t="n">
        <f aca="false">IF(DF$7=1,DF$211,DE$254+DF$211)</f>
        <v>1457523.11009017</v>
      </c>
      <c r="DG254" s="34" t="n">
        <f aca="false">IF(DG$7=1,DG$211,DF$254+DG$211)</f>
        <v>1619470.12232241</v>
      </c>
      <c r="DH254" s="34" t="n">
        <f aca="false">IF(DH$7=1,DH$211,DG$254+DH$211)</f>
        <v>1781417.13455465</v>
      </c>
      <c r="DI254" s="34" t="n">
        <f aca="false">IF(DI$7=1,DI$211,DH$254+DI$211)</f>
        <v>1943364.14678689</v>
      </c>
      <c r="DJ254" s="34" t="n">
        <f aca="false">IF(DJ$7=1,DJ$211,DI$254+DJ$211)</f>
        <v>166146.925698419</v>
      </c>
      <c r="DK254" s="34" t="n">
        <f aca="false">IF(DK$7=1,DK$211,DJ$254+DK$211)</f>
        <v>332293.851396839</v>
      </c>
      <c r="DL254" s="34" t="n">
        <f aca="false">IF(DL$7=1,DL$211,DK$254+DL$211)</f>
        <v>498440.777095258</v>
      </c>
      <c r="DM254" s="34" t="n">
        <f aca="false">IF(DM$7=1,DM$211,DL$254+DM$211)</f>
        <v>664587.702793678</v>
      </c>
      <c r="DN254" s="34" t="n">
        <f aca="false">IF(DN$7=1,DN$211,DM$254+DN$211)</f>
        <v>830734.628492097</v>
      </c>
      <c r="DO254" s="34" t="n">
        <f aca="false">IF(DO$7=1,DO$211,DN$254+DO$211)</f>
        <v>996881.554190517</v>
      </c>
      <c r="DP254" s="34" t="n">
        <f aca="false">IF(DP$7=1,DP$211,DO$254+DP$211)</f>
        <v>1163028.47988894</v>
      </c>
      <c r="DQ254" s="34" t="n">
        <f aca="false">IF(DQ$7=1,DQ$211,DP$254+DQ$211)</f>
        <v>1329175.40558736</v>
      </c>
      <c r="DR254" s="34" t="n">
        <f aca="false">IF(DR$7=1,DR$211,DQ$254+DR$211)</f>
        <v>1495322.33128578</v>
      </c>
      <c r="DS254" s="34" t="n">
        <f aca="false">IF(DS$7=1,DS$211,DR$254+DS$211)</f>
        <v>1661469.25698419</v>
      </c>
      <c r="DT254" s="34" t="n">
        <f aca="false">IF(DT$7=1,DT$211,DS$254+DT$211)</f>
        <v>1827616.18268261</v>
      </c>
      <c r="DU254" s="34" t="n">
        <f aca="false">IF(DU$7=1,DU$211,DT$254+DU$211)</f>
        <v>1993763.10838103</v>
      </c>
      <c r="DV254" s="34" t="n">
        <f aca="false">IF(DV$7=1,DV$211,DU$254+DV$211)</f>
        <v>0</v>
      </c>
      <c r="DW254" s="34" t="n">
        <f aca="false">IF(DW$7=1,DW$211,DV$254+DW$211)</f>
        <v>0</v>
      </c>
      <c r="DX254" s="34" t="n">
        <f aca="false">IF(DX$7=1,DX$211,DW$254+DX$211)</f>
        <v>0</v>
      </c>
      <c r="DY254" s="34" t="n">
        <f aca="false">IF(DY$7=1,DY$211,DX$254+DY$211)</f>
        <v>0</v>
      </c>
      <c r="DZ254" s="34" t="n">
        <f aca="false">IF(DZ$7=1,DZ$211,DY$254+DZ$211)</f>
        <v>0</v>
      </c>
      <c r="EA254" s="34" t="n">
        <f aca="false">IF(EA$7=1,EA$211,DZ$254+EA$211)</f>
        <v>0</v>
      </c>
      <c r="EB254" s="34" t="n">
        <f aca="false">IF(EB$7=1,EB$211,EA$254+EB$211)</f>
        <v>0</v>
      </c>
      <c r="EC254" s="34" t="n">
        <f aca="false">IF(EC$7=1,EC$211,EB$254+EC$211)</f>
        <v>0</v>
      </c>
      <c r="ED254" s="34" t="n">
        <f aca="false">IF(ED$7=1,ED$211,EC$254+ED$211)</f>
        <v>0</v>
      </c>
      <c r="EE254" s="34" t="n">
        <f aca="false">IF(EE$7=1,EE$211,ED$254+EE$211)</f>
        <v>0</v>
      </c>
      <c r="EF254" s="34" t="n">
        <f aca="false">IF(EF$7=1,EF$211,EE$254+EF$211)</f>
        <v>0</v>
      </c>
      <c r="EG254" s="34" t="n">
        <f aca="false">IF(EG$7=1,EG$211,EF$254+EG$211)</f>
        <v>0</v>
      </c>
      <c r="EH254" s="34" t="n">
        <f aca="false">IF(EH$7=1,EH$211,EG$254+EH$211)</f>
        <v>0</v>
      </c>
      <c r="EI254" s="34" t="n">
        <f aca="false">IF(EI$7=1,EI$211,EH$254+EI$211)</f>
        <v>0</v>
      </c>
      <c r="EJ254" s="34" t="n">
        <f aca="false">IF(EJ$7=1,EJ$211,EI$254+EJ$211)</f>
        <v>0</v>
      </c>
      <c r="EK254" s="34" t="n">
        <f aca="false">IF(EK$7=1,EK$211,EJ$254+EK$211)</f>
        <v>0</v>
      </c>
      <c r="EL254" s="34" t="n">
        <f aca="false">IF(EL$7=1,EL$211,EK$254+EL$211)</f>
        <v>0</v>
      </c>
      <c r="EM254" s="34" t="n">
        <f aca="false">IF(EM$7=1,EM$211,EL$254+EM$211)</f>
        <v>0</v>
      </c>
      <c r="EN254" s="34" t="n">
        <f aca="false">IF(EN$7=1,EN$211,EM$254+EN$211)</f>
        <v>0</v>
      </c>
      <c r="EO254" s="34" t="n">
        <f aca="false">IF(EO$7=1,EO$211,EN$254+EO$211)</f>
        <v>0</v>
      </c>
      <c r="EP254" s="34" t="n">
        <f aca="false">IF(EP$7=1,EP$211,EO$254+EP$211)</f>
        <v>0</v>
      </c>
      <c r="EQ254" s="34" t="n">
        <f aca="false">IF(EQ$7=1,EQ$211,EP$254+EQ$211)</f>
        <v>0</v>
      </c>
      <c r="ER254" s="34" t="n">
        <f aca="false">IF(ER$7=1,ER$211,EQ$254+ER$211)</f>
        <v>0</v>
      </c>
      <c r="ES254" s="34" t="n">
        <f aca="false">IF(ES$7=1,ES$211,ER$254+ES$211)</f>
        <v>0</v>
      </c>
    </row>
    <row r="255" customFormat="false" ht="15" hidden="false" customHeight="false" outlineLevel="0" collapsed="false">
      <c r="A255" s="2" t="s">
        <v>865</v>
      </c>
      <c r="B255" s="6" t="s">
        <v>732</v>
      </c>
      <c r="C255" s="6" t="s">
        <v>250</v>
      </c>
      <c r="F255" s="34" t="n">
        <f aca="false">0</f>
        <v>0</v>
      </c>
      <c r="G255" s="34" t="n">
        <f aca="false">IF(G$7=1,F$254,F$255)</f>
        <v>0</v>
      </c>
      <c r="H255" s="34" t="n">
        <f aca="false">IF(H$7=1,G$254,G$255)</f>
        <v>0</v>
      </c>
      <c r="I255" s="34" t="n">
        <f aca="false">IF(I$7=1,H$254,H$255)</f>
        <v>0</v>
      </c>
      <c r="J255" s="34" t="n">
        <f aca="false">IF(J$7=1,I$254,I$255)</f>
        <v>0</v>
      </c>
      <c r="K255" s="34" t="n">
        <f aca="false">IF(K$7=1,J$254,J$255)</f>
        <v>0</v>
      </c>
      <c r="L255" s="34" t="n">
        <f aca="false">IF(L$7=1,K$254,K$255)</f>
        <v>0</v>
      </c>
      <c r="M255" s="34" t="n">
        <f aca="false">IF(M$7=1,L$254,L$255)</f>
        <v>0</v>
      </c>
      <c r="N255" s="34" t="n">
        <f aca="false">IF(N$7=1,M$254,M$255)</f>
        <v>0</v>
      </c>
      <c r="O255" s="34" t="n">
        <f aca="false">IF(O$7=1,N$254,N$255)</f>
        <v>0</v>
      </c>
      <c r="P255" s="34" t="n">
        <f aca="false">IF(P$7=1,O$254,O$255)</f>
        <v>0</v>
      </c>
      <c r="Q255" s="34" t="n">
        <f aca="false">IF(Q$7=1,P$254,P$255)</f>
        <v>0</v>
      </c>
      <c r="R255" s="34" t="n">
        <f aca="false">IF(R$7=1,Q$254,Q$255)</f>
        <v>167275.864276051</v>
      </c>
      <c r="S255" s="34" t="n">
        <f aca="false">IF(S$7=1,R$254,R$255)</f>
        <v>167275.864276051</v>
      </c>
      <c r="T255" s="34" t="n">
        <f aca="false">IF(T$7=1,S$254,S$255)</f>
        <v>167275.864276051</v>
      </c>
      <c r="U255" s="34" t="n">
        <f aca="false">IF(U$7=1,T$254,T$255)</f>
        <v>167275.864276051</v>
      </c>
      <c r="V255" s="34" t="n">
        <f aca="false">IF(V$7=1,U$254,U$255)</f>
        <v>167275.864276051</v>
      </c>
      <c r="W255" s="34" t="n">
        <f aca="false">IF(W$7=1,V$254,V$255)</f>
        <v>167275.864276051</v>
      </c>
      <c r="X255" s="34" t="n">
        <f aca="false">IF(X$7=1,W$254,W$255)</f>
        <v>167275.864276051</v>
      </c>
      <c r="Y255" s="34" t="n">
        <f aca="false">IF(Y$7=1,X$254,X$255)</f>
        <v>167275.864276051</v>
      </c>
      <c r="Z255" s="34" t="n">
        <f aca="false">IF(Z$7=1,Y$254,Y$255)</f>
        <v>167275.864276051</v>
      </c>
      <c r="AA255" s="34" t="n">
        <f aca="false">IF(AA$7=1,Z$254,Z$255)</f>
        <v>167275.864276051</v>
      </c>
      <c r="AB255" s="34" t="n">
        <f aca="false">IF(AB$7=1,AA$254,AA$255)</f>
        <v>167275.864276051</v>
      </c>
      <c r="AC255" s="34" t="n">
        <f aca="false">IF(AC$7=1,AB$254,AB$255)</f>
        <v>167275.864276051</v>
      </c>
      <c r="AD255" s="34" t="n">
        <f aca="false">IF(AD$7=1,AC$254,AC$255)</f>
        <v>658090.372806125</v>
      </c>
      <c r="AE255" s="34" t="n">
        <f aca="false">IF(AE$7=1,AD$254,AD$255)</f>
        <v>658090.372806125</v>
      </c>
      <c r="AF255" s="34" t="n">
        <f aca="false">IF(AF$7=1,AE$254,AE$255)</f>
        <v>658090.372806125</v>
      </c>
      <c r="AG255" s="34" t="n">
        <f aca="false">IF(AG$7=1,AF$254,AF$255)</f>
        <v>658090.372806125</v>
      </c>
      <c r="AH255" s="34" t="n">
        <f aca="false">IF(AH$7=1,AG$254,AG$255)</f>
        <v>658090.372806125</v>
      </c>
      <c r="AI255" s="34" t="n">
        <f aca="false">IF(AI$7=1,AH$254,AH$255)</f>
        <v>658090.372806125</v>
      </c>
      <c r="AJ255" s="34" t="n">
        <f aca="false">IF(AJ$7=1,AI$254,AI$255)</f>
        <v>658090.372806125</v>
      </c>
      <c r="AK255" s="34" t="n">
        <f aca="false">IF(AK$7=1,AJ$254,AJ$255)</f>
        <v>658090.372806125</v>
      </c>
      <c r="AL255" s="34" t="n">
        <f aca="false">IF(AL$7=1,AK$254,AK$255)</f>
        <v>658090.372806125</v>
      </c>
      <c r="AM255" s="34" t="n">
        <f aca="false">IF(AM$7=1,AL$254,AL$255)</f>
        <v>658090.372806125</v>
      </c>
      <c r="AN255" s="34" t="n">
        <f aca="false">IF(AN$7=1,AM$254,AM$255)</f>
        <v>658090.372806125</v>
      </c>
      <c r="AO255" s="34" t="n">
        <f aca="false">IF(AO$7=1,AN$254,AN$255)</f>
        <v>658090.372806125</v>
      </c>
      <c r="AP255" s="34" t="n">
        <f aca="false">IF(AP$7=1,AO$254,AO$255)</f>
        <v>1154012.18844033</v>
      </c>
      <c r="AQ255" s="34" t="n">
        <f aca="false">IF(AQ$7=1,AP$254,AP$255)</f>
        <v>1154012.18844033</v>
      </c>
      <c r="AR255" s="34" t="n">
        <f aca="false">IF(AR$7=1,AQ$254,AQ$255)</f>
        <v>1154012.18844033</v>
      </c>
      <c r="AS255" s="34" t="n">
        <f aca="false">IF(AS$7=1,AR$254,AR$255)</f>
        <v>1154012.18844033</v>
      </c>
      <c r="AT255" s="34" t="n">
        <f aca="false">IF(AT$7=1,AS$254,AS$255)</f>
        <v>1154012.18844033</v>
      </c>
      <c r="AU255" s="34" t="n">
        <f aca="false">IF(AU$7=1,AT$254,AT$255)</f>
        <v>1154012.18844033</v>
      </c>
      <c r="AV255" s="34" t="n">
        <f aca="false">IF(AV$7=1,AU$254,AU$255)</f>
        <v>1154012.18844033</v>
      </c>
      <c r="AW255" s="34" t="n">
        <f aca="false">IF(AW$7=1,AV$254,AV$255)</f>
        <v>1154012.18844033</v>
      </c>
      <c r="AX255" s="34" t="n">
        <f aca="false">IF(AX$7=1,AW$254,AW$255)</f>
        <v>1154012.18844033</v>
      </c>
      <c r="AY255" s="34" t="n">
        <f aca="false">IF(AY$7=1,AX$254,AX$255)</f>
        <v>1154012.18844033</v>
      </c>
      <c r="AZ255" s="34" t="n">
        <f aca="false">IF(AZ$7=1,AY$254,AY$255)</f>
        <v>1154012.18844033</v>
      </c>
      <c r="BA255" s="34" t="n">
        <f aca="false">IF(BA$7=1,AZ$254,AZ$255)</f>
        <v>1154012.18844033</v>
      </c>
      <c r="BB255" s="34" t="n">
        <f aca="false">IF(BB$7=1,BA$254,BA$255)</f>
        <v>1609906.75676184</v>
      </c>
      <c r="BC255" s="34" t="n">
        <f aca="false">IF(BC$7=1,BB$254,BB$255)</f>
        <v>1609906.75676184</v>
      </c>
      <c r="BD255" s="34" t="n">
        <f aca="false">IF(BD$7=1,BC$254,BC$255)</f>
        <v>1609906.75676184</v>
      </c>
      <c r="BE255" s="34" t="n">
        <f aca="false">IF(BE$7=1,BD$254,BD$255)</f>
        <v>1609906.75676184</v>
      </c>
      <c r="BF255" s="34" t="n">
        <f aca="false">IF(BF$7=1,BE$254,BE$255)</f>
        <v>1609906.75676184</v>
      </c>
      <c r="BG255" s="34" t="n">
        <f aca="false">IF(BG$7=1,BF$254,BF$255)</f>
        <v>1609906.75676184</v>
      </c>
      <c r="BH255" s="34" t="n">
        <f aca="false">IF(BH$7=1,BG$254,BG$255)</f>
        <v>1609906.75676184</v>
      </c>
      <c r="BI255" s="34" t="n">
        <f aca="false">IF(BI$7=1,BH$254,BH$255)</f>
        <v>1609906.75676184</v>
      </c>
      <c r="BJ255" s="34" t="n">
        <f aca="false">IF(BJ$7=1,BI$254,BI$255)</f>
        <v>1609906.75676184</v>
      </c>
      <c r="BK255" s="34" t="n">
        <f aca="false">IF(BK$7=1,BJ$254,BJ$255)</f>
        <v>1609906.75676184</v>
      </c>
      <c r="BL255" s="34" t="n">
        <f aca="false">IF(BL$7=1,BK$254,BK$255)</f>
        <v>1609906.75676184</v>
      </c>
      <c r="BM255" s="34" t="n">
        <f aca="false">IF(BM$7=1,BL$254,BL$255)</f>
        <v>1609906.75676184</v>
      </c>
      <c r="BN255" s="34" t="n">
        <f aca="false">IF(BN$7=1,BM$254,BM$255)</f>
        <v>1693767.79358213</v>
      </c>
      <c r="BO255" s="34" t="n">
        <f aca="false">IF(BO$7=1,BN$254,BN$255)</f>
        <v>1693767.79358213</v>
      </c>
      <c r="BP255" s="34" t="n">
        <f aca="false">IF(BP$7=1,BO$254,BO$255)</f>
        <v>1693767.79358213</v>
      </c>
      <c r="BQ255" s="34" t="n">
        <f aca="false">IF(BQ$7=1,BP$254,BP$255)</f>
        <v>1693767.79358213</v>
      </c>
      <c r="BR255" s="34" t="n">
        <f aca="false">IF(BR$7=1,BQ$254,BQ$255)</f>
        <v>1693767.79358213</v>
      </c>
      <c r="BS255" s="34" t="n">
        <f aca="false">IF(BS$7=1,BR$254,BR$255)</f>
        <v>1693767.79358213</v>
      </c>
      <c r="BT255" s="34" t="n">
        <f aca="false">IF(BT$7=1,BS$254,BS$255)</f>
        <v>1693767.79358213</v>
      </c>
      <c r="BU255" s="34" t="n">
        <f aca="false">IF(BU$7=1,BT$254,BT$255)</f>
        <v>1693767.79358213</v>
      </c>
      <c r="BV255" s="34" t="n">
        <f aca="false">IF(BV$7=1,BU$254,BU$255)</f>
        <v>1693767.79358213</v>
      </c>
      <c r="BW255" s="34" t="n">
        <f aca="false">IF(BW$7=1,BV$254,BV$255)</f>
        <v>1693767.79358213</v>
      </c>
      <c r="BX255" s="34" t="n">
        <f aca="false">IF(BX$7=1,BW$254,BW$255)</f>
        <v>1693767.79358213</v>
      </c>
      <c r="BY255" s="34" t="n">
        <f aca="false">IF(BY$7=1,BX$254,BX$255)</f>
        <v>1693767.79358213</v>
      </c>
      <c r="BZ255" s="34" t="n">
        <f aca="false">IF(BZ$7=1,BY$254,BY$255)</f>
        <v>1794188.69257391</v>
      </c>
      <c r="CA255" s="34" t="n">
        <f aca="false">IF(CA$7=1,BZ$254,BZ$255)</f>
        <v>1794188.69257391</v>
      </c>
      <c r="CB255" s="34" t="n">
        <f aca="false">IF(CB$7=1,CA$254,CA$255)</f>
        <v>1794188.69257391</v>
      </c>
      <c r="CC255" s="34" t="n">
        <f aca="false">IF(CC$7=1,CB$254,CB$255)</f>
        <v>1794188.69257391</v>
      </c>
      <c r="CD255" s="34" t="n">
        <f aca="false">IF(CD$7=1,CC$254,CC$255)</f>
        <v>1794188.69257391</v>
      </c>
      <c r="CE255" s="34" t="n">
        <f aca="false">IF(CE$7=1,CD$254,CD$255)</f>
        <v>1794188.69257391</v>
      </c>
      <c r="CF255" s="34" t="n">
        <f aca="false">IF(CF$7=1,CE$254,CE$255)</f>
        <v>1794188.69257391</v>
      </c>
      <c r="CG255" s="34" t="n">
        <f aca="false">IF(CG$7=1,CF$254,CF$255)</f>
        <v>1794188.69257391</v>
      </c>
      <c r="CH255" s="34" t="n">
        <f aca="false">IF(CH$7=1,CG$254,CG$255)</f>
        <v>1794188.69257391</v>
      </c>
      <c r="CI255" s="34" t="n">
        <f aca="false">IF(CI$7=1,CH$254,CH$255)</f>
        <v>1794188.69257391</v>
      </c>
      <c r="CJ255" s="34" t="n">
        <f aca="false">IF(CJ$7=1,CI$254,CI$255)</f>
        <v>1794188.69257391</v>
      </c>
      <c r="CK255" s="34" t="n">
        <f aca="false">IF(CK$7=1,CJ$254,CJ$255)</f>
        <v>1794188.69257391</v>
      </c>
      <c r="CL255" s="34" t="n">
        <f aca="false">IF(CL$7=1,CK$254,CK$255)</f>
        <v>1843575.6608728</v>
      </c>
      <c r="CM255" s="34" t="n">
        <f aca="false">IF(CM$7=1,CL$254,CL$255)</f>
        <v>1843575.6608728</v>
      </c>
      <c r="CN255" s="34" t="n">
        <f aca="false">IF(CN$7=1,CM$254,CM$255)</f>
        <v>1843575.6608728</v>
      </c>
      <c r="CO255" s="34" t="n">
        <f aca="false">IF(CO$7=1,CN$254,CN$255)</f>
        <v>1843575.6608728</v>
      </c>
      <c r="CP255" s="34" t="n">
        <f aca="false">IF(CP$7=1,CO$254,CO$255)</f>
        <v>1843575.6608728</v>
      </c>
      <c r="CQ255" s="34" t="n">
        <f aca="false">IF(CQ$7=1,CP$254,CP$255)</f>
        <v>1843575.6608728</v>
      </c>
      <c r="CR255" s="34" t="n">
        <f aca="false">IF(CR$7=1,CQ$254,CQ$255)</f>
        <v>1843575.6608728</v>
      </c>
      <c r="CS255" s="34" t="n">
        <f aca="false">IF(CS$7=1,CR$254,CR$255)</f>
        <v>1843575.6608728</v>
      </c>
      <c r="CT255" s="34" t="n">
        <f aca="false">IF(CT$7=1,CS$254,CS$255)</f>
        <v>1843575.6608728</v>
      </c>
      <c r="CU255" s="34" t="n">
        <f aca="false">IF(CU$7=1,CT$254,CT$255)</f>
        <v>1843575.6608728</v>
      </c>
      <c r="CV255" s="34" t="n">
        <f aca="false">IF(CV$7=1,CU$254,CU$255)</f>
        <v>1843575.6608728</v>
      </c>
      <c r="CW255" s="34" t="n">
        <f aca="false">IF(CW$7=1,CV$254,CV$255)</f>
        <v>1843575.6608728</v>
      </c>
      <c r="CX255" s="34" t="n">
        <f aca="false">IF(CX$7=1,CW$254,CW$255)</f>
        <v>1893301.21355545</v>
      </c>
      <c r="CY255" s="34" t="n">
        <f aca="false">IF(CY$7=1,CX$254,CX$255)</f>
        <v>1893301.21355545</v>
      </c>
      <c r="CZ255" s="34" t="n">
        <f aca="false">IF(CZ$7=1,CY$254,CY$255)</f>
        <v>1893301.21355545</v>
      </c>
      <c r="DA255" s="34" t="n">
        <f aca="false">IF(DA$7=1,CZ$254,CZ$255)</f>
        <v>1893301.21355545</v>
      </c>
      <c r="DB255" s="34" t="n">
        <f aca="false">IF(DB$7=1,DA$254,DA$255)</f>
        <v>1893301.21355545</v>
      </c>
      <c r="DC255" s="34" t="n">
        <f aca="false">IF(DC$7=1,DB$254,DB$255)</f>
        <v>1893301.21355545</v>
      </c>
      <c r="DD255" s="34" t="n">
        <f aca="false">IF(DD$7=1,DC$254,DC$255)</f>
        <v>1893301.21355545</v>
      </c>
      <c r="DE255" s="34" t="n">
        <f aca="false">IF(DE$7=1,DD$254,DD$255)</f>
        <v>1893301.21355545</v>
      </c>
      <c r="DF255" s="34" t="n">
        <f aca="false">IF(DF$7=1,DE$254,DE$255)</f>
        <v>1893301.21355545</v>
      </c>
      <c r="DG255" s="34" t="n">
        <f aca="false">IF(DG$7=1,DF$254,DF$255)</f>
        <v>1893301.21355545</v>
      </c>
      <c r="DH255" s="34" t="n">
        <f aca="false">IF(DH$7=1,DG$254,DG$255)</f>
        <v>1893301.21355545</v>
      </c>
      <c r="DI255" s="34" t="n">
        <f aca="false">IF(DI$7=1,DH$254,DH$255)</f>
        <v>1893301.21355545</v>
      </c>
      <c r="DJ255" s="34" t="n">
        <f aca="false">IF(DJ$7=1,DI$254,DI$255)</f>
        <v>1943364.14678689</v>
      </c>
      <c r="DK255" s="34" t="n">
        <f aca="false">IF(DK$7=1,DJ$254,DJ$255)</f>
        <v>1943364.14678689</v>
      </c>
      <c r="DL255" s="34" t="n">
        <f aca="false">IF(DL$7=1,DK$254,DK$255)</f>
        <v>1943364.14678689</v>
      </c>
      <c r="DM255" s="34" t="n">
        <f aca="false">IF(DM$7=1,DL$254,DL$255)</f>
        <v>1943364.14678689</v>
      </c>
      <c r="DN255" s="34" t="n">
        <f aca="false">IF(DN$7=1,DM$254,DM$255)</f>
        <v>1943364.14678689</v>
      </c>
      <c r="DO255" s="34" t="n">
        <f aca="false">IF(DO$7=1,DN$254,DN$255)</f>
        <v>1943364.14678689</v>
      </c>
      <c r="DP255" s="34" t="n">
        <f aca="false">IF(DP$7=1,DO$254,DO$255)</f>
        <v>1943364.14678689</v>
      </c>
      <c r="DQ255" s="34" t="n">
        <f aca="false">IF(DQ$7=1,DP$254,DP$255)</f>
        <v>1943364.14678689</v>
      </c>
      <c r="DR255" s="34" t="n">
        <f aca="false">IF(DR$7=1,DQ$254,DQ$255)</f>
        <v>1943364.14678689</v>
      </c>
      <c r="DS255" s="34" t="n">
        <f aca="false">IF(DS$7=1,DR$254,DR$255)</f>
        <v>1943364.14678689</v>
      </c>
      <c r="DT255" s="34" t="n">
        <f aca="false">IF(DT$7=1,DS$254,DS$255)</f>
        <v>1943364.14678689</v>
      </c>
      <c r="DU255" s="34" t="n">
        <f aca="false">IF(DU$7=1,DT$254,DT$255)</f>
        <v>1943364.14678689</v>
      </c>
      <c r="DV255" s="34" t="n">
        <f aca="false">IF(DV$7=1,DU$254,DU$255)</f>
        <v>1993763.10838103</v>
      </c>
      <c r="DW255" s="34" t="n">
        <f aca="false">IF(DW$7=1,DV$254,DV$255)</f>
        <v>1993763.10838103</v>
      </c>
      <c r="DX255" s="34" t="n">
        <f aca="false">IF(DX$7=1,DW$254,DW$255)</f>
        <v>1993763.10838103</v>
      </c>
      <c r="DY255" s="34" t="n">
        <f aca="false">IF(DY$7=1,DX$254,DX$255)</f>
        <v>1993763.10838103</v>
      </c>
      <c r="DZ255" s="34" t="n">
        <f aca="false">IF(DZ$7=1,DY$254,DY$255)</f>
        <v>1993763.10838103</v>
      </c>
      <c r="EA255" s="34" t="n">
        <f aca="false">IF(EA$7=1,DZ$254,DZ$255)</f>
        <v>1993763.10838103</v>
      </c>
      <c r="EB255" s="34" t="n">
        <f aca="false">IF(EB$7=1,EA$254,EA$255)</f>
        <v>1993763.10838103</v>
      </c>
      <c r="EC255" s="34" t="n">
        <f aca="false">IF(EC$7=1,EB$254,EB$255)</f>
        <v>1993763.10838103</v>
      </c>
      <c r="ED255" s="34" t="n">
        <f aca="false">IF(ED$7=1,EC$254,EC$255)</f>
        <v>1993763.10838103</v>
      </c>
      <c r="EE255" s="34" t="n">
        <f aca="false">IF(EE$7=1,ED$254,ED$255)</f>
        <v>1993763.10838103</v>
      </c>
      <c r="EF255" s="34" t="n">
        <f aca="false">IF(EF$7=1,EE$254,EE$255)</f>
        <v>1993763.10838103</v>
      </c>
      <c r="EG255" s="34" t="n">
        <f aca="false">IF(EG$7=1,EF$254,EF$255)</f>
        <v>1993763.10838103</v>
      </c>
      <c r="EH255" s="34" t="n">
        <f aca="false">IF(EH$7=1,EG$254,EG$255)</f>
        <v>0</v>
      </c>
      <c r="EI255" s="34" t="n">
        <f aca="false">IF(EI$7=1,EH$254,EH$255)</f>
        <v>0</v>
      </c>
      <c r="EJ255" s="34" t="n">
        <f aca="false">IF(EJ$7=1,EI$254,EI$255)</f>
        <v>0</v>
      </c>
      <c r="EK255" s="34" t="n">
        <f aca="false">IF(EK$7=1,EJ$254,EJ$255)</f>
        <v>0</v>
      </c>
      <c r="EL255" s="34" t="n">
        <f aca="false">IF(EL$7=1,EK$254,EK$255)</f>
        <v>0</v>
      </c>
      <c r="EM255" s="34" t="n">
        <f aca="false">IF(EM$7=1,EL$254,EL$255)</f>
        <v>0</v>
      </c>
      <c r="EN255" s="34" t="n">
        <f aca="false">IF(EN$7=1,EM$254,EM$255)</f>
        <v>0</v>
      </c>
      <c r="EO255" s="34" t="n">
        <f aca="false">IF(EO$7=1,EN$254,EN$255)</f>
        <v>0</v>
      </c>
      <c r="EP255" s="34" t="n">
        <f aca="false">IF(EP$7=1,EO$254,EO$255)</f>
        <v>0</v>
      </c>
      <c r="EQ255" s="34" t="n">
        <f aca="false">IF(EQ$7=1,EP$254,EP$255)</f>
        <v>0</v>
      </c>
      <c r="ER255" s="34" t="n">
        <f aca="false">IF(ER$7=1,EQ$254,EQ$255)</f>
        <v>0</v>
      </c>
      <c r="ES255" s="34" t="n">
        <f aca="false">IF(ES$7=1,ER$254,ER$255)</f>
        <v>0</v>
      </c>
    </row>
    <row r="256" customFormat="false" ht="15" hidden="false" customHeight="false" outlineLevel="0" collapsed="false">
      <c r="A256" s="2" t="s">
        <v>866</v>
      </c>
      <c r="B256" s="6" t="s">
        <v>734</v>
      </c>
      <c r="C256" s="6" t="s">
        <v>250</v>
      </c>
      <c r="E256" s="40" t="n">
        <f aca="false">SUM(F256:ES256)</f>
        <v>10319354.5422842</v>
      </c>
      <c r="F256" s="34" t="n">
        <f aca="false">IF(AND(F$7=MAX(1,V_MesDiv),F$6&gt;=2),INDEX(Payout_V,1,MIN(10,F$6-1))*MAX(0,F$255),0)*F$9</f>
        <v>0</v>
      </c>
      <c r="G256" s="34" t="n">
        <f aca="false">IF(AND(G$7=MAX(1,V_MesDiv),G$6&gt;=2),INDEX(Payout_V,1,MIN(10,G$6-1))*MAX(0,G$255),0)*G$9</f>
        <v>0</v>
      </c>
      <c r="H256" s="34" t="n">
        <f aca="false">IF(AND(H$7=MAX(1,V_MesDiv),H$6&gt;=2),INDEX(Payout_V,1,MIN(10,H$6-1))*MAX(0,H$255),0)*H$9</f>
        <v>0</v>
      </c>
      <c r="I256" s="34" t="n">
        <f aca="false">IF(AND(I$7=MAX(1,V_MesDiv),I$6&gt;=2),INDEX(Payout_V,1,MIN(10,I$6-1))*MAX(0,I$255),0)*I$9</f>
        <v>0</v>
      </c>
      <c r="J256" s="34" t="n">
        <f aca="false">IF(AND(J$7=MAX(1,V_MesDiv),J$6&gt;=2),INDEX(Payout_V,1,MIN(10,J$6-1))*MAX(0,J$255),0)*J$9</f>
        <v>0</v>
      </c>
      <c r="K256" s="34" t="n">
        <f aca="false">IF(AND(K$7=MAX(1,V_MesDiv),K$6&gt;=2),INDEX(Payout_V,1,MIN(10,K$6-1))*MAX(0,K$255),0)*K$9</f>
        <v>0</v>
      </c>
      <c r="L256" s="34" t="n">
        <f aca="false">IF(AND(L$7=MAX(1,V_MesDiv),L$6&gt;=2),INDEX(Payout_V,1,MIN(10,L$6-1))*MAX(0,L$255),0)*L$9</f>
        <v>0</v>
      </c>
      <c r="M256" s="34" t="n">
        <f aca="false">IF(AND(M$7=MAX(1,V_MesDiv),M$6&gt;=2),INDEX(Payout_V,1,MIN(10,M$6-1))*MAX(0,M$255),0)*M$9</f>
        <v>0</v>
      </c>
      <c r="N256" s="34" t="n">
        <f aca="false">IF(AND(N$7=MAX(1,V_MesDiv),N$6&gt;=2),INDEX(Payout_V,1,MIN(10,N$6-1))*MAX(0,N$255),0)*N$9</f>
        <v>0</v>
      </c>
      <c r="O256" s="34" t="n">
        <f aca="false">IF(AND(O$7=MAX(1,V_MesDiv),O$6&gt;=2),INDEX(Payout_V,1,MIN(10,O$6-1))*MAX(0,O$255),0)*O$9</f>
        <v>0</v>
      </c>
      <c r="P256" s="34" t="n">
        <f aca="false">IF(AND(P$7=MAX(1,V_MesDiv),P$6&gt;=2),INDEX(Payout_V,1,MIN(10,P$6-1))*MAX(0,P$255),0)*P$9</f>
        <v>0</v>
      </c>
      <c r="Q256" s="34" t="n">
        <f aca="false">IF(AND(Q$7=MAX(1,V_MesDiv),Q$6&gt;=2),INDEX(Payout_V,1,MIN(10,Q$6-1))*MAX(0,Q$255),0)*Q$9</f>
        <v>0</v>
      </c>
      <c r="R256" s="34" t="n">
        <f aca="false">IF(AND(R$7=MAX(1,V_MesDiv),R$6&gt;=2),INDEX(Payout_V,1,MIN(10,R$6-1))*MAX(0,R$255),0)*R$9</f>
        <v>0</v>
      </c>
      <c r="S256" s="34" t="n">
        <f aca="false">IF(AND(S$7=MAX(1,V_MesDiv),S$6&gt;=2),INDEX(Payout_V,1,MIN(10,S$6-1))*MAX(0,S$255),0)*S$9</f>
        <v>0</v>
      </c>
      <c r="T256" s="34" t="n">
        <f aca="false">IF(AND(T$7=MAX(1,V_MesDiv),T$6&gt;=2),INDEX(Payout_V,1,MIN(10,T$6-1))*MAX(0,T$255),0)*T$9</f>
        <v>0</v>
      </c>
      <c r="U256" s="34" t="n">
        <f aca="false">IF(AND(U$7=MAX(1,V_MesDiv),U$6&gt;=2),INDEX(Payout_V,1,MIN(10,U$6-1))*MAX(0,U$255),0)*U$9</f>
        <v>0</v>
      </c>
      <c r="V256" s="34" t="n">
        <f aca="false">IF(AND(V$7=MAX(1,V_MesDiv),V$6&gt;=2),INDEX(Payout_V,1,MIN(10,V$6-1))*MAX(0,V$255),0)*V$9</f>
        <v>0</v>
      </c>
      <c r="W256" s="34" t="n">
        <f aca="false">IF(AND(W$7=MAX(1,V_MesDiv),W$6&gt;=2),INDEX(Payout_V,1,MIN(10,W$6-1))*MAX(0,W$255),0)*W$9</f>
        <v>0</v>
      </c>
      <c r="X256" s="34" t="n">
        <f aca="false">IF(AND(X$7=MAX(1,V_MesDiv),X$6&gt;=2),INDEX(Payout_V,1,MIN(10,X$6-1))*MAX(0,X$255),0)*X$9</f>
        <v>0</v>
      </c>
      <c r="Y256" s="34" t="n">
        <f aca="false">IF(AND(Y$7=MAX(1,V_MesDiv),Y$6&gt;=2),INDEX(Payout_V,1,MIN(10,Y$6-1))*MAX(0,Y$255),0)*Y$9</f>
        <v>0</v>
      </c>
      <c r="Z256" s="34" t="n">
        <f aca="false">IF(AND(Z$7=MAX(1,V_MesDiv),Z$6&gt;=2),INDEX(Payout_V,1,MIN(10,Z$6-1))*MAX(0,Z$255),0)*Z$9</f>
        <v>0</v>
      </c>
      <c r="AA256" s="34" t="n">
        <f aca="false">IF(AND(AA$7=MAX(1,V_MesDiv),AA$6&gt;=2),INDEX(Payout_V,1,MIN(10,AA$6-1))*MAX(0,AA$255),0)*AA$9</f>
        <v>0</v>
      </c>
      <c r="AB256" s="34" t="n">
        <f aca="false">IF(AND(AB$7=MAX(1,V_MesDiv),AB$6&gt;=2),INDEX(Payout_V,1,MIN(10,AB$6-1))*MAX(0,AB$255),0)*AB$9</f>
        <v>0</v>
      </c>
      <c r="AC256" s="34" t="n">
        <f aca="false">IF(AND(AC$7=MAX(1,V_MesDiv),AC$6&gt;=2),INDEX(Payout_V,1,MIN(10,AC$6-1))*MAX(0,AC$255),0)*AC$9</f>
        <v>0</v>
      </c>
      <c r="AD256" s="34" t="n">
        <f aca="false">IF(AND(AD$7=MAX(1,V_MesDiv),AD$6&gt;=2),INDEX(Payout_V,1,MIN(10,AD$6-1))*MAX(0,AD$255),0)*AD$9</f>
        <v>0</v>
      </c>
      <c r="AE256" s="34" t="n">
        <f aca="false">IF(AND(AE$7=MAX(1,V_MesDiv),AE$6&gt;=2),INDEX(Payout_V,1,MIN(10,AE$6-1))*MAX(0,AE$255),0)*AE$9</f>
        <v>0</v>
      </c>
      <c r="AF256" s="34" t="n">
        <f aca="false">IF(AND(AF$7=MAX(1,V_MesDiv),AF$6&gt;=2),INDEX(Payout_V,1,MIN(10,AF$6-1))*MAX(0,AF$255),0)*AF$9</f>
        <v>0</v>
      </c>
      <c r="AG256" s="34" t="n">
        <f aca="false">IF(AND(AG$7=MAX(1,V_MesDiv),AG$6&gt;=2),INDEX(Payout_V,1,MIN(10,AG$6-1))*MAX(0,AG$255),0)*AG$9</f>
        <v>0</v>
      </c>
      <c r="AH256" s="34" t="n">
        <f aca="false">IF(AND(AH$7=MAX(1,V_MesDiv),AH$6&gt;=2),INDEX(Payout_V,1,MIN(10,AH$6-1))*MAX(0,AH$255),0)*AH$9</f>
        <v>0</v>
      </c>
      <c r="AI256" s="34" t="n">
        <f aca="false">IF(AND(AI$7=MAX(1,V_MesDiv),AI$6&gt;=2),INDEX(Payout_V,1,MIN(10,AI$6-1))*MAX(0,AI$255),0)*AI$9</f>
        <v>0</v>
      </c>
      <c r="AJ256" s="34" t="n">
        <f aca="false">IF(AND(AJ$7=MAX(1,V_MesDiv),AJ$6&gt;=2),INDEX(Payout_V,1,MIN(10,AJ$6-1))*MAX(0,AJ$255),0)*AJ$9</f>
        <v>0</v>
      </c>
      <c r="AK256" s="34" t="n">
        <f aca="false">IF(AND(AK$7=MAX(1,V_MesDiv),AK$6&gt;=2),INDEX(Payout_V,1,MIN(10,AK$6-1))*MAX(0,AK$255),0)*AK$9</f>
        <v>0</v>
      </c>
      <c r="AL256" s="34" t="n">
        <f aca="false">IF(AND(AL$7=MAX(1,V_MesDiv),AL$6&gt;=2),INDEX(Payout_V,1,MIN(10,AL$6-1))*MAX(0,AL$255),0)*AL$9</f>
        <v>0</v>
      </c>
      <c r="AM256" s="34" t="n">
        <f aca="false">IF(AND(AM$7=MAX(1,V_MesDiv),AM$6&gt;=2),INDEX(Payout_V,1,MIN(10,AM$6-1))*MAX(0,AM$255),0)*AM$9</f>
        <v>0</v>
      </c>
      <c r="AN256" s="34" t="n">
        <f aca="false">IF(AND(AN$7=MAX(1,V_MesDiv),AN$6&gt;=2),INDEX(Payout_V,1,MIN(10,AN$6-1))*MAX(0,AN$255),0)*AN$9</f>
        <v>0</v>
      </c>
      <c r="AO256" s="34" t="n">
        <f aca="false">IF(AND(AO$7=MAX(1,V_MesDiv),AO$6&gt;=2),INDEX(Payout_V,1,MIN(10,AO$6-1))*MAX(0,AO$255),0)*AO$9</f>
        <v>0</v>
      </c>
      <c r="AP256" s="34" t="n">
        <f aca="false">IF(AND(AP$7=MAX(1,V_MesDiv),AP$6&gt;=2),INDEX(Payout_V,1,MIN(10,AP$6-1))*MAX(0,AP$255),0)*AP$9</f>
        <v>0</v>
      </c>
      <c r="AQ256" s="34" t="n">
        <f aca="false">IF(AND(AQ$7=MAX(1,V_MesDiv),AQ$6&gt;=2),INDEX(Payout_V,1,MIN(10,AQ$6-1))*MAX(0,AQ$255),0)*AQ$9</f>
        <v>0</v>
      </c>
      <c r="AR256" s="34" t="n">
        <f aca="false">IF(AND(AR$7=MAX(1,V_MesDiv),AR$6&gt;=2),INDEX(Payout_V,1,MIN(10,AR$6-1))*MAX(0,AR$255),0)*AR$9</f>
        <v>0</v>
      </c>
      <c r="AS256" s="34" t="n">
        <f aca="false">IF(AND(AS$7=MAX(1,V_MesDiv),AS$6&gt;=2),INDEX(Payout_V,1,MIN(10,AS$6-1))*MAX(0,AS$255),0)*AS$9</f>
        <v>346203.656532099</v>
      </c>
      <c r="AT256" s="34" t="n">
        <f aca="false">IF(AND(AT$7=MAX(1,V_MesDiv),AT$6&gt;=2),INDEX(Payout_V,1,MIN(10,AT$6-1))*MAX(0,AT$255),0)*AT$9</f>
        <v>0</v>
      </c>
      <c r="AU256" s="34" t="n">
        <f aca="false">IF(AND(AU$7=MAX(1,V_MesDiv),AU$6&gt;=2),INDEX(Payout_V,1,MIN(10,AU$6-1))*MAX(0,AU$255),0)*AU$9</f>
        <v>0</v>
      </c>
      <c r="AV256" s="34" t="n">
        <f aca="false">IF(AND(AV$7=MAX(1,V_MesDiv),AV$6&gt;=2),INDEX(Payout_V,1,MIN(10,AV$6-1))*MAX(0,AV$255),0)*AV$9</f>
        <v>0</v>
      </c>
      <c r="AW256" s="34" t="n">
        <f aca="false">IF(AND(AW$7=MAX(1,V_MesDiv),AW$6&gt;=2),INDEX(Payout_V,1,MIN(10,AW$6-1))*MAX(0,AW$255),0)*AW$9</f>
        <v>0</v>
      </c>
      <c r="AX256" s="34" t="n">
        <f aca="false">IF(AND(AX$7=MAX(1,V_MesDiv),AX$6&gt;=2),INDEX(Payout_V,1,MIN(10,AX$6-1))*MAX(0,AX$255),0)*AX$9</f>
        <v>0</v>
      </c>
      <c r="AY256" s="34" t="n">
        <f aca="false">IF(AND(AY$7=MAX(1,V_MesDiv),AY$6&gt;=2),INDEX(Payout_V,1,MIN(10,AY$6-1))*MAX(0,AY$255),0)*AY$9</f>
        <v>0</v>
      </c>
      <c r="AZ256" s="34" t="n">
        <f aca="false">IF(AND(AZ$7=MAX(1,V_MesDiv),AZ$6&gt;=2),INDEX(Payout_V,1,MIN(10,AZ$6-1))*MAX(0,AZ$255),0)*AZ$9</f>
        <v>0</v>
      </c>
      <c r="BA256" s="34" t="n">
        <f aca="false">IF(AND(BA$7=MAX(1,V_MesDiv),BA$6&gt;=2),INDEX(Payout_V,1,MIN(10,BA$6-1))*MAX(0,BA$255),0)*BA$9</f>
        <v>0</v>
      </c>
      <c r="BB256" s="34" t="n">
        <f aca="false">IF(AND(BB$7=MAX(1,V_MesDiv),BB$6&gt;=2),INDEX(Payout_V,1,MIN(10,BB$6-1))*MAX(0,BB$255),0)*BB$9</f>
        <v>0</v>
      </c>
      <c r="BC256" s="34" t="n">
        <f aca="false">IF(AND(BC$7=MAX(1,V_MesDiv),BC$6&gt;=2),INDEX(Payout_V,1,MIN(10,BC$6-1))*MAX(0,BC$255),0)*BC$9</f>
        <v>0</v>
      </c>
      <c r="BD256" s="34" t="n">
        <f aca="false">IF(AND(BD$7=MAX(1,V_MesDiv),BD$6&gt;=2),INDEX(Payout_V,1,MIN(10,BD$6-1))*MAX(0,BD$255),0)*BD$9</f>
        <v>0</v>
      </c>
      <c r="BE256" s="34" t="n">
        <f aca="false">IF(AND(BE$7=MAX(1,V_MesDiv),BE$6&gt;=2),INDEX(Payout_V,1,MIN(10,BE$6-1))*MAX(0,BE$255),0)*BE$9</f>
        <v>804953.378380922</v>
      </c>
      <c r="BF256" s="34" t="n">
        <f aca="false">IF(AND(BF$7=MAX(1,V_MesDiv),BF$6&gt;=2),INDEX(Payout_V,1,MIN(10,BF$6-1))*MAX(0,BF$255),0)*BF$9</f>
        <v>0</v>
      </c>
      <c r="BG256" s="34" t="n">
        <f aca="false">IF(AND(BG$7=MAX(1,V_MesDiv),BG$6&gt;=2),INDEX(Payout_V,1,MIN(10,BG$6-1))*MAX(0,BG$255),0)*BG$9</f>
        <v>0</v>
      </c>
      <c r="BH256" s="34" t="n">
        <f aca="false">IF(AND(BH$7=MAX(1,V_MesDiv),BH$6&gt;=2),INDEX(Payout_V,1,MIN(10,BH$6-1))*MAX(0,BH$255),0)*BH$9</f>
        <v>0</v>
      </c>
      <c r="BI256" s="34" t="n">
        <f aca="false">IF(AND(BI$7=MAX(1,V_MesDiv),BI$6&gt;=2),INDEX(Payout_V,1,MIN(10,BI$6-1))*MAX(0,BI$255),0)*BI$9</f>
        <v>0</v>
      </c>
      <c r="BJ256" s="34" t="n">
        <f aca="false">IF(AND(BJ$7=MAX(1,V_MesDiv),BJ$6&gt;=2),INDEX(Payout_V,1,MIN(10,BJ$6-1))*MAX(0,BJ$255),0)*BJ$9</f>
        <v>0</v>
      </c>
      <c r="BK256" s="34" t="n">
        <f aca="false">IF(AND(BK$7=MAX(1,V_MesDiv),BK$6&gt;=2),INDEX(Payout_V,1,MIN(10,BK$6-1))*MAX(0,BK$255),0)*BK$9</f>
        <v>0</v>
      </c>
      <c r="BL256" s="34" t="n">
        <f aca="false">IF(AND(BL$7=MAX(1,V_MesDiv),BL$6&gt;=2),INDEX(Payout_V,1,MIN(10,BL$6-1))*MAX(0,BL$255),0)*BL$9</f>
        <v>0</v>
      </c>
      <c r="BM256" s="34" t="n">
        <f aca="false">IF(AND(BM$7=MAX(1,V_MesDiv),BM$6&gt;=2),INDEX(Payout_V,1,MIN(10,BM$6-1))*MAX(0,BM$255),0)*BM$9</f>
        <v>0</v>
      </c>
      <c r="BN256" s="34" t="n">
        <f aca="false">IF(AND(BN$7=MAX(1,V_MesDiv),BN$6&gt;=2),INDEX(Payout_V,1,MIN(10,BN$6-1))*MAX(0,BN$255),0)*BN$9</f>
        <v>0</v>
      </c>
      <c r="BO256" s="34" t="n">
        <f aca="false">IF(AND(BO$7=MAX(1,V_MesDiv),BO$6&gt;=2),INDEX(Payout_V,1,MIN(10,BO$6-1))*MAX(0,BO$255),0)*BO$9</f>
        <v>0</v>
      </c>
      <c r="BP256" s="34" t="n">
        <f aca="false">IF(AND(BP$7=MAX(1,V_MesDiv),BP$6&gt;=2),INDEX(Payout_V,1,MIN(10,BP$6-1))*MAX(0,BP$255),0)*BP$9</f>
        <v>0</v>
      </c>
      <c r="BQ256" s="34" t="n">
        <f aca="false">IF(AND(BQ$7=MAX(1,V_MesDiv),BQ$6&gt;=2),INDEX(Payout_V,1,MIN(10,BQ$6-1))*MAX(0,BQ$255),0)*BQ$9</f>
        <v>1693767.79358213</v>
      </c>
      <c r="BR256" s="34" t="n">
        <f aca="false">IF(AND(BR$7=MAX(1,V_MesDiv),BR$6&gt;=2),INDEX(Payout_V,1,MIN(10,BR$6-1))*MAX(0,BR$255),0)*BR$9</f>
        <v>0</v>
      </c>
      <c r="BS256" s="34" t="n">
        <f aca="false">IF(AND(BS$7=MAX(1,V_MesDiv),BS$6&gt;=2),INDEX(Payout_V,1,MIN(10,BS$6-1))*MAX(0,BS$255),0)*BS$9</f>
        <v>0</v>
      </c>
      <c r="BT256" s="34" t="n">
        <f aca="false">IF(AND(BT$7=MAX(1,V_MesDiv),BT$6&gt;=2),INDEX(Payout_V,1,MIN(10,BT$6-1))*MAX(0,BT$255),0)*BT$9</f>
        <v>0</v>
      </c>
      <c r="BU256" s="34" t="n">
        <f aca="false">IF(AND(BU$7=MAX(1,V_MesDiv),BU$6&gt;=2),INDEX(Payout_V,1,MIN(10,BU$6-1))*MAX(0,BU$255),0)*BU$9</f>
        <v>0</v>
      </c>
      <c r="BV256" s="34" t="n">
        <f aca="false">IF(AND(BV$7=MAX(1,V_MesDiv),BV$6&gt;=2),INDEX(Payout_V,1,MIN(10,BV$6-1))*MAX(0,BV$255),0)*BV$9</f>
        <v>0</v>
      </c>
      <c r="BW256" s="34" t="n">
        <f aca="false">IF(AND(BW$7=MAX(1,V_MesDiv),BW$6&gt;=2),INDEX(Payout_V,1,MIN(10,BW$6-1))*MAX(0,BW$255),0)*BW$9</f>
        <v>0</v>
      </c>
      <c r="BX256" s="34" t="n">
        <f aca="false">IF(AND(BX$7=MAX(1,V_MesDiv),BX$6&gt;=2),INDEX(Payout_V,1,MIN(10,BX$6-1))*MAX(0,BX$255),0)*BX$9</f>
        <v>0</v>
      </c>
      <c r="BY256" s="34" t="n">
        <f aca="false">IF(AND(BY$7=MAX(1,V_MesDiv),BY$6&gt;=2),INDEX(Payout_V,1,MIN(10,BY$6-1))*MAX(0,BY$255),0)*BY$9</f>
        <v>0</v>
      </c>
      <c r="BZ256" s="34" t="n">
        <f aca="false">IF(AND(BZ$7=MAX(1,V_MesDiv),BZ$6&gt;=2),INDEX(Payout_V,1,MIN(10,BZ$6-1))*MAX(0,BZ$255),0)*BZ$9</f>
        <v>0</v>
      </c>
      <c r="CA256" s="34" t="n">
        <f aca="false">IF(AND(CA$7=MAX(1,V_MesDiv),CA$6&gt;=2),INDEX(Payout_V,1,MIN(10,CA$6-1))*MAX(0,CA$255),0)*CA$9</f>
        <v>0</v>
      </c>
      <c r="CB256" s="34" t="n">
        <f aca="false">IF(AND(CB$7=MAX(1,V_MesDiv),CB$6&gt;=2),INDEX(Payout_V,1,MIN(10,CB$6-1))*MAX(0,CB$255),0)*CB$9</f>
        <v>0</v>
      </c>
      <c r="CC256" s="34" t="n">
        <f aca="false">IF(AND(CC$7=MAX(1,V_MesDiv),CC$6&gt;=2),INDEX(Payout_V,1,MIN(10,CC$6-1))*MAX(0,CC$255),0)*CC$9</f>
        <v>1794188.69257391</v>
      </c>
      <c r="CD256" s="34" t="n">
        <f aca="false">IF(AND(CD$7=MAX(1,V_MesDiv),CD$6&gt;=2),INDEX(Payout_V,1,MIN(10,CD$6-1))*MAX(0,CD$255),0)*CD$9</f>
        <v>0</v>
      </c>
      <c r="CE256" s="34" t="n">
        <f aca="false">IF(AND(CE$7=MAX(1,V_MesDiv),CE$6&gt;=2),INDEX(Payout_V,1,MIN(10,CE$6-1))*MAX(0,CE$255),0)*CE$9</f>
        <v>0</v>
      </c>
      <c r="CF256" s="34" t="n">
        <f aca="false">IF(AND(CF$7=MAX(1,V_MesDiv),CF$6&gt;=2),INDEX(Payout_V,1,MIN(10,CF$6-1))*MAX(0,CF$255),0)*CF$9</f>
        <v>0</v>
      </c>
      <c r="CG256" s="34" t="n">
        <f aca="false">IF(AND(CG$7=MAX(1,V_MesDiv),CG$6&gt;=2),INDEX(Payout_V,1,MIN(10,CG$6-1))*MAX(0,CG$255),0)*CG$9</f>
        <v>0</v>
      </c>
      <c r="CH256" s="34" t="n">
        <f aca="false">IF(AND(CH$7=MAX(1,V_MesDiv),CH$6&gt;=2),INDEX(Payout_V,1,MIN(10,CH$6-1))*MAX(0,CH$255),0)*CH$9</f>
        <v>0</v>
      </c>
      <c r="CI256" s="34" t="n">
        <f aca="false">IF(AND(CI$7=MAX(1,V_MesDiv),CI$6&gt;=2),INDEX(Payout_V,1,MIN(10,CI$6-1))*MAX(0,CI$255),0)*CI$9</f>
        <v>0</v>
      </c>
      <c r="CJ256" s="34" t="n">
        <f aca="false">IF(AND(CJ$7=MAX(1,V_MesDiv),CJ$6&gt;=2),INDEX(Payout_V,1,MIN(10,CJ$6-1))*MAX(0,CJ$255),0)*CJ$9</f>
        <v>0</v>
      </c>
      <c r="CK256" s="34" t="n">
        <f aca="false">IF(AND(CK$7=MAX(1,V_MesDiv),CK$6&gt;=2),INDEX(Payout_V,1,MIN(10,CK$6-1))*MAX(0,CK$255),0)*CK$9</f>
        <v>0</v>
      </c>
      <c r="CL256" s="34" t="n">
        <f aca="false">IF(AND(CL$7=MAX(1,V_MesDiv),CL$6&gt;=2),INDEX(Payout_V,1,MIN(10,CL$6-1))*MAX(0,CL$255),0)*CL$9</f>
        <v>0</v>
      </c>
      <c r="CM256" s="34" t="n">
        <f aca="false">IF(AND(CM$7=MAX(1,V_MesDiv),CM$6&gt;=2),INDEX(Payout_V,1,MIN(10,CM$6-1))*MAX(0,CM$255),0)*CM$9</f>
        <v>0</v>
      </c>
      <c r="CN256" s="34" t="n">
        <f aca="false">IF(AND(CN$7=MAX(1,V_MesDiv),CN$6&gt;=2),INDEX(Payout_V,1,MIN(10,CN$6-1))*MAX(0,CN$255),0)*CN$9</f>
        <v>0</v>
      </c>
      <c r="CO256" s="34" t="n">
        <f aca="false">IF(AND(CO$7=MAX(1,V_MesDiv),CO$6&gt;=2),INDEX(Payout_V,1,MIN(10,CO$6-1))*MAX(0,CO$255),0)*CO$9</f>
        <v>1843575.6608728</v>
      </c>
      <c r="CP256" s="34" t="n">
        <f aca="false">IF(AND(CP$7=MAX(1,V_MesDiv),CP$6&gt;=2),INDEX(Payout_V,1,MIN(10,CP$6-1))*MAX(0,CP$255),0)*CP$9</f>
        <v>0</v>
      </c>
      <c r="CQ256" s="34" t="n">
        <f aca="false">IF(AND(CQ$7=MAX(1,V_MesDiv),CQ$6&gt;=2),INDEX(Payout_V,1,MIN(10,CQ$6-1))*MAX(0,CQ$255),0)*CQ$9</f>
        <v>0</v>
      </c>
      <c r="CR256" s="34" t="n">
        <f aca="false">IF(AND(CR$7=MAX(1,V_MesDiv),CR$6&gt;=2),INDEX(Payout_V,1,MIN(10,CR$6-1))*MAX(0,CR$255),0)*CR$9</f>
        <v>0</v>
      </c>
      <c r="CS256" s="34" t="n">
        <f aca="false">IF(AND(CS$7=MAX(1,V_MesDiv),CS$6&gt;=2),INDEX(Payout_V,1,MIN(10,CS$6-1))*MAX(0,CS$255),0)*CS$9</f>
        <v>0</v>
      </c>
      <c r="CT256" s="34" t="n">
        <f aca="false">IF(AND(CT$7=MAX(1,V_MesDiv),CT$6&gt;=2),INDEX(Payout_V,1,MIN(10,CT$6-1))*MAX(0,CT$255),0)*CT$9</f>
        <v>0</v>
      </c>
      <c r="CU256" s="34" t="n">
        <f aca="false">IF(AND(CU$7=MAX(1,V_MesDiv),CU$6&gt;=2),INDEX(Payout_V,1,MIN(10,CU$6-1))*MAX(0,CU$255),0)*CU$9</f>
        <v>0</v>
      </c>
      <c r="CV256" s="34" t="n">
        <f aca="false">IF(AND(CV$7=MAX(1,V_MesDiv),CV$6&gt;=2),INDEX(Payout_V,1,MIN(10,CV$6-1))*MAX(0,CV$255),0)*CV$9</f>
        <v>0</v>
      </c>
      <c r="CW256" s="34" t="n">
        <f aca="false">IF(AND(CW$7=MAX(1,V_MesDiv),CW$6&gt;=2),INDEX(Payout_V,1,MIN(10,CW$6-1))*MAX(0,CW$255),0)*CW$9</f>
        <v>0</v>
      </c>
      <c r="CX256" s="34" t="n">
        <f aca="false">IF(AND(CX$7=MAX(1,V_MesDiv),CX$6&gt;=2),INDEX(Payout_V,1,MIN(10,CX$6-1))*MAX(0,CX$255),0)*CX$9</f>
        <v>0</v>
      </c>
      <c r="CY256" s="34" t="n">
        <f aca="false">IF(AND(CY$7=MAX(1,V_MesDiv),CY$6&gt;=2),INDEX(Payout_V,1,MIN(10,CY$6-1))*MAX(0,CY$255),0)*CY$9</f>
        <v>0</v>
      </c>
      <c r="CZ256" s="34" t="n">
        <f aca="false">IF(AND(CZ$7=MAX(1,V_MesDiv),CZ$6&gt;=2),INDEX(Payout_V,1,MIN(10,CZ$6-1))*MAX(0,CZ$255),0)*CZ$9</f>
        <v>0</v>
      </c>
      <c r="DA256" s="34" t="n">
        <f aca="false">IF(AND(DA$7=MAX(1,V_MesDiv),DA$6&gt;=2),INDEX(Payout_V,1,MIN(10,DA$6-1))*MAX(0,DA$255),0)*DA$9</f>
        <v>1893301.21355545</v>
      </c>
      <c r="DB256" s="34" t="n">
        <f aca="false">IF(AND(DB$7=MAX(1,V_MesDiv),DB$6&gt;=2),INDEX(Payout_V,1,MIN(10,DB$6-1))*MAX(0,DB$255),0)*DB$9</f>
        <v>0</v>
      </c>
      <c r="DC256" s="34" t="n">
        <f aca="false">IF(AND(DC$7=MAX(1,V_MesDiv),DC$6&gt;=2),INDEX(Payout_V,1,MIN(10,DC$6-1))*MAX(0,DC$255),0)*DC$9</f>
        <v>0</v>
      </c>
      <c r="DD256" s="34" t="n">
        <f aca="false">IF(AND(DD$7=MAX(1,V_MesDiv),DD$6&gt;=2),INDEX(Payout_V,1,MIN(10,DD$6-1))*MAX(0,DD$255),0)*DD$9</f>
        <v>0</v>
      </c>
      <c r="DE256" s="34" t="n">
        <f aca="false">IF(AND(DE$7=MAX(1,V_MesDiv),DE$6&gt;=2),INDEX(Payout_V,1,MIN(10,DE$6-1))*MAX(0,DE$255),0)*DE$9</f>
        <v>0</v>
      </c>
      <c r="DF256" s="34" t="n">
        <f aca="false">IF(AND(DF$7=MAX(1,V_MesDiv),DF$6&gt;=2),INDEX(Payout_V,1,MIN(10,DF$6-1))*MAX(0,DF$255),0)*DF$9</f>
        <v>0</v>
      </c>
      <c r="DG256" s="34" t="n">
        <f aca="false">IF(AND(DG$7=MAX(1,V_MesDiv),DG$6&gt;=2),INDEX(Payout_V,1,MIN(10,DG$6-1))*MAX(0,DG$255),0)*DG$9</f>
        <v>0</v>
      </c>
      <c r="DH256" s="34" t="n">
        <f aca="false">IF(AND(DH$7=MAX(1,V_MesDiv),DH$6&gt;=2),INDEX(Payout_V,1,MIN(10,DH$6-1))*MAX(0,DH$255),0)*DH$9</f>
        <v>0</v>
      </c>
      <c r="DI256" s="34" t="n">
        <f aca="false">IF(AND(DI$7=MAX(1,V_MesDiv),DI$6&gt;=2),INDEX(Payout_V,1,MIN(10,DI$6-1))*MAX(0,DI$255),0)*DI$9</f>
        <v>0</v>
      </c>
      <c r="DJ256" s="34" t="n">
        <f aca="false">IF(AND(DJ$7=MAX(1,V_MesDiv),DJ$6&gt;=2),INDEX(Payout_V,1,MIN(10,DJ$6-1))*MAX(0,DJ$255),0)*DJ$9</f>
        <v>0</v>
      </c>
      <c r="DK256" s="34" t="n">
        <f aca="false">IF(AND(DK$7=MAX(1,V_MesDiv),DK$6&gt;=2),INDEX(Payout_V,1,MIN(10,DK$6-1))*MAX(0,DK$255),0)*DK$9</f>
        <v>0</v>
      </c>
      <c r="DL256" s="34" t="n">
        <f aca="false">IF(AND(DL$7=MAX(1,V_MesDiv),DL$6&gt;=2),INDEX(Payout_V,1,MIN(10,DL$6-1))*MAX(0,DL$255),0)*DL$9</f>
        <v>0</v>
      </c>
      <c r="DM256" s="34" t="n">
        <f aca="false">IF(AND(DM$7=MAX(1,V_MesDiv),DM$6&gt;=2),INDEX(Payout_V,1,MIN(10,DM$6-1))*MAX(0,DM$255),0)*DM$9</f>
        <v>1943364.14678689</v>
      </c>
      <c r="DN256" s="34" t="n">
        <f aca="false">IF(AND(DN$7=MAX(1,V_MesDiv),DN$6&gt;=2),INDEX(Payout_V,1,MIN(10,DN$6-1))*MAX(0,DN$255),0)*DN$9</f>
        <v>0</v>
      </c>
      <c r="DO256" s="34" t="n">
        <f aca="false">IF(AND(DO$7=MAX(1,V_MesDiv),DO$6&gt;=2),INDEX(Payout_V,1,MIN(10,DO$6-1))*MAX(0,DO$255),0)*DO$9</f>
        <v>0</v>
      </c>
      <c r="DP256" s="34" t="n">
        <f aca="false">IF(AND(DP$7=MAX(1,V_MesDiv),DP$6&gt;=2),INDEX(Payout_V,1,MIN(10,DP$6-1))*MAX(0,DP$255),0)*DP$9</f>
        <v>0</v>
      </c>
      <c r="DQ256" s="34" t="n">
        <f aca="false">IF(AND(DQ$7=MAX(1,V_MesDiv),DQ$6&gt;=2),INDEX(Payout_V,1,MIN(10,DQ$6-1))*MAX(0,DQ$255),0)*DQ$9</f>
        <v>0</v>
      </c>
      <c r="DR256" s="34" t="n">
        <f aca="false">IF(AND(DR$7=MAX(1,V_MesDiv),DR$6&gt;=2),INDEX(Payout_V,1,MIN(10,DR$6-1))*MAX(0,DR$255),0)*DR$9</f>
        <v>0</v>
      </c>
      <c r="DS256" s="34" t="n">
        <f aca="false">IF(AND(DS$7=MAX(1,V_MesDiv),DS$6&gt;=2),INDEX(Payout_V,1,MIN(10,DS$6-1))*MAX(0,DS$255),0)*DS$9</f>
        <v>0</v>
      </c>
      <c r="DT256" s="34" t="n">
        <f aca="false">IF(AND(DT$7=MAX(1,V_MesDiv),DT$6&gt;=2),INDEX(Payout_V,1,MIN(10,DT$6-1))*MAX(0,DT$255),0)*DT$9</f>
        <v>0</v>
      </c>
      <c r="DU256" s="34" t="n">
        <f aca="false">IF(AND(DU$7=MAX(1,V_MesDiv),DU$6&gt;=2),INDEX(Payout_V,1,MIN(10,DU$6-1))*MAX(0,DU$255),0)*DU$9</f>
        <v>0</v>
      </c>
      <c r="DV256" s="34" t="n">
        <f aca="false">IF(AND(DV$7=MAX(1,V_MesDiv),DV$6&gt;=2),INDEX(Payout_V,1,MIN(10,DV$6-1))*MAX(0,DV$255),0)*DV$9</f>
        <v>0</v>
      </c>
      <c r="DW256" s="34" t="n">
        <f aca="false">IF(AND(DW$7=MAX(1,V_MesDiv),DW$6&gt;=2),INDEX(Payout_V,1,MIN(10,DW$6-1))*MAX(0,DW$255),0)*DW$9</f>
        <v>0</v>
      </c>
      <c r="DX256" s="34" t="n">
        <f aca="false">IF(AND(DX$7=MAX(1,V_MesDiv),DX$6&gt;=2),INDEX(Payout_V,1,MIN(10,DX$6-1))*MAX(0,DX$255),0)*DX$9</f>
        <v>0</v>
      </c>
      <c r="DY256" s="34" t="n">
        <f aca="false">IF(AND(DY$7=MAX(1,V_MesDiv),DY$6&gt;=2),INDEX(Payout_V,1,MIN(10,DY$6-1))*MAX(0,DY$255),0)*DY$9</f>
        <v>0</v>
      </c>
      <c r="DZ256" s="34" t="n">
        <f aca="false">IF(AND(DZ$7=MAX(1,V_MesDiv),DZ$6&gt;=2),INDEX(Payout_V,1,MIN(10,DZ$6-1))*MAX(0,DZ$255),0)*DZ$9</f>
        <v>0</v>
      </c>
      <c r="EA256" s="34" t="n">
        <f aca="false">IF(AND(EA$7=MAX(1,V_MesDiv),EA$6&gt;=2),INDEX(Payout_V,1,MIN(10,EA$6-1))*MAX(0,EA$255),0)*EA$9</f>
        <v>0</v>
      </c>
      <c r="EB256" s="34" t="n">
        <f aca="false">IF(AND(EB$7=MAX(1,V_MesDiv),EB$6&gt;=2),INDEX(Payout_V,1,MIN(10,EB$6-1))*MAX(0,EB$255),0)*EB$9</f>
        <v>0</v>
      </c>
      <c r="EC256" s="34" t="n">
        <f aca="false">IF(AND(EC$7=MAX(1,V_MesDiv),EC$6&gt;=2),INDEX(Payout_V,1,MIN(10,EC$6-1))*MAX(0,EC$255),0)*EC$9</f>
        <v>0</v>
      </c>
      <c r="ED256" s="34" t="n">
        <f aca="false">IF(AND(ED$7=MAX(1,V_MesDiv),ED$6&gt;=2),INDEX(Payout_V,1,MIN(10,ED$6-1))*MAX(0,ED$255),0)*ED$9</f>
        <v>0</v>
      </c>
      <c r="EE256" s="34" t="n">
        <f aca="false">IF(AND(EE$7=MAX(1,V_MesDiv),EE$6&gt;=2),INDEX(Payout_V,1,MIN(10,EE$6-1))*MAX(0,EE$255),0)*EE$9</f>
        <v>0</v>
      </c>
      <c r="EF256" s="34" t="n">
        <f aca="false">IF(AND(EF$7=MAX(1,V_MesDiv),EF$6&gt;=2),INDEX(Payout_V,1,MIN(10,EF$6-1))*MAX(0,EF$255),0)*EF$9</f>
        <v>0</v>
      </c>
      <c r="EG256" s="34" t="n">
        <f aca="false">IF(AND(EG$7=MAX(1,V_MesDiv),EG$6&gt;=2),INDEX(Payout_V,1,MIN(10,EG$6-1))*MAX(0,EG$255),0)*EG$9</f>
        <v>0</v>
      </c>
      <c r="EH256" s="34" t="n">
        <f aca="false">IF(AND(EH$7=MAX(1,V_MesDiv),EH$6&gt;=2),INDEX(Payout_V,1,MIN(10,EH$6-1))*MAX(0,EH$255),0)*EH$9</f>
        <v>0</v>
      </c>
      <c r="EI256" s="34" t="n">
        <f aca="false">IF(AND(EI$7=MAX(1,V_MesDiv),EI$6&gt;=2),INDEX(Payout_V,1,MIN(10,EI$6-1))*MAX(0,EI$255),0)*EI$9</f>
        <v>0</v>
      </c>
      <c r="EJ256" s="34" t="n">
        <f aca="false">IF(AND(EJ$7=MAX(1,V_MesDiv),EJ$6&gt;=2),INDEX(Payout_V,1,MIN(10,EJ$6-1))*MAX(0,EJ$255),0)*EJ$9</f>
        <v>0</v>
      </c>
      <c r="EK256" s="34" t="n">
        <f aca="false">IF(AND(EK$7=MAX(1,V_MesDiv),EK$6&gt;=2),INDEX(Payout_V,1,MIN(10,EK$6-1))*MAX(0,EK$255),0)*EK$9</f>
        <v>0</v>
      </c>
      <c r="EL256" s="34" t="n">
        <f aca="false">IF(AND(EL$7=MAX(1,V_MesDiv),EL$6&gt;=2),INDEX(Payout_V,1,MIN(10,EL$6-1))*MAX(0,EL$255),0)*EL$9</f>
        <v>0</v>
      </c>
      <c r="EM256" s="34" t="n">
        <f aca="false">IF(AND(EM$7=MAX(1,V_MesDiv),EM$6&gt;=2),INDEX(Payout_V,1,MIN(10,EM$6-1))*MAX(0,EM$255),0)*EM$9</f>
        <v>0</v>
      </c>
      <c r="EN256" s="34" t="n">
        <f aca="false">IF(AND(EN$7=MAX(1,V_MesDiv),EN$6&gt;=2),INDEX(Payout_V,1,MIN(10,EN$6-1))*MAX(0,EN$255),0)*EN$9</f>
        <v>0</v>
      </c>
      <c r="EO256" s="34" t="n">
        <f aca="false">IF(AND(EO$7=MAX(1,V_MesDiv),EO$6&gt;=2),INDEX(Payout_V,1,MIN(10,EO$6-1))*MAX(0,EO$255),0)*EO$9</f>
        <v>0</v>
      </c>
      <c r="EP256" s="34" t="n">
        <f aca="false">IF(AND(EP$7=MAX(1,V_MesDiv),EP$6&gt;=2),INDEX(Payout_V,1,MIN(10,EP$6-1))*MAX(0,EP$255),0)*EP$9</f>
        <v>0</v>
      </c>
      <c r="EQ256" s="34" t="n">
        <f aca="false">IF(AND(EQ$7=MAX(1,V_MesDiv),EQ$6&gt;=2),INDEX(Payout_V,1,MIN(10,EQ$6-1))*MAX(0,EQ$255),0)*EQ$9</f>
        <v>0</v>
      </c>
      <c r="ER256" s="34" t="n">
        <f aca="false">IF(AND(ER$7=MAX(1,V_MesDiv),ER$6&gt;=2),INDEX(Payout_V,1,MIN(10,ER$6-1))*MAX(0,ER$255),0)*ER$9</f>
        <v>0</v>
      </c>
      <c r="ES256" s="34" t="n">
        <f aca="false">IF(AND(ES$7=MAX(1,V_MesDiv),ES$6&gt;=2),INDEX(Payout_V,1,MIN(10,ES$6-1))*MAX(0,ES$255),0)*ES$9</f>
        <v>0</v>
      </c>
    </row>
    <row r="257" customFormat="false" ht="15" hidden="false" customHeight="false" outlineLevel="0" collapsed="false">
      <c r="A257" s="2" t="s">
        <v>867</v>
      </c>
      <c r="B257" s="6" t="s">
        <v>736</v>
      </c>
      <c r="C257" s="6" t="s">
        <v>250</v>
      </c>
      <c r="E257" s="40" t="n">
        <f aca="false">SUM(F257:ES257)</f>
        <v>9743309.63653819</v>
      </c>
      <c r="F257" s="34" t="n">
        <f aca="false">IF(F$8=1,IF(Reales!$C$51="PYG",IF(F$10&gt;0,N(Reales!F51)/F$10,0),N(Reales!F51)),MIN(F$256,MAX(0,F$253-F$246)))</f>
        <v>0</v>
      </c>
      <c r="G257" s="34" t="n">
        <f aca="false">IF(G$8=1,IF(Reales!$C$51="PYG",IF(G$10&gt;0,N(Reales!G51)/G$10,0),N(Reales!G51)),MIN(G$256,MAX(0,G$253-G$246)))</f>
        <v>0</v>
      </c>
      <c r="H257" s="34" t="n">
        <f aca="false">IF(H$8=1,IF(Reales!$C$51="PYG",IF(H$10&gt;0,N(Reales!H51)/H$10,0),N(Reales!H51)),MIN(H$256,MAX(0,H$253-H$246)))</f>
        <v>0</v>
      </c>
      <c r="I257" s="34" t="n">
        <f aca="false">IF(I$8=1,IF(Reales!$C$51="PYG",IF(I$10&gt;0,N(Reales!I51)/I$10,0),N(Reales!I51)),MIN(I$256,MAX(0,I$253-I$246)))</f>
        <v>0</v>
      </c>
      <c r="J257" s="34" t="n">
        <f aca="false">IF(J$8=1,IF(Reales!$C$51="PYG",IF(J$10&gt;0,N(Reales!J51)/J$10,0),N(Reales!J51)),MIN(J$256,MAX(0,J$253-J$246)))</f>
        <v>0</v>
      </c>
      <c r="K257" s="34" t="n">
        <f aca="false">IF(K$8=1,IF(Reales!$C$51="PYG",IF(K$10&gt;0,N(Reales!K51)/K$10,0),N(Reales!K51)),MIN(K$256,MAX(0,K$253-K$246)))</f>
        <v>0</v>
      </c>
      <c r="L257" s="34" t="n">
        <f aca="false">IF(L$8=1,IF(Reales!$C$51="PYG",IF(L$10&gt;0,N(Reales!L51)/L$10,0),N(Reales!L51)),MIN(L$256,MAX(0,L$253-L$246)))</f>
        <v>0</v>
      </c>
      <c r="M257" s="34" t="n">
        <f aca="false">IF(M$8=1,IF(Reales!$C$51="PYG",IF(M$10&gt;0,N(Reales!M51)/M$10,0),N(Reales!M51)),MIN(M$256,MAX(0,M$253-M$246)))</f>
        <v>0</v>
      </c>
      <c r="N257" s="34" t="n">
        <f aca="false">IF(N$8=1,IF(Reales!$C$51="PYG",IF(N$10&gt;0,N(Reales!N51)/N$10,0),N(Reales!N51)),MIN(N$256,MAX(0,N$253-N$246)))</f>
        <v>0</v>
      </c>
      <c r="O257" s="34" t="n">
        <f aca="false">IF(O$8=1,IF(Reales!$C$51="PYG",IF(O$10&gt;0,N(Reales!O51)/O$10,0),N(Reales!O51)),MIN(O$256,MAX(0,O$253-O$246)))</f>
        <v>0</v>
      </c>
      <c r="P257" s="34" t="n">
        <f aca="false">IF(P$8=1,IF(Reales!$C$51="PYG",IF(P$10&gt;0,N(Reales!P51)/P$10,0),N(Reales!P51)),MIN(P$256,MAX(0,P$253-P$246)))</f>
        <v>0</v>
      </c>
      <c r="Q257" s="34" t="n">
        <f aca="false">IF(Q$8=1,IF(Reales!$C$51="PYG",IF(Q$10&gt;0,N(Reales!Q51)/Q$10,0),N(Reales!Q51)),MIN(Q$256,MAX(0,Q$253-Q$246)))</f>
        <v>0</v>
      </c>
      <c r="R257" s="34" t="n">
        <f aca="false">IF(R$8=1,IF(Reales!$C$51="PYG",IF(R$10&gt;0,N(Reales!R51)/R$10,0),N(Reales!R51)),MIN(R$256,MAX(0,R$253-R$246)))</f>
        <v>0</v>
      </c>
      <c r="S257" s="34" t="n">
        <f aca="false">IF(S$8=1,IF(Reales!$C$51="PYG",IF(S$10&gt;0,N(Reales!S51)/S$10,0),N(Reales!S51)),MIN(S$256,MAX(0,S$253-S$246)))</f>
        <v>0</v>
      </c>
      <c r="T257" s="34" t="n">
        <f aca="false">IF(T$8=1,IF(Reales!$C$51="PYG",IF(T$10&gt;0,N(Reales!T51)/T$10,0),N(Reales!T51)),MIN(T$256,MAX(0,T$253-T$246)))</f>
        <v>0</v>
      </c>
      <c r="U257" s="34" t="n">
        <f aca="false">IF(U$8=1,IF(Reales!$C$51="PYG",IF(U$10&gt;0,N(Reales!U51)/U$10,0),N(Reales!U51)),MIN(U$256,MAX(0,U$253-U$246)))</f>
        <v>0</v>
      </c>
      <c r="V257" s="34" t="n">
        <f aca="false">IF(V$8=1,IF(Reales!$C$51="PYG",IF(V$10&gt;0,N(Reales!V51)/V$10,0),N(Reales!V51)),MIN(V$256,MAX(0,V$253-V$246)))</f>
        <v>0</v>
      </c>
      <c r="W257" s="34" t="n">
        <f aca="false">IF(W$8=1,IF(Reales!$C$51="PYG",IF(W$10&gt;0,N(Reales!W51)/W$10,0),N(Reales!W51)),MIN(W$256,MAX(0,W$253-W$246)))</f>
        <v>0</v>
      </c>
      <c r="X257" s="34" t="n">
        <f aca="false">IF(X$8=1,IF(Reales!$C$51="PYG",IF(X$10&gt;0,N(Reales!X51)/X$10,0),N(Reales!X51)),MIN(X$256,MAX(0,X$253-X$246)))</f>
        <v>0</v>
      </c>
      <c r="Y257" s="34" t="n">
        <f aca="false">IF(Y$8=1,IF(Reales!$C$51="PYG",IF(Y$10&gt;0,N(Reales!Y51)/Y$10,0),N(Reales!Y51)),MIN(Y$256,MAX(0,Y$253-Y$246)))</f>
        <v>0</v>
      </c>
      <c r="Z257" s="34" t="n">
        <f aca="false">IF(Z$8=1,IF(Reales!$C$51="PYG",IF(Z$10&gt;0,N(Reales!Z51)/Z$10,0),N(Reales!Z51)),MIN(Z$256,MAX(0,Z$253-Z$246)))</f>
        <v>0</v>
      </c>
      <c r="AA257" s="34" t="n">
        <f aca="false">IF(AA$8=1,IF(Reales!$C$51="PYG",IF(AA$10&gt;0,N(Reales!AA51)/AA$10,0),N(Reales!AA51)),MIN(AA$256,MAX(0,AA$253-AA$246)))</f>
        <v>0</v>
      </c>
      <c r="AB257" s="34" t="n">
        <f aca="false">IF(AB$8=1,IF(Reales!$C$51="PYG",IF(AB$10&gt;0,N(Reales!AB51)/AB$10,0),N(Reales!AB51)),MIN(AB$256,MAX(0,AB$253-AB$246)))</f>
        <v>0</v>
      </c>
      <c r="AC257" s="34" t="n">
        <f aca="false">IF(AC$8=1,IF(Reales!$C$51="PYG",IF(AC$10&gt;0,N(Reales!AC51)/AC$10,0),N(Reales!AC51)),MIN(AC$256,MAX(0,AC$253-AC$246)))</f>
        <v>0</v>
      </c>
      <c r="AD257" s="34" t="n">
        <f aca="false">IF(AD$8=1,IF(Reales!$C$51="PYG",IF(AD$10&gt;0,N(Reales!AD51)/AD$10,0),N(Reales!AD51)),MIN(AD$256,MAX(0,AD$253-AD$246)))</f>
        <v>0</v>
      </c>
      <c r="AE257" s="34" t="n">
        <f aca="false">IF(AE$8=1,IF(Reales!$C$51="PYG",IF(AE$10&gt;0,N(Reales!AE51)/AE$10,0),N(Reales!AE51)),MIN(AE$256,MAX(0,AE$253-AE$246)))</f>
        <v>0</v>
      </c>
      <c r="AF257" s="34" t="n">
        <f aca="false">IF(AF$8=1,IF(Reales!$C$51="PYG",IF(AF$10&gt;0,N(Reales!AF51)/AF$10,0),N(Reales!AF51)),MIN(AF$256,MAX(0,AF$253-AF$246)))</f>
        <v>0</v>
      </c>
      <c r="AG257" s="34" t="n">
        <f aca="false">IF(AG$8=1,IF(Reales!$C$51="PYG",IF(AG$10&gt;0,N(Reales!AG51)/AG$10,0),N(Reales!AG51)),MIN(AG$256,MAX(0,AG$253-AG$246)))</f>
        <v>0</v>
      </c>
      <c r="AH257" s="34" t="n">
        <f aca="false">IF(AH$8=1,IF(Reales!$C$51="PYG",IF(AH$10&gt;0,N(Reales!AH51)/AH$10,0),N(Reales!AH51)),MIN(AH$256,MAX(0,AH$253-AH$246)))</f>
        <v>0</v>
      </c>
      <c r="AI257" s="34" t="n">
        <f aca="false">IF(AI$8=1,IF(Reales!$C$51="PYG",IF(AI$10&gt;0,N(Reales!AI51)/AI$10,0),N(Reales!AI51)),MIN(AI$256,MAX(0,AI$253-AI$246)))</f>
        <v>0</v>
      </c>
      <c r="AJ257" s="34" t="n">
        <f aca="false">IF(AJ$8=1,IF(Reales!$C$51="PYG",IF(AJ$10&gt;0,N(Reales!AJ51)/AJ$10,0),N(Reales!AJ51)),MIN(AJ$256,MAX(0,AJ$253-AJ$246)))</f>
        <v>0</v>
      </c>
      <c r="AK257" s="34" t="n">
        <f aca="false">IF(AK$8=1,IF(Reales!$C$51="PYG",IF(AK$10&gt;0,N(Reales!AK51)/AK$10,0),N(Reales!AK51)),MIN(AK$256,MAX(0,AK$253-AK$246)))</f>
        <v>0</v>
      </c>
      <c r="AL257" s="34" t="n">
        <f aca="false">IF(AL$8=1,IF(Reales!$C$51="PYG",IF(AL$10&gt;0,N(Reales!AL51)/AL$10,0),N(Reales!AL51)),MIN(AL$256,MAX(0,AL$253-AL$246)))</f>
        <v>0</v>
      </c>
      <c r="AM257" s="34" t="n">
        <f aca="false">IF(AM$8=1,IF(Reales!$C$51="PYG",IF(AM$10&gt;0,N(Reales!AM51)/AM$10,0),N(Reales!AM51)),MIN(AM$256,MAX(0,AM$253-AM$246)))</f>
        <v>0</v>
      </c>
      <c r="AN257" s="34" t="n">
        <f aca="false">IF(AN$8=1,IF(Reales!$C$51="PYG",IF(AN$10&gt;0,N(Reales!AN51)/AN$10,0),N(Reales!AN51)),MIN(AN$256,MAX(0,AN$253-AN$246)))</f>
        <v>0</v>
      </c>
      <c r="AO257" s="34" t="n">
        <f aca="false">IF(AO$8=1,IF(Reales!$C$51="PYG",IF(AO$10&gt;0,N(Reales!AO51)/AO$10,0),N(Reales!AO51)),MIN(AO$256,MAX(0,AO$253-AO$246)))</f>
        <v>0</v>
      </c>
      <c r="AP257" s="34" t="n">
        <f aca="false">IF(AP$8=1,IF(Reales!$C$51="PYG",IF(AP$10&gt;0,N(Reales!AP51)/AP$10,0),N(Reales!AP51)),MIN(AP$256,MAX(0,AP$253-AP$246)))</f>
        <v>0</v>
      </c>
      <c r="AQ257" s="34" t="n">
        <f aca="false">IF(AQ$8=1,IF(Reales!$C$51="PYG",IF(AQ$10&gt;0,N(Reales!AQ51)/AQ$10,0),N(Reales!AQ51)),MIN(AQ$256,MAX(0,AQ$253-AQ$246)))</f>
        <v>0</v>
      </c>
      <c r="AR257" s="34" t="n">
        <f aca="false">IF(AR$8=1,IF(Reales!$C$51="PYG",IF(AR$10&gt;0,N(Reales!AR51)/AR$10,0),N(Reales!AR51)),MIN(AR$256,MAX(0,AR$253-AR$246)))</f>
        <v>0</v>
      </c>
      <c r="AS257" s="34" t="n">
        <f aca="false">IF(AS$8=1,IF(Reales!$C$51="PYG",IF(AS$10&gt;0,N(Reales!AS51)/AS$10,0),N(Reales!AS51)),MIN(AS$256,MAX(0,AS$253-AS$246)))</f>
        <v>0</v>
      </c>
      <c r="AT257" s="34" t="n">
        <f aca="false">IF(AT$8=1,IF(Reales!$C$51="PYG",IF(AT$10&gt;0,N(Reales!AT51)/AT$10,0),N(Reales!AT51)),MIN(AT$256,MAX(0,AT$253-AT$246)))</f>
        <v>0</v>
      </c>
      <c r="AU257" s="34" t="n">
        <f aca="false">IF(AU$8=1,IF(Reales!$C$51="PYG",IF(AU$10&gt;0,N(Reales!AU51)/AU$10,0),N(Reales!AU51)),MIN(AU$256,MAX(0,AU$253-AU$246)))</f>
        <v>0</v>
      </c>
      <c r="AV257" s="34" t="n">
        <f aca="false">IF(AV$8=1,IF(Reales!$C$51="PYG",IF(AV$10&gt;0,N(Reales!AV51)/AV$10,0),N(Reales!AV51)),MIN(AV$256,MAX(0,AV$253-AV$246)))</f>
        <v>0</v>
      </c>
      <c r="AW257" s="34" t="n">
        <f aca="false">IF(AW$8=1,IF(Reales!$C$51="PYG",IF(AW$10&gt;0,N(Reales!AW51)/AW$10,0),N(Reales!AW51)),MIN(AW$256,MAX(0,AW$253-AW$246)))</f>
        <v>0</v>
      </c>
      <c r="AX257" s="34" t="n">
        <f aca="false">IF(AX$8=1,IF(Reales!$C$51="PYG",IF(AX$10&gt;0,N(Reales!AX51)/AX$10,0),N(Reales!AX51)),MIN(AX$256,MAX(0,AX$253-AX$246)))</f>
        <v>0</v>
      </c>
      <c r="AY257" s="34" t="n">
        <f aca="false">IF(AY$8=1,IF(Reales!$C$51="PYG",IF(AY$10&gt;0,N(Reales!AY51)/AY$10,0),N(Reales!AY51)),MIN(AY$256,MAX(0,AY$253-AY$246)))</f>
        <v>0</v>
      </c>
      <c r="AZ257" s="34" t="n">
        <f aca="false">IF(AZ$8=1,IF(Reales!$C$51="PYG",IF(AZ$10&gt;0,N(Reales!AZ51)/AZ$10,0),N(Reales!AZ51)),MIN(AZ$256,MAX(0,AZ$253-AZ$246)))</f>
        <v>0</v>
      </c>
      <c r="BA257" s="34" t="n">
        <f aca="false">IF(BA$8=1,IF(Reales!$C$51="PYG",IF(BA$10&gt;0,N(Reales!BA51)/BA$10,0),N(Reales!BA51)),MIN(BA$256,MAX(0,BA$253-BA$246)))</f>
        <v>0</v>
      </c>
      <c r="BB257" s="34" t="n">
        <f aca="false">IF(BB$8=1,IF(Reales!$C$51="PYG",IF(BB$10&gt;0,N(Reales!BB51)/BB$10,0),N(Reales!BB51)),MIN(BB$256,MAX(0,BB$253-BB$246)))</f>
        <v>0</v>
      </c>
      <c r="BC257" s="34" t="n">
        <f aca="false">IF(BC$8=1,IF(Reales!$C$51="PYG",IF(BC$10&gt;0,N(Reales!BC51)/BC$10,0),N(Reales!BC51)),MIN(BC$256,MAX(0,BC$253-BC$246)))</f>
        <v>0</v>
      </c>
      <c r="BD257" s="34" t="n">
        <f aca="false">IF(BD$8=1,IF(Reales!$C$51="PYG",IF(BD$10&gt;0,N(Reales!BD51)/BD$10,0),N(Reales!BD51)),MIN(BD$256,MAX(0,BD$253-BD$246)))</f>
        <v>0</v>
      </c>
      <c r="BE257" s="34" t="n">
        <f aca="false">IF(BE$8=1,IF(Reales!$C$51="PYG",IF(BE$10&gt;0,N(Reales!BE51)/BE$10,0),N(Reales!BE51)),MIN(BE$256,MAX(0,BE$253-BE$246)))</f>
        <v>804953.378380922</v>
      </c>
      <c r="BF257" s="34" t="n">
        <f aca="false">IF(BF$8=1,IF(Reales!$C$51="PYG",IF(BF$10&gt;0,N(Reales!BF51)/BF$10,0),N(Reales!BF51)),MIN(BF$256,MAX(0,BF$253-BF$246)))</f>
        <v>0</v>
      </c>
      <c r="BG257" s="34" t="n">
        <f aca="false">IF(BG$8=1,IF(Reales!$C$51="PYG",IF(BG$10&gt;0,N(Reales!BG51)/BG$10,0),N(Reales!BG51)),MIN(BG$256,MAX(0,BG$253-BG$246)))</f>
        <v>0</v>
      </c>
      <c r="BH257" s="34" t="n">
        <f aca="false">IF(BH$8=1,IF(Reales!$C$51="PYG",IF(BH$10&gt;0,N(Reales!BH51)/BH$10,0),N(Reales!BH51)),MIN(BH$256,MAX(0,BH$253-BH$246)))</f>
        <v>0</v>
      </c>
      <c r="BI257" s="34" t="n">
        <f aca="false">IF(BI$8=1,IF(Reales!$C$51="PYG",IF(BI$10&gt;0,N(Reales!BI51)/BI$10,0),N(Reales!BI51)),MIN(BI$256,MAX(0,BI$253-BI$246)))</f>
        <v>0</v>
      </c>
      <c r="BJ257" s="34" t="n">
        <f aca="false">IF(BJ$8=1,IF(Reales!$C$51="PYG",IF(BJ$10&gt;0,N(Reales!BJ51)/BJ$10,0),N(Reales!BJ51)),MIN(BJ$256,MAX(0,BJ$253-BJ$246)))</f>
        <v>0</v>
      </c>
      <c r="BK257" s="34" t="n">
        <f aca="false">IF(BK$8=1,IF(Reales!$C$51="PYG",IF(BK$10&gt;0,N(Reales!BK51)/BK$10,0),N(Reales!BK51)),MIN(BK$256,MAX(0,BK$253-BK$246)))</f>
        <v>0</v>
      </c>
      <c r="BL257" s="34" t="n">
        <f aca="false">IF(BL$8=1,IF(Reales!$C$51="PYG",IF(BL$10&gt;0,N(Reales!BL51)/BL$10,0),N(Reales!BL51)),MIN(BL$256,MAX(0,BL$253-BL$246)))</f>
        <v>0</v>
      </c>
      <c r="BM257" s="34" t="n">
        <f aca="false">IF(BM$8=1,IF(Reales!$C$51="PYG",IF(BM$10&gt;0,N(Reales!BM51)/BM$10,0),N(Reales!BM51)),MIN(BM$256,MAX(0,BM$253-BM$246)))</f>
        <v>0</v>
      </c>
      <c r="BN257" s="34" t="n">
        <f aca="false">IF(BN$8=1,IF(Reales!$C$51="PYG",IF(BN$10&gt;0,N(Reales!BN51)/BN$10,0),N(Reales!BN51)),MIN(BN$256,MAX(0,BN$253-BN$246)))</f>
        <v>0</v>
      </c>
      <c r="BO257" s="34" t="n">
        <f aca="false">IF(BO$8=1,IF(Reales!$C$51="PYG",IF(BO$10&gt;0,N(Reales!BO51)/BO$10,0),N(Reales!BO51)),MIN(BO$256,MAX(0,BO$253-BO$246)))</f>
        <v>0</v>
      </c>
      <c r="BP257" s="34" t="n">
        <f aca="false">IF(BP$8=1,IF(Reales!$C$51="PYG",IF(BP$10&gt;0,N(Reales!BP51)/BP$10,0),N(Reales!BP51)),MIN(BP$256,MAX(0,BP$253-BP$246)))</f>
        <v>0</v>
      </c>
      <c r="BQ257" s="34" t="n">
        <f aca="false">IF(BQ$8=1,IF(Reales!$C$51="PYG",IF(BQ$10&gt;0,N(Reales!BQ51)/BQ$10,0),N(Reales!BQ51)),MIN(BQ$256,MAX(0,BQ$253-BQ$246)))</f>
        <v>1463926.54436822</v>
      </c>
      <c r="BR257" s="34" t="n">
        <f aca="false">IF(BR$8=1,IF(Reales!$C$51="PYG",IF(BR$10&gt;0,N(Reales!BR51)/BR$10,0),N(Reales!BR51)),MIN(BR$256,MAX(0,BR$253-BR$246)))</f>
        <v>0</v>
      </c>
      <c r="BS257" s="34" t="n">
        <f aca="false">IF(BS$8=1,IF(Reales!$C$51="PYG",IF(BS$10&gt;0,N(Reales!BS51)/BS$10,0),N(Reales!BS51)),MIN(BS$256,MAX(0,BS$253-BS$246)))</f>
        <v>0</v>
      </c>
      <c r="BT257" s="34" t="n">
        <f aca="false">IF(BT$8=1,IF(Reales!$C$51="PYG",IF(BT$10&gt;0,N(Reales!BT51)/BT$10,0),N(Reales!BT51)),MIN(BT$256,MAX(0,BT$253-BT$246)))</f>
        <v>0</v>
      </c>
      <c r="BU257" s="34" t="n">
        <f aca="false">IF(BU$8=1,IF(Reales!$C$51="PYG",IF(BU$10&gt;0,N(Reales!BU51)/BU$10,0),N(Reales!BU51)),MIN(BU$256,MAX(0,BU$253-BU$246)))</f>
        <v>0</v>
      </c>
      <c r="BV257" s="34" t="n">
        <f aca="false">IF(BV$8=1,IF(Reales!$C$51="PYG",IF(BV$10&gt;0,N(Reales!BV51)/BV$10,0),N(Reales!BV51)),MIN(BV$256,MAX(0,BV$253-BV$246)))</f>
        <v>0</v>
      </c>
      <c r="BW257" s="34" t="n">
        <f aca="false">IF(BW$8=1,IF(Reales!$C$51="PYG",IF(BW$10&gt;0,N(Reales!BW51)/BW$10,0),N(Reales!BW51)),MIN(BW$256,MAX(0,BW$253-BW$246)))</f>
        <v>0</v>
      </c>
      <c r="BX257" s="34" t="n">
        <f aca="false">IF(BX$8=1,IF(Reales!$C$51="PYG",IF(BX$10&gt;0,N(Reales!BX51)/BX$10,0),N(Reales!BX51)),MIN(BX$256,MAX(0,BX$253-BX$246)))</f>
        <v>0</v>
      </c>
      <c r="BY257" s="34" t="n">
        <f aca="false">IF(BY$8=1,IF(Reales!$C$51="PYG",IF(BY$10&gt;0,N(Reales!BY51)/BY$10,0),N(Reales!BY51)),MIN(BY$256,MAX(0,BY$253-BY$246)))</f>
        <v>0</v>
      </c>
      <c r="BZ257" s="34" t="n">
        <f aca="false">IF(BZ$8=1,IF(Reales!$C$51="PYG",IF(BZ$10&gt;0,N(Reales!BZ51)/BZ$10,0),N(Reales!BZ51)),MIN(BZ$256,MAX(0,BZ$253-BZ$246)))</f>
        <v>0</v>
      </c>
      <c r="CA257" s="34" t="n">
        <f aca="false">IF(CA$8=1,IF(Reales!$C$51="PYG",IF(CA$10&gt;0,N(Reales!CA51)/CA$10,0),N(Reales!CA51)),MIN(CA$256,MAX(0,CA$253-CA$246)))</f>
        <v>0</v>
      </c>
      <c r="CB257" s="34" t="n">
        <f aca="false">IF(CB$8=1,IF(Reales!$C$51="PYG",IF(CB$10&gt;0,N(Reales!CB51)/CB$10,0),N(Reales!CB51)),MIN(CB$256,MAX(0,CB$253-CB$246)))</f>
        <v>0</v>
      </c>
      <c r="CC257" s="34" t="n">
        <f aca="false">IF(CC$8=1,IF(Reales!$C$51="PYG",IF(CC$10&gt;0,N(Reales!CC51)/CC$10,0),N(Reales!CC51)),MIN(CC$256,MAX(0,CC$253-CC$246)))</f>
        <v>1794188.69257391</v>
      </c>
      <c r="CD257" s="34" t="n">
        <f aca="false">IF(CD$8=1,IF(Reales!$C$51="PYG",IF(CD$10&gt;0,N(Reales!CD51)/CD$10,0),N(Reales!CD51)),MIN(CD$256,MAX(0,CD$253-CD$246)))</f>
        <v>0</v>
      </c>
      <c r="CE257" s="34" t="n">
        <f aca="false">IF(CE$8=1,IF(Reales!$C$51="PYG",IF(CE$10&gt;0,N(Reales!CE51)/CE$10,0),N(Reales!CE51)),MIN(CE$256,MAX(0,CE$253-CE$246)))</f>
        <v>0</v>
      </c>
      <c r="CF257" s="34" t="n">
        <f aca="false">IF(CF$8=1,IF(Reales!$C$51="PYG",IF(CF$10&gt;0,N(Reales!CF51)/CF$10,0),N(Reales!CF51)),MIN(CF$256,MAX(0,CF$253-CF$246)))</f>
        <v>0</v>
      </c>
      <c r="CG257" s="34" t="n">
        <f aca="false">IF(CG$8=1,IF(Reales!$C$51="PYG",IF(CG$10&gt;0,N(Reales!CG51)/CG$10,0),N(Reales!CG51)),MIN(CG$256,MAX(0,CG$253-CG$246)))</f>
        <v>0</v>
      </c>
      <c r="CH257" s="34" t="n">
        <f aca="false">IF(CH$8=1,IF(Reales!$C$51="PYG",IF(CH$10&gt;0,N(Reales!CH51)/CH$10,0),N(Reales!CH51)),MIN(CH$256,MAX(0,CH$253-CH$246)))</f>
        <v>0</v>
      </c>
      <c r="CI257" s="34" t="n">
        <f aca="false">IF(CI$8=1,IF(Reales!$C$51="PYG",IF(CI$10&gt;0,N(Reales!CI51)/CI$10,0),N(Reales!CI51)),MIN(CI$256,MAX(0,CI$253-CI$246)))</f>
        <v>0</v>
      </c>
      <c r="CJ257" s="34" t="n">
        <f aca="false">IF(CJ$8=1,IF(Reales!$C$51="PYG",IF(CJ$10&gt;0,N(Reales!CJ51)/CJ$10,0),N(Reales!CJ51)),MIN(CJ$256,MAX(0,CJ$253-CJ$246)))</f>
        <v>0</v>
      </c>
      <c r="CK257" s="34" t="n">
        <f aca="false">IF(CK$8=1,IF(Reales!$C$51="PYG",IF(CK$10&gt;0,N(Reales!CK51)/CK$10,0),N(Reales!CK51)),MIN(CK$256,MAX(0,CK$253-CK$246)))</f>
        <v>0</v>
      </c>
      <c r="CL257" s="34" t="n">
        <f aca="false">IF(CL$8=1,IF(Reales!$C$51="PYG",IF(CL$10&gt;0,N(Reales!CL51)/CL$10,0),N(Reales!CL51)),MIN(CL$256,MAX(0,CL$253-CL$246)))</f>
        <v>0</v>
      </c>
      <c r="CM257" s="34" t="n">
        <f aca="false">IF(CM$8=1,IF(Reales!$C$51="PYG",IF(CM$10&gt;0,N(Reales!CM51)/CM$10,0),N(Reales!CM51)),MIN(CM$256,MAX(0,CM$253-CM$246)))</f>
        <v>0</v>
      </c>
      <c r="CN257" s="34" t="n">
        <f aca="false">IF(CN$8=1,IF(Reales!$C$51="PYG",IF(CN$10&gt;0,N(Reales!CN51)/CN$10,0),N(Reales!CN51)),MIN(CN$256,MAX(0,CN$253-CN$246)))</f>
        <v>0</v>
      </c>
      <c r="CO257" s="34" t="n">
        <f aca="false">IF(CO$8=1,IF(Reales!$C$51="PYG",IF(CO$10&gt;0,N(Reales!CO51)/CO$10,0),N(Reales!CO51)),MIN(CO$256,MAX(0,CO$253-CO$246)))</f>
        <v>1843575.6608728</v>
      </c>
      <c r="CP257" s="34" t="n">
        <f aca="false">IF(CP$8=1,IF(Reales!$C$51="PYG",IF(CP$10&gt;0,N(Reales!CP51)/CP$10,0),N(Reales!CP51)),MIN(CP$256,MAX(0,CP$253-CP$246)))</f>
        <v>0</v>
      </c>
      <c r="CQ257" s="34" t="n">
        <f aca="false">IF(CQ$8=1,IF(Reales!$C$51="PYG",IF(CQ$10&gt;0,N(Reales!CQ51)/CQ$10,0),N(Reales!CQ51)),MIN(CQ$256,MAX(0,CQ$253-CQ$246)))</f>
        <v>0</v>
      </c>
      <c r="CR257" s="34" t="n">
        <f aca="false">IF(CR$8=1,IF(Reales!$C$51="PYG",IF(CR$10&gt;0,N(Reales!CR51)/CR$10,0),N(Reales!CR51)),MIN(CR$256,MAX(0,CR$253-CR$246)))</f>
        <v>0</v>
      </c>
      <c r="CS257" s="34" t="n">
        <f aca="false">IF(CS$8=1,IF(Reales!$C$51="PYG",IF(CS$10&gt;0,N(Reales!CS51)/CS$10,0),N(Reales!CS51)),MIN(CS$256,MAX(0,CS$253-CS$246)))</f>
        <v>0</v>
      </c>
      <c r="CT257" s="34" t="n">
        <f aca="false">IF(CT$8=1,IF(Reales!$C$51="PYG",IF(CT$10&gt;0,N(Reales!CT51)/CT$10,0),N(Reales!CT51)),MIN(CT$256,MAX(0,CT$253-CT$246)))</f>
        <v>0</v>
      </c>
      <c r="CU257" s="34" t="n">
        <f aca="false">IF(CU$8=1,IF(Reales!$C$51="PYG",IF(CU$10&gt;0,N(Reales!CU51)/CU$10,0),N(Reales!CU51)),MIN(CU$256,MAX(0,CU$253-CU$246)))</f>
        <v>0</v>
      </c>
      <c r="CV257" s="34" t="n">
        <f aca="false">IF(CV$8=1,IF(Reales!$C$51="PYG",IF(CV$10&gt;0,N(Reales!CV51)/CV$10,0),N(Reales!CV51)),MIN(CV$256,MAX(0,CV$253-CV$246)))</f>
        <v>0</v>
      </c>
      <c r="CW257" s="34" t="n">
        <f aca="false">IF(CW$8=1,IF(Reales!$C$51="PYG",IF(CW$10&gt;0,N(Reales!CW51)/CW$10,0),N(Reales!CW51)),MIN(CW$256,MAX(0,CW$253-CW$246)))</f>
        <v>0</v>
      </c>
      <c r="CX257" s="34" t="n">
        <f aca="false">IF(CX$8=1,IF(Reales!$C$51="PYG",IF(CX$10&gt;0,N(Reales!CX51)/CX$10,0),N(Reales!CX51)),MIN(CX$256,MAX(0,CX$253-CX$246)))</f>
        <v>0</v>
      </c>
      <c r="CY257" s="34" t="n">
        <f aca="false">IF(CY$8=1,IF(Reales!$C$51="PYG",IF(CY$10&gt;0,N(Reales!CY51)/CY$10,0),N(Reales!CY51)),MIN(CY$256,MAX(0,CY$253-CY$246)))</f>
        <v>0</v>
      </c>
      <c r="CZ257" s="34" t="n">
        <f aca="false">IF(CZ$8=1,IF(Reales!$C$51="PYG",IF(CZ$10&gt;0,N(Reales!CZ51)/CZ$10,0),N(Reales!CZ51)),MIN(CZ$256,MAX(0,CZ$253-CZ$246)))</f>
        <v>0</v>
      </c>
      <c r="DA257" s="34" t="n">
        <f aca="false">IF(DA$8=1,IF(Reales!$C$51="PYG",IF(DA$10&gt;0,N(Reales!DA51)/DA$10,0),N(Reales!DA51)),MIN(DA$256,MAX(0,DA$253-DA$246)))</f>
        <v>1893301.21355545</v>
      </c>
      <c r="DB257" s="34" t="n">
        <f aca="false">IF(DB$8=1,IF(Reales!$C$51="PYG",IF(DB$10&gt;0,N(Reales!DB51)/DB$10,0),N(Reales!DB51)),MIN(DB$256,MAX(0,DB$253-DB$246)))</f>
        <v>0</v>
      </c>
      <c r="DC257" s="34" t="n">
        <f aca="false">IF(DC$8=1,IF(Reales!$C$51="PYG",IF(DC$10&gt;0,N(Reales!DC51)/DC$10,0),N(Reales!DC51)),MIN(DC$256,MAX(0,DC$253-DC$246)))</f>
        <v>0</v>
      </c>
      <c r="DD257" s="34" t="n">
        <f aca="false">IF(DD$8=1,IF(Reales!$C$51="PYG",IF(DD$10&gt;0,N(Reales!DD51)/DD$10,0),N(Reales!DD51)),MIN(DD$256,MAX(0,DD$253-DD$246)))</f>
        <v>0</v>
      </c>
      <c r="DE257" s="34" t="n">
        <f aca="false">IF(DE$8=1,IF(Reales!$C$51="PYG",IF(DE$10&gt;0,N(Reales!DE51)/DE$10,0),N(Reales!DE51)),MIN(DE$256,MAX(0,DE$253-DE$246)))</f>
        <v>0</v>
      </c>
      <c r="DF257" s="34" t="n">
        <f aca="false">IF(DF$8=1,IF(Reales!$C$51="PYG",IF(DF$10&gt;0,N(Reales!DF51)/DF$10,0),N(Reales!DF51)),MIN(DF$256,MAX(0,DF$253-DF$246)))</f>
        <v>0</v>
      </c>
      <c r="DG257" s="34" t="n">
        <f aca="false">IF(DG$8=1,IF(Reales!$C$51="PYG",IF(DG$10&gt;0,N(Reales!DG51)/DG$10,0),N(Reales!DG51)),MIN(DG$256,MAX(0,DG$253-DG$246)))</f>
        <v>0</v>
      </c>
      <c r="DH257" s="34" t="n">
        <f aca="false">IF(DH$8=1,IF(Reales!$C$51="PYG",IF(DH$10&gt;0,N(Reales!DH51)/DH$10,0),N(Reales!DH51)),MIN(DH$256,MAX(0,DH$253-DH$246)))</f>
        <v>0</v>
      </c>
      <c r="DI257" s="34" t="n">
        <f aca="false">IF(DI$8=1,IF(Reales!$C$51="PYG",IF(DI$10&gt;0,N(Reales!DI51)/DI$10,0),N(Reales!DI51)),MIN(DI$256,MAX(0,DI$253-DI$246)))</f>
        <v>0</v>
      </c>
      <c r="DJ257" s="34" t="n">
        <f aca="false">IF(DJ$8=1,IF(Reales!$C$51="PYG",IF(DJ$10&gt;0,N(Reales!DJ51)/DJ$10,0),N(Reales!DJ51)),MIN(DJ$256,MAX(0,DJ$253-DJ$246)))</f>
        <v>0</v>
      </c>
      <c r="DK257" s="34" t="n">
        <f aca="false">IF(DK$8=1,IF(Reales!$C$51="PYG",IF(DK$10&gt;0,N(Reales!DK51)/DK$10,0),N(Reales!DK51)),MIN(DK$256,MAX(0,DK$253-DK$246)))</f>
        <v>0</v>
      </c>
      <c r="DL257" s="34" t="n">
        <f aca="false">IF(DL$8=1,IF(Reales!$C$51="PYG",IF(DL$10&gt;0,N(Reales!DL51)/DL$10,0),N(Reales!DL51)),MIN(DL$256,MAX(0,DL$253-DL$246)))</f>
        <v>0</v>
      </c>
      <c r="DM257" s="34" t="n">
        <f aca="false">IF(DM$8=1,IF(Reales!$C$51="PYG",IF(DM$10&gt;0,N(Reales!DM51)/DM$10,0),N(Reales!DM51)),MIN(DM$256,MAX(0,DM$253-DM$246)))</f>
        <v>1943364.14678689</v>
      </c>
      <c r="DN257" s="34" t="n">
        <f aca="false">IF(DN$8=1,IF(Reales!$C$51="PYG",IF(DN$10&gt;0,N(Reales!DN51)/DN$10,0),N(Reales!DN51)),MIN(DN$256,MAX(0,DN$253-DN$246)))</f>
        <v>0</v>
      </c>
      <c r="DO257" s="34" t="n">
        <f aca="false">IF(DO$8=1,IF(Reales!$C$51="PYG",IF(DO$10&gt;0,N(Reales!DO51)/DO$10,0),N(Reales!DO51)),MIN(DO$256,MAX(0,DO$253-DO$246)))</f>
        <v>0</v>
      </c>
      <c r="DP257" s="34" t="n">
        <f aca="false">IF(DP$8=1,IF(Reales!$C$51="PYG",IF(DP$10&gt;0,N(Reales!DP51)/DP$10,0),N(Reales!DP51)),MIN(DP$256,MAX(0,DP$253-DP$246)))</f>
        <v>0</v>
      </c>
      <c r="DQ257" s="34" t="n">
        <f aca="false">IF(DQ$8=1,IF(Reales!$C$51="PYG",IF(DQ$10&gt;0,N(Reales!DQ51)/DQ$10,0),N(Reales!DQ51)),MIN(DQ$256,MAX(0,DQ$253-DQ$246)))</f>
        <v>0</v>
      </c>
      <c r="DR257" s="34" t="n">
        <f aca="false">IF(DR$8=1,IF(Reales!$C$51="PYG",IF(DR$10&gt;0,N(Reales!DR51)/DR$10,0),N(Reales!DR51)),MIN(DR$256,MAX(0,DR$253-DR$246)))</f>
        <v>0</v>
      </c>
      <c r="DS257" s="34" t="n">
        <f aca="false">IF(DS$8=1,IF(Reales!$C$51="PYG",IF(DS$10&gt;0,N(Reales!DS51)/DS$10,0),N(Reales!DS51)),MIN(DS$256,MAX(0,DS$253-DS$246)))</f>
        <v>0</v>
      </c>
      <c r="DT257" s="34" t="n">
        <f aca="false">IF(DT$8=1,IF(Reales!$C$51="PYG",IF(DT$10&gt;0,N(Reales!DT51)/DT$10,0),N(Reales!DT51)),MIN(DT$256,MAX(0,DT$253-DT$246)))</f>
        <v>0</v>
      </c>
      <c r="DU257" s="34" t="n">
        <f aca="false">IF(DU$8=1,IF(Reales!$C$51="PYG",IF(DU$10&gt;0,N(Reales!DU51)/DU$10,0),N(Reales!DU51)),MIN(DU$256,MAX(0,DU$253-DU$246)))</f>
        <v>0</v>
      </c>
      <c r="DV257" s="34" t="n">
        <f aca="false">IF(DV$8=1,IF(Reales!$C$51="PYG",IF(DV$10&gt;0,N(Reales!DV51)/DV$10,0),N(Reales!DV51)),MIN(DV$256,MAX(0,DV$253-DV$246)))</f>
        <v>0</v>
      </c>
      <c r="DW257" s="34" t="n">
        <f aca="false">IF(DW$8=1,IF(Reales!$C$51="PYG",IF(DW$10&gt;0,N(Reales!DW51)/DW$10,0),N(Reales!DW51)),MIN(DW$256,MAX(0,DW$253-DW$246)))</f>
        <v>0</v>
      </c>
      <c r="DX257" s="34" t="n">
        <f aca="false">IF(DX$8=1,IF(Reales!$C$51="PYG",IF(DX$10&gt;0,N(Reales!DX51)/DX$10,0),N(Reales!DX51)),MIN(DX$256,MAX(0,DX$253-DX$246)))</f>
        <v>0</v>
      </c>
      <c r="DY257" s="34" t="n">
        <f aca="false">IF(DY$8=1,IF(Reales!$C$51="PYG",IF(DY$10&gt;0,N(Reales!DY51)/DY$10,0),N(Reales!DY51)),MIN(DY$256,MAX(0,DY$253-DY$246)))</f>
        <v>0</v>
      </c>
      <c r="DZ257" s="34" t="n">
        <f aca="false">IF(DZ$8=1,IF(Reales!$C$51="PYG",IF(DZ$10&gt;0,N(Reales!DZ51)/DZ$10,0),N(Reales!DZ51)),MIN(DZ$256,MAX(0,DZ$253-DZ$246)))</f>
        <v>0</v>
      </c>
      <c r="EA257" s="34" t="n">
        <f aca="false">IF(EA$8=1,IF(Reales!$C$51="PYG",IF(EA$10&gt;0,N(Reales!EA51)/EA$10,0),N(Reales!EA51)),MIN(EA$256,MAX(0,EA$253-EA$246)))</f>
        <v>0</v>
      </c>
      <c r="EB257" s="34" t="n">
        <f aca="false">IF(EB$8=1,IF(Reales!$C$51="PYG",IF(EB$10&gt;0,N(Reales!EB51)/EB$10,0),N(Reales!EB51)),MIN(EB$256,MAX(0,EB$253-EB$246)))</f>
        <v>0</v>
      </c>
      <c r="EC257" s="34" t="n">
        <f aca="false">IF(EC$8=1,IF(Reales!$C$51="PYG",IF(EC$10&gt;0,N(Reales!EC51)/EC$10,0),N(Reales!EC51)),MIN(EC$256,MAX(0,EC$253-EC$246)))</f>
        <v>0</v>
      </c>
      <c r="ED257" s="34" t="n">
        <f aca="false">IF(ED$8=1,IF(Reales!$C$51="PYG",IF(ED$10&gt;0,N(Reales!ED51)/ED$10,0),N(Reales!ED51)),MIN(ED$256,MAX(0,ED$253-ED$246)))</f>
        <v>0</v>
      </c>
      <c r="EE257" s="34" t="n">
        <f aca="false">IF(EE$8=1,IF(Reales!$C$51="PYG",IF(EE$10&gt;0,N(Reales!EE51)/EE$10,0),N(Reales!EE51)),MIN(EE$256,MAX(0,EE$253-EE$246)))</f>
        <v>0</v>
      </c>
      <c r="EF257" s="34" t="n">
        <f aca="false">IF(EF$8=1,IF(Reales!$C$51="PYG",IF(EF$10&gt;0,N(Reales!EF51)/EF$10,0),N(Reales!EF51)),MIN(EF$256,MAX(0,EF$253-EF$246)))</f>
        <v>0</v>
      </c>
      <c r="EG257" s="34" t="n">
        <f aca="false">IF(EG$8=1,IF(Reales!$C$51="PYG",IF(EG$10&gt;0,N(Reales!EG51)/EG$10,0),N(Reales!EG51)),MIN(EG$256,MAX(0,EG$253-EG$246)))</f>
        <v>0</v>
      </c>
      <c r="EH257" s="34" t="n">
        <f aca="false">IF(EH$8=1,IF(Reales!$C$51="PYG",IF(EH$10&gt;0,N(Reales!EH51)/EH$10,0),N(Reales!EH51)),MIN(EH$256,MAX(0,EH$253-EH$246)))</f>
        <v>0</v>
      </c>
      <c r="EI257" s="34" t="n">
        <f aca="false">IF(EI$8=1,IF(Reales!$C$51="PYG",IF(EI$10&gt;0,N(Reales!EI51)/EI$10,0),N(Reales!EI51)),MIN(EI$256,MAX(0,EI$253-EI$246)))</f>
        <v>0</v>
      </c>
      <c r="EJ257" s="34" t="n">
        <f aca="false">IF(EJ$8=1,IF(Reales!$C$51="PYG",IF(EJ$10&gt;0,N(Reales!EJ51)/EJ$10,0),N(Reales!EJ51)),MIN(EJ$256,MAX(0,EJ$253-EJ$246)))</f>
        <v>0</v>
      </c>
      <c r="EK257" s="34" t="n">
        <f aca="false">IF(EK$8=1,IF(Reales!$C$51="PYG",IF(EK$10&gt;0,N(Reales!EK51)/EK$10,0),N(Reales!EK51)),MIN(EK$256,MAX(0,EK$253-EK$246)))</f>
        <v>0</v>
      </c>
      <c r="EL257" s="34" t="n">
        <f aca="false">IF(EL$8=1,IF(Reales!$C$51="PYG",IF(EL$10&gt;0,N(Reales!EL51)/EL$10,0),N(Reales!EL51)),MIN(EL$256,MAX(0,EL$253-EL$246)))</f>
        <v>0</v>
      </c>
      <c r="EM257" s="34" t="n">
        <f aca="false">IF(EM$8=1,IF(Reales!$C$51="PYG",IF(EM$10&gt;0,N(Reales!EM51)/EM$10,0),N(Reales!EM51)),MIN(EM$256,MAX(0,EM$253-EM$246)))</f>
        <v>0</v>
      </c>
      <c r="EN257" s="34" t="n">
        <f aca="false">IF(EN$8=1,IF(Reales!$C$51="PYG",IF(EN$10&gt;0,N(Reales!EN51)/EN$10,0),N(Reales!EN51)),MIN(EN$256,MAX(0,EN$253-EN$246)))</f>
        <v>0</v>
      </c>
      <c r="EO257" s="34" t="n">
        <f aca="false">IF(EO$8=1,IF(Reales!$C$51="PYG",IF(EO$10&gt;0,N(Reales!EO51)/EO$10,0),N(Reales!EO51)),MIN(EO$256,MAX(0,EO$253-EO$246)))</f>
        <v>0</v>
      </c>
      <c r="EP257" s="34" t="n">
        <f aca="false">IF(EP$8=1,IF(Reales!$C$51="PYG",IF(EP$10&gt;0,N(Reales!EP51)/EP$10,0),N(Reales!EP51)),MIN(EP$256,MAX(0,EP$253-EP$246)))</f>
        <v>0</v>
      </c>
      <c r="EQ257" s="34" t="n">
        <f aca="false">IF(EQ$8=1,IF(Reales!$C$51="PYG",IF(EQ$10&gt;0,N(Reales!EQ51)/EQ$10,0),N(Reales!EQ51)),MIN(EQ$256,MAX(0,EQ$253-EQ$246)))</f>
        <v>0</v>
      </c>
      <c r="ER257" s="34" t="n">
        <f aca="false">IF(ER$8=1,IF(Reales!$C$51="PYG",IF(ER$10&gt;0,N(Reales!ER51)/ER$10,0),N(Reales!ER51)),MIN(ER$256,MAX(0,ER$253-ER$246)))</f>
        <v>0</v>
      </c>
      <c r="ES257" s="34" t="n">
        <f aca="false">IF(ES$8=1,IF(Reales!$C$51="PYG",IF(ES$10&gt;0,N(Reales!ES51)/ES$10,0),N(Reales!ES51)),MIN(ES$256,MAX(0,ES$253-ES$246)))</f>
        <v>0</v>
      </c>
    </row>
    <row r="258" customFormat="false" ht="15" hidden="false" customHeight="false" outlineLevel="0" collapsed="false">
      <c r="A258" s="2" t="s">
        <v>868</v>
      </c>
      <c r="B258" s="52" t="s">
        <v>738</v>
      </c>
      <c r="C258" s="6" t="s">
        <v>250</v>
      </c>
      <c r="E258" s="40" t="n">
        <f aca="false">MIN(F258:ES258)</f>
        <v>-311740.118672618</v>
      </c>
      <c r="F258" s="10" t="n">
        <f aca="false">IF(AND(F$8=1,ISNUMBER(Reales!F53)),IF(Reales!$C$53="PYG",IF(F$10&gt;0,N(Reales!F53)/F$10,0),N(Reales!F53)),F$253-F$257)</f>
        <v>535727.93036656</v>
      </c>
      <c r="G258" s="10" t="n">
        <f aca="false">IF(AND(G$8=1,ISNUMBER(Reales!G53)),IF(Reales!$C$53="PYG",IF(G$10&gt;0,N(Reales!G53)/G$10,0),N(Reales!G53)),G$253-G$257)</f>
        <v>555194.83809215</v>
      </c>
      <c r="H258" s="10" t="n">
        <f aca="false">IF(AND(H$8=1,ISNUMBER(Reales!H53)),IF(Reales!$C$53="PYG",IF(H$10&gt;0,N(Reales!H53)/H$10,0),N(Reales!H53)),H$253-H$257)</f>
        <v>574661.745817739</v>
      </c>
      <c r="I258" s="10" t="n">
        <f aca="false">IF(AND(I$8=1,ISNUMBER(Reales!I53)),IF(Reales!$C$53="PYG",IF(I$10&gt;0,N(Reales!I53)/I$10,0),N(Reales!I53)),I$253-I$257)</f>
        <v>594128.653543329</v>
      </c>
      <c r="J258" s="10" t="n">
        <f aca="false">IF(AND(J$8=1,ISNUMBER(Reales!J53)),IF(Reales!$C$53="PYG",IF(J$10&gt;0,N(Reales!J53)/J$10,0),N(Reales!J53)),J$253-J$257)</f>
        <v>613595.561268919</v>
      </c>
      <c r="K258" s="10" t="n">
        <f aca="false">IF(AND(K$8=1,ISNUMBER(Reales!K53)),IF(Reales!$C$53="PYG",IF(K$10&gt;0,N(Reales!K53)/K$10,0),N(Reales!K53)),K$253-K$257)</f>
        <v>633062.468994509</v>
      </c>
      <c r="L258" s="10" t="n">
        <f aca="false">IF(AND(L$8=1,ISNUMBER(Reales!L53)),IF(Reales!$C$53="PYG",IF(L$10&gt;0,N(Reales!L53)/L$10,0),N(Reales!L53)),L$253-L$257)</f>
        <v>610406.072625411</v>
      </c>
      <c r="M258" s="10" t="n">
        <f aca="false">IF(AND(M$8=1,ISNUMBER(Reales!M53)),IF(Reales!$C$53="PYG",IF(M$10&gt;0,N(Reales!M53)/M$10,0),N(Reales!M53)),M$253-M$257)</f>
        <v>587781.268734384</v>
      </c>
      <c r="N258" s="10" t="n">
        <f aca="false">IF(AND(N$8=1,ISNUMBER(Reales!N53)),IF(Reales!$C$53="PYG",IF(N$10&gt;0,N(Reales!N53)/N$10,0),N(Reales!N53)),N$253-N$257)</f>
        <v>565188.294265013</v>
      </c>
      <c r="O258" s="10" t="n">
        <f aca="false">IF(AND(O$8=1,ISNUMBER(Reales!O53)),IF(Reales!$C$53="PYG",IF(O$10&gt;0,N(Reales!O53)/O$10,0),N(Reales!O53)),O$253-O$257)</f>
        <v>542627.387937962</v>
      </c>
      <c r="P258" s="10" t="n">
        <f aca="false">IF(AND(P$8=1,ISNUMBER(Reales!P53)),IF(Reales!$C$53="PYG",IF(P$10&gt;0,N(Reales!P53)/P$10,0),N(Reales!P53)),P$253-P$257)</f>
        <v>520098.790264297</v>
      </c>
      <c r="Q258" s="10" t="n">
        <f aca="false">IF(AND(Q$8=1,ISNUMBER(Reales!Q53)),IF(Reales!$C$53="PYG",IF(Q$10&gt;0,N(Reales!Q53)/Q$10,0),N(Reales!Q53)),Q$253-Q$257)</f>
        <v>497602.743558918</v>
      </c>
      <c r="R258" s="10" t="n">
        <f aca="false">IF(AND(R$8=1,ISNUMBER(Reales!R53)),IF(Reales!$C$53="PYG",IF(R$10&gt;0,N(Reales!R53)/R$10,0),N(Reales!R53)),R$253-R$257)</f>
        <v>129920.95007682</v>
      </c>
      <c r="S258" s="10" t="n">
        <f aca="false">IF(AND(S$8=1,ISNUMBER(Reales!S53)),IF(Reales!$C$53="PYG",IF(S$10&gt;0,N(Reales!S53)/S$10,0),N(Reales!S53)),S$253-S$257)</f>
        <v>145489.642054168</v>
      </c>
      <c r="T258" s="10" t="n">
        <f aca="false">IF(AND(T$8=1,ISNUMBER(Reales!T53)),IF(Reales!$C$53="PYG",IF(T$10&gt;0,N(Reales!T53)/T$10,0),N(Reales!T53)),T$253-T$257)</f>
        <v>161091.622903299</v>
      </c>
      <c r="U258" s="10" t="n">
        <f aca="false">IF(AND(U$8=1,ISNUMBER(Reales!U53)),IF(Reales!$C$53="PYG",IF(U$10&gt;0,N(Reales!U53)/U$10,0),N(Reales!U53)),U$253-U$257)</f>
        <v>176727.142290749</v>
      </c>
      <c r="V258" s="10" t="n">
        <f aca="false">IF(AND(V$8=1,ISNUMBER(Reales!V53)),IF(Reales!$C$53="PYG",IF(V$10&gt;0,N(Reales!V53)/V$10,0),N(Reales!V53)),V$253-V$257)</f>
        <v>192396.451755556</v>
      </c>
      <c r="W258" s="10" t="n">
        <f aca="false">IF(AND(W$8=1,ISNUMBER(Reales!W53)),IF(Reales!$C$53="PYG",IF(W$10&gt;0,N(Reales!W53)/W$10,0),N(Reales!W53)),W$253-W$257)</f>
        <v>208099.804723301</v>
      </c>
      <c r="X258" s="10" t="n">
        <f aca="false">IF(AND(X$8=1,ISNUMBER(Reales!X53)),IF(Reales!$C$53="PYG",IF(X$10&gt;0,N(Reales!X53)/X$10,0),N(Reales!X53)),X$253-X$257)</f>
        <v>223837.456520255</v>
      </c>
      <c r="Y258" s="10" t="n">
        <f aca="false">IF(AND(Y$8=1,ISNUMBER(Reales!Y53)),IF(Reales!$C$53="PYG",IF(Y$10&gt;0,N(Reales!Y53)/Y$10,0),N(Reales!Y53)),Y$253-Y$257)</f>
        <v>239609.664387639</v>
      </c>
      <c r="Z258" s="10" t="n">
        <f aca="false">IF(AND(Z$8=1,ISNUMBER(Reales!Z53)),IF(Reales!$C$53="PYG",IF(Z$10&gt;0,N(Reales!Z53)/Z$10,0),N(Reales!Z53)),Z$253-Z$257)</f>
        <v>255416.687495978</v>
      </c>
      <c r="AA258" s="10" t="n">
        <f aca="false">IF(AND(AA$8=1,ISNUMBER(Reales!AA53)),IF(Reales!$C$53="PYG",IF(AA$10&gt;0,N(Reales!AA53)/AA$10,0),N(Reales!AA53)),AA$253-AA$257)</f>
        <v>271258.786959582</v>
      </c>
      <c r="AB258" s="10" t="n">
        <f aca="false">IF(AND(AB$8=1,ISNUMBER(Reales!AB53)),IF(Reales!$C$53="PYG",IF(AB$10&gt;0,N(Reales!AB53)/AB$10,0),N(Reales!AB53)),AB$253-AB$257)</f>
        <v>287136.225851114</v>
      </c>
      <c r="AC258" s="10" t="n">
        <f aca="false">IF(AND(AC$8=1,ISNUMBER(Reales!AC53)),IF(Reales!$C$53="PYG",IF(AC$10&gt;0,N(Reales!AC53)/AC$10,0),N(Reales!AC53)),AC$253-AC$257)</f>
        <v>303049.269216285</v>
      </c>
      <c r="AD258" s="10" t="n">
        <f aca="false">IF(AND(AD$8=1,ISNUMBER(Reales!AD53)),IF(Reales!$C$53="PYG",IF(AD$10&gt;0,N(Reales!AD53)/AD$10,0),N(Reales!AD53)),AD$253-AD$257)</f>
        <v>-311740.118672618</v>
      </c>
      <c r="AE258" s="10" t="n">
        <f aca="false">IF(AND(AE$8=1,ISNUMBER(Reales!AE53)),IF(Reales!$C$53="PYG",IF(AE$10&gt;0,N(Reales!AE53)/AE$10,0),N(Reales!AE53)),AE$253-AE$257)</f>
        <v>-259166.435385603</v>
      </c>
      <c r="AF258" s="10" t="n">
        <f aca="false">IF(AND(AF$8=1,ISNUMBER(Reales!AF53)),IF(Reales!$C$53="PYG",IF(AF$10&gt;0,N(Reales!AF53)/AF$10,0),N(Reales!AF53)),AF$253-AF$257)</f>
        <v>-206556.340501018</v>
      </c>
      <c r="AG258" s="10" t="n">
        <f aca="false">IF(AND(AG$8=1,ISNUMBER(Reales!AG53)),IF(Reales!$C$53="PYG",IF(AG$10&gt;0,N(Reales!AG53)/AG$10,0),N(Reales!AG53)),AG$253-AG$257)</f>
        <v>-153909.560931882</v>
      </c>
      <c r="AH258" s="10" t="n">
        <f aca="false">IF(AND(AH$8=1,ISNUMBER(Reales!AH53)),IF(Reales!$C$53="PYG",IF(AH$10&gt;0,N(Reales!AH53)/AH$10,0),N(Reales!AH53)),AH$253-AH$257)</f>
        <v>-101225.821543058</v>
      </c>
      <c r="AI258" s="10" t="n">
        <f aca="false">IF(AND(AI$8=1,ISNUMBER(Reales!AI53)),IF(Reales!$C$53="PYG",IF(AI$10&gt;0,N(Reales!AI53)/AI$10,0),N(Reales!AI53)),AI$253-AI$257)</f>
        <v>-48504.8451359012</v>
      </c>
      <c r="AJ258" s="10" t="n">
        <f aca="false">IF(AND(AJ$8=1,ISNUMBER(Reales!AJ53)),IF(Reales!$C$53="PYG",IF(AJ$10&gt;0,N(Reales!AJ53)/AJ$10,0),N(Reales!AJ53)),AJ$253-AJ$257)</f>
        <v>4253.64756722731</v>
      </c>
      <c r="AK258" s="10" t="n">
        <f aca="false">IF(AND(AK$8=1,ISNUMBER(Reales!AK53)),IF(Reales!$C$53="PYG",IF(AK$10&gt;0,N(Reales!AK53)/AK$10,0),N(Reales!AK53)),AK$253-AK$257)</f>
        <v>57049.9379385471</v>
      </c>
      <c r="AL258" s="10" t="n">
        <f aca="false">IF(AND(AL$8=1,ISNUMBER(Reales!AL53)),IF(Reales!$C$53="PYG",IF(AL$10&gt;0,N(Reales!AL53)/AL$10,0),N(Reales!AL53)),AL$253-AL$257)</f>
        <v>109884.309460569</v>
      </c>
      <c r="AM258" s="10" t="n">
        <f aca="false">IF(AND(AM$8=1,ISNUMBER(Reales!AM53)),IF(Reales!$C$53="PYG",IF(AM$10&gt;0,N(Reales!AM53)/AM$10,0),N(Reales!AM53)),AM$253-AM$257)</f>
        <v>162757.047741925</v>
      </c>
      <c r="AN258" s="10" t="n">
        <f aca="false">IF(AND(AN$8=1,ISNUMBER(Reales!AN53)),IF(Reales!$C$53="PYG",IF(AN$10&gt;0,N(Reales!AN53)/AN$10,0),N(Reales!AN53)),AN$253-AN$257)</f>
        <v>215668.440533308</v>
      </c>
      <c r="AO258" s="10" t="n">
        <f aca="false">IF(AND(AO$8=1,ISNUMBER(Reales!AO53)),IF(Reales!$C$53="PYG",IF(AO$10&gt;0,N(Reales!AO53)/AO$10,0),N(Reales!AO53)),AO$253-AO$257)</f>
        <v>268618.777743544</v>
      </c>
      <c r="AP258" s="10" t="n">
        <f aca="false">IF(AND(AP$8=1,ISNUMBER(Reales!AP53)),IF(Reales!$C$53="PYG",IF(AP$10&gt;0,N(Reales!AP53)/AP$10,0),N(Reales!AP53)),AP$253-AP$257)</f>
        <v>-204392.169462804</v>
      </c>
      <c r="AQ258" s="10" t="n">
        <f aca="false">IF(AND(AQ$8=1,ISNUMBER(Reales!AQ53)),IF(Reales!$C$53="PYG",IF(AQ$10&gt;0,N(Reales!AQ53)/AQ$10,0),N(Reales!AQ53)),AQ$253-AQ$257)</f>
        <v>-118554.51596008</v>
      </c>
      <c r="AR258" s="10" t="n">
        <f aca="false">IF(AND(AR$8=1,ISNUMBER(Reales!AR53)),IF(Reales!$C$53="PYG",IF(AR$10&gt;0,N(Reales!AR53)/AR$10,0),N(Reales!AR53)),AR$253-AR$257)</f>
        <v>-32677.0352007788</v>
      </c>
      <c r="AS258" s="10" t="n">
        <f aca="false">IF(AND(AS$8=1,ISNUMBER(Reales!AS53)),IF(Reales!$C$53="PYG",IF(AS$10&gt;0,N(Reales!AS53)/AS$10,0),N(Reales!AS53)),AS$253-AS$257)</f>
        <v>53240.5715195248</v>
      </c>
      <c r="AT258" s="10" t="n">
        <f aca="false">IF(AND(AT$8=1,ISNUMBER(Reales!AT53)),IF(Reales!$C$53="PYG",IF(AT$10&gt;0,N(Reales!AT53)/AT$10,0),N(Reales!AT53)),AT$253-AT$257)</f>
        <v>139198.605145538</v>
      </c>
      <c r="AU258" s="10" t="n">
        <f aca="false">IF(AND(AU$8=1,ISNUMBER(Reales!AU53)),IF(Reales!$C$53="PYG",IF(AU$10&gt;0,N(Reales!AU53)/AU$10,0),N(Reales!AU53)),AU$253-AU$257)</f>
        <v>225197.368879053</v>
      </c>
      <c r="AV258" s="10" t="n">
        <f aca="false">IF(AND(AV$8=1,ISNUMBER(Reales!AV53)),IF(Reales!$C$53="PYG",IF(AV$10&gt;0,N(Reales!AV53)/AV$10,0),N(Reales!AV53)),AV$253-AV$257)</f>
        <v>311237.168195877</v>
      </c>
      <c r="AW258" s="10" t="n">
        <f aca="false">IF(AND(AW$8=1,ISNUMBER(Reales!AW53)),IF(Reales!$C$53="PYG",IF(AW$10&gt;0,N(Reales!AW53)/AW$10,0),N(Reales!AW53)),AW$253-AW$257)</f>
        <v>397318.310862885</v>
      </c>
      <c r="AX258" s="10" t="n">
        <f aca="false">IF(AND(AX$8=1,ISNUMBER(Reales!AX53)),IF(Reales!$C$53="PYG",IF(AX$10&gt;0,N(Reales!AX53)/AX$10,0),N(Reales!AX53)),AX$253-AX$257)</f>
        <v>483441.106955202</v>
      </c>
      <c r="AY258" s="10" t="n">
        <f aca="false">IF(AND(AY$8=1,ISNUMBER(Reales!AY53)),IF(Reales!$C$53="PYG",IF(AY$10&gt;0,N(Reales!AY53)/AY$10,0),N(Reales!AY53)),AY$253-AY$257)</f>
        <v>569605.868873519</v>
      </c>
      <c r="AZ258" s="10" t="n">
        <f aca="false">IF(AND(AZ$8=1,ISNUMBER(Reales!AZ53)),IF(Reales!$C$53="PYG",IF(AZ$10&gt;0,N(Reales!AZ53)/AZ$10,0),N(Reales!AZ53)),AZ$253-AZ$257)</f>
        <v>655812.91136153</v>
      </c>
      <c r="BA258" s="10" t="n">
        <f aca="false">IF(AND(BA$8=1,ISNUMBER(Reales!BA53)),IF(Reales!$C$53="PYG",IF(BA$10&gt;0,N(Reales!BA53)/BA$10,0),N(Reales!BA53)),BA$253-BA$257)</f>
        <v>742062.551523509</v>
      </c>
      <c r="BB258" s="10" t="n">
        <f aca="false">IF(AND(BB$8=1,ISNUMBER(Reales!BB53)),IF(Reales!$C$53="PYG",IF(BB$10&gt;0,N(Reales!BB53)/BB$10,0),N(Reales!BB53)),BB$253-BB$257)</f>
        <v>791565.146132666</v>
      </c>
      <c r="BC258" s="10" t="n">
        <f aca="false">IF(AND(BC$8=1,ISNUMBER(Reales!BC53)),IF(Reales!$C$53="PYG",IF(BC$10&gt;0,N(Reales!BC53)/BC$10,0),N(Reales!BC53)),BC$253-BC$257)</f>
        <v>879220.527482878</v>
      </c>
      <c r="BD258" s="10" t="n">
        <f aca="false">IF(AND(BD$8=1,ISNUMBER(Reales!BD53)),IF(Reales!$C$53="PYG",IF(BD$10&gt;0,N(Reales!BD53)/BD$10,0),N(Reales!BD53)),BD$253-BD$257)</f>
        <v>966919.47216105</v>
      </c>
      <c r="BE258" s="10" t="n">
        <f aca="false">IF(AND(BE$8=1,ISNUMBER(Reales!BE53)),IF(Reales!$C$53="PYG",IF(BE$10&gt;0,N(Reales!BE53)/BE$10,0),N(Reales!BE53)),BE$253-BE$257)</f>
        <v>249708.92851122</v>
      </c>
      <c r="BF258" s="10" t="n">
        <f aca="false">IF(AND(BF$8=1,ISNUMBER(Reales!BF53)),IF(Reales!$C$53="PYG",IF(BF$10&gt;0,N(Reales!BF53)/BF$10,0),N(Reales!BF53)),BF$253-BF$257)</f>
        <v>337495.982470628</v>
      </c>
      <c r="BG258" s="10" t="n">
        <f aca="false">IF(AND(BG$8=1,ISNUMBER(Reales!BG53)),IF(Reales!$C$53="PYG",IF(BG$10&gt;0,N(Reales!BG53)/BG$10,0),N(Reales!BG53)),BG$253-BG$257)</f>
        <v>425327.587302565</v>
      </c>
      <c r="BH258" s="10" t="n">
        <f aca="false">IF(AND(BH$8=1,ISNUMBER(Reales!BH53)),IF(Reales!$C$53="PYG",IF(BH$10&gt;0,N(Reales!BH53)/BH$10,0),N(Reales!BH53)),BH$253-BH$257)</f>
        <v>513204.077138576</v>
      </c>
      <c r="BI258" s="10" t="n">
        <f aca="false">IF(AND(BI$8=1,ISNUMBER(Reales!BI53)),IF(Reales!$C$53="PYG",IF(BI$10&gt;0,N(Reales!BI53)/BI$10,0),N(Reales!BI53)),BI$253-BI$257)</f>
        <v>601125.788616189</v>
      </c>
      <c r="BJ258" s="10" t="n">
        <f aca="false">IF(AND(BJ$8=1,ISNUMBER(Reales!BJ53)),IF(Reales!$C$53="PYG",IF(BJ$10&gt;0,N(Reales!BJ53)/BJ$10,0),N(Reales!BJ53)),BJ$253-BJ$257)</f>
        <v>689093.060897719</v>
      </c>
      <c r="BK258" s="10" t="n">
        <f aca="false">IF(AND(BK$8=1,ISNUMBER(Reales!BK53)),IF(Reales!$C$53="PYG",IF(BK$10&gt;0,N(Reales!BK53)/BK$10,0),N(Reales!BK53)),BK$253-BK$257)</f>
        <v>777106.235689193</v>
      </c>
      <c r="BL258" s="10" t="n">
        <f aca="false">IF(AND(BL$8=1,ISNUMBER(Reales!BL53)),IF(Reales!$C$53="PYG",IF(BL$10&gt;0,N(Reales!BL53)/BL$10,0),N(Reales!BL53)),BL$253-BL$257)</f>
        <v>865165.657259436</v>
      </c>
      <c r="BM258" s="10" t="n">
        <f aca="false">IF(AND(BM$8=1,ISNUMBER(Reales!BM53)),IF(Reales!$C$53="PYG",IF(BM$10&gt;0,N(Reales!BM53)/BM$10,0),N(Reales!BM53)),BM$253-BM$257)</f>
        <v>953271.672459288</v>
      </c>
      <c r="BN258" s="10" t="n">
        <f aca="false">IF(AND(BN$8=1,ISNUMBER(Reales!BN53)),IF(Reales!$C$53="PYG",IF(BN$10&gt;0,N(Reales!BN53)/BN$10,0),N(Reales!BN53)),BN$253-BN$257)</f>
        <v>1070847.25778852</v>
      </c>
      <c r="BO258" s="10" t="n">
        <f aca="false">IF(AND(BO$8=1,ISNUMBER(Reales!BO53)),IF(Reales!$C$53="PYG",IF(BO$10&gt;0,N(Reales!BO53)/BO$10,0),N(Reales!BO53)),BO$253-BO$257)</f>
        <v>1226147.69958634</v>
      </c>
      <c r="BP258" s="10" t="n">
        <f aca="false">IF(AND(BP$8=1,ISNUMBER(Reales!BP53)),IF(Reales!$C$53="PYG",IF(BP$10&gt;0,N(Reales!BP53)/BP$10,0),N(Reales!BP53)),BP$253-BP$257)</f>
        <v>1381448.14138417</v>
      </c>
      <c r="BQ258" s="10" t="n">
        <f aca="false">IF(AND(BQ$8=1,ISNUMBER(Reales!BQ53)),IF(Reales!$C$53="PYG",IF(BQ$10&gt;0,N(Reales!BQ53)/BQ$10,0),N(Reales!BQ53)),BQ$253-BQ$257)</f>
        <v>72822.0388137782</v>
      </c>
      <c r="BR258" s="10" t="n">
        <f aca="false">IF(AND(BR$8=1,ISNUMBER(Reales!BR53)),IF(Reales!$C$53="PYG",IF(BR$10&gt;0,N(Reales!BR53)/BR$10,0),N(Reales!BR53)),BR$253-BR$257)</f>
        <v>228122.480611604</v>
      </c>
      <c r="BS258" s="10" t="n">
        <f aca="false">IF(AND(BS$8=1,ISNUMBER(Reales!BS53)),IF(Reales!$C$53="PYG",IF(BS$10&gt;0,N(Reales!BS53)/BS$10,0),N(Reales!BS53)),BS$253-BS$257)</f>
        <v>383422.92240943</v>
      </c>
      <c r="BT258" s="10" t="n">
        <f aca="false">IF(AND(BT$8=1,ISNUMBER(Reales!BT53)),IF(Reales!$C$53="PYG",IF(BT$10&gt;0,N(Reales!BT53)/BT$10,0),N(Reales!BT53)),BT$253-BT$257)</f>
        <v>538723.364207257</v>
      </c>
      <c r="BU258" s="10" t="n">
        <f aca="false">IF(AND(BU$8=1,ISNUMBER(Reales!BU53)),IF(Reales!$C$53="PYG",IF(BU$10&gt;0,N(Reales!BU53)/BU$10,0),N(Reales!BU53)),BU$253-BU$257)</f>
        <v>694023.806005083</v>
      </c>
      <c r="BV258" s="10" t="n">
        <f aca="false">IF(AND(BV$8=1,ISNUMBER(Reales!BV53)),IF(Reales!$C$53="PYG",IF(BV$10&gt;0,N(Reales!BV53)/BV$10,0),N(Reales!BV53)),BV$253-BV$257)</f>
        <v>849324.247802909</v>
      </c>
      <c r="BW258" s="10" t="n">
        <f aca="false">IF(AND(BW$8=1,ISNUMBER(Reales!BW53)),IF(Reales!$C$53="PYG",IF(BW$10&gt;0,N(Reales!BW53)/BW$10,0),N(Reales!BW53)),BW$253-BW$257)</f>
        <v>1004624.68960073</v>
      </c>
      <c r="BX258" s="10" t="n">
        <f aca="false">IF(AND(BX$8=1,ISNUMBER(Reales!BX53)),IF(Reales!$C$53="PYG",IF(BX$10&gt;0,N(Reales!BX53)/BX$10,0),N(Reales!BX53)),BX$253-BX$257)</f>
        <v>1159925.13139856</v>
      </c>
      <c r="BY258" s="10" t="n">
        <f aca="false">IF(AND(BY$8=1,ISNUMBER(Reales!BY53)),IF(Reales!$C$53="PYG",IF(BY$10&gt;0,N(Reales!BY53)/BY$10,0),N(Reales!BY53)),BY$253-BY$257)</f>
        <v>1315225.57319639</v>
      </c>
      <c r="BZ258" s="10" t="n">
        <f aca="false">IF(AND(BZ$8=1,ISNUMBER(Reales!BZ53)),IF(Reales!$C$53="PYG",IF(BZ$10&gt;0,N(Reales!BZ53)/BZ$10,0),N(Reales!BZ53)),BZ$253-BZ$257)</f>
        <v>1436551.70246101</v>
      </c>
      <c r="CA258" s="10" t="n">
        <f aca="false">IF(AND(CA$8=1,ISNUMBER(Reales!CA53)),IF(Reales!$C$53="PYG",IF(CA$10&gt;0,N(Reales!CA53)/CA$10,0),N(Reales!CA53)),CA$253-CA$257)</f>
        <v>1595967.72495041</v>
      </c>
      <c r="CB258" s="10" t="n">
        <f aca="false">IF(AND(CB$8=1,ISNUMBER(Reales!CB53)),IF(Reales!$C$53="PYG",IF(CB$10&gt;0,N(Reales!CB53)/CB$10,0),N(Reales!CB53)),CB$253-CB$257)</f>
        <v>1755383.74743981</v>
      </c>
      <c r="CC258" s="10" t="n">
        <f aca="false">IF(AND(CC$8=1,ISNUMBER(Reales!CC53)),IF(Reales!$C$53="PYG",IF(CC$10&gt;0,N(Reales!CC53)/CC$10,0),N(Reales!CC53)),CC$253-CC$257)</f>
        <v>120611.077355291</v>
      </c>
      <c r="CD258" s="10" t="n">
        <f aca="false">IF(AND(CD$8=1,ISNUMBER(Reales!CD53)),IF(Reales!$C$53="PYG",IF(CD$10&gt;0,N(Reales!CD53)/CD$10,0),N(Reales!CD53)),CD$253-CD$257)</f>
        <v>280027.099844691</v>
      </c>
      <c r="CE258" s="10" t="n">
        <f aca="false">IF(AND(CE$8=1,ISNUMBER(Reales!CE53)),IF(Reales!$C$53="PYG",IF(CE$10&gt;0,N(Reales!CE53)/CE$10,0),N(Reales!CE53)),CE$253-CE$257)</f>
        <v>439443.122334091</v>
      </c>
      <c r="CF258" s="10" t="n">
        <f aca="false">IF(AND(CF$8=1,ISNUMBER(Reales!CF53)),IF(Reales!$C$53="PYG",IF(CF$10&gt;0,N(Reales!CF53)/CF$10,0),N(Reales!CF53)),CF$253-CF$257)</f>
        <v>598859.144823491</v>
      </c>
      <c r="CG258" s="10" t="n">
        <f aca="false">IF(AND(CG$8=1,ISNUMBER(Reales!CG53)),IF(Reales!$C$53="PYG",IF(CG$10&gt;0,N(Reales!CG53)/CG$10,0),N(Reales!CG53)),CG$253-CG$257)</f>
        <v>758275.167312891</v>
      </c>
      <c r="CH258" s="10" t="n">
        <f aca="false">IF(AND(CH$8=1,ISNUMBER(Reales!CH53)),IF(Reales!$C$53="PYG",IF(CH$10&gt;0,N(Reales!CH53)/CH$10,0),N(Reales!CH53)),CH$253-CH$257)</f>
        <v>917691.18980229</v>
      </c>
      <c r="CI258" s="10" t="n">
        <f aca="false">IF(AND(CI$8=1,ISNUMBER(Reales!CI53)),IF(Reales!$C$53="PYG",IF(CI$10&gt;0,N(Reales!CI53)/CI$10,0),N(Reales!CI53)),CI$253-CI$257)</f>
        <v>1077107.21229169</v>
      </c>
      <c r="CJ258" s="10" t="n">
        <f aca="false">IF(AND(CJ$8=1,ISNUMBER(Reales!CJ53)),IF(Reales!$C$53="PYG",IF(CJ$10&gt;0,N(Reales!CJ53)/CJ$10,0),N(Reales!CJ53)),CJ$253-CJ$257)</f>
        <v>1236523.23478109</v>
      </c>
      <c r="CK258" s="10" t="n">
        <f aca="false">IF(AND(CK$8=1,ISNUMBER(Reales!CK53)),IF(Reales!$C$53="PYG",IF(CK$10&gt;0,N(Reales!CK53)/CK$10,0),N(Reales!CK53)),CK$253-CK$257)</f>
        <v>1395939.25727049</v>
      </c>
      <c r="CL258" s="10" t="n">
        <f aca="false">IF(AND(CL$8=1,ISNUMBER(Reales!CL53)),IF(Reales!$C$53="PYG",IF(CL$10&gt;0,N(Reales!CL53)/CL$10,0),N(Reales!CL53)),CL$253-CL$257)</f>
        <v>1521040.85812226</v>
      </c>
      <c r="CM258" s="10" t="n">
        <f aca="false">IF(AND(CM$8=1,ISNUMBER(Reales!CM53)),IF(Reales!$C$53="PYG",IF(CM$10&gt;0,N(Reales!CM53)/CM$10,0),N(Reales!CM53)),CM$253-CM$257)</f>
        <v>1684600.67666855</v>
      </c>
      <c r="CN258" s="10" t="n">
        <f aca="false">IF(AND(CN$8=1,ISNUMBER(Reales!CN53)),IF(Reales!$C$53="PYG",IF(CN$10&gt;0,N(Reales!CN53)/CN$10,0),N(Reales!CN53)),CN$253-CN$257)</f>
        <v>1848160.49521483</v>
      </c>
      <c r="CO258" s="10" t="n">
        <f aca="false">IF(AND(CO$8=1,ISNUMBER(Reales!CO53)),IF(Reales!$C$53="PYG",IF(CO$10&gt;0,N(Reales!CO53)/CO$10,0),N(Reales!CO53)),CO$253-CO$257)</f>
        <v>168144.652888323</v>
      </c>
      <c r="CP258" s="10" t="n">
        <f aca="false">IF(AND(CP$8=1,ISNUMBER(Reales!CP53)),IF(Reales!$C$53="PYG",IF(CP$10&gt;0,N(Reales!CP53)/CP$10,0),N(Reales!CP53)),CP$253-CP$257)</f>
        <v>331704.47143461</v>
      </c>
      <c r="CQ258" s="10" t="n">
        <f aca="false">IF(AND(CQ$8=1,ISNUMBER(Reales!CQ53)),IF(Reales!$C$53="PYG",IF(CQ$10&gt;0,N(Reales!CQ53)/CQ$10,0),N(Reales!CQ53)),CQ$253-CQ$257)</f>
        <v>495264.289980898</v>
      </c>
      <c r="CR258" s="10" t="n">
        <f aca="false">IF(AND(CR$8=1,ISNUMBER(Reales!CR53)),IF(Reales!$C$53="PYG",IF(CR$10&gt;0,N(Reales!CR53)/CR$10,0),N(Reales!CR53)),CR$253-CR$257)</f>
        <v>658824.108527185</v>
      </c>
      <c r="CS258" s="10" t="n">
        <f aca="false">IF(AND(CS$8=1,ISNUMBER(Reales!CS53)),IF(Reales!$C$53="PYG",IF(CS$10&gt;0,N(Reales!CS53)/CS$10,0),N(Reales!CS53)),CS$253-CS$257)</f>
        <v>822383.927073473</v>
      </c>
      <c r="CT258" s="10" t="n">
        <f aca="false">IF(AND(CT$8=1,ISNUMBER(Reales!CT53)),IF(Reales!$C$53="PYG",IF(CT$10&gt;0,N(Reales!CT53)/CT$10,0),N(Reales!CT53)),CT$253-CT$257)</f>
        <v>985943.74561976</v>
      </c>
      <c r="CU258" s="10" t="n">
        <f aca="false">IF(AND(CU$8=1,ISNUMBER(Reales!CU53)),IF(Reales!$C$53="PYG",IF(CU$10&gt;0,N(Reales!CU53)/CU$10,0),N(Reales!CU53)),CU$253-CU$257)</f>
        <v>1149503.56416605</v>
      </c>
      <c r="CV258" s="10" t="n">
        <f aca="false">IF(AND(CV$8=1,ISNUMBER(Reales!CV53)),IF(Reales!$C$53="PYG",IF(CV$10&gt;0,N(Reales!CV53)/CV$10,0),N(Reales!CV53)),CV$253-CV$257)</f>
        <v>1313063.38271234</v>
      </c>
      <c r="CW258" s="10" t="n">
        <f aca="false">IF(AND(CW$8=1,ISNUMBER(Reales!CW53)),IF(Reales!$C$53="PYG",IF(CW$10&gt;0,N(Reales!CW53)/CW$10,0),N(Reales!CW53)),CW$253-CW$257)</f>
        <v>1476623.20125862</v>
      </c>
      <c r="CX258" s="10" t="n">
        <f aca="false">IF(AND(CX$8=1,ISNUMBER(Reales!CX53)),IF(Reales!$C$53="PYG",IF(CX$10&gt;0,N(Reales!CX53)/CX$10,0),N(Reales!CX53)),CX$253-CX$257)</f>
        <v>1605525.07895819</v>
      </c>
      <c r="CY258" s="10" t="n">
        <f aca="false">IF(AND(CY$8=1,ISNUMBER(Reales!CY53)),IF(Reales!$C$53="PYG",IF(CY$10&gt;0,N(Reales!CY53)/CY$10,0),N(Reales!CY53)),CY$253-CY$257)</f>
        <v>1773256.8086071</v>
      </c>
      <c r="CZ258" s="10" t="n">
        <f aca="false">IF(AND(CZ$8=1,ISNUMBER(Reales!CZ53)),IF(Reales!$C$53="PYG",IF(CZ$10&gt;0,N(Reales!CZ53)/CZ$10,0),N(Reales!CZ53)),CZ$253-CZ$257)</f>
        <v>1940988.53825601</v>
      </c>
      <c r="DA258" s="10" t="n">
        <f aca="false">IF(AND(DA$8=1,ISNUMBER(Reales!DA53)),IF(Reales!$C$53="PYG",IF(DA$10&gt;0,N(Reales!DA53)/DA$10,0),N(Reales!DA53)),DA$253-DA$257)</f>
        <v>215419.054349467</v>
      </c>
      <c r="DB258" s="10" t="n">
        <f aca="false">IF(AND(DB$8=1,ISNUMBER(Reales!DB53)),IF(Reales!$C$53="PYG",IF(DB$10&gt;0,N(Reales!DB53)/DB$10,0),N(Reales!DB53)),DB$253-DB$257)</f>
        <v>383150.783998375</v>
      </c>
      <c r="DC258" s="10" t="n">
        <f aca="false">IF(AND(DC$8=1,ISNUMBER(Reales!DC53)),IF(Reales!$C$53="PYG",IF(DC$10&gt;0,N(Reales!DC53)/DC$10,0),N(Reales!DC53)),DC$253-DC$257)</f>
        <v>550882.513647283</v>
      </c>
      <c r="DD258" s="10" t="n">
        <f aca="false">IF(AND(DD$8=1,ISNUMBER(Reales!DD53)),IF(Reales!$C$53="PYG",IF(DD$10&gt;0,N(Reales!DD53)/DD$10,0),N(Reales!DD53)),DD$253-DD$257)</f>
        <v>718614.24329619</v>
      </c>
      <c r="DE258" s="10" t="n">
        <f aca="false">IF(AND(DE$8=1,ISNUMBER(Reales!DE53)),IF(Reales!$C$53="PYG",IF(DE$10&gt;0,N(Reales!DE53)/DE$10,0),N(Reales!DE53)),DE$253-DE$257)</f>
        <v>886345.972945098</v>
      </c>
      <c r="DF258" s="10" t="n">
        <f aca="false">IF(AND(DF$8=1,ISNUMBER(Reales!DF53)),IF(Reales!$C$53="PYG",IF(DF$10&gt;0,N(Reales!DF53)/DF$10,0),N(Reales!DF53)),DF$253-DF$257)</f>
        <v>1054077.70259401</v>
      </c>
      <c r="DG258" s="10" t="n">
        <f aca="false">IF(AND(DG$8=1,ISNUMBER(Reales!DG53)),IF(Reales!$C$53="PYG",IF(DG$10&gt;0,N(Reales!DG53)/DG$10,0),N(Reales!DG53)),DG$253-DG$257)</f>
        <v>1221809.43224291</v>
      </c>
      <c r="DH258" s="10" t="n">
        <f aca="false">IF(AND(DH$8=1,ISNUMBER(Reales!DH53)),IF(Reales!$C$53="PYG",IF(DH$10&gt;0,N(Reales!DH53)/DH$10,0),N(Reales!DH53)),DH$253-DH$257)</f>
        <v>1389541.16189182</v>
      </c>
      <c r="DI258" s="10" t="n">
        <f aca="false">IF(AND(DI$8=1,ISNUMBER(Reales!DI53)),IF(Reales!$C$53="PYG",IF(DI$10&gt;0,N(Reales!DI53)/DI$10,0),N(Reales!DI53)),DI$253-DI$257)</f>
        <v>1557272.89154073</v>
      </c>
      <c r="DJ258" s="10" t="n">
        <f aca="false">IF(AND(DJ$8=1,ISNUMBER(Reales!DJ53)),IF(Reales!$C$53="PYG",IF(DJ$10&gt;0,N(Reales!DJ53)/DJ$10,0),N(Reales!DJ53)),DJ$253-DJ$257)</f>
        <v>1689999.71669704</v>
      </c>
      <c r="DK258" s="10" t="n">
        <f aca="false">IF(AND(DK$8=1,ISNUMBER(Reales!DK53)),IF(Reales!$C$53="PYG",IF(DK$10&gt;0,N(Reales!DK53)/DK$10,0),N(Reales!DK53)),DK$253-DK$257)</f>
        <v>1861931.35981212</v>
      </c>
      <c r="DL258" s="10" t="n">
        <f aca="false">IF(AND(DL$8=1,ISNUMBER(Reales!DL53)),IF(Reales!$C$53="PYG",IF(DL$10&gt;0,N(Reales!DL53)/DL$10,0),N(Reales!DL53)),DL$253-DL$257)</f>
        <v>2033863.00292721</v>
      </c>
      <c r="DM258" s="10" t="n">
        <f aca="false">IF(AND(DM$8=1,ISNUMBER(Reales!DM53)),IF(Reales!$C$53="PYG",IF(DM$10&gt;0,N(Reales!DM53)/DM$10,0),N(Reales!DM53)),DM$253-DM$257)</f>
        <v>262430.499255404</v>
      </c>
      <c r="DN258" s="10" t="n">
        <f aca="false">IF(AND(DN$8=1,ISNUMBER(Reales!DN53)),IF(Reales!$C$53="PYG",IF(DN$10&gt;0,N(Reales!DN53)/DN$10,0),N(Reales!DN53)),DN$253-DN$257)</f>
        <v>434362.142370491</v>
      </c>
      <c r="DO258" s="10" t="n">
        <f aca="false">IF(AND(DO$8=1,ISNUMBER(Reales!DO53)),IF(Reales!$C$53="PYG",IF(DO$10&gt;0,N(Reales!DO53)/DO$10,0),N(Reales!DO53)),DO$253-DO$257)</f>
        <v>606293.785485577</v>
      </c>
      <c r="DP258" s="10" t="n">
        <f aca="false">IF(AND(DP$8=1,ISNUMBER(Reales!DP53)),IF(Reales!$C$53="PYG",IF(DP$10&gt;0,N(Reales!DP53)/DP$10,0),N(Reales!DP53)),DP$253-DP$257)</f>
        <v>778225.428600663</v>
      </c>
      <c r="DQ258" s="10" t="n">
        <f aca="false">IF(AND(DQ$8=1,ISNUMBER(Reales!DQ53)),IF(Reales!$C$53="PYG",IF(DQ$10&gt;0,N(Reales!DQ53)/DQ$10,0),N(Reales!DQ53)),DQ$253-DQ$257)</f>
        <v>950157.071715749</v>
      </c>
      <c r="DR258" s="10" t="n">
        <f aca="false">IF(AND(DR$8=1,ISNUMBER(Reales!DR53)),IF(Reales!$C$53="PYG",IF(DR$10&gt;0,N(Reales!DR53)/DR$10,0),N(Reales!DR53)),DR$253-DR$257)</f>
        <v>1122088.71483084</v>
      </c>
      <c r="DS258" s="10" t="n">
        <f aca="false">IF(AND(DS$8=1,ISNUMBER(Reales!DS53)),IF(Reales!$C$53="PYG",IF(DS$10&gt;0,N(Reales!DS53)/DS$10,0),N(Reales!DS53)),DS$253-DS$257)</f>
        <v>1294020.35794592</v>
      </c>
      <c r="DT258" s="10" t="n">
        <f aca="false">IF(AND(DT$8=1,ISNUMBER(Reales!DT53)),IF(Reales!$C$53="PYG",IF(DT$10&gt;0,N(Reales!DT53)/DT$10,0),N(Reales!DT53)),DT$253-DT$257)</f>
        <v>1465952.00106101</v>
      </c>
      <c r="DU258" s="10" t="n">
        <f aca="false">IF(AND(DU$8=1,ISNUMBER(Reales!DU53)),IF(Reales!$C$53="PYG",IF(DU$10&gt;0,N(Reales!DU53)/DU$10,0),N(Reales!DU53)),DU$253-DU$257)</f>
        <v>1637883.64417609</v>
      </c>
      <c r="DV258" s="10" t="n">
        <f aca="false">IF(AND(DV$8=1,ISNUMBER(Reales!DV53)),IF(Reales!$C$53="PYG",IF(DV$10&gt;0,N(Reales!DV53)/DV$10,0),N(Reales!DV53)),DV$253-DV$257)</f>
        <v>1637883.64417609</v>
      </c>
      <c r="DW258" s="10" t="n">
        <f aca="false">IF(AND(DW$8=1,ISNUMBER(Reales!DW53)),IF(Reales!$C$53="PYG",IF(DW$10&gt;0,N(Reales!DW53)/DW$10,0),N(Reales!DW53)),DW$253-DW$257)</f>
        <v>1637883.64417609</v>
      </c>
      <c r="DX258" s="10" t="n">
        <f aca="false">IF(AND(DX$8=1,ISNUMBER(Reales!DX53)),IF(Reales!$C$53="PYG",IF(DX$10&gt;0,N(Reales!DX53)/DX$10,0),N(Reales!DX53)),DX$253-DX$257)</f>
        <v>1637883.64417609</v>
      </c>
      <c r="DY258" s="10" t="n">
        <f aca="false">IF(AND(DY$8=1,ISNUMBER(Reales!DY53)),IF(Reales!$C$53="PYG",IF(DY$10&gt;0,N(Reales!DY53)/DY$10,0),N(Reales!DY53)),DY$253-DY$257)</f>
        <v>1637883.64417609</v>
      </c>
      <c r="DZ258" s="10" t="n">
        <f aca="false">IF(AND(DZ$8=1,ISNUMBER(Reales!DZ53)),IF(Reales!$C$53="PYG",IF(DZ$10&gt;0,N(Reales!DZ53)/DZ$10,0),N(Reales!DZ53)),DZ$253-DZ$257)</f>
        <v>1637883.64417609</v>
      </c>
      <c r="EA258" s="10" t="n">
        <f aca="false">IF(AND(EA$8=1,ISNUMBER(Reales!EA53)),IF(Reales!$C$53="PYG",IF(EA$10&gt;0,N(Reales!EA53)/EA$10,0),N(Reales!EA53)),EA$253-EA$257)</f>
        <v>1637883.64417609</v>
      </c>
      <c r="EB258" s="10" t="n">
        <f aca="false">IF(AND(EB$8=1,ISNUMBER(Reales!EB53)),IF(Reales!$C$53="PYG",IF(EB$10&gt;0,N(Reales!EB53)/EB$10,0),N(Reales!EB53)),EB$253-EB$257)</f>
        <v>1637883.64417609</v>
      </c>
      <c r="EC258" s="10" t="n">
        <f aca="false">IF(AND(EC$8=1,ISNUMBER(Reales!EC53)),IF(Reales!$C$53="PYG",IF(EC$10&gt;0,N(Reales!EC53)/EC$10,0),N(Reales!EC53)),EC$253-EC$257)</f>
        <v>1637883.64417609</v>
      </c>
      <c r="ED258" s="10" t="n">
        <f aca="false">IF(AND(ED$8=1,ISNUMBER(Reales!ED53)),IF(Reales!$C$53="PYG",IF(ED$10&gt;0,N(Reales!ED53)/ED$10,0),N(Reales!ED53)),ED$253-ED$257)</f>
        <v>1637883.64417609</v>
      </c>
      <c r="EE258" s="10" t="n">
        <f aca="false">IF(AND(EE$8=1,ISNUMBER(Reales!EE53)),IF(Reales!$C$53="PYG",IF(EE$10&gt;0,N(Reales!EE53)/EE$10,0),N(Reales!EE53)),EE$253-EE$257)</f>
        <v>1637883.64417609</v>
      </c>
      <c r="EF258" s="10" t="n">
        <f aca="false">IF(AND(EF$8=1,ISNUMBER(Reales!EF53)),IF(Reales!$C$53="PYG",IF(EF$10&gt;0,N(Reales!EF53)/EF$10,0),N(Reales!EF53)),EF$253-EF$257)</f>
        <v>1637883.64417609</v>
      </c>
      <c r="EG258" s="10" t="n">
        <f aca="false">IF(AND(EG$8=1,ISNUMBER(Reales!EG53)),IF(Reales!$C$53="PYG",IF(EG$10&gt;0,N(Reales!EG53)/EG$10,0),N(Reales!EG53)),EG$253-EG$257)</f>
        <v>1637883.64417609</v>
      </c>
      <c r="EH258" s="10" t="n">
        <f aca="false">IF(AND(EH$8=1,ISNUMBER(Reales!EH53)),IF(Reales!$C$53="PYG",IF(EH$10&gt;0,N(Reales!EH53)/EH$10,0),N(Reales!EH53)),EH$253-EH$257)</f>
        <v>1637883.64417609</v>
      </c>
      <c r="EI258" s="10" t="n">
        <f aca="false">IF(AND(EI$8=1,ISNUMBER(Reales!EI53)),IF(Reales!$C$53="PYG",IF(EI$10&gt;0,N(Reales!EI53)/EI$10,0),N(Reales!EI53)),EI$253-EI$257)</f>
        <v>1637883.64417609</v>
      </c>
      <c r="EJ258" s="10" t="n">
        <f aca="false">IF(AND(EJ$8=1,ISNUMBER(Reales!EJ53)),IF(Reales!$C$53="PYG",IF(EJ$10&gt;0,N(Reales!EJ53)/EJ$10,0),N(Reales!EJ53)),EJ$253-EJ$257)</f>
        <v>1637883.64417609</v>
      </c>
      <c r="EK258" s="10" t="n">
        <f aca="false">IF(AND(EK$8=1,ISNUMBER(Reales!EK53)),IF(Reales!$C$53="PYG",IF(EK$10&gt;0,N(Reales!EK53)/EK$10,0),N(Reales!EK53)),EK$253-EK$257)</f>
        <v>1637883.64417609</v>
      </c>
      <c r="EL258" s="10" t="n">
        <f aca="false">IF(AND(EL$8=1,ISNUMBER(Reales!EL53)),IF(Reales!$C$53="PYG",IF(EL$10&gt;0,N(Reales!EL53)/EL$10,0),N(Reales!EL53)),EL$253-EL$257)</f>
        <v>1637883.64417609</v>
      </c>
      <c r="EM258" s="10" t="n">
        <f aca="false">IF(AND(EM$8=1,ISNUMBER(Reales!EM53)),IF(Reales!$C$53="PYG",IF(EM$10&gt;0,N(Reales!EM53)/EM$10,0),N(Reales!EM53)),EM$253-EM$257)</f>
        <v>1637883.64417609</v>
      </c>
      <c r="EN258" s="10" t="n">
        <f aca="false">IF(AND(EN$8=1,ISNUMBER(Reales!EN53)),IF(Reales!$C$53="PYG",IF(EN$10&gt;0,N(Reales!EN53)/EN$10,0),N(Reales!EN53)),EN$253-EN$257)</f>
        <v>1637883.64417609</v>
      </c>
      <c r="EO258" s="10" t="n">
        <f aca="false">IF(AND(EO$8=1,ISNUMBER(Reales!EO53)),IF(Reales!$C$53="PYG",IF(EO$10&gt;0,N(Reales!EO53)/EO$10,0),N(Reales!EO53)),EO$253-EO$257)</f>
        <v>1637883.64417609</v>
      </c>
      <c r="EP258" s="10" t="n">
        <f aca="false">IF(AND(EP$8=1,ISNUMBER(Reales!EP53)),IF(Reales!$C$53="PYG",IF(EP$10&gt;0,N(Reales!EP53)/EP$10,0),N(Reales!EP53)),EP$253-EP$257)</f>
        <v>1637883.64417609</v>
      </c>
      <c r="EQ258" s="10" t="n">
        <f aca="false">IF(AND(EQ$8=1,ISNUMBER(Reales!EQ53)),IF(Reales!$C$53="PYG",IF(EQ$10&gt;0,N(Reales!EQ53)/EQ$10,0),N(Reales!EQ53)),EQ$253-EQ$257)</f>
        <v>1637883.64417609</v>
      </c>
      <c r="ER258" s="10" t="n">
        <f aca="false">IF(AND(ER$8=1,ISNUMBER(Reales!ER53)),IF(Reales!$C$53="PYG",IF(ER$10&gt;0,N(Reales!ER53)/ER$10,0),N(Reales!ER53)),ER$253-ER$257)</f>
        <v>1637883.64417609</v>
      </c>
      <c r="ES258" s="10" t="n">
        <f aca="false">IF(AND(ES$8=1,ISNUMBER(Reales!ES53)),IF(Reales!$C$53="PYG",IF(ES$10&gt;0,N(Reales!ES53)/ES$10,0),N(Reales!ES53)),ES$253-ES$257)</f>
        <v>1637883.64417609</v>
      </c>
    </row>
    <row r="259" customFormat="false" ht="15" hidden="false" customHeight="false" outlineLevel="0" collapsed="false">
      <c r="A259" s="2" t="s">
        <v>869</v>
      </c>
      <c r="B259" s="6" t="s">
        <v>740</v>
      </c>
      <c r="C259" s="6" t="s">
        <v>250</v>
      </c>
      <c r="E259" s="40" t="n">
        <f aca="false">SUM(F259:ES259)</f>
        <v>0</v>
      </c>
      <c r="F259" s="34" t="n">
        <f aca="false">F$258-(F$253-F$257)</f>
        <v>0</v>
      </c>
      <c r="G259" s="34" t="n">
        <f aca="false">G$258-(G$253-G$257)</f>
        <v>0</v>
      </c>
      <c r="H259" s="34" t="n">
        <f aca="false">H$258-(H$253-H$257)</f>
        <v>0</v>
      </c>
      <c r="I259" s="34" t="n">
        <f aca="false">I$258-(I$253-I$257)</f>
        <v>0</v>
      </c>
      <c r="J259" s="34" t="n">
        <f aca="false">J$258-(J$253-J$257)</f>
        <v>0</v>
      </c>
      <c r="K259" s="34" t="n">
        <f aca="false">K$258-(K$253-K$257)</f>
        <v>0</v>
      </c>
      <c r="L259" s="34" t="n">
        <f aca="false">L$258-(L$253-L$257)</f>
        <v>0</v>
      </c>
      <c r="M259" s="34" t="n">
        <f aca="false">M$258-(M$253-M$257)</f>
        <v>0</v>
      </c>
      <c r="N259" s="34" t="n">
        <f aca="false">N$258-(N$253-N$257)</f>
        <v>0</v>
      </c>
      <c r="O259" s="34" t="n">
        <f aca="false">O$258-(O$253-O$257)</f>
        <v>0</v>
      </c>
      <c r="P259" s="34" t="n">
        <f aca="false">P$258-(P$253-P$257)</f>
        <v>0</v>
      </c>
      <c r="Q259" s="34" t="n">
        <f aca="false">Q$258-(Q$253-Q$257)</f>
        <v>0</v>
      </c>
      <c r="R259" s="34" t="n">
        <f aca="false">R$258-(R$253-R$257)</f>
        <v>0</v>
      </c>
      <c r="S259" s="34" t="n">
        <f aca="false">S$258-(S$253-S$257)</f>
        <v>0</v>
      </c>
      <c r="T259" s="34" t="n">
        <f aca="false">T$258-(T$253-T$257)</f>
        <v>0</v>
      </c>
      <c r="U259" s="34" t="n">
        <f aca="false">U$258-(U$253-U$257)</f>
        <v>0</v>
      </c>
      <c r="V259" s="34" t="n">
        <f aca="false">V$258-(V$253-V$257)</f>
        <v>0</v>
      </c>
      <c r="W259" s="34" t="n">
        <f aca="false">W$258-(W$253-W$257)</f>
        <v>0</v>
      </c>
      <c r="X259" s="34" t="n">
        <f aca="false">X$258-(X$253-X$257)</f>
        <v>0</v>
      </c>
      <c r="Y259" s="34" t="n">
        <f aca="false">Y$258-(Y$253-Y$257)</f>
        <v>0</v>
      </c>
      <c r="Z259" s="34" t="n">
        <f aca="false">Z$258-(Z$253-Z$257)</f>
        <v>0</v>
      </c>
      <c r="AA259" s="34" t="n">
        <f aca="false">AA$258-(AA$253-AA$257)</f>
        <v>0</v>
      </c>
      <c r="AB259" s="34" t="n">
        <f aca="false">AB$258-(AB$253-AB$257)</f>
        <v>0</v>
      </c>
      <c r="AC259" s="34" t="n">
        <f aca="false">AC$258-(AC$253-AC$257)</f>
        <v>0</v>
      </c>
      <c r="AD259" s="34" t="n">
        <f aca="false">AD$258-(AD$253-AD$257)</f>
        <v>0</v>
      </c>
      <c r="AE259" s="34" t="n">
        <f aca="false">AE$258-(AE$253-AE$257)</f>
        <v>0</v>
      </c>
      <c r="AF259" s="34" t="n">
        <f aca="false">AF$258-(AF$253-AF$257)</f>
        <v>0</v>
      </c>
      <c r="AG259" s="34" t="n">
        <f aca="false">AG$258-(AG$253-AG$257)</f>
        <v>0</v>
      </c>
      <c r="AH259" s="34" t="n">
        <f aca="false">AH$258-(AH$253-AH$257)</f>
        <v>0</v>
      </c>
      <c r="AI259" s="34" t="n">
        <f aca="false">AI$258-(AI$253-AI$257)</f>
        <v>0</v>
      </c>
      <c r="AJ259" s="34" t="n">
        <f aca="false">AJ$258-(AJ$253-AJ$257)</f>
        <v>0</v>
      </c>
      <c r="AK259" s="34" t="n">
        <f aca="false">AK$258-(AK$253-AK$257)</f>
        <v>0</v>
      </c>
      <c r="AL259" s="34" t="n">
        <f aca="false">AL$258-(AL$253-AL$257)</f>
        <v>0</v>
      </c>
      <c r="AM259" s="34" t="n">
        <f aca="false">AM$258-(AM$253-AM$257)</f>
        <v>0</v>
      </c>
      <c r="AN259" s="34" t="n">
        <f aca="false">AN$258-(AN$253-AN$257)</f>
        <v>0</v>
      </c>
      <c r="AO259" s="34" t="n">
        <f aca="false">AO$258-(AO$253-AO$257)</f>
        <v>0</v>
      </c>
      <c r="AP259" s="34" t="n">
        <f aca="false">AP$258-(AP$253-AP$257)</f>
        <v>0</v>
      </c>
      <c r="AQ259" s="34" t="n">
        <f aca="false">AQ$258-(AQ$253-AQ$257)</f>
        <v>0</v>
      </c>
      <c r="AR259" s="34" t="n">
        <f aca="false">AR$258-(AR$253-AR$257)</f>
        <v>0</v>
      </c>
      <c r="AS259" s="34" t="n">
        <f aca="false">AS$258-(AS$253-AS$257)</f>
        <v>0</v>
      </c>
      <c r="AT259" s="34" t="n">
        <f aca="false">AT$258-(AT$253-AT$257)</f>
        <v>0</v>
      </c>
      <c r="AU259" s="34" t="n">
        <f aca="false">AU$258-(AU$253-AU$257)</f>
        <v>0</v>
      </c>
      <c r="AV259" s="34" t="n">
        <f aca="false">AV$258-(AV$253-AV$257)</f>
        <v>0</v>
      </c>
      <c r="AW259" s="34" t="n">
        <f aca="false">AW$258-(AW$253-AW$257)</f>
        <v>0</v>
      </c>
      <c r="AX259" s="34" t="n">
        <f aca="false">AX$258-(AX$253-AX$257)</f>
        <v>0</v>
      </c>
      <c r="AY259" s="34" t="n">
        <f aca="false">AY$258-(AY$253-AY$257)</f>
        <v>0</v>
      </c>
      <c r="AZ259" s="34" t="n">
        <f aca="false">AZ$258-(AZ$253-AZ$257)</f>
        <v>0</v>
      </c>
      <c r="BA259" s="34" t="n">
        <f aca="false">BA$258-(BA$253-BA$257)</f>
        <v>0</v>
      </c>
      <c r="BB259" s="34" t="n">
        <f aca="false">BB$258-(BB$253-BB$257)</f>
        <v>0</v>
      </c>
      <c r="BC259" s="34" t="n">
        <f aca="false">BC$258-(BC$253-BC$257)</f>
        <v>0</v>
      </c>
      <c r="BD259" s="34" t="n">
        <f aca="false">BD$258-(BD$253-BD$257)</f>
        <v>0</v>
      </c>
      <c r="BE259" s="34" t="n">
        <f aca="false">BE$258-(BE$253-BE$257)</f>
        <v>0</v>
      </c>
      <c r="BF259" s="34" t="n">
        <f aca="false">BF$258-(BF$253-BF$257)</f>
        <v>0</v>
      </c>
      <c r="BG259" s="34" t="n">
        <f aca="false">BG$258-(BG$253-BG$257)</f>
        <v>0</v>
      </c>
      <c r="BH259" s="34" t="n">
        <f aca="false">BH$258-(BH$253-BH$257)</f>
        <v>0</v>
      </c>
      <c r="BI259" s="34" t="n">
        <f aca="false">BI$258-(BI$253-BI$257)</f>
        <v>0</v>
      </c>
      <c r="BJ259" s="34" t="n">
        <f aca="false">BJ$258-(BJ$253-BJ$257)</f>
        <v>0</v>
      </c>
      <c r="BK259" s="34" t="n">
        <f aca="false">BK$258-(BK$253-BK$257)</f>
        <v>0</v>
      </c>
      <c r="BL259" s="34" t="n">
        <f aca="false">BL$258-(BL$253-BL$257)</f>
        <v>0</v>
      </c>
      <c r="BM259" s="34" t="n">
        <f aca="false">BM$258-(BM$253-BM$257)</f>
        <v>0</v>
      </c>
      <c r="BN259" s="34" t="n">
        <f aca="false">BN$258-(BN$253-BN$257)</f>
        <v>0</v>
      </c>
      <c r="BO259" s="34" t="n">
        <f aca="false">BO$258-(BO$253-BO$257)</f>
        <v>0</v>
      </c>
      <c r="BP259" s="34" t="n">
        <f aca="false">BP$258-(BP$253-BP$257)</f>
        <v>0</v>
      </c>
      <c r="BQ259" s="34" t="n">
        <f aca="false">BQ$258-(BQ$253-BQ$257)</f>
        <v>0</v>
      </c>
      <c r="BR259" s="34" t="n">
        <f aca="false">BR$258-(BR$253-BR$257)</f>
        <v>0</v>
      </c>
      <c r="BS259" s="34" t="n">
        <f aca="false">BS$258-(BS$253-BS$257)</f>
        <v>0</v>
      </c>
      <c r="BT259" s="34" t="n">
        <f aca="false">BT$258-(BT$253-BT$257)</f>
        <v>0</v>
      </c>
      <c r="BU259" s="34" t="n">
        <f aca="false">BU$258-(BU$253-BU$257)</f>
        <v>0</v>
      </c>
      <c r="BV259" s="34" t="n">
        <f aca="false">BV$258-(BV$253-BV$257)</f>
        <v>0</v>
      </c>
      <c r="BW259" s="34" t="n">
        <f aca="false">BW$258-(BW$253-BW$257)</f>
        <v>0</v>
      </c>
      <c r="BX259" s="34" t="n">
        <f aca="false">BX$258-(BX$253-BX$257)</f>
        <v>0</v>
      </c>
      <c r="BY259" s="34" t="n">
        <f aca="false">BY$258-(BY$253-BY$257)</f>
        <v>0</v>
      </c>
      <c r="BZ259" s="34" t="n">
        <f aca="false">BZ$258-(BZ$253-BZ$257)</f>
        <v>0</v>
      </c>
      <c r="CA259" s="34" t="n">
        <f aca="false">CA$258-(CA$253-CA$257)</f>
        <v>0</v>
      </c>
      <c r="CB259" s="34" t="n">
        <f aca="false">CB$258-(CB$253-CB$257)</f>
        <v>0</v>
      </c>
      <c r="CC259" s="34" t="n">
        <f aca="false">CC$258-(CC$253-CC$257)</f>
        <v>0</v>
      </c>
      <c r="CD259" s="34" t="n">
        <f aca="false">CD$258-(CD$253-CD$257)</f>
        <v>0</v>
      </c>
      <c r="CE259" s="34" t="n">
        <f aca="false">CE$258-(CE$253-CE$257)</f>
        <v>0</v>
      </c>
      <c r="CF259" s="34" t="n">
        <f aca="false">CF$258-(CF$253-CF$257)</f>
        <v>0</v>
      </c>
      <c r="CG259" s="34" t="n">
        <f aca="false">CG$258-(CG$253-CG$257)</f>
        <v>0</v>
      </c>
      <c r="CH259" s="34" t="n">
        <f aca="false">CH$258-(CH$253-CH$257)</f>
        <v>0</v>
      </c>
      <c r="CI259" s="34" t="n">
        <f aca="false">CI$258-(CI$253-CI$257)</f>
        <v>0</v>
      </c>
      <c r="CJ259" s="34" t="n">
        <f aca="false">CJ$258-(CJ$253-CJ$257)</f>
        <v>0</v>
      </c>
      <c r="CK259" s="34" t="n">
        <f aca="false">CK$258-(CK$253-CK$257)</f>
        <v>0</v>
      </c>
      <c r="CL259" s="34" t="n">
        <f aca="false">CL$258-(CL$253-CL$257)</f>
        <v>0</v>
      </c>
      <c r="CM259" s="34" t="n">
        <f aca="false">CM$258-(CM$253-CM$257)</f>
        <v>0</v>
      </c>
      <c r="CN259" s="34" t="n">
        <f aca="false">CN$258-(CN$253-CN$257)</f>
        <v>0</v>
      </c>
      <c r="CO259" s="34" t="n">
        <f aca="false">CO$258-(CO$253-CO$257)</f>
        <v>0</v>
      </c>
      <c r="CP259" s="34" t="n">
        <f aca="false">CP$258-(CP$253-CP$257)</f>
        <v>0</v>
      </c>
      <c r="CQ259" s="34" t="n">
        <f aca="false">CQ$258-(CQ$253-CQ$257)</f>
        <v>0</v>
      </c>
      <c r="CR259" s="34" t="n">
        <f aca="false">CR$258-(CR$253-CR$257)</f>
        <v>0</v>
      </c>
      <c r="CS259" s="34" t="n">
        <f aca="false">CS$258-(CS$253-CS$257)</f>
        <v>0</v>
      </c>
      <c r="CT259" s="34" t="n">
        <f aca="false">CT$258-(CT$253-CT$257)</f>
        <v>0</v>
      </c>
      <c r="CU259" s="34" t="n">
        <f aca="false">CU$258-(CU$253-CU$257)</f>
        <v>0</v>
      </c>
      <c r="CV259" s="34" t="n">
        <f aca="false">CV$258-(CV$253-CV$257)</f>
        <v>0</v>
      </c>
      <c r="CW259" s="34" t="n">
        <f aca="false">CW$258-(CW$253-CW$257)</f>
        <v>0</v>
      </c>
      <c r="CX259" s="34" t="n">
        <f aca="false">CX$258-(CX$253-CX$257)</f>
        <v>0</v>
      </c>
      <c r="CY259" s="34" t="n">
        <f aca="false">CY$258-(CY$253-CY$257)</f>
        <v>0</v>
      </c>
      <c r="CZ259" s="34" t="n">
        <f aca="false">CZ$258-(CZ$253-CZ$257)</f>
        <v>0</v>
      </c>
      <c r="DA259" s="34" t="n">
        <f aca="false">DA$258-(DA$253-DA$257)</f>
        <v>0</v>
      </c>
      <c r="DB259" s="34" t="n">
        <f aca="false">DB$258-(DB$253-DB$257)</f>
        <v>0</v>
      </c>
      <c r="DC259" s="34" t="n">
        <f aca="false">DC$258-(DC$253-DC$257)</f>
        <v>0</v>
      </c>
      <c r="DD259" s="34" t="n">
        <f aca="false">DD$258-(DD$253-DD$257)</f>
        <v>0</v>
      </c>
      <c r="DE259" s="34" t="n">
        <f aca="false">DE$258-(DE$253-DE$257)</f>
        <v>0</v>
      </c>
      <c r="DF259" s="34" t="n">
        <f aca="false">DF$258-(DF$253-DF$257)</f>
        <v>0</v>
      </c>
      <c r="DG259" s="34" t="n">
        <f aca="false">DG$258-(DG$253-DG$257)</f>
        <v>0</v>
      </c>
      <c r="DH259" s="34" t="n">
        <f aca="false">DH$258-(DH$253-DH$257)</f>
        <v>0</v>
      </c>
      <c r="DI259" s="34" t="n">
        <f aca="false">DI$258-(DI$253-DI$257)</f>
        <v>0</v>
      </c>
      <c r="DJ259" s="34" t="n">
        <f aca="false">DJ$258-(DJ$253-DJ$257)</f>
        <v>0</v>
      </c>
      <c r="DK259" s="34" t="n">
        <f aca="false">DK$258-(DK$253-DK$257)</f>
        <v>0</v>
      </c>
      <c r="DL259" s="34" t="n">
        <f aca="false">DL$258-(DL$253-DL$257)</f>
        <v>0</v>
      </c>
      <c r="DM259" s="34" t="n">
        <f aca="false">DM$258-(DM$253-DM$257)</f>
        <v>0</v>
      </c>
      <c r="DN259" s="34" t="n">
        <f aca="false">DN$258-(DN$253-DN$257)</f>
        <v>0</v>
      </c>
      <c r="DO259" s="34" t="n">
        <f aca="false">DO$258-(DO$253-DO$257)</f>
        <v>0</v>
      </c>
      <c r="DP259" s="34" t="n">
        <f aca="false">DP$258-(DP$253-DP$257)</f>
        <v>0</v>
      </c>
      <c r="DQ259" s="34" t="n">
        <f aca="false">DQ$258-(DQ$253-DQ$257)</f>
        <v>0</v>
      </c>
      <c r="DR259" s="34" t="n">
        <f aca="false">DR$258-(DR$253-DR$257)</f>
        <v>0</v>
      </c>
      <c r="DS259" s="34" t="n">
        <f aca="false">DS$258-(DS$253-DS$257)</f>
        <v>0</v>
      </c>
      <c r="DT259" s="34" t="n">
        <f aca="false">DT$258-(DT$253-DT$257)</f>
        <v>0</v>
      </c>
      <c r="DU259" s="34" t="n">
        <f aca="false">DU$258-(DU$253-DU$257)</f>
        <v>0</v>
      </c>
      <c r="DV259" s="34" t="n">
        <f aca="false">DV$258-(DV$253-DV$257)</f>
        <v>0</v>
      </c>
      <c r="DW259" s="34" t="n">
        <f aca="false">DW$258-(DW$253-DW$257)</f>
        <v>0</v>
      </c>
      <c r="DX259" s="34" t="n">
        <f aca="false">DX$258-(DX$253-DX$257)</f>
        <v>0</v>
      </c>
      <c r="DY259" s="34" t="n">
        <f aca="false">DY$258-(DY$253-DY$257)</f>
        <v>0</v>
      </c>
      <c r="DZ259" s="34" t="n">
        <f aca="false">DZ$258-(DZ$253-DZ$257)</f>
        <v>0</v>
      </c>
      <c r="EA259" s="34" t="n">
        <f aca="false">EA$258-(EA$253-EA$257)</f>
        <v>0</v>
      </c>
      <c r="EB259" s="34" t="n">
        <f aca="false">EB$258-(EB$253-EB$257)</f>
        <v>0</v>
      </c>
      <c r="EC259" s="34" t="n">
        <f aca="false">EC$258-(EC$253-EC$257)</f>
        <v>0</v>
      </c>
      <c r="ED259" s="34" t="n">
        <f aca="false">ED$258-(ED$253-ED$257)</f>
        <v>0</v>
      </c>
      <c r="EE259" s="34" t="n">
        <f aca="false">EE$258-(EE$253-EE$257)</f>
        <v>0</v>
      </c>
      <c r="EF259" s="34" t="n">
        <f aca="false">EF$258-(EF$253-EF$257)</f>
        <v>0</v>
      </c>
      <c r="EG259" s="34" t="n">
        <f aca="false">EG$258-(EG$253-EG$257)</f>
        <v>0</v>
      </c>
      <c r="EH259" s="34" t="n">
        <f aca="false">EH$258-(EH$253-EH$257)</f>
        <v>0</v>
      </c>
      <c r="EI259" s="34" t="n">
        <f aca="false">EI$258-(EI$253-EI$257)</f>
        <v>0</v>
      </c>
      <c r="EJ259" s="34" t="n">
        <f aca="false">EJ$258-(EJ$253-EJ$257)</f>
        <v>0</v>
      </c>
      <c r="EK259" s="34" t="n">
        <f aca="false">EK$258-(EK$253-EK$257)</f>
        <v>0</v>
      </c>
      <c r="EL259" s="34" t="n">
        <f aca="false">EL$258-(EL$253-EL$257)</f>
        <v>0</v>
      </c>
      <c r="EM259" s="34" t="n">
        <f aca="false">EM$258-(EM$253-EM$257)</f>
        <v>0</v>
      </c>
      <c r="EN259" s="34" t="n">
        <f aca="false">EN$258-(EN$253-EN$257)</f>
        <v>0</v>
      </c>
      <c r="EO259" s="34" t="n">
        <f aca="false">EO$258-(EO$253-EO$257)</f>
        <v>0</v>
      </c>
      <c r="EP259" s="34" t="n">
        <f aca="false">EP$258-(EP$253-EP$257)</f>
        <v>0</v>
      </c>
      <c r="EQ259" s="34" t="n">
        <f aca="false">EQ$258-(EQ$253-EQ$257)</f>
        <v>0</v>
      </c>
      <c r="ER259" s="34" t="n">
        <f aca="false">ER$258-(ER$253-ER$257)</f>
        <v>0</v>
      </c>
      <c r="ES259" s="34" t="n">
        <f aca="false">ES$258-(ES$253-ES$257)</f>
        <v>0</v>
      </c>
    </row>
    <row r="260" customFormat="false" ht="15" hidden="false" customHeight="false" outlineLevel="0" collapsed="false">
      <c r="A260" s="2" t="s">
        <v>870</v>
      </c>
      <c r="B260" s="52" t="s">
        <v>742</v>
      </c>
      <c r="C260" s="6" t="s">
        <v>250</v>
      </c>
      <c r="E260" s="40" t="n">
        <f aca="false">MAX(F260:ES260)</f>
        <v>373700.713193166</v>
      </c>
      <c r="F260" s="10" t="n">
        <f aca="false">MAX(0,F$246-F$258)*F$9</f>
        <v>0</v>
      </c>
      <c r="G260" s="10" t="n">
        <f aca="false">MAX(0,G$246-G$258)*G$9</f>
        <v>0</v>
      </c>
      <c r="H260" s="10" t="n">
        <f aca="false">MAX(0,H$246-H$258)*H$9</f>
        <v>0</v>
      </c>
      <c r="I260" s="10" t="n">
        <f aca="false">MAX(0,I$246-I$258)*I$9</f>
        <v>0</v>
      </c>
      <c r="J260" s="10" t="n">
        <f aca="false">MAX(0,J$246-J$258)*J$9</f>
        <v>0</v>
      </c>
      <c r="K260" s="10" t="n">
        <f aca="false">MAX(0,K$246-K$258)*K$9</f>
        <v>0</v>
      </c>
      <c r="L260" s="10" t="n">
        <f aca="false">MAX(0,L$246-L$258)*L$9</f>
        <v>0</v>
      </c>
      <c r="M260" s="10" t="n">
        <f aca="false">MAX(0,M$246-M$258)*M$9</f>
        <v>0</v>
      </c>
      <c r="N260" s="10" t="n">
        <f aca="false">MAX(0,N$246-N$258)*N$9</f>
        <v>0</v>
      </c>
      <c r="O260" s="10" t="n">
        <f aca="false">MAX(0,O$246-O$258)*O$9</f>
        <v>0</v>
      </c>
      <c r="P260" s="10" t="n">
        <f aca="false">MAX(0,P$246-P$258)*P$9</f>
        <v>0</v>
      </c>
      <c r="Q260" s="10" t="n">
        <f aca="false">MAX(0,Q$246-Q$258)*Q$9</f>
        <v>0</v>
      </c>
      <c r="R260" s="10" t="n">
        <f aca="false">MAX(0,R$246-R$258)*R$9</f>
        <v>0</v>
      </c>
      <c r="S260" s="10" t="n">
        <f aca="false">MAX(0,S$246-S$258)*S$9</f>
        <v>0</v>
      </c>
      <c r="T260" s="10" t="n">
        <f aca="false">MAX(0,T$246-T$258)*T$9</f>
        <v>0</v>
      </c>
      <c r="U260" s="10" t="n">
        <f aca="false">MAX(0,U$246-U$258)*U$9</f>
        <v>0</v>
      </c>
      <c r="V260" s="10" t="n">
        <f aca="false">MAX(0,V$246-V$258)*V$9</f>
        <v>0</v>
      </c>
      <c r="W260" s="10" t="n">
        <f aca="false">MAX(0,W$246-W$258)*W$9</f>
        <v>0</v>
      </c>
      <c r="X260" s="10" t="n">
        <f aca="false">MAX(0,X$246-X$258)*X$9</f>
        <v>0</v>
      </c>
      <c r="Y260" s="10" t="n">
        <f aca="false">MAX(0,Y$246-Y$258)*Y$9</f>
        <v>0</v>
      </c>
      <c r="Z260" s="10" t="n">
        <f aca="false">MAX(0,Z$246-Z$258)*Z$9</f>
        <v>0</v>
      </c>
      <c r="AA260" s="10" t="n">
        <f aca="false">MAX(0,AA$246-AA$258)*AA$9</f>
        <v>0</v>
      </c>
      <c r="AB260" s="10" t="n">
        <f aca="false">MAX(0,AB$246-AB$258)*AB$9</f>
        <v>0</v>
      </c>
      <c r="AC260" s="10" t="n">
        <f aca="false">MAX(0,AC$246-AC$258)*AC$9</f>
        <v>0</v>
      </c>
      <c r="AD260" s="10" t="n">
        <f aca="false">MAX(0,AD$246-AD$258)*AD$9</f>
        <v>373700.713193166</v>
      </c>
      <c r="AE260" s="10" t="n">
        <f aca="false">MAX(0,AE$246-AE$258)*AE$9</f>
        <v>321127.029906151</v>
      </c>
      <c r="AF260" s="10" t="n">
        <f aca="false">MAX(0,AF$246-AF$258)*AF$9</f>
        <v>268516.935021566</v>
      </c>
      <c r="AG260" s="10" t="n">
        <f aca="false">MAX(0,AG$246-AG$258)*AG$9</f>
        <v>215870.15545243</v>
      </c>
      <c r="AH260" s="10" t="n">
        <f aca="false">MAX(0,AH$246-AH$258)*AH$9</f>
        <v>163186.416063606</v>
      </c>
      <c r="AI260" s="10" t="n">
        <f aca="false">MAX(0,AI$246-AI$258)*AI$9</f>
        <v>110465.439656449</v>
      </c>
      <c r="AJ260" s="10" t="n">
        <f aca="false">MAX(0,AJ$246-AJ$258)*AJ$9</f>
        <v>57706.9469533206</v>
      </c>
      <c r="AK260" s="10" t="n">
        <f aca="false">MAX(0,AK$246-AK$258)*AK$9</f>
        <v>4910.65658200088</v>
      </c>
      <c r="AL260" s="10" t="n">
        <f aca="false">MAX(0,AL$246-AL$258)*AL$9</f>
        <v>0</v>
      </c>
      <c r="AM260" s="10" t="n">
        <f aca="false">MAX(0,AM$246-AM$258)*AM$9</f>
        <v>0</v>
      </c>
      <c r="AN260" s="10" t="n">
        <f aca="false">MAX(0,AN$246-AN$258)*AN$9</f>
        <v>0</v>
      </c>
      <c r="AO260" s="10" t="n">
        <f aca="false">MAX(0,AO$246-AO$258)*AO$9</f>
        <v>0</v>
      </c>
      <c r="AP260" s="10" t="n">
        <f aca="false">MAX(0,AP$246-AP$258)*AP$9</f>
        <v>275779.326421708</v>
      </c>
      <c r="AQ260" s="10" t="n">
        <f aca="false">MAX(0,AQ$246-AQ$258)*AQ$9</f>
        <v>189941.672918985</v>
      </c>
      <c r="AR260" s="10" t="n">
        <f aca="false">MAX(0,AR$246-AR$258)*AR$9</f>
        <v>104064.192159683</v>
      </c>
      <c r="AS260" s="10" t="n">
        <f aca="false">MAX(0,AS$246-AS$258)*AS$9</f>
        <v>18146.5854393793</v>
      </c>
      <c r="AT260" s="10" t="n">
        <f aca="false">MAX(0,AT$246-AT$258)*AT$9</f>
        <v>0</v>
      </c>
      <c r="AU260" s="10" t="n">
        <f aca="false">MAX(0,AU$246-AU$258)*AU$9</f>
        <v>0</v>
      </c>
      <c r="AV260" s="10" t="n">
        <f aca="false">MAX(0,AV$246-AV$258)*AV$9</f>
        <v>0</v>
      </c>
      <c r="AW260" s="10" t="n">
        <f aca="false">MAX(0,AW$246-AW$258)*AW$9</f>
        <v>0</v>
      </c>
      <c r="AX260" s="10" t="n">
        <f aca="false">MAX(0,AX$246-AX$258)*AX$9</f>
        <v>0</v>
      </c>
      <c r="AY260" s="10" t="n">
        <f aca="false">MAX(0,AY$246-AY$258)*AY$9</f>
        <v>0</v>
      </c>
      <c r="AZ260" s="10" t="n">
        <f aca="false">MAX(0,AZ$246-AZ$258)*AZ$9</f>
        <v>0</v>
      </c>
      <c r="BA260" s="10" t="n">
        <f aca="false">MAX(0,BA$246-BA$258)*BA$9</f>
        <v>0</v>
      </c>
      <c r="BB260" s="10" t="n">
        <f aca="false">MAX(0,BB$246-BB$258)*BB$9</f>
        <v>0</v>
      </c>
      <c r="BC260" s="10" t="n">
        <f aca="false">MAX(0,BC$246-BC$258)*BC$9</f>
        <v>0</v>
      </c>
      <c r="BD260" s="10" t="n">
        <f aca="false">MAX(0,BD$246-BD$258)*BD$9</f>
        <v>0</v>
      </c>
      <c r="BE260" s="10" t="n">
        <f aca="false">MAX(0,BE$246-BE$258)*BE$9</f>
        <v>0</v>
      </c>
      <c r="BF260" s="10" t="n">
        <f aca="false">MAX(0,BF$246-BF$258)*BF$9</f>
        <v>0</v>
      </c>
      <c r="BG260" s="10" t="n">
        <f aca="false">MAX(0,BG$246-BG$258)*BG$9</f>
        <v>0</v>
      </c>
      <c r="BH260" s="10" t="n">
        <f aca="false">MAX(0,BH$246-BH$258)*BH$9</f>
        <v>0</v>
      </c>
      <c r="BI260" s="10" t="n">
        <f aca="false">MAX(0,BI$246-BI$258)*BI$9</f>
        <v>0</v>
      </c>
      <c r="BJ260" s="10" t="n">
        <f aca="false">MAX(0,BJ$246-BJ$258)*BJ$9</f>
        <v>0</v>
      </c>
      <c r="BK260" s="10" t="n">
        <f aca="false">MAX(0,BK$246-BK$258)*BK$9</f>
        <v>0</v>
      </c>
      <c r="BL260" s="10" t="n">
        <f aca="false">MAX(0,BL$246-BL$258)*BL$9</f>
        <v>0</v>
      </c>
      <c r="BM260" s="10" t="n">
        <f aca="false">MAX(0,BM$246-BM$258)*BM$9</f>
        <v>0</v>
      </c>
      <c r="BN260" s="10" t="n">
        <f aca="false">MAX(0,BN$246-BN$258)*BN$9</f>
        <v>0</v>
      </c>
      <c r="BO260" s="10" t="n">
        <f aca="false">MAX(0,BO$246-BO$258)*BO$9</f>
        <v>0</v>
      </c>
      <c r="BP260" s="10" t="n">
        <f aca="false">MAX(0,BP$246-BP$258)*BP$9</f>
        <v>0</v>
      </c>
      <c r="BQ260" s="10" t="n">
        <f aca="false">MAX(0,BQ$246-BQ$258)*BQ$9</f>
        <v>0</v>
      </c>
      <c r="BR260" s="10" t="n">
        <f aca="false">MAX(0,BR$246-BR$258)*BR$9</f>
        <v>0</v>
      </c>
      <c r="BS260" s="10" t="n">
        <f aca="false">MAX(0,BS$246-BS$258)*BS$9</f>
        <v>0</v>
      </c>
      <c r="BT260" s="10" t="n">
        <f aca="false">MAX(0,BT$246-BT$258)*BT$9</f>
        <v>0</v>
      </c>
      <c r="BU260" s="10" t="n">
        <f aca="false">MAX(0,BU$246-BU$258)*BU$9</f>
        <v>0</v>
      </c>
      <c r="BV260" s="10" t="n">
        <f aca="false">MAX(0,BV$246-BV$258)*BV$9</f>
        <v>0</v>
      </c>
      <c r="BW260" s="10" t="n">
        <f aca="false">MAX(0,BW$246-BW$258)*BW$9</f>
        <v>0</v>
      </c>
      <c r="BX260" s="10" t="n">
        <f aca="false">MAX(0,BX$246-BX$258)*BX$9</f>
        <v>0</v>
      </c>
      <c r="BY260" s="10" t="n">
        <f aca="false">MAX(0,BY$246-BY$258)*BY$9</f>
        <v>0</v>
      </c>
      <c r="BZ260" s="10" t="n">
        <f aca="false">MAX(0,BZ$246-BZ$258)*BZ$9</f>
        <v>0</v>
      </c>
      <c r="CA260" s="10" t="n">
        <f aca="false">MAX(0,CA$246-CA$258)*CA$9</f>
        <v>0</v>
      </c>
      <c r="CB260" s="10" t="n">
        <f aca="false">MAX(0,CB$246-CB$258)*CB$9</f>
        <v>0</v>
      </c>
      <c r="CC260" s="10" t="n">
        <f aca="false">MAX(0,CC$246-CC$258)*CC$9</f>
        <v>0</v>
      </c>
      <c r="CD260" s="10" t="n">
        <f aca="false">MAX(0,CD$246-CD$258)*CD$9</f>
        <v>0</v>
      </c>
      <c r="CE260" s="10" t="n">
        <f aca="false">MAX(0,CE$246-CE$258)*CE$9</f>
        <v>0</v>
      </c>
      <c r="CF260" s="10" t="n">
        <f aca="false">MAX(0,CF$246-CF$258)*CF$9</f>
        <v>0</v>
      </c>
      <c r="CG260" s="10" t="n">
        <f aca="false">MAX(0,CG$246-CG$258)*CG$9</f>
        <v>0</v>
      </c>
      <c r="CH260" s="10" t="n">
        <f aca="false">MAX(0,CH$246-CH$258)*CH$9</f>
        <v>0</v>
      </c>
      <c r="CI260" s="10" t="n">
        <f aca="false">MAX(0,CI$246-CI$258)*CI$9</f>
        <v>0</v>
      </c>
      <c r="CJ260" s="10" t="n">
        <f aca="false">MAX(0,CJ$246-CJ$258)*CJ$9</f>
        <v>0</v>
      </c>
      <c r="CK260" s="10" t="n">
        <f aca="false">MAX(0,CK$246-CK$258)*CK$9</f>
        <v>0</v>
      </c>
      <c r="CL260" s="10" t="n">
        <f aca="false">MAX(0,CL$246-CL$258)*CL$9</f>
        <v>0</v>
      </c>
      <c r="CM260" s="10" t="n">
        <f aca="false">MAX(0,CM$246-CM$258)*CM$9</f>
        <v>0</v>
      </c>
      <c r="CN260" s="10" t="n">
        <f aca="false">MAX(0,CN$246-CN$258)*CN$9</f>
        <v>0</v>
      </c>
      <c r="CO260" s="10" t="n">
        <f aca="false">MAX(0,CO$246-CO$258)*CO$9</f>
        <v>0</v>
      </c>
      <c r="CP260" s="10" t="n">
        <f aca="false">MAX(0,CP$246-CP$258)*CP$9</f>
        <v>0</v>
      </c>
      <c r="CQ260" s="10" t="n">
        <f aca="false">MAX(0,CQ$246-CQ$258)*CQ$9</f>
        <v>0</v>
      </c>
      <c r="CR260" s="10" t="n">
        <f aca="false">MAX(0,CR$246-CR$258)*CR$9</f>
        <v>0</v>
      </c>
      <c r="CS260" s="10" t="n">
        <f aca="false">MAX(0,CS$246-CS$258)*CS$9</f>
        <v>0</v>
      </c>
      <c r="CT260" s="10" t="n">
        <f aca="false">MAX(0,CT$246-CT$258)*CT$9</f>
        <v>0</v>
      </c>
      <c r="CU260" s="10" t="n">
        <f aca="false">MAX(0,CU$246-CU$258)*CU$9</f>
        <v>0</v>
      </c>
      <c r="CV260" s="10" t="n">
        <f aca="false">MAX(0,CV$246-CV$258)*CV$9</f>
        <v>0</v>
      </c>
      <c r="CW260" s="10" t="n">
        <f aca="false">MAX(0,CW$246-CW$258)*CW$9</f>
        <v>0</v>
      </c>
      <c r="CX260" s="10" t="n">
        <f aca="false">MAX(0,CX$246-CX$258)*CX$9</f>
        <v>0</v>
      </c>
      <c r="CY260" s="10" t="n">
        <f aca="false">MAX(0,CY$246-CY$258)*CY$9</f>
        <v>0</v>
      </c>
      <c r="CZ260" s="10" t="n">
        <f aca="false">MAX(0,CZ$246-CZ$258)*CZ$9</f>
        <v>0</v>
      </c>
      <c r="DA260" s="10" t="n">
        <f aca="false">MAX(0,DA$246-DA$258)*DA$9</f>
        <v>0</v>
      </c>
      <c r="DB260" s="10" t="n">
        <f aca="false">MAX(0,DB$246-DB$258)*DB$9</f>
        <v>0</v>
      </c>
      <c r="DC260" s="10" t="n">
        <f aca="false">MAX(0,DC$246-DC$258)*DC$9</f>
        <v>0</v>
      </c>
      <c r="DD260" s="10" t="n">
        <f aca="false">MAX(0,DD$246-DD$258)*DD$9</f>
        <v>0</v>
      </c>
      <c r="DE260" s="10" t="n">
        <f aca="false">MAX(0,DE$246-DE$258)*DE$9</f>
        <v>0</v>
      </c>
      <c r="DF260" s="10" t="n">
        <f aca="false">MAX(0,DF$246-DF$258)*DF$9</f>
        <v>0</v>
      </c>
      <c r="DG260" s="10" t="n">
        <f aca="false">MAX(0,DG$246-DG$258)*DG$9</f>
        <v>0</v>
      </c>
      <c r="DH260" s="10" t="n">
        <f aca="false">MAX(0,DH$246-DH$258)*DH$9</f>
        <v>0</v>
      </c>
      <c r="DI260" s="10" t="n">
        <f aca="false">MAX(0,DI$246-DI$258)*DI$9</f>
        <v>0</v>
      </c>
      <c r="DJ260" s="10" t="n">
        <f aca="false">MAX(0,DJ$246-DJ$258)*DJ$9</f>
        <v>0</v>
      </c>
      <c r="DK260" s="10" t="n">
        <f aca="false">MAX(0,DK$246-DK$258)*DK$9</f>
        <v>0</v>
      </c>
      <c r="DL260" s="10" t="n">
        <f aca="false">MAX(0,DL$246-DL$258)*DL$9</f>
        <v>0</v>
      </c>
      <c r="DM260" s="10" t="n">
        <f aca="false">MAX(0,DM$246-DM$258)*DM$9</f>
        <v>0</v>
      </c>
      <c r="DN260" s="10" t="n">
        <f aca="false">MAX(0,DN$246-DN$258)*DN$9</f>
        <v>0</v>
      </c>
      <c r="DO260" s="10" t="n">
        <f aca="false">MAX(0,DO$246-DO$258)*DO$9</f>
        <v>0</v>
      </c>
      <c r="DP260" s="10" t="n">
        <f aca="false">MAX(0,DP$246-DP$258)*DP$9</f>
        <v>0</v>
      </c>
      <c r="DQ260" s="10" t="n">
        <f aca="false">MAX(0,DQ$246-DQ$258)*DQ$9</f>
        <v>0</v>
      </c>
      <c r="DR260" s="10" t="n">
        <f aca="false">MAX(0,DR$246-DR$258)*DR$9</f>
        <v>0</v>
      </c>
      <c r="DS260" s="10" t="n">
        <f aca="false">MAX(0,DS$246-DS$258)*DS$9</f>
        <v>0</v>
      </c>
      <c r="DT260" s="10" t="n">
        <f aca="false">MAX(0,DT$246-DT$258)*DT$9</f>
        <v>0</v>
      </c>
      <c r="DU260" s="10" t="n">
        <f aca="false">MAX(0,DU$246-DU$258)*DU$9</f>
        <v>0</v>
      </c>
      <c r="DV260" s="10" t="n">
        <f aca="false">MAX(0,DV$246-DV$258)*DV$9</f>
        <v>0</v>
      </c>
      <c r="DW260" s="10" t="n">
        <f aca="false">MAX(0,DW$246-DW$258)*DW$9</f>
        <v>0</v>
      </c>
      <c r="DX260" s="10" t="n">
        <f aca="false">MAX(0,DX$246-DX$258)*DX$9</f>
        <v>0</v>
      </c>
      <c r="DY260" s="10" t="n">
        <f aca="false">MAX(0,DY$246-DY$258)*DY$9</f>
        <v>0</v>
      </c>
      <c r="DZ260" s="10" t="n">
        <f aca="false">MAX(0,DZ$246-DZ$258)*DZ$9</f>
        <v>0</v>
      </c>
      <c r="EA260" s="10" t="n">
        <f aca="false">MAX(0,EA$246-EA$258)*EA$9</f>
        <v>0</v>
      </c>
      <c r="EB260" s="10" t="n">
        <f aca="false">MAX(0,EB$246-EB$258)*EB$9</f>
        <v>0</v>
      </c>
      <c r="EC260" s="10" t="n">
        <f aca="false">MAX(0,EC$246-EC$258)*EC$9</f>
        <v>0</v>
      </c>
      <c r="ED260" s="10" t="n">
        <f aca="false">MAX(0,ED$246-ED$258)*ED$9</f>
        <v>0</v>
      </c>
      <c r="EE260" s="10" t="n">
        <f aca="false">MAX(0,EE$246-EE$258)*EE$9</f>
        <v>0</v>
      </c>
      <c r="EF260" s="10" t="n">
        <f aca="false">MAX(0,EF$246-EF$258)*EF$9</f>
        <v>0</v>
      </c>
      <c r="EG260" s="10" t="n">
        <f aca="false">MAX(0,EG$246-EG$258)*EG$9</f>
        <v>0</v>
      </c>
      <c r="EH260" s="10" t="n">
        <f aca="false">MAX(0,EH$246-EH$258)*EH$9</f>
        <v>0</v>
      </c>
      <c r="EI260" s="10" t="n">
        <f aca="false">MAX(0,EI$246-EI$258)*EI$9</f>
        <v>0</v>
      </c>
      <c r="EJ260" s="10" t="n">
        <f aca="false">MAX(0,EJ$246-EJ$258)*EJ$9</f>
        <v>0</v>
      </c>
      <c r="EK260" s="10" t="n">
        <f aca="false">MAX(0,EK$246-EK$258)*EK$9</f>
        <v>0</v>
      </c>
      <c r="EL260" s="10" t="n">
        <f aca="false">MAX(0,EL$246-EL$258)*EL$9</f>
        <v>0</v>
      </c>
      <c r="EM260" s="10" t="n">
        <f aca="false">MAX(0,EM$246-EM$258)*EM$9</f>
        <v>0</v>
      </c>
      <c r="EN260" s="10" t="n">
        <f aca="false">MAX(0,EN$246-EN$258)*EN$9</f>
        <v>0</v>
      </c>
      <c r="EO260" s="10" t="n">
        <f aca="false">MAX(0,EO$246-EO$258)*EO$9</f>
        <v>0</v>
      </c>
      <c r="EP260" s="10" t="n">
        <f aca="false">MAX(0,EP$246-EP$258)*EP$9</f>
        <v>0</v>
      </c>
      <c r="EQ260" s="10" t="n">
        <f aca="false">MAX(0,EQ$246-EQ$258)*EQ$9</f>
        <v>0</v>
      </c>
      <c r="ER260" s="10" t="n">
        <f aca="false">MAX(0,ER$246-ER$258)*ER$9</f>
        <v>0</v>
      </c>
      <c r="ES260" s="10" t="n">
        <f aca="false">MAX(0,ES$246-ES$258)*ES$9</f>
        <v>0</v>
      </c>
    </row>
    <row r="261" customFormat="false" ht="15" hidden="false" customHeight="false" outlineLevel="0" collapsed="false">
      <c r="A261" s="2" t="s">
        <v>871</v>
      </c>
      <c r="B261" s="6" t="s">
        <v>744</v>
      </c>
      <c r="C261" s="6" t="s">
        <v>250</v>
      </c>
      <c r="E261" s="40" t="n">
        <f aca="false">MAX(F261:ES261)</f>
        <v>311740.118672618</v>
      </c>
      <c r="F261" s="34" t="n">
        <f aca="false">MAX(0,-F$258)</f>
        <v>0</v>
      </c>
      <c r="G261" s="34" t="n">
        <f aca="false">MAX(0,-G$258)</f>
        <v>0</v>
      </c>
      <c r="H261" s="34" t="n">
        <f aca="false">MAX(0,-H$258)</f>
        <v>0</v>
      </c>
      <c r="I261" s="34" t="n">
        <f aca="false">MAX(0,-I$258)</f>
        <v>0</v>
      </c>
      <c r="J261" s="34" t="n">
        <f aca="false">MAX(0,-J$258)</f>
        <v>0</v>
      </c>
      <c r="K261" s="34" t="n">
        <f aca="false">MAX(0,-K$258)</f>
        <v>0</v>
      </c>
      <c r="L261" s="34" t="n">
        <f aca="false">MAX(0,-L$258)</f>
        <v>0</v>
      </c>
      <c r="M261" s="34" t="n">
        <f aca="false">MAX(0,-M$258)</f>
        <v>0</v>
      </c>
      <c r="N261" s="34" t="n">
        <f aca="false">MAX(0,-N$258)</f>
        <v>0</v>
      </c>
      <c r="O261" s="34" t="n">
        <f aca="false">MAX(0,-O$258)</f>
        <v>0</v>
      </c>
      <c r="P261" s="34" t="n">
        <f aca="false">MAX(0,-P$258)</f>
        <v>0</v>
      </c>
      <c r="Q261" s="34" t="n">
        <f aca="false">MAX(0,-Q$258)</f>
        <v>0</v>
      </c>
      <c r="R261" s="34" t="n">
        <f aca="false">MAX(0,-R$258)</f>
        <v>0</v>
      </c>
      <c r="S261" s="34" t="n">
        <f aca="false">MAX(0,-S$258)</f>
        <v>0</v>
      </c>
      <c r="T261" s="34" t="n">
        <f aca="false">MAX(0,-T$258)</f>
        <v>0</v>
      </c>
      <c r="U261" s="34" t="n">
        <f aca="false">MAX(0,-U$258)</f>
        <v>0</v>
      </c>
      <c r="V261" s="34" t="n">
        <f aca="false">MAX(0,-V$258)</f>
        <v>0</v>
      </c>
      <c r="W261" s="34" t="n">
        <f aca="false">MAX(0,-W$258)</f>
        <v>0</v>
      </c>
      <c r="X261" s="34" t="n">
        <f aca="false">MAX(0,-X$258)</f>
        <v>0</v>
      </c>
      <c r="Y261" s="34" t="n">
        <f aca="false">MAX(0,-Y$258)</f>
        <v>0</v>
      </c>
      <c r="Z261" s="34" t="n">
        <f aca="false">MAX(0,-Z$258)</f>
        <v>0</v>
      </c>
      <c r="AA261" s="34" t="n">
        <f aca="false">MAX(0,-AA$258)</f>
        <v>0</v>
      </c>
      <c r="AB261" s="34" t="n">
        <f aca="false">MAX(0,-AB$258)</f>
        <v>0</v>
      </c>
      <c r="AC261" s="34" t="n">
        <f aca="false">MAX(0,-AC$258)</f>
        <v>0</v>
      </c>
      <c r="AD261" s="34" t="n">
        <f aca="false">MAX(0,-AD$258)</f>
        <v>311740.118672618</v>
      </c>
      <c r="AE261" s="34" t="n">
        <f aca="false">MAX(0,-AE$258)</f>
        <v>259166.435385603</v>
      </c>
      <c r="AF261" s="34" t="n">
        <f aca="false">MAX(0,-AF$258)</f>
        <v>206556.340501018</v>
      </c>
      <c r="AG261" s="34" t="n">
        <f aca="false">MAX(0,-AG$258)</f>
        <v>153909.560931882</v>
      </c>
      <c r="AH261" s="34" t="n">
        <f aca="false">MAX(0,-AH$258)</f>
        <v>101225.821543058</v>
      </c>
      <c r="AI261" s="34" t="n">
        <f aca="false">MAX(0,-AI$258)</f>
        <v>48504.8451359012</v>
      </c>
      <c r="AJ261" s="34" t="n">
        <f aca="false">MAX(0,-AJ$258)</f>
        <v>0</v>
      </c>
      <c r="AK261" s="34" t="n">
        <f aca="false">MAX(0,-AK$258)</f>
        <v>0</v>
      </c>
      <c r="AL261" s="34" t="n">
        <f aca="false">MAX(0,-AL$258)</f>
        <v>0</v>
      </c>
      <c r="AM261" s="34" t="n">
        <f aca="false">MAX(0,-AM$258)</f>
        <v>0</v>
      </c>
      <c r="AN261" s="34" t="n">
        <f aca="false">MAX(0,-AN$258)</f>
        <v>0</v>
      </c>
      <c r="AO261" s="34" t="n">
        <f aca="false">MAX(0,-AO$258)</f>
        <v>0</v>
      </c>
      <c r="AP261" s="34" t="n">
        <f aca="false">MAX(0,-AP$258)</f>
        <v>204392.169462804</v>
      </c>
      <c r="AQ261" s="34" t="n">
        <f aca="false">MAX(0,-AQ$258)</f>
        <v>118554.51596008</v>
      </c>
      <c r="AR261" s="34" t="n">
        <f aca="false">MAX(0,-AR$258)</f>
        <v>32677.0352007788</v>
      </c>
      <c r="AS261" s="34" t="n">
        <f aca="false">MAX(0,-AS$258)</f>
        <v>0</v>
      </c>
      <c r="AT261" s="34" t="n">
        <f aca="false">MAX(0,-AT$258)</f>
        <v>0</v>
      </c>
      <c r="AU261" s="34" t="n">
        <f aca="false">MAX(0,-AU$258)</f>
        <v>0</v>
      </c>
      <c r="AV261" s="34" t="n">
        <f aca="false">MAX(0,-AV$258)</f>
        <v>0</v>
      </c>
      <c r="AW261" s="34" t="n">
        <f aca="false">MAX(0,-AW$258)</f>
        <v>0</v>
      </c>
      <c r="AX261" s="34" t="n">
        <f aca="false">MAX(0,-AX$258)</f>
        <v>0</v>
      </c>
      <c r="AY261" s="34" t="n">
        <f aca="false">MAX(0,-AY$258)</f>
        <v>0</v>
      </c>
      <c r="AZ261" s="34" t="n">
        <f aca="false">MAX(0,-AZ$258)</f>
        <v>0</v>
      </c>
      <c r="BA261" s="34" t="n">
        <f aca="false">MAX(0,-BA$258)</f>
        <v>0</v>
      </c>
      <c r="BB261" s="34" t="n">
        <f aca="false">MAX(0,-BB$258)</f>
        <v>0</v>
      </c>
      <c r="BC261" s="34" t="n">
        <f aca="false">MAX(0,-BC$258)</f>
        <v>0</v>
      </c>
      <c r="BD261" s="34" t="n">
        <f aca="false">MAX(0,-BD$258)</f>
        <v>0</v>
      </c>
      <c r="BE261" s="34" t="n">
        <f aca="false">MAX(0,-BE$258)</f>
        <v>0</v>
      </c>
      <c r="BF261" s="34" t="n">
        <f aca="false">MAX(0,-BF$258)</f>
        <v>0</v>
      </c>
      <c r="BG261" s="34" t="n">
        <f aca="false">MAX(0,-BG$258)</f>
        <v>0</v>
      </c>
      <c r="BH261" s="34" t="n">
        <f aca="false">MAX(0,-BH$258)</f>
        <v>0</v>
      </c>
      <c r="BI261" s="34" t="n">
        <f aca="false">MAX(0,-BI$258)</f>
        <v>0</v>
      </c>
      <c r="BJ261" s="34" t="n">
        <f aca="false">MAX(0,-BJ$258)</f>
        <v>0</v>
      </c>
      <c r="BK261" s="34" t="n">
        <f aca="false">MAX(0,-BK$258)</f>
        <v>0</v>
      </c>
      <c r="BL261" s="34" t="n">
        <f aca="false">MAX(0,-BL$258)</f>
        <v>0</v>
      </c>
      <c r="BM261" s="34" t="n">
        <f aca="false">MAX(0,-BM$258)</f>
        <v>0</v>
      </c>
      <c r="BN261" s="34" t="n">
        <f aca="false">MAX(0,-BN$258)</f>
        <v>0</v>
      </c>
      <c r="BO261" s="34" t="n">
        <f aca="false">MAX(0,-BO$258)</f>
        <v>0</v>
      </c>
      <c r="BP261" s="34" t="n">
        <f aca="false">MAX(0,-BP$258)</f>
        <v>0</v>
      </c>
      <c r="BQ261" s="34" t="n">
        <f aca="false">MAX(0,-BQ$258)</f>
        <v>0</v>
      </c>
      <c r="BR261" s="34" t="n">
        <f aca="false">MAX(0,-BR$258)</f>
        <v>0</v>
      </c>
      <c r="BS261" s="34" t="n">
        <f aca="false">MAX(0,-BS$258)</f>
        <v>0</v>
      </c>
      <c r="BT261" s="34" t="n">
        <f aca="false">MAX(0,-BT$258)</f>
        <v>0</v>
      </c>
      <c r="BU261" s="34" t="n">
        <f aca="false">MAX(0,-BU$258)</f>
        <v>0</v>
      </c>
      <c r="BV261" s="34" t="n">
        <f aca="false">MAX(0,-BV$258)</f>
        <v>0</v>
      </c>
      <c r="BW261" s="34" t="n">
        <f aca="false">MAX(0,-BW$258)</f>
        <v>0</v>
      </c>
      <c r="BX261" s="34" t="n">
        <f aca="false">MAX(0,-BX$258)</f>
        <v>0</v>
      </c>
      <c r="BY261" s="34" t="n">
        <f aca="false">MAX(0,-BY$258)</f>
        <v>0</v>
      </c>
      <c r="BZ261" s="34" t="n">
        <f aca="false">MAX(0,-BZ$258)</f>
        <v>0</v>
      </c>
      <c r="CA261" s="34" t="n">
        <f aca="false">MAX(0,-CA$258)</f>
        <v>0</v>
      </c>
      <c r="CB261" s="34" t="n">
        <f aca="false">MAX(0,-CB$258)</f>
        <v>0</v>
      </c>
      <c r="CC261" s="34" t="n">
        <f aca="false">MAX(0,-CC$258)</f>
        <v>0</v>
      </c>
      <c r="CD261" s="34" t="n">
        <f aca="false">MAX(0,-CD$258)</f>
        <v>0</v>
      </c>
      <c r="CE261" s="34" t="n">
        <f aca="false">MAX(0,-CE$258)</f>
        <v>0</v>
      </c>
      <c r="CF261" s="34" t="n">
        <f aca="false">MAX(0,-CF$258)</f>
        <v>0</v>
      </c>
      <c r="CG261" s="34" t="n">
        <f aca="false">MAX(0,-CG$258)</f>
        <v>0</v>
      </c>
      <c r="CH261" s="34" t="n">
        <f aca="false">MAX(0,-CH$258)</f>
        <v>0</v>
      </c>
      <c r="CI261" s="34" t="n">
        <f aca="false">MAX(0,-CI$258)</f>
        <v>0</v>
      </c>
      <c r="CJ261" s="34" t="n">
        <f aca="false">MAX(0,-CJ$258)</f>
        <v>0</v>
      </c>
      <c r="CK261" s="34" t="n">
        <f aca="false">MAX(0,-CK$258)</f>
        <v>0</v>
      </c>
      <c r="CL261" s="34" t="n">
        <f aca="false">MAX(0,-CL$258)</f>
        <v>0</v>
      </c>
      <c r="CM261" s="34" t="n">
        <f aca="false">MAX(0,-CM$258)</f>
        <v>0</v>
      </c>
      <c r="CN261" s="34" t="n">
        <f aca="false">MAX(0,-CN$258)</f>
        <v>0</v>
      </c>
      <c r="CO261" s="34" t="n">
        <f aca="false">MAX(0,-CO$258)</f>
        <v>0</v>
      </c>
      <c r="CP261" s="34" t="n">
        <f aca="false">MAX(0,-CP$258)</f>
        <v>0</v>
      </c>
      <c r="CQ261" s="34" t="n">
        <f aca="false">MAX(0,-CQ$258)</f>
        <v>0</v>
      </c>
      <c r="CR261" s="34" t="n">
        <f aca="false">MAX(0,-CR$258)</f>
        <v>0</v>
      </c>
      <c r="CS261" s="34" t="n">
        <f aca="false">MAX(0,-CS$258)</f>
        <v>0</v>
      </c>
      <c r="CT261" s="34" t="n">
        <f aca="false">MAX(0,-CT$258)</f>
        <v>0</v>
      </c>
      <c r="CU261" s="34" t="n">
        <f aca="false">MAX(0,-CU$258)</f>
        <v>0</v>
      </c>
      <c r="CV261" s="34" t="n">
        <f aca="false">MAX(0,-CV$258)</f>
        <v>0</v>
      </c>
      <c r="CW261" s="34" t="n">
        <f aca="false">MAX(0,-CW$258)</f>
        <v>0</v>
      </c>
      <c r="CX261" s="34" t="n">
        <f aca="false">MAX(0,-CX$258)</f>
        <v>0</v>
      </c>
      <c r="CY261" s="34" t="n">
        <f aca="false">MAX(0,-CY$258)</f>
        <v>0</v>
      </c>
      <c r="CZ261" s="34" t="n">
        <f aca="false">MAX(0,-CZ$258)</f>
        <v>0</v>
      </c>
      <c r="DA261" s="34" t="n">
        <f aca="false">MAX(0,-DA$258)</f>
        <v>0</v>
      </c>
      <c r="DB261" s="34" t="n">
        <f aca="false">MAX(0,-DB$258)</f>
        <v>0</v>
      </c>
      <c r="DC261" s="34" t="n">
        <f aca="false">MAX(0,-DC$258)</f>
        <v>0</v>
      </c>
      <c r="DD261" s="34" t="n">
        <f aca="false">MAX(0,-DD$258)</f>
        <v>0</v>
      </c>
      <c r="DE261" s="34" t="n">
        <f aca="false">MAX(0,-DE$258)</f>
        <v>0</v>
      </c>
      <c r="DF261" s="34" t="n">
        <f aca="false">MAX(0,-DF$258)</f>
        <v>0</v>
      </c>
      <c r="DG261" s="34" t="n">
        <f aca="false">MAX(0,-DG$258)</f>
        <v>0</v>
      </c>
      <c r="DH261" s="34" t="n">
        <f aca="false">MAX(0,-DH$258)</f>
        <v>0</v>
      </c>
      <c r="DI261" s="34" t="n">
        <f aca="false">MAX(0,-DI$258)</f>
        <v>0</v>
      </c>
      <c r="DJ261" s="34" t="n">
        <f aca="false">MAX(0,-DJ$258)</f>
        <v>0</v>
      </c>
      <c r="DK261" s="34" t="n">
        <f aca="false">MAX(0,-DK$258)</f>
        <v>0</v>
      </c>
      <c r="DL261" s="34" t="n">
        <f aca="false">MAX(0,-DL$258)</f>
        <v>0</v>
      </c>
      <c r="DM261" s="34" t="n">
        <f aca="false">MAX(0,-DM$258)</f>
        <v>0</v>
      </c>
      <c r="DN261" s="34" t="n">
        <f aca="false">MAX(0,-DN$258)</f>
        <v>0</v>
      </c>
      <c r="DO261" s="34" t="n">
        <f aca="false">MAX(0,-DO$258)</f>
        <v>0</v>
      </c>
      <c r="DP261" s="34" t="n">
        <f aca="false">MAX(0,-DP$258)</f>
        <v>0</v>
      </c>
      <c r="DQ261" s="34" t="n">
        <f aca="false">MAX(0,-DQ$258)</f>
        <v>0</v>
      </c>
      <c r="DR261" s="34" t="n">
        <f aca="false">MAX(0,-DR$258)</f>
        <v>0</v>
      </c>
      <c r="DS261" s="34" t="n">
        <f aca="false">MAX(0,-DS$258)</f>
        <v>0</v>
      </c>
      <c r="DT261" s="34" t="n">
        <f aca="false">MAX(0,-DT$258)</f>
        <v>0</v>
      </c>
      <c r="DU261" s="34" t="n">
        <f aca="false">MAX(0,-DU$258)</f>
        <v>0</v>
      </c>
      <c r="DV261" s="34" t="n">
        <f aca="false">MAX(0,-DV$258)</f>
        <v>0</v>
      </c>
      <c r="DW261" s="34" t="n">
        <f aca="false">MAX(0,-DW$258)</f>
        <v>0</v>
      </c>
      <c r="DX261" s="34" t="n">
        <f aca="false">MAX(0,-DX$258)</f>
        <v>0</v>
      </c>
      <c r="DY261" s="34" t="n">
        <f aca="false">MAX(0,-DY$258)</f>
        <v>0</v>
      </c>
      <c r="DZ261" s="34" t="n">
        <f aca="false">MAX(0,-DZ$258)</f>
        <v>0</v>
      </c>
      <c r="EA261" s="34" t="n">
        <f aca="false">MAX(0,-EA$258)</f>
        <v>0</v>
      </c>
      <c r="EB261" s="34" t="n">
        <f aca="false">MAX(0,-EB$258)</f>
        <v>0</v>
      </c>
      <c r="EC261" s="34" t="n">
        <f aca="false">MAX(0,-EC$258)</f>
        <v>0</v>
      </c>
      <c r="ED261" s="34" t="n">
        <f aca="false">MAX(0,-ED$258)</f>
        <v>0</v>
      </c>
      <c r="EE261" s="34" t="n">
        <f aca="false">MAX(0,-EE$258)</f>
        <v>0</v>
      </c>
      <c r="EF261" s="34" t="n">
        <f aca="false">MAX(0,-EF$258)</f>
        <v>0</v>
      </c>
      <c r="EG261" s="34" t="n">
        <f aca="false">MAX(0,-EG$258)</f>
        <v>0</v>
      </c>
      <c r="EH261" s="34" t="n">
        <f aca="false">MAX(0,-EH$258)</f>
        <v>0</v>
      </c>
      <c r="EI261" s="34" t="n">
        <f aca="false">MAX(0,-EI$258)</f>
        <v>0</v>
      </c>
      <c r="EJ261" s="34" t="n">
        <f aca="false">MAX(0,-EJ$258)</f>
        <v>0</v>
      </c>
      <c r="EK261" s="34" t="n">
        <f aca="false">MAX(0,-EK$258)</f>
        <v>0</v>
      </c>
      <c r="EL261" s="34" t="n">
        <f aca="false">MAX(0,-EL$258)</f>
        <v>0</v>
      </c>
      <c r="EM261" s="34" t="n">
        <f aca="false">MAX(0,-EM$258)</f>
        <v>0</v>
      </c>
      <c r="EN261" s="34" t="n">
        <f aca="false">MAX(0,-EN$258)</f>
        <v>0</v>
      </c>
      <c r="EO261" s="34" t="n">
        <f aca="false">MAX(0,-EO$258)</f>
        <v>0</v>
      </c>
      <c r="EP261" s="34" t="n">
        <f aca="false">MAX(0,-EP$258)</f>
        <v>0</v>
      </c>
      <c r="EQ261" s="34" t="n">
        <f aca="false">MAX(0,-EQ$258)</f>
        <v>0</v>
      </c>
      <c r="ER261" s="34" t="n">
        <f aca="false">MAX(0,-ER$258)</f>
        <v>0</v>
      </c>
      <c r="ES261" s="34" t="n">
        <f aca="false">MAX(0,-ES$258)</f>
        <v>0</v>
      </c>
    </row>
    <row r="262" customFormat="false" ht="15" hidden="false" customHeight="false" outlineLevel="0" collapsed="false">
      <c r="A262" s="4"/>
      <c r="B262" s="3" t="s">
        <v>745</v>
      </c>
      <c r="C262" s="4"/>
      <c r="D262" s="4"/>
      <c r="E262" s="4"/>
    </row>
    <row r="263" customFormat="false" ht="15" hidden="false" customHeight="false" outlineLevel="0" collapsed="false">
      <c r="A263" s="2" t="s">
        <v>872</v>
      </c>
      <c r="B263" s="6" t="s">
        <v>747</v>
      </c>
      <c r="C263" s="6"/>
      <c r="F263" s="27" t="n">
        <f aca="false">1/(1+V_WACC)^((1-1)/12)</f>
        <v>1</v>
      </c>
      <c r="G263" s="27" t="n">
        <f aca="false">1/(1+V_WACC)^((2-1)/12)</f>
        <v>0.99247369216101</v>
      </c>
      <c r="H263" s="27" t="n">
        <f aca="false">1/(1+V_WACC)^((3-1)/12)</f>
        <v>0.985004029631707</v>
      </c>
      <c r="I263" s="27" t="n">
        <f aca="false">1/(1+V_WACC)^((4-1)/12)</f>
        <v>0.977590586082053</v>
      </c>
      <c r="J263" s="27" t="n">
        <f aca="false">1/(1+V_WACC)^((5-1)/12)</f>
        <v>0.970232938390701</v>
      </c>
      <c r="K263" s="27" t="n">
        <f aca="false">1/(1+V_WACC)^((6-1)/12)</f>
        <v>0.962930666620845</v>
      </c>
      <c r="L263" s="27" t="n">
        <f aca="false">1/(1+V_WACC)^((7-1)/12)</f>
        <v>0.955683353996252</v>
      </c>
      <c r="M263" s="27" t="n">
        <f aca="false">1/(1+V_WACC)^((8-1)/12)</f>
        <v>0.948490586877478</v>
      </c>
      <c r="N263" s="27" t="n">
        <f aca="false">1/(1+V_WACC)^((9-1)/12)</f>
        <v>0.941351954738254</v>
      </c>
      <c r="O263" s="27" t="n">
        <f aca="false">1/(1+V_WACC)^((10-1)/12)</f>
        <v>0.934267050142059</v>
      </c>
      <c r="P263" s="27" t="n">
        <f aca="false">1/(1+V_WACC)^((11-1)/12)</f>
        <v>0.927235468718864</v>
      </c>
      <c r="Q263" s="27" t="n">
        <f aca="false">1/(1+V_WACC)^((12-1)/12)</f>
        <v>0.920256809142056</v>
      </c>
      <c r="R263" s="27" t="n">
        <f aca="false">1/(1+V_WACC)^((13-1)/12)</f>
        <v>0.913330673105526</v>
      </c>
      <c r="S263" s="27" t="n">
        <f aca="false">1/(1+V_WACC)^((14-1)/12)</f>
        <v>0.906456665300942</v>
      </c>
      <c r="T263" s="27" t="n">
        <f aca="false">1/(1+V_WACC)^((15-1)/12)</f>
        <v>0.899634393395183</v>
      </c>
      <c r="U263" s="27" t="n">
        <f aca="false">1/(1+V_WACC)^((16-1)/12)</f>
        <v>0.892863468007947</v>
      </c>
      <c r="V263" s="27" t="n">
        <f aca="false">1/(1+V_WACC)^((17-1)/12)</f>
        <v>0.886143502689531</v>
      </c>
      <c r="W263" s="27" t="n">
        <f aca="false">1/(1+V_WACC)^((18-1)/12)</f>
        <v>0.879474113898769</v>
      </c>
      <c r="X263" s="27" t="n">
        <f aca="false">1/(1+V_WACC)^((19-1)/12)</f>
        <v>0.872854920981144</v>
      </c>
      <c r="Y263" s="27" t="n">
        <f aca="false">1/(1+V_WACC)^((20-1)/12)</f>
        <v>0.866285546147062</v>
      </c>
      <c r="Z263" s="27" t="n">
        <f aca="false">1/(1+V_WACC)^((21-1)/12)</f>
        <v>0.859765614450292</v>
      </c>
      <c r="AA263" s="27" t="n">
        <f aca="false">1/(1+V_WACC)^((22-1)/12)</f>
        <v>0.853294753766561</v>
      </c>
      <c r="AB263" s="27" t="n">
        <f aca="false">1/(1+V_WACC)^((23-1)/12)</f>
        <v>0.846872594772318</v>
      </c>
      <c r="AC263" s="27" t="n">
        <f aca="false">1/(1+V_WACC)^((24-1)/12)</f>
        <v>0.840498770923658</v>
      </c>
      <c r="AD263" s="27" t="n">
        <f aca="false">1/(1+V_WACC)^((25-1)/12)</f>
        <v>0.834172918435393</v>
      </c>
      <c r="AE263" s="27" t="n">
        <f aca="false">1/(1+V_WACC)^((26-1)/12)</f>
        <v>0.8278946762603</v>
      </c>
      <c r="AF263" s="27" t="n">
        <f aca="false">1/(1+V_WACC)^((27-1)/12)</f>
        <v>0.821663686068504</v>
      </c>
      <c r="AG263" s="27" t="n">
        <f aca="false">1/(1+V_WACC)^((28-1)/12)</f>
        <v>0.815479592227033</v>
      </c>
      <c r="AH263" s="27" t="n">
        <f aca="false">1/(1+V_WACC)^((29-1)/12)</f>
        <v>0.809342041779518</v>
      </c>
      <c r="AI263" s="27" t="n">
        <f aca="false">1/(1+V_WACC)^((30-1)/12)</f>
        <v>0.803250684426049</v>
      </c>
      <c r="AJ263" s="27" t="n">
        <f aca="false">1/(1+V_WACC)^((31-1)/12)</f>
        <v>0.797205172503179</v>
      </c>
      <c r="AK263" s="27" t="n">
        <f aca="false">1/(1+V_WACC)^((32-1)/12)</f>
        <v>0.791205160964085</v>
      </c>
      <c r="AL263" s="27" t="n">
        <f aca="false">1/(1+V_WACC)^((33-1)/12)</f>
        <v>0.785250307358871</v>
      </c>
      <c r="AM263" s="27" t="n">
        <f aca="false">1/(1+V_WACC)^((34-1)/12)</f>
        <v>0.779340271815027</v>
      </c>
      <c r="AN263" s="27" t="n">
        <f aca="false">1/(1+V_WACC)^((35-1)/12)</f>
        <v>0.773474717018025</v>
      </c>
      <c r="AO263" s="27" t="n">
        <f aca="false">1/(1+V_WACC)^((36-1)/12)</f>
        <v>0.767653308192072</v>
      </c>
      <c r="AP263" s="27" t="n">
        <f aca="false">1/(1+V_WACC)^((37-1)/12)</f>
        <v>0.761875713080999</v>
      </c>
      <c r="AQ263" s="27" t="n">
        <f aca="false">1/(1+V_WACC)^((38-1)/12)</f>
        <v>0.756141601929301</v>
      </c>
      <c r="AR263" s="27" t="n">
        <f aca="false">1/(1+V_WACC)^((39-1)/12)</f>
        <v>0.750450647463314</v>
      </c>
      <c r="AS263" s="27" t="n">
        <f aca="false">1/(1+V_WACC)^((40-1)/12)</f>
        <v>0.744802524872536</v>
      </c>
      <c r="AT263" s="27" t="n">
        <f aca="false">1/(1+V_WACC)^((41-1)/12)</f>
        <v>0.739196911791088</v>
      </c>
      <c r="AU263" s="27" t="n">
        <f aca="false">1/(1+V_WACC)^((42-1)/12)</f>
        <v>0.733633488279318</v>
      </c>
      <c r="AV263" s="27" t="n">
        <f aca="false">1/(1+V_WACC)^((43-1)/12)</f>
        <v>0.728111936805535</v>
      </c>
      <c r="AW263" s="27" t="n">
        <f aca="false">1/(1+V_WACC)^((44-1)/12)</f>
        <v>0.722631942227894</v>
      </c>
      <c r="AX263" s="27" t="n">
        <f aca="false">1/(1+V_WACC)^((45-1)/12)</f>
        <v>0.717193191776399</v>
      </c>
      <c r="AY263" s="27" t="n">
        <f aca="false">1/(1+V_WACC)^((46-1)/12)</f>
        <v>0.711795375035062</v>
      </c>
      <c r="AZ263" s="27" t="n">
        <f aca="false">1/(1+V_WACC)^((47-1)/12)</f>
        <v>0.706438183924179</v>
      </c>
      <c r="BA263" s="27" t="n">
        <f aca="false">1/(1+V_WACC)^((48-1)/12)</f>
        <v>0.701121312682749</v>
      </c>
      <c r="BB263" s="27" t="n">
        <f aca="false">1/(1+V_WACC)^((49-1)/12)</f>
        <v>0.695844457851021</v>
      </c>
      <c r="BC263" s="27" t="n">
        <f aca="false">1/(1+V_WACC)^((50-1)/12)</f>
        <v>0.690607318253179</v>
      </c>
      <c r="BD263" s="27" t="n">
        <f aca="false">1/(1+V_WACC)^((51-1)/12)</f>
        <v>0.685409594980147</v>
      </c>
      <c r="BE263" s="27" t="n">
        <f aca="false">1/(1+V_WACC)^((52-1)/12)</f>
        <v>0.680250991372529</v>
      </c>
      <c r="BF263" s="27" t="n">
        <f aca="false">1/(1+V_WACC)^((53-1)/12)</f>
        <v>0.675131213003681</v>
      </c>
      <c r="BG263" s="27" t="n">
        <f aca="false">1/(1+V_WACC)^((54-1)/12)</f>
        <v>0.670049967662904</v>
      </c>
      <c r="BH263" s="27" t="n">
        <f aca="false">1/(1+V_WACC)^((55-1)/12)</f>
        <v>0.665006965338768</v>
      </c>
      <c r="BI263" s="27" t="n">
        <f aca="false">1/(1+V_WACC)^((56-1)/12)</f>
        <v>0.660001918202556</v>
      </c>
      <c r="BJ263" s="27" t="n">
        <f aca="false">1/(1+V_WACC)^((57-1)/12)</f>
        <v>0.655034540591839</v>
      </c>
      <c r="BK263" s="27" t="n">
        <f aca="false">1/(1+V_WACC)^((58-1)/12)</f>
        <v>0.650104548994174</v>
      </c>
      <c r="BL263" s="27" t="n">
        <f aca="false">1/(1+V_WACC)^((59-1)/12)</f>
        <v>0.645211662030916</v>
      </c>
      <c r="BM263" s="27" t="n">
        <f aca="false">1/(1+V_WACC)^((60-1)/12)</f>
        <v>0.640355600441165</v>
      </c>
      <c r="BN263" s="27" t="n">
        <f aca="false">1/(1+V_WACC)^((61-1)/12)</f>
        <v>0.635536087065823</v>
      </c>
      <c r="BO263" s="27" t="n">
        <f aca="false">1/(1+V_WACC)^((62-1)/12)</f>
        <v>0.630752846831779</v>
      </c>
      <c r="BP263" s="27" t="n">
        <f aca="false">1/(1+V_WACC)^((63-1)/12)</f>
        <v>0.626005606736203</v>
      </c>
      <c r="BQ263" s="27" t="n">
        <f aca="false">1/(1+V_WACC)^((64-1)/12)</f>
        <v>0.621294095830973</v>
      </c>
      <c r="BR263" s="27" t="n">
        <f aca="false">1/(1+V_WACC)^((65-1)/12)</f>
        <v>0.616618045207202</v>
      </c>
      <c r="BS263" s="27" t="n">
        <f aca="false">1/(1+V_WACC)^((66-1)/12)</f>
        <v>0.611977187979896</v>
      </c>
      <c r="BT263" s="27" t="n">
        <f aca="false">1/(1+V_WACC)^((67-1)/12)</f>
        <v>0.60737125927272</v>
      </c>
      <c r="BU263" s="27" t="n">
        <f aca="false">1/(1+V_WACC)^((68-1)/12)</f>
        <v>0.602799996202879</v>
      </c>
      <c r="BV263" s="27" t="n">
        <f aca="false">1/(1+V_WACC)^((69-1)/12)</f>
        <v>0.598263137866114</v>
      </c>
      <c r="BW263" s="27" t="n">
        <f aca="false">1/(1+V_WACC)^((70-1)/12)</f>
        <v>0.593760425321813</v>
      </c>
      <c r="BX263" s="27" t="n">
        <f aca="false">1/(1+V_WACC)^((71-1)/12)</f>
        <v>0.589291601578232</v>
      </c>
      <c r="BY263" s="27" t="n">
        <f aca="false">1/(1+V_WACC)^((72-1)/12)</f>
        <v>0.584856411577822</v>
      </c>
      <c r="BZ263" s="27" t="n">
        <f aca="false">1/(1+V_WACC)^((73-1)/12)</f>
        <v>0.580454602182681</v>
      </c>
      <c r="CA263" s="27" t="n">
        <f aca="false">1/(1+V_WACC)^((74-1)/12)</f>
        <v>0.576085922160095</v>
      </c>
      <c r="CB263" s="27" t="n">
        <f aca="false">1/(1+V_WACC)^((75-1)/12)</f>
        <v>0.57175012216821</v>
      </c>
      <c r="CC263" s="27" t="n">
        <f aca="false">1/(1+V_WACC)^((76-1)/12)</f>
        <v>0.567446954741792</v>
      </c>
      <c r="CD263" s="27" t="n">
        <f aca="false">1/(1+V_WACC)^((77-1)/12)</f>
        <v>0.563176174278108</v>
      </c>
      <c r="CE263" s="27" t="n">
        <f aca="false">1/(1+V_WACC)^((78-1)/12)</f>
        <v>0.558937537022906</v>
      </c>
      <c r="CF263" s="27" t="n">
        <f aca="false">1/(1+V_WACC)^((79-1)/12)</f>
        <v>0.554730801056504</v>
      </c>
      <c r="CG263" s="27" t="n">
        <f aca="false">1/(1+V_WACC)^((80-1)/12)</f>
        <v>0.550555726279984</v>
      </c>
      <c r="CH263" s="27" t="n">
        <f aca="false">1/(1+V_WACC)^((81-1)/12)</f>
        <v>0.546412074401482</v>
      </c>
      <c r="CI263" s="27" t="n">
        <f aca="false">1/(1+V_WACC)^((82-1)/12)</f>
        <v>0.542299608922595</v>
      </c>
      <c r="CJ263" s="27" t="n">
        <f aca="false">1/(1+V_WACC)^((83-1)/12)</f>
        <v>0.53821809512488</v>
      </c>
      <c r="CK263" s="27" t="n">
        <f aca="false">1/(1+V_WACC)^((84-1)/12)</f>
        <v>0.534167300056455</v>
      </c>
      <c r="CL263" s="27" t="n">
        <f aca="false">1/(1+V_WACC)^((85-1)/12)</f>
        <v>0.530146992518708</v>
      </c>
      <c r="CM263" s="27" t="n">
        <f aca="false">1/(1+V_WACC)^((86-1)/12)</f>
        <v>0.526156943053098</v>
      </c>
      <c r="CN263" s="27" t="n">
        <f aca="false">1/(1+V_WACC)^((87-1)/12)</f>
        <v>0.522196923928058</v>
      </c>
      <c r="CO263" s="27" t="n">
        <f aca="false">1/(1+V_WACC)^((88-1)/12)</f>
        <v>0.518266709126002</v>
      </c>
      <c r="CP263" s="27" t="n">
        <f aca="false">1/(1+V_WACC)^((89-1)/12)</f>
        <v>0.514366074330419</v>
      </c>
      <c r="CQ263" s="27" t="n">
        <f aca="false">1/(1+V_WACC)^((90-1)/12)</f>
        <v>0.510494796913075</v>
      </c>
      <c r="CR263" s="27" t="n">
        <f aca="false">1/(1+V_WACC)^((91-1)/12)</f>
        <v>0.506652655921305</v>
      </c>
      <c r="CS263" s="27" t="n">
        <f aca="false">1/(1+V_WACC)^((92-1)/12)</f>
        <v>0.502839432065399</v>
      </c>
      <c r="CT263" s="27" t="n">
        <f aca="false">1/(1+V_WACC)^((93-1)/12)</f>
        <v>0.499054907706092</v>
      </c>
      <c r="CU263" s="27" t="n">
        <f aca="false">1/(1+V_WACC)^((94-1)/12)</f>
        <v>0.495298866842137</v>
      </c>
      <c r="CV263" s="27" t="n">
        <f aca="false">1/(1+V_WACC)^((95-1)/12)</f>
        <v>0.49157109509798</v>
      </c>
      <c r="CW263" s="27" t="n">
        <f aca="false">1/(1+V_WACC)^((96-1)/12)</f>
        <v>0.487871379711524</v>
      </c>
      <c r="CX263" s="27" t="n">
        <f aca="false">1/(1+V_WACC)^((97-1)/12)</f>
        <v>0.484199509521982</v>
      </c>
      <c r="CY263" s="27" t="n">
        <f aca="false">1/(1+V_WACC)^((98-1)/12)</f>
        <v>0.480555274957831</v>
      </c>
      <c r="CZ263" s="27" t="n">
        <f aca="false">1/(1+V_WACC)^((99-1)/12)</f>
        <v>0.476938468024848</v>
      </c>
      <c r="DA263" s="27" t="n">
        <f aca="false">1/(1+V_WACC)^((100-1)/12)</f>
        <v>0.473348882294237</v>
      </c>
      <c r="DB263" s="27" t="n">
        <f aca="false">1/(1+V_WACC)^((101-1)/12)</f>
        <v>0.469786312890849</v>
      </c>
      <c r="DC263" s="27" t="n">
        <f aca="false">1/(1+V_WACC)^((102-1)/12)</f>
        <v>0.466250556481488</v>
      </c>
      <c r="DD263" s="27" t="n">
        <f aca="false">1/(1+V_WACC)^((103-1)/12)</f>
        <v>0.462741411263308</v>
      </c>
      <c r="DE263" s="27" t="n">
        <f aca="false">1/(1+V_WACC)^((104-1)/12)</f>
        <v>0.459258676952292</v>
      </c>
      <c r="DF263" s="27" t="n">
        <f aca="false">1/(1+V_WACC)^((105-1)/12)</f>
        <v>0.455802154771821</v>
      </c>
      <c r="DG263" s="27" t="n">
        <f aca="false">1/(1+V_WACC)^((106-1)/12)</f>
        <v>0.452371647441334</v>
      </c>
      <c r="DH263" s="27" t="n">
        <f aca="false">1/(1+V_WACC)^((107-1)/12)</f>
        <v>0.448966959165059</v>
      </c>
      <c r="DI263" s="27" t="n">
        <f aca="false">1/(1+V_WACC)^((108-1)/12)</f>
        <v>0.445587895620848</v>
      </c>
      <c r="DJ263" s="27" t="n">
        <f aca="false">1/(1+V_WACC)^((109-1)/12)</f>
        <v>0.442234263949077</v>
      </c>
      <c r="DK263" s="27" t="n">
        <f aca="false">1/(1+V_WACC)^((110-1)/12)</f>
        <v>0.438905872741647</v>
      </c>
      <c r="DL263" s="27" t="n">
        <f aca="false">1/(1+V_WACC)^((111-1)/12)</f>
        <v>0.435602532031053</v>
      </c>
      <c r="DM263" s="27" t="n">
        <f aca="false">1/(1+V_WACC)^((112-1)/12)</f>
        <v>0.432324053279544</v>
      </c>
      <c r="DN263" s="27" t="n">
        <f aca="false">1/(1+V_WACC)^((113-1)/12)</f>
        <v>0.429070249368362</v>
      </c>
      <c r="DO263" s="27" t="n">
        <f aca="false">1/(1+V_WACC)^((114-1)/12)</f>
        <v>0.425840934587064</v>
      </c>
      <c r="DP263" s="27" t="n">
        <f aca="false">1/(1+V_WACC)^((115-1)/12)</f>
        <v>0.422635924622918</v>
      </c>
      <c r="DQ263" s="27" t="n">
        <f aca="false">1/(1+V_WACC)^((116-1)/12)</f>
        <v>0.41945503655039</v>
      </c>
      <c r="DR263" s="27" t="n">
        <f aca="false">1/(1+V_WACC)^((117-1)/12)</f>
        <v>0.416298088820697</v>
      </c>
      <c r="DS263" s="27" t="n">
        <f aca="false">1/(1+V_WACC)^((118-1)/12)</f>
        <v>0.413164901251449</v>
      </c>
      <c r="DT263" s="27" t="n">
        <f aca="false">1/(1+V_WACC)^((119-1)/12)</f>
        <v>0.410055295016365</v>
      </c>
      <c r="DU263" s="27" t="n">
        <f aca="false">1/(1+V_WACC)^((120-1)/12)</f>
        <v>0.406969092635064</v>
      </c>
      <c r="DV263" s="27" t="n">
        <f aca="false">1/(1+V_WACC)^((121-1)/12)</f>
        <v>0.403906117962938</v>
      </c>
      <c r="DW263" s="27" t="n">
        <f aca="false">1/(1+V_WACC)^((122-1)/12)</f>
        <v>0.400866196181097</v>
      </c>
      <c r="DX263" s="27" t="n">
        <f aca="false">1/(1+V_WACC)^((123-1)/12)</f>
        <v>0.397849153786393</v>
      </c>
      <c r="DY263" s="27" t="n">
        <f aca="false">1/(1+V_WACC)^((124-1)/12)</f>
        <v>0.394854818581515</v>
      </c>
      <c r="DZ263" s="27" t="n">
        <f aca="false">1/(1+V_WACC)^((125-1)/12)</f>
        <v>0.391883019665162</v>
      </c>
      <c r="EA263" s="27" t="n">
        <f aca="false">1/(1+V_WACC)^((126-1)/12)</f>
        <v>0.388933587422289</v>
      </c>
      <c r="EB263" s="27" t="n">
        <f aca="false">1/(1+V_WACC)^((127-1)/12)</f>
        <v>0.386006353514426</v>
      </c>
      <c r="EC263" s="27" t="n">
        <f aca="false">1/(1+V_WACC)^((128-1)/12)</f>
        <v>0.383101150870071</v>
      </c>
      <c r="ED263" s="27" t="n">
        <f aca="false">1/(1+V_WACC)^((129-1)/12)</f>
        <v>0.380217813675151</v>
      </c>
      <c r="EE263" s="27" t="n">
        <f aca="false">1/(1+V_WACC)^((130-1)/12)</f>
        <v>0.377356177363564</v>
      </c>
      <c r="EF263" s="27" t="n">
        <f aca="false">1/(1+V_WACC)^((131-1)/12)</f>
        <v>0.374516078607781</v>
      </c>
      <c r="EG263" s="27" t="n">
        <f aca="false">1/(1+V_WACC)^((132-1)/12)</f>
        <v>0.371697355309528</v>
      </c>
      <c r="EH263" s="27" t="n">
        <f aca="false">1/(1+V_WACC)^((133-1)/12)</f>
        <v>0.36889984659053</v>
      </c>
      <c r="EI263" s="27" t="n">
        <f aca="false">1/(1+V_WACC)^((134-1)/12)</f>
        <v>0.366123392783333</v>
      </c>
      <c r="EJ263" s="27" t="n">
        <f aca="false">1/(1+V_WACC)^((135-1)/12)</f>
        <v>0.36336783542219</v>
      </c>
      <c r="EK263" s="27" t="n">
        <f aca="false">1/(1+V_WACC)^((136-1)/12)</f>
        <v>0.360633017234016</v>
      </c>
      <c r="EL263" s="27" t="n">
        <f aca="false">1/(1+V_WACC)^((137-1)/12)</f>
        <v>0.357918782129409</v>
      </c>
      <c r="EM263" s="27" t="n">
        <f aca="false">1/(1+V_WACC)^((138-1)/12)</f>
        <v>0.355224975193746</v>
      </c>
      <c r="EN263" s="27" t="n">
        <f aca="false">1/(1+V_WACC)^((139-1)/12)</f>
        <v>0.352551442678341</v>
      </c>
      <c r="EO263" s="27" t="n">
        <f aca="false">1/(1+V_WACC)^((140-1)/12)</f>
        <v>0.349898031991663</v>
      </c>
      <c r="EP263" s="27" t="n">
        <f aca="false">1/(1+V_WACC)^((141-1)/12)</f>
        <v>0.347264591690637</v>
      </c>
      <c r="EQ263" s="27" t="n">
        <f aca="false">1/(1+V_WACC)^((142-1)/12)</f>
        <v>0.344650971471992</v>
      </c>
      <c r="ER263" s="27" t="n">
        <f aca="false">1/(1+V_WACC)^((143-1)/12)</f>
        <v>0.342057022163687</v>
      </c>
      <c r="ES263" s="27" t="n">
        <f aca="false">1/(1+V_WACC)^((144-1)/12)</f>
        <v>0.339482595716395</v>
      </c>
    </row>
    <row r="264" customFormat="false" ht="15" hidden="false" customHeight="false" outlineLevel="0" collapsed="false">
      <c r="A264" s="2" t="s">
        <v>873</v>
      </c>
      <c r="B264" s="6" t="s">
        <v>749</v>
      </c>
      <c r="C264" s="6"/>
      <c r="F264" s="27" t="n">
        <f aca="false">1/(1+V_Ke)^((1-1)/12)</f>
        <v>1</v>
      </c>
      <c r="G264" s="27" t="n">
        <f aca="false">1/(1+V_Ke)^((2-1)/12)</f>
        <v>0.987481119072306</v>
      </c>
      <c r="H264" s="27" t="n">
        <f aca="false">1/(1+V_Ke)^((3-1)/12)</f>
        <v>0.975118960524295</v>
      </c>
      <c r="I264" s="27" t="n">
        <f aca="false">1/(1+V_Ke)^((4-1)/12)</f>
        <v>0.962911562367155</v>
      </c>
      <c r="J264" s="27" t="n">
        <f aca="false">1/(1+V_Ke)^((5-1)/12)</f>
        <v>0.950856987173981</v>
      </c>
      <c r="K264" s="27" t="n">
        <f aca="false">1/(1+V_Ke)^((6-1)/12)</f>
        <v>0.938953321772285</v>
      </c>
      <c r="L264" s="27" t="n">
        <f aca="false">1/(1+V_Ke)^((7-1)/12)</f>
        <v>0.927198676940355</v>
      </c>
      <c r="M264" s="27" t="n">
        <f aca="false">1/(1+V_Ke)^((8-1)/12)</f>
        <v>0.915591187107424</v>
      </c>
      <c r="N264" s="27" t="n">
        <f aca="false">1/(1+V_Ke)^((9-1)/12)</f>
        <v>0.90412901005758</v>
      </c>
      <c r="O264" s="27" t="n">
        <f aca="false">1/(1+V_Ke)^((10-1)/12)</f>
        <v>0.892810326637396</v>
      </c>
      <c r="P264" s="27" t="n">
        <f aca="false">1/(1+V_Ke)^((11-1)/12)</f>
        <v>0.881633340467207</v>
      </c>
      <c r="Q264" s="27" t="n">
        <f aca="false">1/(1+V_Ke)^((12-1)/12)</f>
        <v>0.870596277656014</v>
      </c>
      <c r="R264" s="27" t="n">
        <f aca="false">1/(1+V_Ke)^((13-1)/12)</f>
        <v>0.859697386519945</v>
      </c>
      <c r="S264" s="27" t="n">
        <f aca="false">1/(1+V_Ke)^((14-1)/12)</f>
        <v>0.848934937304252</v>
      </c>
      <c r="T264" s="27" t="n">
        <f aca="false">1/(1+V_Ke)^((15-1)/12)</f>
        <v>0.838307221908782</v>
      </c>
      <c r="U264" s="27" t="n">
        <f aca="false">1/(1+V_Ke)^((16-1)/12)</f>
        <v>0.82781255361688</v>
      </c>
      <c r="V264" s="27" t="n">
        <f aca="false">1/(1+V_Ke)^((17-1)/12)</f>
        <v>0.8174492668277</v>
      </c>
      <c r="W264" s="27" t="n">
        <f aca="false">1/(1+V_Ke)^((18-1)/12)</f>
        <v>0.807215716791854</v>
      </c>
      <c r="X264" s="27" t="n">
        <f aca="false">1/(1+V_Ke)^((19-1)/12)</f>
        <v>0.797110279350374</v>
      </c>
      <c r="Y264" s="27" t="n">
        <f aca="false">1/(1+V_Ke)^((20-1)/12)</f>
        <v>0.787131350676946</v>
      </c>
      <c r="Z264" s="27" t="n">
        <f aca="false">1/(1+V_Ke)^((21-1)/12)</f>
        <v>0.777277347023367</v>
      </c>
      <c r="AA264" s="27" t="n">
        <f aca="false">1/(1+V_Ke)^((22-1)/12)</f>
        <v>0.767546704468188</v>
      </c>
      <c r="AB264" s="27" t="n">
        <f aca="false">1/(1+V_Ke)^((23-1)/12)</f>
        <v>0.757937878668507</v>
      </c>
      <c r="AC264" s="27" t="n">
        <f aca="false">1/(1+V_Ke)^((24-1)/12)</f>
        <v>0.748449344614867</v>
      </c>
      <c r="AD264" s="27" t="n">
        <f aca="false">1/(1+V_Ke)^((25-1)/12)</f>
        <v>0.739079596389224</v>
      </c>
      <c r="AE264" s="27" t="n">
        <f aca="false">1/(1+V_Ke)^((26-1)/12)</f>
        <v>0.729827146925939</v>
      </c>
      <c r="AF264" s="27" t="n">
        <f aca="false">1/(1+V_Ke)^((27-1)/12)</f>
        <v>0.720690527775775</v>
      </c>
      <c r="AG264" s="27" t="n">
        <f aca="false">1/(1+V_Ke)^((28-1)/12)</f>
        <v>0.711668288872834</v>
      </c>
      <c r="AH264" s="27" t="n">
        <f aca="false">1/(1+V_Ke)^((29-1)/12)</f>
        <v>0.702758998304419</v>
      </c>
      <c r="AI264" s="27" t="n">
        <f aca="false">1/(1+V_Ke)^((30-1)/12)</f>
        <v>0.693961242083781</v>
      </c>
      <c r="AJ264" s="27" t="n">
        <f aca="false">1/(1+V_Ke)^((31-1)/12)</f>
        <v>0.6852736239257</v>
      </c>
      <c r="AK264" s="27" t="n">
        <f aca="false">1/(1+V_Ke)^((32-1)/12)</f>
        <v>0.676694765024885</v>
      </c>
      <c r="AL264" s="27" t="n">
        <f aca="false">1/(1+V_Ke)^((33-1)/12)</f>
        <v>0.668223303837145</v>
      </c>
      <c r="AM264" s="27" t="n">
        <f aca="false">1/(1+V_Ke)^((34-1)/12)</f>
        <v>0.659857895863298</v>
      </c>
      <c r="AN264" s="27" t="n">
        <f aca="false">1/(1+V_Ke)^((35-1)/12)</f>
        <v>0.651597213435787</v>
      </c>
      <c r="AO264" s="27" t="n">
        <f aca="false">1/(1+V_Ke)^((36-1)/12)</f>
        <v>0.643439945507967</v>
      </c>
      <c r="AP264" s="27" t="n">
        <f aca="false">1/(1+V_Ke)^((37-1)/12)</f>
        <v>0.635384797446031</v>
      </c>
      <c r="AQ264" s="27" t="n">
        <f aca="false">1/(1+V_Ke)^((38-1)/12)</f>
        <v>0.627430490823538</v>
      </c>
      <c r="AR264" s="27" t="n">
        <f aca="false">1/(1+V_Ke)^((39-1)/12)</f>
        <v>0.619575763218514</v>
      </c>
      <c r="AS264" s="27" t="n">
        <f aca="false">1/(1+V_Ke)^((40-1)/12)</f>
        <v>0.611819368013096</v>
      </c>
      <c r="AT264" s="27" t="n">
        <f aca="false">1/(1+V_Ke)^((41-1)/12)</f>
        <v>0.604160074195684</v>
      </c>
      <c r="AU264" s="27" t="n">
        <f aca="false">1/(1+V_Ke)^((42-1)/12)</f>
        <v>0.596596666165561</v>
      </c>
      <c r="AV264" s="27" t="n">
        <f aca="false">1/(1+V_Ke)^((43-1)/12)</f>
        <v>0.589127943539976</v>
      </c>
      <c r="AW264" s="27" t="n">
        <f aca="false">1/(1+V_Ke)^((44-1)/12)</f>
        <v>0.581752720963622</v>
      </c>
      <c r="AX264" s="27" t="n">
        <f aca="false">1/(1+V_Ke)^((45-1)/12)</f>
        <v>0.574469827920517</v>
      </c>
      <c r="AY264" s="27" t="n">
        <f aca="false">1/(1+V_Ke)^((46-1)/12)</f>
        <v>0.567278108548227</v>
      </c>
      <c r="AZ264" s="27" t="n">
        <f aca="false">1/(1+V_Ke)^((47-1)/12)</f>
        <v>0.560176421454425</v>
      </c>
      <c r="BA264" s="27" t="n">
        <f aca="false">1/(1+V_Ke)^((48-1)/12)</f>
        <v>0.553163639535735</v>
      </c>
      <c r="BB264" s="27" t="n">
        <f aca="false">1/(1+V_Ke)^((49-1)/12)</f>
        <v>0.546238649798858</v>
      </c>
      <c r="BC264" s="27" t="n">
        <f aca="false">1/(1+V_Ke)^((50-1)/12)</f>
        <v>0.539400353183922</v>
      </c>
      <c r="BD264" s="27" t="n">
        <f aca="false">1/(1+V_Ke)^((51-1)/12)</f>
        <v>0.532647664390056</v>
      </c>
      <c r="BE264" s="27" t="n">
        <f aca="false">1/(1+V_Ke)^((52-1)/12)</f>
        <v>0.525979511703143</v>
      </c>
      <c r="BF264" s="27" t="n">
        <f aca="false">1/(1+V_Ke)^((53-1)/12)</f>
        <v>0.519394836825725</v>
      </c>
      <c r="BG264" s="27" t="n">
        <f aca="false">1/(1+V_Ke)^((54-1)/12)</f>
        <v>0.512892594709045</v>
      </c>
      <c r="BH264" s="27" t="n">
        <f aca="false">1/(1+V_Ke)^((55-1)/12)</f>
        <v>0.506471753387187</v>
      </c>
      <c r="BI264" s="27" t="n">
        <f aca="false">1/(1+V_Ke)^((56-1)/12)</f>
        <v>0.500131293813293</v>
      </c>
      <c r="BJ264" s="27" t="n">
        <f aca="false">1/(1+V_Ke)^((57-1)/12)</f>
        <v>0.493870209697831</v>
      </c>
      <c r="BK264" s="27" t="n">
        <f aca="false">1/(1+V_Ke)^((58-1)/12)</f>
        <v>0.487687507348888</v>
      </c>
      <c r="BL264" s="27" t="n">
        <f aca="false">1/(1+V_Ke)^((59-1)/12)</f>
        <v>0.481582205514464</v>
      </c>
      <c r="BM264" s="27" t="n">
        <f aca="false">1/(1+V_Ke)^((60-1)/12)</f>
        <v>0.475553335226732</v>
      </c>
      <c r="BN264" s="27" t="n">
        <f aca="false">1/(1+V_Ke)^((61-1)/12)</f>
        <v>0.469599939648261</v>
      </c>
      <c r="BO264" s="27" t="n">
        <f aca="false">1/(1+V_Ke)^((62-1)/12)</f>
        <v>0.463721073920153</v>
      </c>
      <c r="BP264" s="27" t="n">
        <f aca="false">1/(1+V_Ke)^((63-1)/12)</f>
        <v>0.457915805012084</v>
      </c>
      <c r="BQ264" s="27" t="n">
        <f aca="false">1/(1+V_Ke)^((64-1)/12)</f>
        <v>0.452183211574229</v>
      </c>
      <c r="BR264" s="27" t="n">
        <f aca="false">1/(1+V_Ke)^((65-1)/12)</f>
        <v>0.446522383791029</v>
      </c>
      <c r="BS264" s="27" t="n">
        <f aca="false">1/(1+V_Ke)^((66-1)/12)</f>
        <v>0.4409324232368</v>
      </c>
      <c r="BT264" s="27" t="n">
        <f aca="false">1/(1+V_Ke)^((67-1)/12)</f>
        <v>0.435412442733139</v>
      </c>
      <c r="BU264" s="27" t="n">
        <f aca="false">1/(1+V_Ke)^((68-1)/12)</f>
        <v>0.429961566208126</v>
      </c>
      <c r="BV264" s="27" t="n">
        <f aca="false">1/(1+V_Ke)^((69-1)/12)</f>
        <v>0.424578928557282</v>
      </c>
      <c r="BW264" s="27" t="n">
        <f aca="false">1/(1+V_Ke)^((70-1)/12)</f>
        <v>0.419263675506266</v>
      </c>
      <c r="BX264" s="27" t="n">
        <f aca="false">1/(1+V_Ke)^((71-1)/12)</f>
        <v>0.414014963475296</v>
      </c>
      <c r="BY264" s="27" t="n">
        <f aca="false">1/(1+V_Ke)^((72-1)/12)</f>
        <v>0.408831959445265</v>
      </c>
      <c r="BZ264" s="27" t="n">
        <f aca="false">1/(1+V_Ke)^((73-1)/12)</f>
        <v>0.403713840825534</v>
      </c>
      <c r="CA264" s="27" t="n">
        <f aca="false">1/(1+V_Ke)^((74-1)/12)</f>
        <v>0.398659795323378</v>
      </c>
      <c r="CB264" s="27" t="n">
        <f aca="false">1/(1+V_Ke)^((75-1)/12)</f>
        <v>0.393669020815066</v>
      </c>
      <c r="CC264" s="27" t="n">
        <f aca="false">1/(1+V_Ke)^((76-1)/12)</f>
        <v>0.38874072521856</v>
      </c>
      <c r="CD264" s="27" t="n">
        <f aca="false">1/(1+V_Ke)^((77-1)/12)</f>
        <v>0.383874126367804</v>
      </c>
      <c r="CE264" s="27" t="n">
        <f aca="false">1/(1+V_Ke)^((78-1)/12)</f>
        <v>0.379068451888583</v>
      </c>
      <c r="CF264" s="27" t="n">
        <f aca="false">1/(1+V_Ke)^((79-1)/12)</f>
        <v>0.374322939075945</v>
      </c>
      <c r="CG264" s="27" t="n">
        <f aca="false">1/(1+V_Ke)^((80-1)/12)</f>
        <v>0.369636834773149</v>
      </c>
      <c r="CH264" s="27" t="n">
        <f aca="false">1/(1+V_Ke)^((81-1)/12)</f>
        <v>0.365009395252134</v>
      </c>
      <c r="CI264" s="27" t="n">
        <f aca="false">1/(1+V_Ke)^((82-1)/12)</f>
        <v>0.360439886095483</v>
      </c>
      <c r="CJ264" s="27" t="n">
        <f aca="false">1/(1+V_Ke)^((83-1)/12)</f>
        <v>0.355927582079862</v>
      </c>
      <c r="CK264" s="27" t="n">
        <f aca="false">1/(1+V_Ke)^((84-1)/12)</f>
        <v>0.351471767060923</v>
      </c>
      <c r="CL264" s="27" t="n">
        <f aca="false">1/(1+V_Ke)^((85-1)/12)</f>
        <v>0.347071733859641</v>
      </c>
      <c r="CM264" s="27" t="n">
        <f aca="false">1/(1+V_Ke)^((86-1)/12)</f>
        <v>0.342726784150084</v>
      </c>
      <c r="CN264" s="27" t="n">
        <f aca="false">1/(1+V_Ke)^((87-1)/12)</f>
        <v>0.338436228348578</v>
      </c>
      <c r="CO264" s="27" t="n">
        <f aca="false">1/(1+V_Ke)^((88-1)/12)</f>
        <v>0.334199385504264</v>
      </c>
      <c r="CP264" s="27" t="n">
        <f aca="false">1/(1+V_Ke)^((89-1)/12)</f>
        <v>0.330015583191028</v>
      </c>
      <c r="CQ264" s="27" t="n">
        <f aca="false">1/(1+V_Ke)^((90-1)/12)</f>
        <v>0.325884157400776</v>
      </c>
      <c r="CR264" s="27" t="n">
        <f aca="false">1/(1+V_Ke)^((91-1)/12)</f>
        <v>0.321804452438054</v>
      </c>
      <c r="CS264" s="27" t="n">
        <f aca="false">1/(1+V_Ke)^((92-1)/12)</f>
        <v>0.31777582081598</v>
      </c>
      <c r="CT264" s="27" t="n">
        <f aca="false">1/(1+V_Ke)^((93-1)/12)</f>
        <v>0.313797623153485</v>
      </c>
      <c r="CU264" s="27" t="n">
        <f aca="false">1/(1+V_Ke)^((94-1)/12)</f>
        <v>0.309869228073833</v>
      </c>
      <c r="CV264" s="27" t="n">
        <f aca="false">1/(1+V_Ke)^((95-1)/12)</f>
        <v>0.305990012104421</v>
      </c>
      <c r="CW264" s="27" t="n">
        <f aca="false">1/(1+V_Ke)^((96-1)/12)</f>
        <v>0.302159359577822</v>
      </c>
      <c r="CX264" s="27" t="n">
        <f aca="false">1/(1+V_Ke)^((97-1)/12)</f>
        <v>0.298376662534079</v>
      </c>
      <c r="CY264" s="27" t="n">
        <f aca="false">1/(1+V_Ke)^((98-1)/12)</f>
        <v>0.294641320624212</v>
      </c>
      <c r="CZ264" s="27" t="n">
        <f aca="false">1/(1+V_Ke)^((99-1)/12)</f>
        <v>0.29095274101494</v>
      </c>
      <c r="DA264" s="27" t="n">
        <f aca="false">1/(1+V_Ke)^((100-1)/12)</f>
        <v>0.287310338294587</v>
      </c>
      <c r="DB264" s="27" t="n">
        <f aca="false">1/(1+V_Ke)^((101-1)/12)</f>
        <v>0.283713534380182</v>
      </c>
      <c r="DC264" s="27" t="n">
        <f aca="false">1/(1+V_Ke)^((102-1)/12)</f>
        <v>0.280161758425702</v>
      </c>
      <c r="DD264" s="27" t="n">
        <f aca="false">1/(1+V_Ke)^((103-1)/12)</f>
        <v>0.276654446731477</v>
      </c>
      <c r="DE264" s="27" t="n">
        <f aca="false">1/(1+V_Ke)^((104-1)/12)</f>
        <v>0.273191042654729</v>
      </c>
      <c r="DF264" s="27" t="n">
        <f aca="false">1/(1+V_Ke)^((105-1)/12)</f>
        <v>0.269770996521222</v>
      </c>
      <c r="DG264" s="27" t="n">
        <f aca="false">1/(1+V_Ke)^((106-1)/12)</f>
        <v>0.266393765538027</v>
      </c>
      <c r="DH264" s="27" t="n">
        <f aca="false">1/(1+V_Ke)^((107-1)/12)</f>
        <v>0.263058813707377</v>
      </c>
      <c r="DI264" s="27" t="n">
        <f aca="false">1/(1+V_Ke)^((108-1)/12)</f>
        <v>0.259765611741594</v>
      </c>
      <c r="DJ264" s="27" t="n">
        <f aca="false">1/(1+V_Ke)^((109-1)/12)</f>
        <v>0.256513636979091</v>
      </c>
      <c r="DK264" s="27" t="n">
        <f aca="false">1/(1+V_Ke)^((110-1)/12)</f>
        <v>0.253302373301421</v>
      </c>
      <c r="DL264" s="27" t="n">
        <f aca="false">1/(1+V_Ke)^((111-1)/12)</f>
        <v>0.250131311051358</v>
      </c>
      <c r="DM264" s="27" t="n">
        <f aca="false">1/(1+V_Ke)^((112-1)/12)</f>
        <v>0.246999946952018</v>
      </c>
      <c r="DN264" s="27" t="n">
        <f aca="false">1/(1+V_Ke)^((113-1)/12)</f>
        <v>0.243907784026979</v>
      </c>
      <c r="DO264" s="27" t="n">
        <f aca="false">1/(1+V_Ke)^((114-1)/12)</f>
        <v>0.240854331521408</v>
      </c>
      <c r="DP264" s="27" t="n">
        <f aca="false">1/(1+V_Ke)^((115-1)/12)</f>
        <v>0.237839104824172</v>
      </c>
      <c r="DQ264" s="27" t="n">
        <f aca="false">1/(1+V_Ke)^((116-1)/12)</f>
        <v>0.234861625390929</v>
      </c>
      <c r="DR264" s="27" t="n">
        <f aca="false">1/(1+V_Ke)^((117-1)/12)</f>
        <v>0.231921420668176</v>
      </c>
      <c r="DS264" s="27" t="n">
        <f aca="false">1/(1+V_Ke)^((118-1)/12)</f>
        <v>0.229018024018249</v>
      </c>
      <c r="DT264" s="27" t="n">
        <f aca="false">1/(1+V_Ke)^((119-1)/12)</f>
        <v>0.226150974645269</v>
      </c>
      <c r="DU264" s="27" t="n">
        <f aca="false">1/(1+V_Ke)^((120-1)/12)</f>
        <v>0.223319817522003</v>
      </c>
      <c r="DV264" s="27" t="n">
        <f aca="false">1/(1+V_Ke)^((121-1)/12)</f>
        <v>0.220524103317651</v>
      </c>
      <c r="DW264" s="27" t="n">
        <f aca="false">1/(1+V_Ke)^((122-1)/12)</f>
        <v>0.217763388326531</v>
      </c>
      <c r="DX264" s="27" t="n">
        <f aca="false">1/(1+V_Ke)^((123-1)/12)</f>
        <v>0.21503723439766</v>
      </c>
      <c r="DY264" s="27" t="n">
        <f aca="false">1/(1+V_Ke)^((124-1)/12)</f>
        <v>0.212345208865215</v>
      </c>
      <c r="DZ264" s="27" t="n">
        <f aca="false">1/(1+V_Ke)^((125-1)/12)</f>
        <v>0.209686884479865</v>
      </c>
      <c r="EA264" s="27" t="n">
        <f aca="false">1/(1+V_Ke)^((126-1)/12)</f>
        <v>0.207061839340963</v>
      </c>
      <c r="EB264" s="27" t="n">
        <f aca="false">1/(1+V_Ke)^((127-1)/12)</f>
        <v>0.204469656829584</v>
      </c>
      <c r="EC264" s="27" t="n">
        <f aca="false">1/(1+V_Ke)^((128-1)/12)</f>
        <v>0.201909925542408</v>
      </c>
      <c r="ED264" s="27" t="n">
        <f aca="false">1/(1+V_Ke)^((129-1)/12)</f>
        <v>0.199382239226423</v>
      </c>
      <c r="EE264" s="27" t="n">
        <f aca="false">1/(1+V_Ke)^((130-1)/12)</f>
        <v>0.196886196714451</v>
      </c>
      <c r="EF264" s="27" t="n">
        <f aca="false">1/(1+V_Ke)^((131-1)/12)</f>
        <v>0.194421401861476</v>
      </c>
      <c r="EG264" s="27" t="n">
        <f aca="false">1/(1+V_Ke)^((132-1)/12)</f>
        <v>0.191987463481777</v>
      </c>
      <c r="EH264" s="27" t="n">
        <f aca="false">1/(1+V_Ke)^((133-1)/12)</f>
        <v>0.189583995286839</v>
      </c>
      <c r="EI264" s="27" t="n">
        <f aca="false">1/(1+V_Ke)^((134-1)/12)</f>
        <v>0.187210615824046</v>
      </c>
      <c r="EJ264" s="27" t="n">
        <f aca="false">1/(1+V_Ke)^((135-1)/12)</f>
        <v>0.184866948416145</v>
      </c>
      <c r="EK264" s="27" t="n">
        <f aca="false">1/(1+V_Ke)^((136-1)/12)</f>
        <v>0.182552621101457</v>
      </c>
      <c r="EL264" s="27" t="n">
        <f aca="false">1/(1+V_Ke)^((137-1)/12)</f>
        <v>0.18026726657485</v>
      </c>
      <c r="EM264" s="27" t="n">
        <f aca="false">1/(1+V_Ke)^((138-1)/12)</f>
        <v>0.178010522129438</v>
      </c>
      <c r="EN264" s="27" t="n">
        <f aca="false">1/(1+V_Ke)^((139-1)/12)</f>
        <v>0.175782029599023</v>
      </c>
      <c r="EO264" s="27" t="n">
        <f aca="false">1/(1+V_Ke)^((140-1)/12)</f>
        <v>0.173581435301245</v>
      </c>
      <c r="EP264" s="27" t="n">
        <f aca="false">1/(1+V_Ke)^((141-1)/12)</f>
        <v>0.171408389981451</v>
      </c>
      <c r="EQ264" s="27" t="n">
        <f aca="false">1/(1+V_Ke)^((142-1)/12)</f>
        <v>0.169262548757265</v>
      </c>
      <c r="ER264" s="27" t="n">
        <f aca="false">1/(1+V_Ke)^((143-1)/12)</f>
        <v>0.167143571063855</v>
      </c>
      <c r="ES264" s="27" t="n">
        <f aca="false">1/(1+V_Ke)^((144-1)/12)</f>
        <v>0.165051120599877</v>
      </c>
    </row>
    <row r="265" customFormat="false" ht="15" hidden="false" customHeight="false" outlineLevel="0" collapsed="false">
      <c r="A265" s="2" t="s">
        <v>874</v>
      </c>
      <c r="B265" s="6" t="s">
        <v>751</v>
      </c>
      <c r="C265" s="6" t="s">
        <v>250</v>
      </c>
      <c r="E265" s="40" t="n">
        <f aca="false">SUM(F265:ES265)</f>
        <v>14751245.7980366</v>
      </c>
      <c r="F265" s="34" t="n">
        <f aca="false">-F$242-(F$261-0)+F$257+IF(1=Fin,F$258+F$261+F$223-F$252,0)</f>
        <v>-767782</v>
      </c>
      <c r="G265" s="34" t="n">
        <f aca="false">-G$242-(G$261-F$261)+G$257+IF(2=Fin,G$258+G$261+G$223-G$252,0)</f>
        <v>0</v>
      </c>
      <c r="H265" s="34" t="n">
        <f aca="false">-H$242-(H$261-G$261)+H$257+IF(3=Fin,H$258+H$261+H$223-H$252,0)</f>
        <v>0</v>
      </c>
      <c r="I265" s="34" t="n">
        <f aca="false">-I$242-(I$261-H$261)+I$257+IF(4=Fin,I$258+I$261+I$223-I$252,0)</f>
        <v>0</v>
      </c>
      <c r="J265" s="34" t="n">
        <f aca="false">-J$242-(J$261-I$261)+J$257+IF(5=Fin,J$258+J$261+J$223-J$252,0)</f>
        <v>0</v>
      </c>
      <c r="K265" s="34" t="n">
        <f aca="false">-K$242-(K$261-J$261)+K$257+IF(6=Fin,K$258+K$261+K$223-K$252,0)</f>
        <v>0</v>
      </c>
      <c r="L265" s="34" t="n">
        <f aca="false">-L$242-(L$261-K$261)+L$257+IF(7=Fin,L$258+L$261+L$223-L$252,0)</f>
        <v>0</v>
      </c>
      <c r="M265" s="34" t="n">
        <f aca="false">-M$242-(M$261-L$261)+M$257+IF(8=Fin,M$258+M$261+M$223-M$252,0)</f>
        <v>0</v>
      </c>
      <c r="N265" s="34" t="n">
        <f aca="false">-N$242-(N$261-M$261)+N$257+IF(9=Fin,N$258+N$261+N$223-N$252,0)</f>
        <v>0</v>
      </c>
      <c r="O265" s="34" t="n">
        <f aca="false">-O$242-(O$261-N$261)+O$257+IF(10=Fin,O$258+O$261+O$223-O$252,0)</f>
        <v>0</v>
      </c>
      <c r="P265" s="34" t="n">
        <f aca="false">-P$242-(P$261-O$261)+P$257+IF(11=Fin,P$258+P$261+P$223-P$252,0)</f>
        <v>0</v>
      </c>
      <c r="Q265" s="34" t="n">
        <f aca="false">-Q$242-(Q$261-P$261)+Q$257+IF(12=Fin,Q$258+Q$261+Q$223-Q$252,0)</f>
        <v>0</v>
      </c>
      <c r="R265" s="34" t="n">
        <f aca="false">-R$242-(R$261-Q$261)+R$257+IF(13=Fin,R$258+R$261+R$223-R$252,0)</f>
        <v>-371928</v>
      </c>
      <c r="S265" s="34" t="n">
        <f aca="false">-S$242-(S$261-R$261)+S$257+IF(14=Fin,S$258+S$261+S$223-S$252,0)</f>
        <v>0</v>
      </c>
      <c r="T265" s="34" t="n">
        <f aca="false">-T$242-(T$261-S$261)+T$257+IF(15=Fin,T$258+T$261+T$223-T$252,0)</f>
        <v>0</v>
      </c>
      <c r="U265" s="34" t="n">
        <f aca="false">-U$242-(U$261-T$261)+U$257+IF(16=Fin,U$258+U$261+U$223-U$252,0)</f>
        <v>0</v>
      </c>
      <c r="V265" s="34" t="n">
        <f aca="false">-V$242-(V$261-U$261)+V$257+IF(17=Fin,V$258+V$261+V$223-V$252,0)</f>
        <v>0</v>
      </c>
      <c r="W265" s="34" t="n">
        <f aca="false">-W$242-(W$261-V$261)+W$257+IF(18=Fin,W$258+W$261+W$223-W$252,0)</f>
        <v>0</v>
      </c>
      <c r="X265" s="34" t="n">
        <f aca="false">-X$242-(X$261-W$261)+X$257+IF(19=Fin,X$258+X$261+X$223-X$252,0)</f>
        <v>0</v>
      </c>
      <c r="Y265" s="34" t="n">
        <f aca="false">-Y$242-(Y$261-X$261)+Y$257+IF(20=Fin,Y$258+Y$261+Y$223-Y$252,0)</f>
        <v>0</v>
      </c>
      <c r="Z265" s="34" t="n">
        <f aca="false">-Z$242-(Z$261-Y$261)+Z$257+IF(21=Fin,Z$258+Z$261+Z$223-Z$252,0)</f>
        <v>0</v>
      </c>
      <c r="AA265" s="34" t="n">
        <f aca="false">-AA$242-(AA$261-Z$261)+AA$257+IF(22=Fin,AA$258+AA$261+AA$223-AA$252,0)</f>
        <v>0</v>
      </c>
      <c r="AB265" s="34" t="n">
        <f aca="false">-AB$242-(AB$261-AA$261)+AB$257+IF(23=Fin,AB$258+AB$261+AB$223-AB$252,0)</f>
        <v>0</v>
      </c>
      <c r="AC265" s="34" t="n">
        <f aca="false">-AC$242-(AC$261-AB$261)+AC$257+IF(24=Fin,AC$258+AC$261+AC$223-AC$252,0)</f>
        <v>0</v>
      </c>
      <c r="AD265" s="34" t="n">
        <f aca="false">-AD$242-(AD$261-AC$261)+AD$257+IF(25=Fin,AD$258+AD$261+AD$223-AD$252,0)</f>
        <v>-311740.118672618</v>
      </c>
      <c r="AE265" s="34" t="n">
        <f aca="false">-AE$242-(AE$261-AD$261)+AE$257+IF(26=Fin,AE$258+AE$261+AE$223-AE$252,0)</f>
        <v>52573.6832870145</v>
      </c>
      <c r="AF265" s="34" t="n">
        <f aca="false">-AF$242-(AF$261-AE$261)+AF$257+IF(27=Fin,AF$258+AF$261+AF$223-AF$252,0)</f>
        <v>52610.0948845848</v>
      </c>
      <c r="AG265" s="34" t="n">
        <f aca="false">-AG$242-(AG$261-AF$261)+AG$257+IF(28=Fin,AG$258+AG$261+AG$223-AG$252,0)</f>
        <v>52646.7795691369</v>
      </c>
      <c r="AH265" s="34" t="n">
        <f aca="false">-AH$242-(AH$261-AG$261)+AH$257+IF(29=Fin,AH$258+AH$261+AH$223-AH$252,0)</f>
        <v>52683.7393888232</v>
      </c>
      <c r="AI265" s="34" t="n">
        <f aca="false">-AI$242-(AI$261-AH$261)+AI$257+IF(30=Fin,AI$258+AI$261+AI$223-AI$252,0)</f>
        <v>52720.9764071571</v>
      </c>
      <c r="AJ265" s="34" t="n">
        <f aca="false">-AJ$242-(AJ$261-AI$261)+AJ$257+IF(31=Fin,AJ$258+AJ$261+AJ$223-AJ$252,0)</f>
        <v>48504.8451359012</v>
      </c>
      <c r="AK265" s="34" t="n">
        <f aca="false">-AK$242-(AK$261-AJ$261)+AK$257+IF(32=Fin,AK$258+AK$261+AK$223-AK$252,0)</f>
        <v>0</v>
      </c>
      <c r="AL265" s="34" t="n">
        <f aca="false">-AL$242-(AL$261-AK$261)+AL$257+IF(33=Fin,AL$258+AL$261+AL$223-AL$252,0)</f>
        <v>0</v>
      </c>
      <c r="AM265" s="34" t="n">
        <f aca="false">-AM$242-(AM$261-AL$261)+AM$257+IF(34=Fin,AM$258+AM$261+AM$223-AM$252,0)</f>
        <v>0</v>
      </c>
      <c r="AN265" s="34" t="n">
        <f aca="false">-AN$242-(AN$261-AM$261)+AN$257+IF(35=Fin,AN$258+AN$261+AN$223-AN$252,0)</f>
        <v>0</v>
      </c>
      <c r="AO265" s="34" t="n">
        <f aca="false">-AO$242-(AO$261-AN$261)+AO$257+IF(36=Fin,AO$258+AO$261+AO$223-AO$252,0)</f>
        <v>0</v>
      </c>
      <c r="AP265" s="34" t="n">
        <f aca="false">-AP$242-(AP$261-AO$261)+AP$257+IF(37=Fin,AP$258+AP$261+AP$223-AP$252,0)</f>
        <v>-204392.169462804</v>
      </c>
      <c r="AQ265" s="34" t="n">
        <f aca="false">-AQ$242-(AQ$261-AP$261)+AQ$257+IF(38=Fin,AQ$258+AQ$261+AQ$223-AQ$252,0)</f>
        <v>85837.6535027239</v>
      </c>
      <c r="AR265" s="34" t="n">
        <f aca="false">-AR$242-(AR$261-AQ$261)+AR$257+IF(39=Fin,AR$258+AR$261+AR$223-AR$252,0)</f>
        <v>85877.4807593016</v>
      </c>
      <c r="AS265" s="34" t="n">
        <f aca="false">-AS$242-(AS$261-AR$261)+AS$257+IF(40=Fin,AS$258+AS$261+AS$223-AS$252,0)</f>
        <v>32677.0352007788</v>
      </c>
      <c r="AT265" s="34" t="n">
        <f aca="false">-AT$242-(AT$261-AS$261)+AT$257+IF(41=Fin,AT$258+AT$261+AT$223-AT$252,0)</f>
        <v>0</v>
      </c>
      <c r="AU265" s="34" t="n">
        <f aca="false">-AU$242-(AU$261-AT$261)+AU$257+IF(42=Fin,AU$258+AU$261+AU$223-AU$252,0)</f>
        <v>0</v>
      </c>
      <c r="AV265" s="34" t="n">
        <f aca="false">-AV$242-(AV$261-AU$261)+AV$257+IF(43=Fin,AV$258+AV$261+AV$223-AV$252,0)</f>
        <v>0</v>
      </c>
      <c r="AW265" s="34" t="n">
        <f aca="false">-AW$242-(AW$261-AV$261)+AW$257+IF(44=Fin,AW$258+AW$261+AW$223-AW$252,0)</f>
        <v>0</v>
      </c>
      <c r="AX265" s="34" t="n">
        <f aca="false">-AX$242-(AX$261-AW$261)+AX$257+IF(45=Fin,AX$258+AX$261+AX$223-AX$252,0)</f>
        <v>0</v>
      </c>
      <c r="AY265" s="34" t="n">
        <f aca="false">-AY$242-(AY$261-AX$261)+AY$257+IF(46=Fin,AY$258+AY$261+AY$223-AY$252,0)</f>
        <v>0</v>
      </c>
      <c r="AZ265" s="34" t="n">
        <f aca="false">-AZ$242-(AZ$261-AY$261)+AZ$257+IF(47=Fin,AZ$258+AZ$261+AZ$223-AZ$252,0)</f>
        <v>0</v>
      </c>
      <c r="BA265" s="34" t="n">
        <f aca="false">-BA$242-(BA$261-AZ$261)+BA$257+IF(48=Fin,BA$258+BA$261+BA$223-BA$252,0)</f>
        <v>0</v>
      </c>
      <c r="BB265" s="34" t="n">
        <f aca="false">-BB$242-(BB$261-BA$261)+BB$257+IF(49=Fin,BB$258+BB$261+BB$223-BB$252,0)</f>
        <v>0</v>
      </c>
      <c r="BC265" s="34" t="n">
        <f aca="false">-BC$242-(BC$261-BB$261)+BC$257+IF(50=Fin,BC$258+BC$261+BC$223-BC$252,0)</f>
        <v>0</v>
      </c>
      <c r="BD265" s="34" t="n">
        <f aca="false">-BD$242-(BD$261-BC$261)+BD$257+IF(51=Fin,BD$258+BD$261+BD$223-BD$252,0)</f>
        <v>0</v>
      </c>
      <c r="BE265" s="34" t="n">
        <f aca="false">-BE$242-(BE$261-BD$261)+BE$257+IF(52=Fin,BE$258+BE$261+BE$223-BE$252,0)</f>
        <v>804953.378380922</v>
      </c>
      <c r="BF265" s="34" t="n">
        <f aca="false">-BF$242-(BF$261-BE$261)+BF$257+IF(53=Fin,BF$258+BF$261+BF$223-BF$252,0)</f>
        <v>0</v>
      </c>
      <c r="BG265" s="34" t="n">
        <f aca="false">-BG$242-(BG$261-BF$261)+BG$257+IF(54=Fin,BG$258+BG$261+BG$223-BG$252,0)</f>
        <v>0</v>
      </c>
      <c r="BH265" s="34" t="n">
        <f aca="false">-BH$242-(BH$261-BG$261)+BH$257+IF(55=Fin,BH$258+BH$261+BH$223-BH$252,0)</f>
        <v>0</v>
      </c>
      <c r="BI265" s="34" t="n">
        <f aca="false">-BI$242-(BI$261-BH$261)+BI$257+IF(56=Fin,BI$258+BI$261+BI$223-BI$252,0)</f>
        <v>0</v>
      </c>
      <c r="BJ265" s="34" t="n">
        <f aca="false">-BJ$242-(BJ$261-BI$261)+BJ$257+IF(57=Fin,BJ$258+BJ$261+BJ$223-BJ$252,0)</f>
        <v>0</v>
      </c>
      <c r="BK265" s="34" t="n">
        <f aca="false">-BK$242-(BK$261-BJ$261)+BK$257+IF(58=Fin,BK$258+BK$261+BK$223-BK$252,0)</f>
        <v>0</v>
      </c>
      <c r="BL265" s="34" t="n">
        <f aca="false">-BL$242-(BL$261-BK$261)+BL$257+IF(59=Fin,BL$258+BL$261+BL$223-BL$252,0)</f>
        <v>0</v>
      </c>
      <c r="BM265" s="34" t="n">
        <f aca="false">-BM$242-(BM$261-BL$261)+BM$257+IF(60=Fin,BM$258+BM$261+BM$223-BM$252,0)</f>
        <v>0</v>
      </c>
      <c r="BN265" s="34" t="n">
        <f aca="false">-BN$242-(BN$261-BM$261)+BN$257+IF(61=Fin,BN$258+BN$261+BN$223-BN$252,0)</f>
        <v>0</v>
      </c>
      <c r="BO265" s="34" t="n">
        <f aca="false">-BO$242-(BO$261-BN$261)+BO$257+IF(62=Fin,BO$258+BO$261+BO$223-BO$252,0)</f>
        <v>0</v>
      </c>
      <c r="BP265" s="34" t="n">
        <f aca="false">-BP$242-(BP$261-BO$261)+BP$257+IF(63=Fin,BP$258+BP$261+BP$223-BP$252,0)</f>
        <v>0</v>
      </c>
      <c r="BQ265" s="34" t="n">
        <f aca="false">-BQ$242-(BQ$261-BP$261)+BQ$257+IF(64=Fin,BQ$258+BQ$261+BQ$223-BQ$252,0)</f>
        <v>1463926.54436822</v>
      </c>
      <c r="BR265" s="34" t="n">
        <f aca="false">-BR$242-(BR$261-BQ$261)+BR$257+IF(65=Fin,BR$258+BR$261+BR$223-BR$252,0)</f>
        <v>0</v>
      </c>
      <c r="BS265" s="34" t="n">
        <f aca="false">-BS$242-(BS$261-BR$261)+BS$257+IF(66=Fin,BS$258+BS$261+BS$223-BS$252,0)</f>
        <v>0</v>
      </c>
      <c r="BT265" s="34" t="n">
        <f aca="false">-BT$242-(BT$261-BS$261)+BT$257+IF(67=Fin,BT$258+BT$261+BT$223-BT$252,0)</f>
        <v>0</v>
      </c>
      <c r="BU265" s="34" t="n">
        <f aca="false">-BU$242-(BU$261-BT$261)+BU$257+IF(68=Fin,BU$258+BU$261+BU$223-BU$252,0)</f>
        <v>0</v>
      </c>
      <c r="BV265" s="34" t="n">
        <f aca="false">-BV$242-(BV$261-BU$261)+BV$257+IF(69=Fin,BV$258+BV$261+BV$223-BV$252,0)</f>
        <v>0</v>
      </c>
      <c r="BW265" s="34" t="n">
        <f aca="false">-BW$242-(BW$261-BV$261)+BW$257+IF(70=Fin,BW$258+BW$261+BW$223-BW$252,0)</f>
        <v>0</v>
      </c>
      <c r="BX265" s="34" t="n">
        <f aca="false">-BX$242-(BX$261-BW$261)+BX$257+IF(71=Fin,BX$258+BX$261+BX$223-BX$252,0)</f>
        <v>0</v>
      </c>
      <c r="BY265" s="34" t="n">
        <f aca="false">-BY$242-(BY$261-BX$261)+BY$257+IF(72=Fin,BY$258+BY$261+BY$223-BY$252,0)</f>
        <v>0</v>
      </c>
      <c r="BZ265" s="34" t="n">
        <f aca="false">-BZ$242-(BZ$261-BY$261)+BZ$257+IF(73=Fin,BZ$258+BZ$261+BZ$223-BZ$252,0)</f>
        <v>0</v>
      </c>
      <c r="CA265" s="34" t="n">
        <f aca="false">-CA$242-(CA$261-BZ$261)+CA$257+IF(74=Fin,CA$258+CA$261+CA$223-CA$252,0)</f>
        <v>0</v>
      </c>
      <c r="CB265" s="34" t="n">
        <f aca="false">-CB$242-(CB$261-CA$261)+CB$257+IF(75=Fin,CB$258+CB$261+CB$223-CB$252,0)</f>
        <v>0</v>
      </c>
      <c r="CC265" s="34" t="n">
        <f aca="false">-CC$242-(CC$261-CB$261)+CC$257+IF(76=Fin,CC$258+CC$261+CC$223-CC$252,0)</f>
        <v>1794188.69257391</v>
      </c>
      <c r="CD265" s="34" t="n">
        <f aca="false">-CD$242-(CD$261-CC$261)+CD$257+IF(77=Fin,CD$258+CD$261+CD$223-CD$252,0)</f>
        <v>0</v>
      </c>
      <c r="CE265" s="34" t="n">
        <f aca="false">-CE$242-(CE$261-CD$261)+CE$257+IF(78=Fin,CE$258+CE$261+CE$223-CE$252,0)</f>
        <v>0</v>
      </c>
      <c r="CF265" s="34" t="n">
        <f aca="false">-CF$242-(CF$261-CE$261)+CF$257+IF(79=Fin,CF$258+CF$261+CF$223-CF$252,0)</f>
        <v>0</v>
      </c>
      <c r="CG265" s="34" t="n">
        <f aca="false">-CG$242-(CG$261-CF$261)+CG$257+IF(80=Fin,CG$258+CG$261+CG$223-CG$252,0)</f>
        <v>0</v>
      </c>
      <c r="CH265" s="34" t="n">
        <f aca="false">-CH$242-(CH$261-CG$261)+CH$257+IF(81=Fin,CH$258+CH$261+CH$223-CH$252,0)</f>
        <v>0</v>
      </c>
      <c r="CI265" s="34" t="n">
        <f aca="false">-CI$242-(CI$261-CH$261)+CI$257+IF(82=Fin,CI$258+CI$261+CI$223-CI$252,0)</f>
        <v>0</v>
      </c>
      <c r="CJ265" s="34" t="n">
        <f aca="false">-CJ$242-(CJ$261-CI$261)+CJ$257+IF(83=Fin,CJ$258+CJ$261+CJ$223-CJ$252,0)</f>
        <v>0</v>
      </c>
      <c r="CK265" s="34" t="n">
        <f aca="false">-CK$242-(CK$261-CJ$261)+CK$257+IF(84=Fin,CK$258+CK$261+CK$223-CK$252,0)</f>
        <v>0</v>
      </c>
      <c r="CL265" s="34" t="n">
        <f aca="false">-CL$242-(CL$261-CK$261)+CL$257+IF(85=Fin,CL$258+CL$261+CL$223-CL$252,0)</f>
        <v>0</v>
      </c>
      <c r="CM265" s="34" t="n">
        <f aca="false">-CM$242-(CM$261-CL$261)+CM$257+IF(86=Fin,CM$258+CM$261+CM$223-CM$252,0)</f>
        <v>0</v>
      </c>
      <c r="CN265" s="34" t="n">
        <f aca="false">-CN$242-(CN$261-CM$261)+CN$257+IF(87=Fin,CN$258+CN$261+CN$223-CN$252,0)</f>
        <v>0</v>
      </c>
      <c r="CO265" s="34" t="n">
        <f aca="false">-CO$242-(CO$261-CN$261)+CO$257+IF(88=Fin,CO$258+CO$261+CO$223-CO$252,0)</f>
        <v>1843575.6608728</v>
      </c>
      <c r="CP265" s="34" t="n">
        <f aca="false">-CP$242-(CP$261-CO$261)+CP$257+IF(89=Fin,CP$258+CP$261+CP$223-CP$252,0)</f>
        <v>0</v>
      </c>
      <c r="CQ265" s="34" t="n">
        <f aca="false">-CQ$242-(CQ$261-CP$261)+CQ$257+IF(90=Fin,CQ$258+CQ$261+CQ$223-CQ$252,0)</f>
        <v>0</v>
      </c>
      <c r="CR265" s="34" t="n">
        <f aca="false">-CR$242-(CR$261-CQ$261)+CR$257+IF(91=Fin,CR$258+CR$261+CR$223-CR$252,0)</f>
        <v>0</v>
      </c>
      <c r="CS265" s="34" t="n">
        <f aca="false">-CS$242-(CS$261-CR$261)+CS$257+IF(92=Fin,CS$258+CS$261+CS$223-CS$252,0)</f>
        <v>0</v>
      </c>
      <c r="CT265" s="34" t="n">
        <f aca="false">-CT$242-(CT$261-CS$261)+CT$257+IF(93=Fin,CT$258+CT$261+CT$223-CT$252,0)</f>
        <v>0</v>
      </c>
      <c r="CU265" s="34" t="n">
        <f aca="false">-CU$242-(CU$261-CT$261)+CU$257+IF(94=Fin,CU$258+CU$261+CU$223-CU$252,0)</f>
        <v>0</v>
      </c>
      <c r="CV265" s="34" t="n">
        <f aca="false">-CV$242-(CV$261-CU$261)+CV$257+IF(95=Fin,CV$258+CV$261+CV$223-CV$252,0)</f>
        <v>0</v>
      </c>
      <c r="CW265" s="34" t="n">
        <f aca="false">-CW$242-(CW$261-CV$261)+CW$257+IF(96=Fin,CW$258+CW$261+CW$223-CW$252,0)</f>
        <v>0</v>
      </c>
      <c r="CX265" s="34" t="n">
        <f aca="false">-CX$242-(CX$261-CW$261)+CX$257+IF(97=Fin,CX$258+CX$261+CX$223-CX$252,0)</f>
        <v>0</v>
      </c>
      <c r="CY265" s="34" t="n">
        <f aca="false">-CY$242-(CY$261-CX$261)+CY$257+IF(98=Fin,CY$258+CY$261+CY$223-CY$252,0)</f>
        <v>0</v>
      </c>
      <c r="CZ265" s="34" t="n">
        <f aca="false">-CZ$242-(CZ$261-CY$261)+CZ$257+IF(99=Fin,CZ$258+CZ$261+CZ$223-CZ$252,0)</f>
        <v>0</v>
      </c>
      <c r="DA265" s="34" t="n">
        <f aca="false">-DA$242-(DA$261-CZ$261)+DA$257+IF(100=Fin,DA$258+DA$261+DA$223-DA$252,0)</f>
        <v>1893301.21355545</v>
      </c>
      <c r="DB265" s="34" t="n">
        <f aca="false">-DB$242-(DB$261-DA$261)+DB$257+IF(101=Fin,DB$258+DB$261+DB$223-DB$252,0)</f>
        <v>0</v>
      </c>
      <c r="DC265" s="34" t="n">
        <f aca="false">-DC$242-(DC$261-DB$261)+DC$257+IF(102=Fin,DC$258+DC$261+DC$223-DC$252,0)</f>
        <v>0</v>
      </c>
      <c r="DD265" s="34" t="n">
        <f aca="false">-DD$242-(DD$261-DC$261)+DD$257+IF(103=Fin,DD$258+DD$261+DD$223-DD$252,0)</f>
        <v>0</v>
      </c>
      <c r="DE265" s="34" t="n">
        <f aca="false">-DE$242-(DE$261-DD$261)+DE$257+IF(104=Fin,DE$258+DE$261+DE$223-DE$252,0)</f>
        <v>0</v>
      </c>
      <c r="DF265" s="34" t="n">
        <f aca="false">-DF$242-(DF$261-DE$261)+DF$257+IF(105=Fin,DF$258+DF$261+DF$223-DF$252,0)</f>
        <v>0</v>
      </c>
      <c r="DG265" s="34" t="n">
        <f aca="false">-DG$242-(DG$261-DF$261)+DG$257+IF(106=Fin,DG$258+DG$261+DG$223-DG$252,0)</f>
        <v>0</v>
      </c>
      <c r="DH265" s="34" t="n">
        <f aca="false">-DH$242-(DH$261-DG$261)+DH$257+IF(107=Fin,DH$258+DH$261+DH$223-DH$252,0)</f>
        <v>0</v>
      </c>
      <c r="DI265" s="34" t="n">
        <f aca="false">-DI$242-(DI$261-DH$261)+DI$257+IF(108=Fin,DI$258+DI$261+DI$223-DI$252,0)</f>
        <v>0</v>
      </c>
      <c r="DJ265" s="34" t="n">
        <f aca="false">-DJ$242-(DJ$261-DI$261)+DJ$257+IF(109=Fin,DJ$258+DJ$261+DJ$223-DJ$252,0)</f>
        <v>0</v>
      </c>
      <c r="DK265" s="34" t="n">
        <f aca="false">-DK$242-(DK$261-DJ$261)+DK$257+IF(110=Fin,DK$258+DK$261+DK$223-DK$252,0)</f>
        <v>0</v>
      </c>
      <c r="DL265" s="34" t="n">
        <f aca="false">-DL$242-(DL$261-DK$261)+DL$257+IF(111=Fin,DL$258+DL$261+DL$223-DL$252,0)</f>
        <v>0</v>
      </c>
      <c r="DM265" s="34" t="n">
        <f aca="false">-DM$242-(DM$261-DL$261)+DM$257+IF(112=Fin,DM$258+DM$261+DM$223-DM$252,0)</f>
        <v>1943364.14678689</v>
      </c>
      <c r="DN265" s="34" t="n">
        <f aca="false">-DN$242-(DN$261-DM$261)+DN$257+IF(113=Fin,DN$258+DN$261+DN$223-DN$252,0)</f>
        <v>0</v>
      </c>
      <c r="DO265" s="34" t="n">
        <f aca="false">-DO$242-(DO$261-DN$261)+DO$257+IF(114=Fin,DO$258+DO$261+DO$223-DO$252,0)</f>
        <v>0</v>
      </c>
      <c r="DP265" s="34" t="n">
        <f aca="false">-DP$242-(DP$261-DO$261)+DP$257+IF(115=Fin,DP$258+DP$261+DP$223-DP$252,0)</f>
        <v>0</v>
      </c>
      <c r="DQ265" s="34" t="n">
        <f aca="false">-DQ$242-(DQ$261-DP$261)+DQ$257+IF(116=Fin,DQ$258+DQ$261+DQ$223-DQ$252,0)</f>
        <v>0</v>
      </c>
      <c r="DR265" s="34" t="n">
        <f aca="false">-DR$242-(DR$261-DQ$261)+DR$257+IF(117=Fin,DR$258+DR$261+DR$223-DR$252,0)</f>
        <v>0</v>
      </c>
      <c r="DS265" s="34" t="n">
        <f aca="false">-DS$242-(DS$261-DR$261)+DS$257+IF(118=Fin,DS$258+DS$261+DS$223-DS$252,0)</f>
        <v>0</v>
      </c>
      <c r="DT265" s="34" t="n">
        <f aca="false">-DT$242-(DT$261-DS$261)+DT$257+IF(119=Fin,DT$258+DT$261+DT$223-DT$252,0)</f>
        <v>0</v>
      </c>
      <c r="DU265" s="34" t="n">
        <f aca="false">-DU$242-(DU$261-DT$261)+DU$257+IF(120=Fin,DU$258+DU$261+DU$223-DU$252,0)</f>
        <v>6147646.16149837</v>
      </c>
      <c r="DV265" s="34" t="n">
        <f aca="false">-DV$242-(DV$261-DU$261)+DV$257+IF(121=Fin,DV$258+DV$261+DV$223-DV$252,0)</f>
        <v>0</v>
      </c>
      <c r="DW265" s="34" t="n">
        <f aca="false">-DW$242-(DW$261-DV$261)+DW$257+IF(122=Fin,DW$258+DW$261+DW$223-DW$252,0)</f>
        <v>0</v>
      </c>
      <c r="DX265" s="34" t="n">
        <f aca="false">-DX$242-(DX$261-DW$261)+DX$257+IF(123=Fin,DX$258+DX$261+DX$223-DX$252,0)</f>
        <v>0</v>
      </c>
      <c r="DY265" s="34" t="n">
        <f aca="false">-DY$242-(DY$261-DX$261)+DY$257+IF(124=Fin,DY$258+DY$261+DY$223-DY$252,0)</f>
        <v>0</v>
      </c>
      <c r="DZ265" s="34" t="n">
        <f aca="false">-DZ$242-(DZ$261-DY$261)+DZ$257+IF(125=Fin,DZ$258+DZ$261+DZ$223-DZ$252,0)</f>
        <v>0</v>
      </c>
      <c r="EA265" s="34" t="n">
        <f aca="false">-EA$242-(EA$261-DZ$261)+EA$257+IF(126=Fin,EA$258+EA$261+EA$223-EA$252,0)</f>
        <v>0</v>
      </c>
      <c r="EB265" s="34" t="n">
        <f aca="false">-EB$242-(EB$261-EA$261)+EB$257+IF(127=Fin,EB$258+EB$261+EB$223-EB$252,0)</f>
        <v>0</v>
      </c>
      <c r="EC265" s="34" t="n">
        <f aca="false">-EC$242-(EC$261-EB$261)+EC$257+IF(128=Fin,EC$258+EC$261+EC$223-EC$252,0)</f>
        <v>0</v>
      </c>
      <c r="ED265" s="34" t="n">
        <f aca="false">-ED$242-(ED$261-EC$261)+ED$257+IF(129=Fin,ED$258+ED$261+ED$223-ED$252,0)</f>
        <v>0</v>
      </c>
      <c r="EE265" s="34" t="n">
        <f aca="false">-EE$242-(EE$261-ED$261)+EE$257+IF(130=Fin,EE$258+EE$261+EE$223-EE$252,0)</f>
        <v>0</v>
      </c>
      <c r="EF265" s="34" t="n">
        <f aca="false">-EF$242-(EF$261-EE$261)+EF$257+IF(131=Fin,EF$258+EF$261+EF$223-EF$252,0)</f>
        <v>0</v>
      </c>
      <c r="EG265" s="34" t="n">
        <f aca="false">-EG$242-(EG$261-EF$261)+EG$257+IF(132=Fin,EG$258+EG$261+EG$223-EG$252,0)</f>
        <v>0</v>
      </c>
      <c r="EH265" s="34" t="n">
        <f aca="false">-EH$242-(EH$261-EG$261)+EH$257+IF(133=Fin,EH$258+EH$261+EH$223-EH$252,0)</f>
        <v>0</v>
      </c>
      <c r="EI265" s="34" t="n">
        <f aca="false">-EI$242-(EI$261-EH$261)+EI$257+IF(134=Fin,EI$258+EI$261+EI$223-EI$252,0)</f>
        <v>0</v>
      </c>
      <c r="EJ265" s="34" t="n">
        <f aca="false">-EJ$242-(EJ$261-EI$261)+EJ$257+IF(135=Fin,EJ$258+EJ$261+EJ$223-EJ$252,0)</f>
        <v>0</v>
      </c>
      <c r="EK265" s="34" t="n">
        <f aca="false">-EK$242-(EK$261-EJ$261)+EK$257+IF(136=Fin,EK$258+EK$261+EK$223-EK$252,0)</f>
        <v>0</v>
      </c>
      <c r="EL265" s="34" t="n">
        <f aca="false">-EL$242-(EL$261-EK$261)+EL$257+IF(137=Fin,EL$258+EL$261+EL$223-EL$252,0)</f>
        <v>0</v>
      </c>
      <c r="EM265" s="34" t="n">
        <f aca="false">-EM$242-(EM$261-EL$261)+EM$257+IF(138=Fin,EM$258+EM$261+EM$223-EM$252,0)</f>
        <v>0</v>
      </c>
      <c r="EN265" s="34" t="n">
        <f aca="false">-EN$242-(EN$261-EM$261)+EN$257+IF(139=Fin,EN$258+EN$261+EN$223-EN$252,0)</f>
        <v>0</v>
      </c>
      <c r="EO265" s="34" t="n">
        <f aca="false">-EO$242-(EO$261-EN$261)+EO$257+IF(140=Fin,EO$258+EO$261+EO$223-EO$252,0)</f>
        <v>0</v>
      </c>
      <c r="EP265" s="34" t="n">
        <f aca="false">-EP$242-(EP$261-EO$261)+EP$257+IF(141=Fin,EP$258+EP$261+EP$223-EP$252,0)</f>
        <v>0</v>
      </c>
      <c r="EQ265" s="34" t="n">
        <f aca="false">-EQ$242-(EQ$261-EP$261)+EQ$257+IF(142=Fin,EQ$258+EQ$261+EQ$223-EQ$252,0)</f>
        <v>0</v>
      </c>
      <c r="ER265" s="34" t="n">
        <f aca="false">-ER$242-(ER$261-EQ$261)+ER$257+IF(143=Fin,ER$258+ER$261+ER$223-ER$252,0)</f>
        <v>0</v>
      </c>
      <c r="ES265" s="34" t="n">
        <f aca="false">-ES$242-(ES$261-ER$261)+ES$257+IF(144=Fin,ES$258+ES$261+ES$223-ES$252,0)</f>
        <v>0</v>
      </c>
    </row>
    <row r="266" customFormat="false" ht="15" hidden="false" customHeight="false" outlineLevel="0" collapsed="false">
      <c r="A266" s="2" t="s">
        <v>875</v>
      </c>
      <c r="B266" s="6" t="s">
        <v>753</v>
      </c>
      <c r="C266" s="6" t="s">
        <v>250</v>
      </c>
      <c r="E266" s="40" t="n">
        <f aca="false">INDEX(F266:ES266,1,MIN(144,Fin))</f>
        <v>15564459.926261</v>
      </c>
      <c r="F266" s="34" t="n">
        <f aca="false">0+F$224</f>
        <v>-3000610.47688344</v>
      </c>
      <c r="G266" s="34" t="n">
        <f aca="false">F$266+G$224</f>
        <v>-2958112.97640785</v>
      </c>
      <c r="H266" s="34" t="n">
        <f aca="false">G$266+H$224</f>
        <v>-2915615.47593226</v>
      </c>
      <c r="I266" s="34" t="n">
        <f aca="false">H$266+I$224</f>
        <v>-2873117.97545667</v>
      </c>
      <c r="J266" s="34" t="n">
        <f aca="false">I$266+J$224</f>
        <v>-2830620.47498108</v>
      </c>
      <c r="K266" s="34" t="n">
        <f aca="false">J$266+K$224</f>
        <v>-2788122.97450549</v>
      </c>
      <c r="L266" s="34" t="n">
        <f aca="false">K$266+L$224</f>
        <v>-2745625.4740299</v>
      </c>
      <c r="M266" s="34" t="n">
        <f aca="false">L$266+M$224</f>
        <v>-2703127.97355431</v>
      </c>
      <c r="N266" s="34" t="n">
        <f aca="false">M$266+N$224</f>
        <v>-2660630.47307872</v>
      </c>
      <c r="O266" s="34" t="n">
        <f aca="false">N$266+O$224</f>
        <v>-2618132.97260313</v>
      </c>
      <c r="P266" s="34" t="n">
        <f aca="false">O$266+P$224</f>
        <v>-2575635.47212754</v>
      </c>
      <c r="Q266" s="34" t="n">
        <f aca="false">P$266+Q$224</f>
        <v>-2533137.97165195</v>
      </c>
      <c r="R266" s="34" t="n">
        <f aca="false">Q$266+R$224</f>
        <v>-3207787.01305363</v>
      </c>
      <c r="S266" s="34" t="n">
        <f aca="false">R$266+S$224</f>
        <v>-3127290.61005967</v>
      </c>
      <c r="T266" s="34" t="n">
        <f aca="false">S$266+T$224</f>
        <v>-3046794.2070657</v>
      </c>
      <c r="U266" s="34" t="n">
        <f aca="false">T$266+U$224</f>
        <v>-2966297.80407174</v>
      </c>
      <c r="V266" s="34" t="n">
        <f aca="false">U$266+V$224</f>
        <v>-2885801.40107777</v>
      </c>
      <c r="W266" s="34" t="n">
        <f aca="false">V$266+W$224</f>
        <v>-2805304.99808381</v>
      </c>
      <c r="X266" s="34" t="n">
        <f aca="false">W$266+X$224</f>
        <v>-2724808.59508984</v>
      </c>
      <c r="Y266" s="34" t="n">
        <f aca="false">X$266+Y$224</f>
        <v>-2644312.19209588</v>
      </c>
      <c r="Z266" s="34" t="n">
        <f aca="false">Y$266+Z$224</f>
        <v>-2563815.78910191</v>
      </c>
      <c r="AA266" s="34" t="n">
        <f aca="false">Z$266+AA$224</f>
        <v>-2483319.38610795</v>
      </c>
      <c r="AB266" s="34" t="n">
        <f aca="false">AA$266+AB$224</f>
        <v>-2402822.98311398</v>
      </c>
      <c r="AC266" s="34" t="n">
        <f aca="false">AB$266+AC$224</f>
        <v>-2322326.58012002</v>
      </c>
      <c r="AD266" s="34" t="n">
        <f aca="false">AC$266+AD$224</f>
        <v>-2872568.47988732</v>
      </c>
      <c r="AE266" s="34" t="n">
        <f aca="false">AD$266+AE$224</f>
        <v>-2755483.44902219</v>
      </c>
      <c r="AF266" s="34" t="n">
        <f aca="false">AE$266+AF$224</f>
        <v>-2638398.41815707</v>
      </c>
      <c r="AG266" s="34" t="n">
        <f aca="false">AF$266+AG$224</f>
        <v>-2521313.38729194</v>
      </c>
      <c r="AH266" s="34" t="n">
        <f aca="false">AG$266+AH$224</f>
        <v>-2404228.35642682</v>
      </c>
      <c r="AI266" s="34" t="n">
        <f aca="false">AH$266+AI$224</f>
        <v>-2287143.32556169</v>
      </c>
      <c r="AJ266" s="34" t="n">
        <f aca="false">AI$266+AJ$224</f>
        <v>-2170058.29469657</v>
      </c>
      <c r="AK266" s="34" t="n">
        <f aca="false">AJ$266+AK$224</f>
        <v>-2052973.26383144</v>
      </c>
      <c r="AL266" s="34" t="n">
        <f aca="false">AK$266+AL$224</f>
        <v>-1935888.23296632</v>
      </c>
      <c r="AM266" s="34" t="n">
        <f aca="false">AL$266+AM$224</f>
        <v>-1818803.20210119</v>
      </c>
      <c r="AN266" s="34" t="n">
        <f aca="false">AM$266+AN$224</f>
        <v>-1701718.17123607</v>
      </c>
      <c r="AO266" s="34" t="n">
        <f aca="false">AN$266+AO$224</f>
        <v>-1584633.14037094</v>
      </c>
      <c r="AP266" s="34" t="n">
        <f aca="false">AO$266+AP$224</f>
        <v>-1993548.6304244</v>
      </c>
      <c r="AQ266" s="34" t="n">
        <f aca="false">AP$266+AQ$224</f>
        <v>-1843655.05054454</v>
      </c>
      <c r="AR266" s="34" t="n">
        <f aca="false">AQ$266+AR$224</f>
        <v>-1693761.47066468</v>
      </c>
      <c r="AS266" s="34" t="n">
        <f aca="false">AR$266+AS$224</f>
        <v>-1543867.89078482</v>
      </c>
      <c r="AT266" s="34" t="n">
        <f aca="false">AS$266+AT$224</f>
        <v>-1393974.31090497</v>
      </c>
      <c r="AU266" s="34" t="n">
        <f aca="false">AT$266+AU$224</f>
        <v>-1244080.73102511</v>
      </c>
      <c r="AV266" s="34" t="n">
        <f aca="false">AU$266+AV$224</f>
        <v>-1094187.15114525</v>
      </c>
      <c r="AW266" s="34" t="n">
        <f aca="false">AV$266+AW$224</f>
        <v>-944293.571265391</v>
      </c>
      <c r="AX266" s="34" t="n">
        <f aca="false">AW$266+AX$224</f>
        <v>-794399.991385533</v>
      </c>
      <c r="AY266" s="34" t="n">
        <f aca="false">AX$266+AY$224</f>
        <v>-644506.411505674</v>
      </c>
      <c r="AZ266" s="34" t="n">
        <f aca="false">AY$266+AZ$224</f>
        <v>-494612.831625816</v>
      </c>
      <c r="BA266" s="34" t="n">
        <f aca="false">AZ$266+BA$224</f>
        <v>-344719.251745958</v>
      </c>
      <c r="BB266" s="34" t="n">
        <f aca="false">BA$266+BB$224</f>
        <v>-231615.634575444</v>
      </c>
      <c r="BC266" s="34" t="n">
        <f aca="false">BB$266+BC$224</f>
        <v>-80402.4696990702</v>
      </c>
      <c r="BD266" s="34" t="n">
        <f aca="false">BC$266+BD$224</f>
        <v>70810.6951773035</v>
      </c>
      <c r="BE266" s="34" t="n">
        <f aca="false">BD$266+BE$224</f>
        <v>222023.860053677</v>
      </c>
      <c r="BF266" s="34" t="n">
        <f aca="false">BE$266+BF$224</f>
        <v>373237.024930051</v>
      </c>
      <c r="BG266" s="34" t="n">
        <f aca="false">BF$266+BG$224</f>
        <v>524450.189806425</v>
      </c>
      <c r="BH266" s="34" t="n">
        <f aca="false">BG$266+BH$224</f>
        <v>675663.354682798</v>
      </c>
      <c r="BI266" s="34" t="n">
        <f aca="false">BH$266+BI$224</f>
        <v>826876.519559172</v>
      </c>
      <c r="BJ266" s="34" t="n">
        <f aca="false">BI$266+BJ$224</f>
        <v>978089.684435546</v>
      </c>
      <c r="BK266" s="34" t="n">
        <f aca="false">BJ$266+BK$224</f>
        <v>1129302.84931192</v>
      </c>
      <c r="BL266" s="34" t="n">
        <f aca="false">BK$266+BL$224</f>
        <v>1280516.01418829</v>
      </c>
      <c r="BM266" s="34" t="n">
        <f aca="false">BL$266+BM$224</f>
        <v>1431729.17906467</v>
      </c>
      <c r="BN266" s="34" t="n">
        <f aca="false">BM$266+BN$224</f>
        <v>1549304.7643939</v>
      </c>
      <c r="BO266" s="34" t="n">
        <f aca="false">BN$266+BO$224</f>
        <v>1704605.20619172</v>
      </c>
      <c r="BP266" s="34" t="n">
        <f aca="false">BO$266+BP$224</f>
        <v>1859905.64798955</v>
      </c>
      <c r="BQ266" s="34" t="n">
        <f aca="false">BP$266+BQ$224</f>
        <v>2015206.08978738</v>
      </c>
      <c r="BR266" s="34" t="n">
        <f aca="false">BQ$266+BR$224</f>
        <v>2170506.5315852</v>
      </c>
      <c r="BS266" s="34" t="n">
        <f aca="false">BR$266+BS$224</f>
        <v>2325806.97338303</v>
      </c>
      <c r="BT266" s="34" t="n">
        <f aca="false">BS$266+BT$224</f>
        <v>2481107.41518085</v>
      </c>
      <c r="BU266" s="34" t="n">
        <f aca="false">BT$266+BU$224</f>
        <v>2636407.85697868</v>
      </c>
      <c r="BV266" s="34" t="n">
        <f aca="false">BU$266+BV$224</f>
        <v>2791708.29877651</v>
      </c>
      <c r="BW266" s="34" t="n">
        <f aca="false">BV$266+BW$224</f>
        <v>2947008.74057433</v>
      </c>
      <c r="BX266" s="34" t="n">
        <f aca="false">BW$266+BX$224</f>
        <v>3102309.18237216</v>
      </c>
      <c r="BY266" s="34" t="n">
        <f aca="false">BX$266+BY$224</f>
        <v>3257609.62416998</v>
      </c>
      <c r="BZ266" s="34" t="n">
        <f aca="false">BY$266+BZ$224</f>
        <v>3378935.7534346</v>
      </c>
      <c r="CA266" s="34" t="n">
        <f aca="false">BZ$266+CA$224</f>
        <v>3538351.775924</v>
      </c>
      <c r="CB266" s="34" t="n">
        <f aca="false">CA$266+CB$224</f>
        <v>3697767.7984134</v>
      </c>
      <c r="CC266" s="34" t="n">
        <f aca="false">CB$266+CC$224</f>
        <v>3857183.8209028</v>
      </c>
      <c r="CD266" s="34" t="n">
        <f aca="false">CC$266+CD$224</f>
        <v>4016599.8433922</v>
      </c>
      <c r="CE266" s="34" t="n">
        <f aca="false">CD$266+CE$224</f>
        <v>4176015.8658816</v>
      </c>
      <c r="CF266" s="34" t="n">
        <f aca="false">CE$266+CF$224</f>
        <v>4335431.888371</v>
      </c>
      <c r="CG266" s="34" t="n">
        <f aca="false">CF$266+CG$224</f>
        <v>4494847.9108604</v>
      </c>
      <c r="CH266" s="34" t="n">
        <f aca="false">CG$266+CH$224</f>
        <v>4654263.9333498</v>
      </c>
      <c r="CI266" s="34" t="n">
        <f aca="false">CH$266+CI$224</f>
        <v>4813679.9558392</v>
      </c>
      <c r="CJ266" s="34" t="n">
        <f aca="false">CI$266+CJ$224</f>
        <v>4973095.9783286</v>
      </c>
      <c r="CK266" s="34" t="n">
        <f aca="false">CJ$266+CK$224</f>
        <v>5132512.000818</v>
      </c>
      <c r="CL266" s="34" t="n">
        <f aca="false">CK$266+CL$224</f>
        <v>5257613.60166977</v>
      </c>
      <c r="CM266" s="34" t="n">
        <f aca="false">CL$266+CM$224</f>
        <v>5421173.42021606</v>
      </c>
      <c r="CN266" s="34" t="n">
        <f aca="false">CM$266+CN$224</f>
        <v>5584733.23876234</v>
      </c>
      <c r="CO266" s="34" t="n">
        <f aca="false">CN$266+CO$224</f>
        <v>5748293.05730863</v>
      </c>
      <c r="CP266" s="34" t="n">
        <f aca="false">CO$266+CP$224</f>
        <v>5911852.87585492</v>
      </c>
      <c r="CQ266" s="34" t="n">
        <f aca="false">CP$266+CQ$224</f>
        <v>6075412.69440121</v>
      </c>
      <c r="CR266" s="34" t="n">
        <f aca="false">CQ$266+CR$224</f>
        <v>6238972.51294749</v>
      </c>
      <c r="CS266" s="34" t="n">
        <f aca="false">CR$266+CS$224</f>
        <v>6402532.33149378</v>
      </c>
      <c r="CT266" s="34" t="n">
        <f aca="false">CS$266+CT$224</f>
        <v>6566092.15004007</v>
      </c>
      <c r="CU266" s="34" t="n">
        <f aca="false">CT$266+CU$224</f>
        <v>6729651.96858636</v>
      </c>
      <c r="CV266" s="34" t="n">
        <f aca="false">CU$266+CV$224</f>
        <v>6893211.78713264</v>
      </c>
      <c r="CW266" s="34" t="n">
        <f aca="false">CV$266+CW$224</f>
        <v>7056771.60567893</v>
      </c>
      <c r="CX266" s="34" t="n">
        <f aca="false">CW$266+CX$224</f>
        <v>7185673.4833785</v>
      </c>
      <c r="CY266" s="34" t="n">
        <f aca="false">CX$266+CY$224</f>
        <v>7353405.21302741</v>
      </c>
      <c r="CZ266" s="34" t="n">
        <f aca="false">CY$266+CZ$224</f>
        <v>7521136.94267632</v>
      </c>
      <c r="DA266" s="34" t="n">
        <f aca="false">CZ$266+DA$224</f>
        <v>7688868.67232523</v>
      </c>
      <c r="DB266" s="34" t="n">
        <f aca="false">DA$266+DB$224</f>
        <v>7856600.40197413</v>
      </c>
      <c r="DC266" s="34" t="n">
        <f aca="false">DB$266+DC$224</f>
        <v>8024332.13162304</v>
      </c>
      <c r="DD266" s="34" t="n">
        <f aca="false">DC$266+DD$224</f>
        <v>8192063.86127195</v>
      </c>
      <c r="DE266" s="34" t="n">
        <f aca="false">DD$266+DE$224</f>
        <v>8359795.59092086</v>
      </c>
      <c r="DF266" s="34" t="n">
        <f aca="false">DE$266+DF$224</f>
        <v>8527527.32056977</v>
      </c>
      <c r="DG266" s="34" t="n">
        <f aca="false">DF$266+DG$224</f>
        <v>8695259.05021867</v>
      </c>
      <c r="DH266" s="34" t="n">
        <f aca="false">DG$266+DH$224</f>
        <v>8862990.77986758</v>
      </c>
      <c r="DI266" s="34" t="n">
        <f aca="false">DH$266+DI$224</f>
        <v>9030722.50951649</v>
      </c>
      <c r="DJ266" s="34" t="n">
        <f aca="false">DI$266+DJ$224</f>
        <v>9163449.33467279</v>
      </c>
      <c r="DK266" s="34" t="n">
        <f aca="false">DJ$266+DK$224</f>
        <v>9335380.97778788</v>
      </c>
      <c r="DL266" s="34" t="n">
        <f aca="false">DK$266+DL$224</f>
        <v>9507312.62090297</v>
      </c>
      <c r="DM266" s="34" t="n">
        <f aca="false">DL$266+DM$224</f>
        <v>9679244.26401805</v>
      </c>
      <c r="DN266" s="34" t="n">
        <f aca="false">DM$266+DN$224</f>
        <v>9851175.90713314</v>
      </c>
      <c r="DO266" s="34" t="n">
        <f aca="false">DN$266+DO$224</f>
        <v>10023107.5502482</v>
      </c>
      <c r="DP266" s="34" t="n">
        <f aca="false">DO$266+DP$224</f>
        <v>10195039.1933633</v>
      </c>
      <c r="DQ266" s="34" t="n">
        <f aca="false">DP$266+DQ$224</f>
        <v>10366970.8364784</v>
      </c>
      <c r="DR266" s="34" t="n">
        <f aca="false">DQ$266+DR$224</f>
        <v>10538902.4795935</v>
      </c>
      <c r="DS266" s="34" t="n">
        <f aca="false">DR$266+DS$224</f>
        <v>10710834.1227086</v>
      </c>
      <c r="DT266" s="34" t="n">
        <f aca="false">DS$266+DT$224</f>
        <v>10882765.7658237</v>
      </c>
      <c r="DU266" s="34" t="n">
        <f aca="false">DT$266+DU$224</f>
        <v>15564459.926261</v>
      </c>
      <c r="DV266" s="34" t="n">
        <f aca="false">DU$266+DV$224</f>
        <v>15564459.926261</v>
      </c>
      <c r="DW266" s="34" t="n">
        <f aca="false">DV$266+DW$224</f>
        <v>15564459.926261</v>
      </c>
      <c r="DX266" s="34" t="n">
        <f aca="false">DW$266+DX$224</f>
        <v>15564459.926261</v>
      </c>
      <c r="DY266" s="34" t="n">
        <f aca="false">DX$266+DY$224</f>
        <v>15564459.926261</v>
      </c>
      <c r="DZ266" s="34" t="n">
        <f aca="false">DY$266+DZ$224</f>
        <v>15564459.926261</v>
      </c>
      <c r="EA266" s="34" t="n">
        <f aca="false">DZ$266+EA$224</f>
        <v>15564459.926261</v>
      </c>
      <c r="EB266" s="34" t="n">
        <f aca="false">EA$266+EB$224</f>
        <v>15564459.926261</v>
      </c>
      <c r="EC266" s="34" t="n">
        <f aca="false">EB$266+EC$224</f>
        <v>15564459.926261</v>
      </c>
      <c r="ED266" s="34" t="n">
        <f aca="false">EC$266+ED$224</f>
        <v>15564459.926261</v>
      </c>
      <c r="EE266" s="34" t="n">
        <f aca="false">ED$266+EE$224</f>
        <v>15564459.926261</v>
      </c>
      <c r="EF266" s="34" t="n">
        <f aca="false">EE$266+EF$224</f>
        <v>15564459.926261</v>
      </c>
      <c r="EG266" s="34" t="n">
        <f aca="false">EF$266+EG$224</f>
        <v>15564459.926261</v>
      </c>
      <c r="EH266" s="34" t="n">
        <f aca="false">EG$266+EH$224</f>
        <v>15564459.926261</v>
      </c>
      <c r="EI266" s="34" t="n">
        <f aca="false">EH$266+EI$224</f>
        <v>15564459.926261</v>
      </c>
      <c r="EJ266" s="34" t="n">
        <f aca="false">EI$266+EJ$224</f>
        <v>15564459.926261</v>
      </c>
      <c r="EK266" s="34" t="n">
        <f aca="false">EJ$266+EK$224</f>
        <v>15564459.926261</v>
      </c>
      <c r="EL266" s="34" t="n">
        <f aca="false">EK$266+EL$224</f>
        <v>15564459.926261</v>
      </c>
      <c r="EM266" s="34" t="n">
        <f aca="false">EL$266+EM$224</f>
        <v>15564459.926261</v>
      </c>
      <c r="EN266" s="34" t="n">
        <f aca="false">EM$266+EN$224</f>
        <v>15564459.926261</v>
      </c>
      <c r="EO266" s="34" t="n">
        <f aca="false">EN$266+EO$224</f>
        <v>15564459.926261</v>
      </c>
      <c r="EP266" s="34" t="n">
        <f aca="false">EO$266+EP$224</f>
        <v>15564459.926261</v>
      </c>
      <c r="EQ266" s="34" t="n">
        <f aca="false">EP$266+EQ$224</f>
        <v>15564459.926261</v>
      </c>
      <c r="ER266" s="34" t="n">
        <f aca="false">EQ$266+ER$224</f>
        <v>15564459.926261</v>
      </c>
      <c r="ES266" s="34" t="n">
        <f aca="false">ER$266+ES$224</f>
        <v>15564459.926261</v>
      </c>
    </row>
    <row r="267" customFormat="false" ht="15" hidden="false" customHeight="false" outlineLevel="0" collapsed="false">
      <c r="A267" s="2" t="s">
        <v>876</v>
      </c>
      <c r="B267" s="6" t="s">
        <v>755</v>
      </c>
      <c r="C267" s="6" t="s">
        <v>101</v>
      </c>
      <c r="E267" s="53" t="n">
        <f aca="false">MAX(F267:ES267)</f>
        <v>49.5317160695949</v>
      </c>
      <c r="F267" s="36" t="n">
        <f aca="false">0</f>
        <v>0</v>
      </c>
      <c r="G267" s="36" t="n">
        <f aca="false">IF(AND(F$266&lt;0,G$266&gt;=0),0+(-F$266)/G$224,0)</f>
        <v>0</v>
      </c>
      <c r="H267" s="36" t="n">
        <f aca="false">IF(AND(G$266&lt;0,H$266&gt;=0),1+(-G$266)/H$224,0)</f>
        <v>0</v>
      </c>
      <c r="I267" s="36" t="n">
        <f aca="false">IF(AND(H$266&lt;0,I$266&gt;=0),2+(-H$266)/I$224,0)</f>
        <v>0</v>
      </c>
      <c r="J267" s="36" t="n">
        <f aca="false">IF(AND(I$266&lt;0,J$266&gt;=0),3+(-I$266)/J$224,0)</f>
        <v>0</v>
      </c>
      <c r="K267" s="36" t="n">
        <f aca="false">IF(AND(J$266&lt;0,K$266&gt;=0),4+(-J$266)/K$224,0)</f>
        <v>0</v>
      </c>
      <c r="L267" s="36" t="n">
        <f aca="false">IF(AND(K$266&lt;0,L$266&gt;=0),5+(-K$266)/L$224,0)</f>
        <v>0</v>
      </c>
      <c r="M267" s="36" t="n">
        <f aca="false">IF(AND(L$266&lt;0,M$266&gt;=0),6+(-L$266)/M$224,0)</f>
        <v>0</v>
      </c>
      <c r="N267" s="36" t="n">
        <f aca="false">IF(AND(M$266&lt;0,N$266&gt;=0),7+(-M$266)/N$224,0)</f>
        <v>0</v>
      </c>
      <c r="O267" s="36" t="n">
        <f aca="false">IF(AND(N$266&lt;0,O$266&gt;=0),8+(-N$266)/O$224,0)</f>
        <v>0</v>
      </c>
      <c r="P267" s="36" t="n">
        <f aca="false">IF(AND(O$266&lt;0,P$266&gt;=0),9+(-O$266)/P$224,0)</f>
        <v>0</v>
      </c>
      <c r="Q267" s="36" t="n">
        <f aca="false">IF(AND(P$266&lt;0,Q$266&gt;=0),10+(-P$266)/Q$224,0)</f>
        <v>0</v>
      </c>
      <c r="R267" s="36" t="n">
        <f aca="false">IF(AND(Q$266&lt;0,R$266&gt;=0),11+(-Q$266)/R$224,0)</f>
        <v>0</v>
      </c>
      <c r="S267" s="36" t="n">
        <f aca="false">IF(AND(R$266&lt;0,S$266&gt;=0),12+(-R$266)/S$224,0)</f>
        <v>0</v>
      </c>
      <c r="T267" s="36" t="n">
        <f aca="false">IF(AND(S$266&lt;0,T$266&gt;=0),13+(-S$266)/T$224,0)</f>
        <v>0</v>
      </c>
      <c r="U267" s="36" t="n">
        <f aca="false">IF(AND(T$266&lt;0,U$266&gt;=0),14+(-T$266)/U$224,0)</f>
        <v>0</v>
      </c>
      <c r="V267" s="36" t="n">
        <f aca="false">IF(AND(U$266&lt;0,V$266&gt;=0),15+(-U$266)/V$224,0)</f>
        <v>0</v>
      </c>
      <c r="W267" s="36" t="n">
        <f aca="false">IF(AND(V$266&lt;0,W$266&gt;=0),16+(-V$266)/W$224,0)</f>
        <v>0</v>
      </c>
      <c r="X267" s="36" t="n">
        <f aca="false">IF(AND(W$266&lt;0,X$266&gt;=0),17+(-W$266)/X$224,0)</f>
        <v>0</v>
      </c>
      <c r="Y267" s="36" t="n">
        <f aca="false">IF(AND(X$266&lt;0,Y$266&gt;=0),18+(-X$266)/Y$224,0)</f>
        <v>0</v>
      </c>
      <c r="Z267" s="36" t="n">
        <f aca="false">IF(AND(Y$266&lt;0,Z$266&gt;=0),19+(-Y$266)/Z$224,0)</f>
        <v>0</v>
      </c>
      <c r="AA267" s="36" t="n">
        <f aca="false">IF(AND(Z$266&lt;0,AA$266&gt;=0),20+(-Z$266)/AA$224,0)</f>
        <v>0</v>
      </c>
      <c r="AB267" s="36" t="n">
        <f aca="false">IF(AND(AA$266&lt;0,AB$266&gt;=0),21+(-AA$266)/AB$224,0)</f>
        <v>0</v>
      </c>
      <c r="AC267" s="36" t="n">
        <f aca="false">IF(AND(AB$266&lt;0,AC$266&gt;=0),22+(-AB$266)/AC$224,0)</f>
        <v>0</v>
      </c>
      <c r="AD267" s="36" t="n">
        <f aca="false">IF(AND(AC$266&lt;0,AD$266&gt;=0),23+(-AC$266)/AD$224,0)</f>
        <v>0</v>
      </c>
      <c r="AE267" s="36" t="n">
        <f aca="false">IF(AND(AD$266&lt;0,AE$266&gt;=0),24+(-AD$266)/AE$224,0)</f>
        <v>0</v>
      </c>
      <c r="AF267" s="36" t="n">
        <f aca="false">IF(AND(AE$266&lt;0,AF$266&gt;=0),25+(-AE$266)/AF$224,0)</f>
        <v>0</v>
      </c>
      <c r="AG267" s="36" t="n">
        <f aca="false">IF(AND(AF$266&lt;0,AG$266&gt;=0),26+(-AF$266)/AG$224,0)</f>
        <v>0</v>
      </c>
      <c r="AH267" s="36" t="n">
        <f aca="false">IF(AND(AG$266&lt;0,AH$266&gt;=0),27+(-AG$266)/AH$224,0)</f>
        <v>0</v>
      </c>
      <c r="AI267" s="36" t="n">
        <f aca="false">IF(AND(AH$266&lt;0,AI$266&gt;=0),28+(-AH$266)/AI$224,0)</f>
        <v>0</v>
      </c>
      <c r="AJ267" s="36" t="n">
        <f aca="false">IF(AND(AI$266&lt;0,AJ$266&gt;=0),29+(-AI$266)/AJ$224,0)</f>
        <v>0</v>
      </c>
      <c r="AK267" s="36" t="n">
        <f aca="false">IF(AND(AJ$266&lt;0,AK$266&gt;=0),30+(-AJ$266)/AK$224,0)</f>
        <v>0</v>
      </c>
      <c r="AL267" s="36" t="n">
        <f aca="false">IF(AND(AK$266&lt;0,AL$266&gt;=0),31+(-AK$266)/AL$224,0)</f>
        <v>0</v>
      </c>
      <c r="AM267" s="36" t="n">
        <f aca="false">IF(AND(AL$266&lt;0,AM$266&gt;=0),32+(-AL$266)/AM$224,0)</f>
        <v>0</v>
      </c>
      <c r="AN267" s="36" t="n">
        <f aca="false">IF(AND(AM$266&lt;0,AN$266&gt;=0),33+(-AM$266)/AN$224,0)</f>
        <v>0</v>
      </c>
      <c r="AO267" s="36" t="n">
        <f aca="false">IF(AND(AN$266&lt;0,AO$266&gt;=0),34+(-AN$266)/AO$224,0)</f>
        <v>0</v>
      </c>
      <c r="AP267" s="36" t="n">
        <f aca="false">IF(AND(AO$266&lt;0,AP$266&gt;=0),35+(-AO$266)/AP$224,0)</f>
        <v>0</v>
      </c>
      <c r="AQ267" s="36" t="n">
        <f aca="false">IF(AND(AP$266&lt;0,AQ$266&gt;=0),36+(-AP$266)/AQ$224,0)</f>
        <v>0</v>
      </c>
      <c r="AR267" s="36" t="n">
        <f aca="false">IF(AND(AQ$266&lt;0,AR$266&gt;=0),37+(-AQ$266)/AR$224,0)</f>
        <v>0</v>
      </c>
      <c r="AS267" s="36" t="n">
        <f aca="false">IF(AND(AR$266&lt;0,AS$266&gt;=0),38+(-AR$266)/AS$224,0)</f>
        <v>0</v>
      </c>
      <c r="AT267" s="36" t="n">
        <f aca="false">IF(AND(AS$266&lt;0,AT$266&gt;=0),39+(-AS$266)/AT$224,0)</f>
        <v>0</v>
      </c>
      <c r="AU267" s="36" t="n">
        <f aca="false">IF(AND(AT$266&lt;0,AU$266&gt;=0),40+(-AT$266)/AU$224,0)</f>
        <v>0</v>
      </c>
      <c r="AV267" s="36" t="n">
        <f aca="false">IF(AND(AU$266&lt;0,AV$266&gt;=0),41+(-AU$266)/AV$224,0)</f>
        <v>0</v>
      </c>
      <c r="AW267" s="36" t="n">
        <f aca="false">IF(AND(AV$266&lt;0,AW$266&gt;=0),42+(-AV$266)/AW$224,0)</f>
        <v>0</v>
      </c>
      <c r="AX267" s="36" t="n">
        <f aca="false">IF(AND(AW$266&lt;0,AX$266&gt;=0),43+(-AW$266)/AX$224,0)</f>
        <v>0</v>
      </c>
      <c r="AY267" s="36" t="n">
        <f aca="false">IF(AND(AX$266&lt;0,AY$266&gt;=0),44+(-AX$266)/AY$224,0)</f>
        <v>0</v>
      </c>
      <c r="AZ267" s="36" t="n">
        <f aca="false">IF(AND(AY$266&lt;0,AZ$266&gt;=0),45+(-AY$266)/AZ$224,0)</f>
        <v>0</v>
      </c>
      <c r="BA267" s="36" t="n">
        <f aca="false">IF(AND(AZ$266&lt;0,BA$266&gt;=0),46+(-AZ$266)/BA$224,0)</f>
        <v>0</v>
      </c>
      <c r="BB267" s="36" t="n">
        <f aca="false">IF(AND(BA$266&lt;0,BB$266&gt;=0),47+(-BA$266)/BB$224,0)</f>
        <v>0</v>
      </c>
      <c r="BC267" s="36" t="n">
        <f aca="false">IF(AND(BB$266&lt;0,BC$266&gt;=0),48+(-BB$266)/BC$224,0)</f>
        <v>0</v>
      </c>
      <c r="BD267" s="36" t="n">
        <f aca="false">IF(AND(BC$266&lt;0,BD$266&gt;=0),49+(-BC$266)/BD$224,0)</f>
        <v>49.5317160695949</v>
      </c>
      <c r="BE267" s="36" t="n">
        <f aca="false">IF(AND(BD$266&lt;0,BE$266&gt;=0),50+(-BD$266)/BE$224,0)</f>
        <v>0</v>
      </c>
      <c r="BF267" s="36" t="n">
        <f aca="false">IF(AND(BE$266&lt;0,BF$266&gt;=0),51+(-BE$266)/BF$224,0)</f>
        <v>0</v>
      </c>
      <c r="BG267" s="36" t="n">
        <f aca="false">IF(AND(BF$266&lt;0,BG$266&gt;=0),52+(-BF$266)/BG$224,0)</f>
        <v>0</v>
      </c>
      <c r="BH267" s="36" t="n">
        <f aca="false">IF(AND(BG$266&lt;0,BH$266&gt;=0),53+(-BG$266)/BH$224,0)</f>
        <v>0</v>
      </c>
      <c r="BI267" s="36" t="n">
        <f aca="false">IF(AND(BH$266&lt;0,BI$266&gt;=0),54+(-BH$266)/BI$224,0)</f>
        <v>0</v>
      </c>
      <c r="BJ267" s="36" t="n">
        <f aca="false">IF(AND(BI$266&lt;0,BJ$266&gt;=0),55+(-BI$266)/BJ$224,0)</f>
        <v>0</v>
      </c>
      <c r="BK267" s="36" t="n">
        <f aca="false">IF(AND(BJ$266&lt;0,BK$266&gt;=0),56+(-BJ$266)/BK$224,0)</f>
        <v>0</v>
      </c>
      <c r="BL267" s="36" t="n">
        <f aca="false">IF(AND(BK$266&lt;0,BL$266&gt;=0),57+(-BK$266)/BL$224,0)</f>
        <v>0</v>
      </c>
      <c r="BM267" s="36" t="n">
        <f aca="false">IF(AND(BL$266&lt;0,BM$266&gt;=0),58+(-BL$266)/BM$224,0)</f>
        <v>0</v>
      </c>
      <c r="BN267" s="36" t="n">
        <f aca="false">IF(AND(BM$266&lt;0,BN$266&gt;=0),59+(-BM$266)/BN$224,0)</f>
        <v>0</v>
      </c>
      <c r="BO267" s="36" t="n">
        <f aca="false">IF(AND(BN$266&lt;0,BO$266&gt;=0),60+(-BN$266)/BO$224,0)</f>
        <v>0</v>
      </c>
      <c r="BP267" s="36" t="n">
        <f aca="false">IF(AND(BO$266&lt;0,BP$266&gt;=0),61+(-BO$266)/BP$224,0)</f>
        <v>0</v>
      </c>
      <c r="BQ267" s="36" t="n">
        <f aca="false">IF(AND(BP$266&lt;0,BQ$266&gt;=0),62+(-BP$266)/BQ$224,0)</f>
        <v>0</v>
      </c>
      <c r="BR267" s="36" t="n">
        <f aca="false">IF(AND(BQ$266&lt;0,BR$266&gt;=0),63+(-BQ$266)/BR$224,0)</f>
        <v>0</v>
      </c>
      <c r="BS267" s="36" t="n">
        <f aca="false">IF(AND(BR$266&lt;0,BS$266&gt;=0),64+(-BR$266)/BS$224,0)</f>
        <v>0</v>
      </c>
      <c r="BT267" s="36" t="n">
        <f aca="false">IF(AND(BS$266&lt;0,BT$266&gt;=0),65+(-BS$266)/BT$224,0)</f>
        <v>0</v>
      </c>
      <c r="BU267" s="36" t="n">
        <f aca="false">IF(AND(BT$266&lt;0,BU$266&gt;=0),66+(-BT$266)/BU$224,0)</f>
        <v>0</v>
      </c>
      <c r="BV267" s="36" t="n">
        <f aca="false">IF(AND(BU$266&lt;0,BV$266&gt;=0),67+(-BU$266)/BV$224,0)</f>
        <v>0</v>
      </c>
      <c r="BW267" s="36" t="n">
        <f aca="false">IF(AND(BV$266&lt;0,BW$266&gt;=0),68+(-BV$266)/BW$224,0)</f>
        <v>0</v>
      </c>
      <c r="BX267" s="36" t="n">
        <f aca="false">IF(AND(BW$266&lt;0,BX$266&gt;=0),69+(-BW$266)/BX$224,0)</f>
        <v>0</v>
      </c>
      <c r="BY267" s="36" t="n">
        <f aca="false">IF(AND(BX$266&lt;0,BY$266&gt;=0),70+(-BX$266)/BY$224,0)</f>
        <v>0</v>
      </c>
      <c r="BZ267" s="36" t="n">
        <f aca="false">IF(AND(BY$266&lt;0,BZ$266&gt;=0),71+(-BY$266)/BZ$224,0)</f>
        <v>0</v>
      </c>
      <c r="CA267" s="36" t="n">
        <f aca="false">IF(AND(BZ$266&lt;0,CA$266&gt;=0),72+(-BZ$266)/CA$224,0)</f>
        <v>0</v>
      </c>
      <c r="CB267" s="36" t="n">
        <f aca="false">IF(AND(CA$266&lt;0,CB$266&gt;=0),73+(-CA$266)/CB$224,0)</f>
        <v>0</v>
      </c>
      <c r="CC267" s="36" t="n">
        <f aca="false">IF(AND(CB$266&lt;0,CC$266&gt;=0),74+(-CB$266)/CC$224,0)</f>
        <v>0</v>
      </c>
      <c r="CD267" s="36" t="n">
        <f aca="false">IF(AND(CC$266&lt;0,CD$266&gt;=0),75+(-CC$266)/CD$224,0)</f>
        <v>0</v>
      </c>
      <c r="CE267" s="36" t="n">
        <f aca="false">IF(AND(CD$266&lt;0,CE$266&gt;=0),76+(-CD$266)/CE$224,0)</f>
        <v>0</v>
      </c>
      <c r="CF267" s="36" t="n">
        <f aca="false">IF(AND(CE$266&lt;0,CF$266&gt;=0),77+(-CE$266)/CF$224,0)</f>
        <v>0</v>
      </c>
      <c r="CG267" s="36" t="n">
        <f aca="false">IF(AND(CF$266&lt;0,CG$266&gt;=0),78+(-CF$266)/CG$224,0)</f>
        <v>0</v>
      </c>
      <c r="CH267" s="36" t="n">
        <f aca="false">IF(AND(CG$266&lt;0,CH$266&gt;=0),79+(-CG$266)/CH$224,0)</f>
        <v>0</v>
      </c>
      <c r="CI267" s="36" t="n">
        <f aca="false">IF(AND(CH$266&lt;0,CI$266&gt;=0),80+(-CH$266)/CI$224,0)</f>
        <v>0</v>
      </c>
      <c r="CJ267" s="36" t="n">
        <f aca="false">IF(AND(CI$266&lt;0,CJ$266&gt;=0),81+(-CI$266)/CJ$224,0)</f>
        <v>0</v>
      </c>
      <c r="CK267" s="36" t="n">
        <f aca="false">IF(AND(CJ$266&lt;0,CK$266&gt;=0),82+(-CJ$266)/CK$224,0)</f>
        <v>0</v>
      </c>
      <c r="CL267" s="36" t="n">
        <f aca="false">IF(AND(CK$266&lt;0,CL$266&gt;=0),83+(-CK$266)/CL$224,0)</f>
        <v>0</v>
      </c>
      <c r="CM267" s="36" t="n">
        <f aca="false">IF(AND(CL$266&lt;0,CM$266&gt;=0),84+(-CL$266)/CM$224,0)</f>
        <v>0</v>
      </c>
      <c r="CN267" s="36" t="n">
        <f aca="false">IF(AND(CM$266&lt;0,CN$266&gt;=0),85+(-CM$266)/CN$224,0)</f>
        <v>0</v>
      </c>
      <c r="CO267" s="36" t="n">
        <f aca="false">IF(AND(CN$266&lt;0,CO$266&gt;=0),86+(-CN$266)/CO$224,0)</f>
        <v>0</v>
      </c>
      <c r="CP267" s="36" t="n">
        <f aca="false">IF(AND(CO$266&lt;0,CP$266&gt;=0),87+(-CO$266)/CP$224,0)</f>
        <v>0</v>
      </c>
      <c r="CQ267" s="36" t="n">
        <f aca="false">IF(AND(CP$266&lt;0,CQ$266&gt;=0),88+(-CP$266)/CQ$224,0)</f>
        <v>0</v>
      </c>
      <c r="CR267" s="36" t="n">
        <f aca="false">IF(AND(CQ$266&lt;0,CR$266&gt;=0),89+(-CQ$266)/CR$224,0)</f>
        <v>0</v>
      </c>
      <c r="CS267" s="36" t="n">
        <f aca="false">IF(AND(CR$266&lt;0,CS$266&gt;=0),90+(-CR$266)/CS$224,0)</f>
        <v>0</v>
      </c>
      <c r="CT267" s="36" t="n">
        <f aca="false">IF(AND(CS$266&lt;0,CT$266&gt;=0),91+(-CS$266)/CT$224,0)</f>
        <v>0</v>
      </c>
      <c r="CU267" s="36" t="n">
        <f aca="false">IF(AND(CT$266&lt;0,CU$266&gt;=0),92+(-CT$266)/CU$224,0)</f>
        <v>0</v>
      </c>
      <c r="CV267" s="36" t="n">
        <f aca="false">IF(AND(CU$266&lt;0,CV$266&gt;=0),93+(-CU$266)/CV$224,0)</f>
        <v>0</v>
      </c>
      <c r="CW267" s="36" t="n">
        <f aca="false">IF(AND(CV$266&lt;0,CW$266&gt;=0),94+(-CV$266)/CW$224,0)</f>
        <v>0</v>
      </c>
      <c r="CX267" s="36" t="n">
        <f aca="false">IF(AND(CW$266&lt;0,CX$266&gt;=0),95+(-CW$266)/CX$224,0)</f>
        <v>0</v>
      </c>
      <c r="CY267" s="36" t="n">
        <f aca="false">IF(AND(CX$266&lt;0,CY$266&gt;=0),96+(-CX$266)/CY$224,0)</f>
        <v>0</v>
      </c>
      <c r="CZ267" s="36" t="n">
        <f aca="false">IF(AND(CY$266&lt;0,CZ$266&gt;=0),97+(-CY$266)/CZ$224,0)</f>
        <v>0</v>
      </c>
      <c r="DA267" s="36" t="n">
        <f aca="false">IF(AND(CZ$266&lt;0,DA$266&gt;=0),98+(-CZ$266)/DA$224,0)</f>
        <v>0</v>
      </c>
      <c r="DB267" s="36" t="n">
        <f aca="false">IF(AND(DA$266&lt;0,DB$266&gt;=0),99+(-DA$266)/DB$224,0)</f>
        <v>0</v>
      </c>
      <c r="DC267" s="36" t="n">
        <f aca="false">IF(AND(DB$266&lt;0,DC$266&gt;=0),100+(-DB$266)/DC$224,0)</f>
        <v>0</v>
      </c>
      <c r="DD267" s="36" t="n">
        <f aca="false">IF(AND(DC$266&lt;0,DD$266&gt;=0),101+(-DC$266)/DD$224,0)</f>
        <v>0</v>
      </c>
      <c r="DE267" s="36" t="n">
        <f aca="false">IF(AND(DD$266&lt;0,DE$266&gt;=0),102+(-DD$266)/DE$224,0)</f>
        <v>0</v>
      </c>
      <c r="DF267" s="36" t="n">
        <f aca="false">IF(AND(DE$266&lt;0,DF$266&gt;=0),103+(-DE$266)/DF$224,0)</f>
        <v>0</v>
      </c>
      <c r="DG267" s="36" t="n">
        <f aca="false">IF(AND(DF$266&lt;0,DG$266&gt;=0),104+(-DF$266)/DG$224,0)</f>
        <v>0</v>
      </c>
      <c r="DH267" s="36" t="n">
        <f aca="false">IF(AND(DG$266&lt;0,DH$266&gt;=0),105+(-DG$266)/DH$224,0)</f>
        <v>0</v>
      </c>
      <c r="DI267" s="36" t="n">
        <f aca="false">IF(AND(DH$266&lt;0,DI$266&gt;=0),106+(-DH$266)/DI$224,0)</f>
        <v>0</v>
      </c>
      <c r="DJ267" s="36" t="n">
        <f aca="false">IF(AND(DI$266&lt;0,DJ$266&gt;=0),107+(-DI$266)/DJ$224,0)</f>
        <v>0</v>
      </c>
      <c r="DK267" s="36" t="n">
        <f aca="false">IF(AND(DJ$266&lt;0,DK$266&gt;=0),108+(-DJ$266)/DK$224,0)</f>
        <v>0</v>
      </c>
      <c r="DL267" s="36" t="n">
        <f aca="false">IF(AND(DK$266&lt;0,DL$266&gt;=0),109+(-DK$266)/DL$224,0)</f>
        <v>0</v>
      </c>
      <c r="DM267" s="36" t="n">
        <f aca="false">IF(AND(DL$266&lt;0,DM$266&gt;=0),110+(-DL$266)/DM$224,0)</f>
        <v>0</v>
      </c>
      <c r="DN267" s="36" t="n">
        <f aca="false">IF(AND(DM$266&lt;0,DN$266&gt;=0),111+(-DM$266)/DN$224,0)</f>
        <v>0</v>
      </c>
      <c r="DO267" s="36" t="n">
        <f aca="false">IF(AND(DN$266&lt;0,DO$266&gt;=0),112+(-DN$266)/DO$224,0)</f>
        <v>0</v>
      </c>
      <c r="DP267" s="36" t="n">
        <f aca="false">IF(AND(DO$266&lt;0,DP$266&gt;=0),113+(-DO$266)/DP$224,0)</f>
        <v>0</v>
      </c>
      <c r="DQ267" s="36" t="n">
        <f aca="false">IF(AND(DP$266&lt;0,DQ$266&gt;=0),114+(-DP$266)/DQ$224,0)</f>
        <v>0</v>
      </c>
      <c r="DR267" s="36" t="n">
        <f aca="false">IF(AND(DQ$266&lt;0,DR$266&gt;=0),115+(-DQ$266)/DR$224,0)</f>
        <v>0</v>
      </c>
      <c r="DS267" s="36" t="n">
        <f aca="false">IF(AND(DR$266&lt;0,DS$266&gt;=0),116+(-DR$266)/DS$224,0)</f>
        <v>0</v>
      </c>
      <c r="DT267" s="36" t="n">
        <f aca="false">IF(AND(DS$266&lt;0,DT$266&gt;=0),117+(-DS$266)/DT$224,0)</f>
        <v>0</v>
      </c>
      <c r="DU267" s="36" t="n">
        <f aca="false">IF(AND(DT$266&lt;0,DU$266&gt;=0),118+(-DT$266)/DU$224,0)</f>
        <v>0</v>
      </c>
      <c r="DV267" s="36" t="n">
        <f aca="false">IF(AND(DU$266&lt;0,DV$266&gt;=0),119+(-DU$266)/DV$224,0)</f>
        <v>0</v>
      </c>
      <c r="DW267" s="36" t="n">
        <f aca="false">IF(AND(DV$266&lt;0,DW$266&gt;=0),120+(-DV$266)/DW$224,0)</f>
        <v>0</v>
      </c>
      <c r="DX267" s="36" t="n">
        <f aca="false">IF(AND(DW$266&lt;0,DX$266&gt;=0),121+(-DW$266)/DX$224,0)</f>
        <v>0</v>
      </c>
      <c r="DY267" s="36" t="n">
        <f aca="false">IF(AND(DX$266&lt;0,DY$266&gt;=0),122+(-DX$266)/DY$224,0)</f>
        <v>0</v>
      </c>
      <c r="DZ267" s="36" t="n">
        <f aca="false">IF(AND(DY$266&lt;0,DZ$266&gt;=0),123+(-DY$266)/DZ$224,0)</f>
        <v>0</v>
      </c>
      <c r="EA267" s="36" t="n">
        <f aca="false">IF(AND(DZ$266&lt;0,EA$266&gt;=0),124+(-DZ$266)/EA$224,0)</f>
        <v>0</v>
      </c>
      <c r="EB267" s="36" t="n">
        <f aca="false">IF(AND(EA$266&lt;0,EB$266&gt;=0),125+(-EA$266)/EB$224,0)</f>
        <v>0</v>
      </c>
      <c r="EC267" s="36" t="n">
        <f aca="false">IF(AND(EB$266&lt;0,EC$266&gt;=0),126+(-EB$266)/EC$224,0)</f>
        <v>0</v>
      </c>
      <c r="ED267" s="36" t="n">
        <f aca="false">IF(AND(EC$266&lt;0,ED$266&gt;=0),127+(-EC$266)/ED$224,0)</f>
        <v>0</v>
      </c>
      <c r="EE267" s="36" t="n">
        <f aca="false">IF(AND(ED$266&lt;0,EE$266&gt;=0),128+(-ED$266)/EE$224,0)</f>
        <v>0</v>
      </c>
      <c r="EF267" s="36" t="n">
        <f aca="false">IF(AND(EE$266&lt;0,EF$266&gt;=0),129+(-EE$266)/EF$224,0)</f>
        <v>0</v>
      </c>
      <c r="EG267" s="36" t="n">
        <f aca="false">IF(AND(EF$266&lt;0,EG$266&gt;=0),130+(-EF$266)/EG$224,0)</f>
        <v>0</v>
      </c>
      <c r="EH267" s="36" t="n">
        <f aca="false">IF(AND(EG$266&lt;0,EH$266&gt;=0),131+(-EG$266)/EH$224,0)</f>
        <v>0</v>
      </c>
      <c r="EI267" s="36" t="n">
        <f aca="false">IF(AND(EH$266&lt;0,EI$266&gt;=0),132+(-EH$266)/EI$224,0)</f>
        <v>0</v>
      </c>
      <c r="EJ267" s="36" t="n">
        <f aca="false">IF(AND(EI$266&lt;0,EJ$266&gt;=0),133+(-EI$266)/EJ$224,0)</f>
        <v>0</v>
      </c>
      <c r="EK267" s="36" t="n">
        <f aca="false">IF(AND(EJ$266&lt;0,EK$266&gt;=0),134+(-EJ$266)/EK$224,0)</f>
        <v>0</v>
      </c>
      <c r="EL267" s="36" t="n">
        <f aca="false">IF(AND(EK$266&lt;0,EL$266&gt;=0),135+(-EK$266)/EL$224,0)</f>
        <v>0</v>
      </c>
      <c r="EM267" s="36" t="n">
        <f aca="false">IF(AND(EL$266&lt;0,EM$266&gt;=0),136+(-EL$266)/EM$224,0)</f>
        <v>0</v>
      </c>
      <c r="EN267" s="36" t="n">
        <f aca="false">IF(AND(EM$266&lt;0,EN$266&gt;=0),137+(-EM$266)/EN$224,0)</f>
        <v>0</v>
      </c>
      <c r="EO267" s="36" t="n">
        <f aca="false">IF(AND(EN$266&lt;0,EO$266&gt;=0),138+(-EN$266)/EO$224,0)</f>
        <v>0</v>
      </c>
      <c r="EP267" s="36" t="n">
        <f aca="false">IF(AND(EO$266&lt;0,EP$266&gt;=0),139+(-EO$266)/EP$224,0)</f>
        <v>0</v>
      </c>
      <c r="EQ267" s="36" t="n">
        <f aca="false">IF(AND(EP$266&lt;0,EQ$266&gt;=0),140+(-EP$266)/EQ$224,0)</f>
        <v>0</v>
      </c>
      <c r="ER267" s="36" t="n">
        <f aca="false">IF(AND(EQ$266&lt;0,ER$266&gt;=0),141+(-EQ$266)/ER$224,0)</f>
        <v>0</v>
      </c>
      <c r="ES267" s="36" t="n">
        <f aca="false">IF(AND(ER$266&lt;0,ES$266&gt;=0),142+(-ER$266)/ES$224,0)</f>
        <v>0</v>
      </c>
    </row>
    <row r="268" customFormat="false" ht="15" hidden="false" customHeight="false" outlineLevel="0" collapsed="false">
      <c r="A268" s="2" t="s">
        <v>877</v>
      </c>
      <c r="B268" s="6" t="s">
        <v>757</v>
      </c>
      <c r="C268" s="6" t="s">
        <v>250</v>
      </c>
      <c r="E268" s="40" t="n">
        <f aca="false">INDEX(F268:ES268,1,MIN(144,Fin))</f>
        <v>6147646.16149838</v>
      </c>
      <c r="F268" s="34" t="n">
        <f aca="false">0+F$242+F$211-F$257+F$259</f>
        <v>781282.890308923</v>
      </c>
      <c r="G268" s="34" t="n">
        <f aca="false">F$268+G$242+G$211-G$257+G$259</f>
        <v>794783.780617846</v>
      </c>
      <c r="H268" s="34" t="n">
        <f aca="false">G$268+H$242+H$211-H$257+H$259</f>
        <v>808284.670926769</v>
      </c>
      <c r="I268" s="34" t="n">
        <f aca="false">H$268+I$242+I$211-I$257+I$259</f>
        <v>821785.561235692</v>
      </c>
      <c r="J268" s="34" t="n">
        <f aca="false">I$268+J$242+J$211-J$257+J$259</f>
        <v>835286.451544615</v>
      </c>
      <c r="K268" s="34" t="n">
        <f aca="false">J$268+K$242+K$211-K$257+K$259</f>
        <v>848787.341853539</v>
      </c>
      <c r="L268" s="34" t="n">
        <f aca="false">K$268+L$242+L$211-L$257+L$259</f>
        <v>862288.232162462</v>
      </c>
      <c r="M268" s="34" t="n">
        <f aca="false">L$268+M$242+M$211-M$257+M$259</f>
        <v>876136.639730166</v>
      </c>
      <c r="N268" s="34" t="n">
        <f aca="false">M$268+N$242+N$211-N$257+N$259</f>
        <v>890335.170936092</v>
      </c>
      <c r="O268" s="34" t="n">
        <f aca="false">N$268+O$242+O$211-O$257+O$259</f>
        <v>904886.451707527</v>
      </c>
      <c r="P268" s="34" t="n">
        <f aca="false">O$268+P$242+P$211-P$257+P$259</f>
        <v>919793.127666212</v>
      </c>
      <c r="Q268" s="34" t="n">
        <f aca="false">P$268+Q$242+Q$211-Q$257+Q$259</f>
        <v>935057.864276052</v>
      </c>
      <c r="R268" s="34" t="n">
        <f aca="false">Q$268+R$242+R$211-R$257+R$259</f>
        <v>1359776.91617697</v>
      </c>
      <c r="S268" s="34" t="n">
        <f aca="false">R$268+S$242+S$211-S$257+S$259</f>
        <v>1412931.41977972</v>
      </c>
      <c r="T268" s="34" t="n">
        <f aca="false">S$268+T$242+T$211-T$257+T$259</f>
        <v>1466452.10097207</v>
      </c>
      <c r="U268" s="34" t="n">
        <f aca="false">T$268+U$242+U$211-U$257+U$259</f>
        <v>1520341.70608594</v>
      </c>
      <c r="V268" s="34" t="n">
        <f aca="false">U$268+V$242+V$211-V$257+V$259</f>
        <v>1574603.00205074</v>
      </c>
      <c r="W268" s="34" t="n">
        <f aca="false">V$268+W$242+W$211-W$257+W$259</f>
        <v>1629238.77654785</v>
      </c>
      <c r="X268" s="34" t="n">
        <f aca="false">W$268+X$242+X$211-X$257+X$259</f>
        <v>1684251.83816627</v>
      </c>
      <c r="Y268" s="34" t="n">
        <f aca="false">X$268+Y$242+Y$211-Y$257+Y$259</f>
        <v>1739645.0165594</v>
      </c>
      <c r="Z268" s="34" t="n">
        <f aca="false">Y$268+Z$242+Z$211-Z$257+Z$259</f>
        <v>1795421.16260306</v>
      </c>
      <c r="AA268" s="34" t="n">
        <f aca="false">Z$268+AA$242+AA$211-AA$257+AA$259</f>
        <v>1851583.14855461</v>
      </c>
      <c r="AB268" s="34" t="n">
        <f aca="false">AA$268+AB$242+AB$211-AB$257+AB$259</f>
        <v>1908133.86821339</v>
      </c>
      <c r="AC268" s="34" t="n">
        <f aca="false">AB$268+AC$242+AC$211-AC$257+AC$259</f>
        <v>1965076.23708218</v>
      </c>
      <c r="AD268" s="34" t="n">
        <f aca="false">AC$268+AD$242+AD$211-AD$257+AD$259</f>
        <v>2059001.82040122</v>
      </c>
      <c r="AE268" s="34" t="n">
        <f aca="false">AD$268+AE$242+AE$211-AE$257+AE$259</f>
        <v>2153324.9496987</v>
      </c>
      <c r="AF268" s="34" t="n">
        <f aca="false">AE$268+AF$242+AF$211-AF$257+AF$259</f>
        <v>2248048.60656945</v>
      </c>
      <c r="AG268" s="34" t="n">
        <f aca="false">AF$268+AG$242+AG$211-AG$257+AG$259</f>
        <v>2343175.79497027</v>
      </c>
      <c r="AH268" s="34" t="n">
        <f aca="false">AG$268+AH$242+AH$211-AH$257+AH$259</f>
        <v>2438709.54138765</v>
      </c>
      <c r="AI268" s="34" t="n">
        <f aca="false">AH$268+AI$242+AI$211-AI$257+AI$259</f>
        <v>2534652.89500669</v>
      </c>
      <c r="AJ268" s="34" t="n">
        <f aca="false">AI$268+AJ$242+AJ$211-AJ$257+AJ$259</f>
        <v>2631008.92788143</v>
      </c>
      <c r="AK268" s="34" t="n">
        <f aca="false">AJ$268+AK$242+AK$211-AK$257+AK$259</f>
        <v>2727780.73510626</v>
      </c>
      <c r="AL268" s="34" t="n">
        <f aca="false">AK$268+AL$242+AL$211-AL$257+AL$259</f>
        <v>2824971.43498883</v>
      </c>
      <c r="AM268" s="34" t="n">
        <f aca="false">AL$268+AM$242+AM$211-AM$257+AM$259</f>
        <v>2922584.16922405</v>
      </c>
      <c r="AN268" s="34" t="n">
        <f aca="false">AM$268+AN$242+AN$211-AN$257+AN$259</f>
        <v>3020622.10306959</v>
      </c>
      <c r="AO268" s="34" t="n">
        <f aca="false">AN$268+AO$242+AO$211-AO$257+AO$259</f>
        <v>3119088.42552251</v>
      </c>
      <c r="AP268" s="34" t="n">
        <f aca="false">AO$268+AP$242+AP$211-AP$257+AP$259</f>
        <v>3250794.8985121</v>
      </c>
      <c r="AQ268" s="34" t="n">
        <f aca="false">AP$268+AQ$242+AQ$211-AQ$257+AQ$259</f>
        <v>3382936.21003504</v>
      </c>
      <c r="AR268" s="34" t="n">
        <f aca="false">AQ$268+AR$242+AR$211-AR$257+AR$259</f>
        <v>3515515.62138034</v>
      </c>
      <c r="AS268" s="34" t="n">
        <f aca="false">AR$268+AS$242+AS$211-AS$257+AS$259</f>
        <v>3648536.41829666</v>
      </c>
      <c r="AT268" s="34" t="n">
        <f aca="false">AS$268+AT$242+AT$211-AT$257+AT$259</f>
        <v>3782001.91117579</v>
      </c>
      <c r="AU268" s="34" t="n">
        <f aca="false">AT$268+AU$242+AU$211-AU$257+AU$259</f>
        <v>3915915.43523744</v>
      </c>
      <c r="AV268" s="34" t="n">
        <f aca="false">AU$268+AV$242+AV$211-AV$257+AV$259</f>
        <v>4050280.35071549</v>
      </c>
      <c r="AW268" s="34" t="n">
        <f aca="false">AV$268+AW$242+AW$211-AW$257+AW$259</f>
        <v>4185100.04304555</v>
      </c>
      <c r="AX268" s="34" t="n">
        <f aca="false">AW$268+AX$242+AX$211-AX$257+AX$259</f>
        <v>4320377.92305403</v>
      </c>
      <c r="AY268" s="34" t="n">
        <f aca="false">AX$268+AY$242+AY$211-AY$257+AY$259</f>
        <v>4456117.42714849</v>
      </c>
      <c r="AZ268" s="34" t="n">
        <f aca="false">AY$268+AZ$242+AZ$211-AZ$257+AZ$259</f>
        <v>4592322.0175096</v>
      </c>
      <c r="BA268" s="34" t="n">
        <f aca="false">AZ$268+BA$242+BA$211-BA$257+BA$259</f>
        <v>4728995.18228435</v>
      </c>
      <c r="BB268" s="34" t="n">
        <f aca="false">BA$268+BB$242+BB$211-BB$257+BB$259</f>
        <v>4867460.02077736</v>
      </c>
      <c r="BC268" s="34" t="n">
        <f aca="false">BB$268+BC$242+BC$211-BC$257+BC$259</f>
        <v>5006400.48865752</v>
      </c>
      <c r="BD268" s="34" t="n">
        <f aca="false">BC$268+BD$242+BD$211-BD$257+BD$259</f>
        <v>5145820.15314524</v>
      </c>
      <c r="BE268" s="34" t="n">
        <f aca="false">BD$268+BE$242+BE$211-BE$257+BE$259</f>
        <v>4480769.22983416</v>
      </c>
      <c r="BF268" s="34" t="n">
        <f aca="false">BE$268+BF$242+BF$211-BF$257+BF$259</f>
        <v>4621158.09641548</v>
      </c>
      <c r="BG268" s="34" t="n">
        <f aca="false">BF$268+BG$242+BG$211-BG$257+BG$259</f>
        <v>4762037.02259462</v>
      </c>
      <c r="BH268" s="34" t="n">
        <f aca="false">BG$268+BH$242+BH$211-BH$257+BH$259</f>
        <v>4903409.68381856</v>
      </c>
      <c r="BI268" s="34" t="n">
        <f aca="false">BH$268+BI$242+BI$211-BI$257+BI$259</f>
        <v>5045279.78310014</v>
      </c>
      <c r="BJ268" s="34" t="n">
        <f aca="false">BI$268+BJ$242+BJ$211-BJ$257+BJ$259</f>
        <v>5187651.05122479</v>
      </c>
      <c r="BK268" s="34" t="n">
        <f aca="false">BJ$268+BK$242+BK$211-BK$257+BK$259</f>
        <v>5330527.24695883</v>
      </c>
      <c r="BL268" s="34" t="n">
        <f aca="false">BK$268+BL$242+BL$211-BL$257+BL$259</f>
        <v>5473912.15725934</v>
      </c>
      <c r="BM268" s="34" t="n">
        <f aca="false">BL$268+BM$242+BM$211-BM$257+BM$259</f>
        <v>5617809.59748556</v>
      </c>
      <c r="BN268" s="34" t="n">
        <f aca="false">BM$268+BN$242+BN$211-BN$257+BN$259</f>
        <v>5767325.32186672</v>
      </c>
      <c r="BO268" s="34" t="n">
        <f aca="false">BN$268+BO$242+BO$211-BO$257+BO$259</f>
        <v>5916841.04624788</v>
      </c>
      <c r="BP268" s="34" t="n">
        <f aca="false">BO$268+BP$242+BP$211-BP$257+BP$259</f>
        <v>6066356.77062904</v>
      </c>
      <c r="BQ268" s="34" t="n">
        <f aca="false">BP$268+BQ$242+BQ$211-BQ$257+BQ$259</f>
        <v>4751945.95064198</v>
      </c>
      <c r="BR268" s="34" t="n">
        <f aca="false">BQ$268+BR$242+BR$211-BR$257+BR$259</f>
        <v>4901461.67502314</v>
      </c>
      <c r="BS268" s="34" t="n">
        <f aca="false">BR$268+BS$242+BS$211-BS$257+BS$259</f>
        <v>5050977.3994043</v>
      </c>
      <c r="BT268" s="34" t="n">
        <f aca="false">BS$268+BT$242+BT$211-BT$257+BT$259</f>
        <v>5200493.12378545</v>
      </c>
      <c r="BU268" s="34" t="n">
        <f aca="false">BT$268+BU$242+BU$211-BU$257+BU$259</f>
        <v>5350008.84816661</v>
      </c>
      <c r="BV268" s="34" t="n">
        <f aca="false">BU$268+BV$242+BV$211-BV$257+BV$259</f>
        <v>5499524.57254777</v>
      </c>
      <c r="BW268" s="34" t="n">
        <f aca="false">BV$268+BW$242+BW$211-BW$257+BW$259</f>
        <v>5649040.29692893</v>
      </c>
      <c r="BX268" s="34" t="n">
        <f aca="false">BW$268+BX$242+BX$211-BX$257+BX$259</f>
        <v>5798556.02131009</v>
      </c>
      <c r="BY268" s="34" t="n">
        <f aca="false">BX$268+BY$242+BY$211-BY$257+BY$259</f>
        <v>5948071.74569125</v>
      </c>
      <c r="BZ268" s="34" t="n">
        <f aca="false">BY$268+BZ$242+BZ$211-BZ$257+BZ$259</f>
        <v>6101703.05076398</v>
      </c>
      <c r="CA268" s="34" t="n">
        <f aca="false">BZ$268+CA$242+CA$211-CA$257+CA$259</f>
        <v>6255334.35583672</v>
      </c>
      <c r="CB268" s="34" t="n">
        <f aca="false">CA$268+CB$242+CB$211-CB$257+CB$259</f>
        <v>6408965.66090945</v>
      </c>
      <c r="CC268" s="34" t="n">
        <f aca="false">CB$268+CC$242+CC$211-CC$257+CC$259</f>
        <v>4768408.27340827</v>
      </c>
      <c r="CD268" s="34" t="n">
        <f aca="false">CC$268+CD$242+CD$211-CD$257+CD$259</f>
        <v>4922039.578481</v>
      </c>
      <c r="CE268" s="34" t="n">
        <f aca="false">CD$268+CE$242+CE$211-CE$257+CE$259</f>
        <v>5075670.88355373</v>
      </c>
      <c r="CF268" s="34" t="n">
        <f aca="false">CE$268+CF$242+CF$211-CF$257+CF$259</f>
        <v>5229302.18862647</v>
      </c>
      <c r="CG268" s="34" t="n">
        <f aca="false">CF$268+CG$242+CG$211-CG$257+CG$259</f>
        <v>5382933.4936992</v>
      </c>
      <c r="CH268" s="34" t="n">
        <f aca="false">CG$268+CH$242+CH$211-CH$257+CH$259</f>
        <v>5536564.79877193</v>
      </c>
      <c r="CI268" s="34" t="n">
        <f aca="false">CH$268+CI$242+CI$211-CI$257+CI$259</f>
        <v>5690196.10384467</v>
      </c>
      <c r="CJ268" s="34" t="n">
        <f aca="false">CI$268+CJ$242+CJ$211-CJ$257+CJ$259</f>
        <v>5843827.4089174</v>
      </c>
      <c r="CK268" s="34" t="n">
        <f aca="false">CJ$268+CK$242+CK$211-CK$257+CK$259</f>
        <v>5997458.71399013</v>
      </c>
      <c r="CL268" s="34" t="n">
        <f aca="false">CK$268+CL$242+CL$211-CL$257+CL$259</f>
        <v>6155233.81511975</v>
      </c>
      <c r="CM268" s="34" t="n">
        <f aca="false">CL$268+CM$242+CM$211-CM$257+CM$259</f>
        <v>6313008.91624938</v>
      </c>
      <c r="CN268" s="34" t="n">
        <f aca="false">CM$268+CN$242+CN$211-CN$257+CN$259</f>
        <v>6470784.017379</v>
      </c>
      <c r="CO268" s="34" t="n">
        <f aca="false">CN$268+CO$242+CO$211-CO$257+CO$259</f>
        <v>4784983.45763582</v>
      </c>
      <c r="CP268" s="34" t="n">
        <f aca="false">CO$268+CP$242+CP$211-CP$257+CP$259</f>
        <v>4942758.55876544</v>
      </c>
      <c r="CQ268" s="34" t="n">
        <f aca="false">CP$268+CQ$242+CQ$211-CQ$257+CQ$259</f>
        <v>5100533.65989506</v>
      </c>
      <c r="CR268" s="34" t="n">
        <f aca="false">CQ$268+CR$242+CR$211-CR$257+CR$259</f>
        <v>5258308.76102469</v>
      </c>
      <c r="CS268" s="34" t="n">
        <f aca="false">CR$268+CS$242+CS$211-CS$257+CS$259</f>
        <v>5416083.86215431</v>
      </c>
      <c r="CT268" s="34" t="n">
        <f aca="false">CS$268+CT$242+CT$211-CT$257+CT$259</f>
        <v>5573858.96328393</v>
      </c>
      <c r="CU268" s="34" t="n">
        <f aca="false">CT$268+CU$242+CU$211-CU$257+CU$259</f>
        <v>5731634.06441355</v>
      </c>
      <c r="CV268" s="34" t="n">
        <f aca="false">CU$268+CV$242+CV$211-CV$257+CV$259</f>
        <v>5889409.16554317</v>
      </c>
      <c r="CW268" s="34" t="n">
        <f aca="false">CV$268+CW$242+CW$211-CW$257+CW$259</f>
        <v>6047184.26667279</v>
      </c>
      <c r="CX268" s="34" t="n">
        <f aca="false">CW$268+CX$242+CX$211-CX$257+CX$259</f>
        <v>6209131.27890503</v>
      </c>
      <c r="CY268" s="34" t="n">
        <f aca="false">CX$268+CY$242+CY$211-CY$257+CY$259</f>
        <v>6371078.29113727</v>
      </c>
      <c r="CZ268" s="34" t="n">
        <f aca="false">CY$268+CZ$242+CZ$211-CZ$257+CZ$259</f>
        <v>6533025.30336952</v>
      </c>
      <c r="DA268" s="34" t="n">
        <f aca="false">CZ$268+DA$242+DA$211-DA$257+DA$259</f>
        <v>4801671.10204631</v>
      </c>
      <c r="DB268" s="34" t="n">
        <f aca="false">DA$268+DB$242+DB$211-DB$257+DB$259</f>
        <v>4963618.11427855</v>
      </c>
      <c r="DC268" s="34" t="n">
        <f aca="false">DB$268+DC$242+DC$211-DC$257+DC$259</f>
        <v>5125565.12651079</v>
      </c>
      <c r="DD268" s="34" t="n">
        <f aca="false">DC$268+DD$242+DD$211-DD$257+DD$259</f>
        <v>5287512.13874303</v>
      </c>
      <c r="DE268" s="34" t="n">
        <f aca="false">DD$268+DE$242+DE$211-DE$257+DE$259</f>
        <v>5449459.15097527</v>
      </c>
      <c r="DF268" s="34" t="n">
        <f aca="false">DE$268+DF$242+DF$211-DF$257+DF$259</f>
        <v>5611406.16320751</v>
      </c>
      <c r="DG268" s="34" t="n">
        <f aca="false">DF$268+DG$242+DG$211-DG$257+DG$259</f>
        <v>5773353.17543975</v>
      </c>
      <c r="DH268" s="34" t="n">
        <f aca="false">DG$268+DH$242+DH$211-DH$257+DH$259</f>
        <v>5935300.187672</v>
      </c>
      <c r="DI268" s="34" t="n">
        <f aca="false">DH$268+DI$242+DI$211-DI$257+DI$259</f>
        <v>6097247.19990424</v>
      </c>
      <c r="DJ268" s="34" t="n">
        <f aca="false">DI$268+DJ$242+DJ$211-DJ$257+DJ$259</f>
        <v>6263394.12560266</v>
      </c>
      <c r="DK268" s="34" t="n">
        <f aca="false">DJ$268+DK$242+DK$211-DK$257+DK$259</f>
        <v>6429541.05130107</v>
      </c>
      <c r="DL268" s="34" t="n">
        <f aca="false">DK$268+DL$242+DL$211-DL$257+DL$259</f>
        <v>6595687.97699949</v>
      </c>
      <c r="DM268" s="34" t="n">
        <f aca="false">DL$268+DM$242+DM$211-DM$257+DM$259</f>
        <v>4818470.75591102</v>
      </c>
      <c r="DN268" s="34" t="n">
        <f aca="false">DM$268+DN$242+DN$211-DN$257+DN$259</f>
        <v>4984617.68160944</v>
      </c>
      <c r="DO268" s="34" t="n">
        <f aca="false">DN$268+DO$242+DO$211-DO$257+DO$259</f>
        <v>5150764.60730786</v>
      </c>
      <c r="DP268" s="34" t="n">
        <f aca="false">DO$268+DP$242+DP$211-DP$257+DP$259</f>
        <v>5316911.53300628</v>
      </c>
      <c r="DQ268" s="34" t="n">
        <f aca="false">DP$268+DQ$242+DQ$211-DQ$257+DQ$259</f>
        <v>5483058.4587047</v>
      </c>
      <c r="DR268" s="34" t="n">
        <f aca="false">DQ$268+DR$242+DR$211-DR$257+DR$259</f>
        <v>5649205.38440312</v>
      </c>
      <c r="DS268" s="34" t="n">
        <f aca="false">DR$268+DS$242+DS$211-DS$257+DS$259</f>
        <v>5815352.31010154</v>
      </c>
      <c r="DT268" s="34" t="n">
        <f aca="false">DS$268+DT$242+DT$211-DT$257+DT$259</f>
        <v>5981499.23579996</v>
      </c>
      <c r="DU268" s="34" t="n">
        <f aca="false">DT$268+DU$242+DU$211-DU$257+DU$259</f>
        <v>6147646.16149838</v>
      </c>
      <c r="DV268" s="34" t="n">
        <f aca="false">DU$268+DV$242+DV$211-DV$257+DV$259</f>
        <v>6147646.16149838</v>
      </c>
      <c r="DW268" s="34" t="n">
        <f aca="false">DV$268+DW$242+DW$211-DW$257+DW$259</f>
        <v>6147646.16149838</v>
      </c>
      <c r="DX268" s="34" t="n">
        <f aca="false">DW$268+DX$242+DX$211-DX$257+DX$259</f>
        <v>6147646.16149838</v>
      </c>
      <c r="DY268" s="34" t="n">
        <f aca="false">DX$268+DY$242+DY$211-DY$257+DY$259</f>
        <v>6147646.16149838</v>
      </c>
      <c r="DZ268" s="34" t="n">
        <f aca="false">DY$268+DZ$242+DZ$211-DZ$257+DZ$259</f>
        <v>6147646.16149838</v>
      </c>
      <c r="EA268" s="34" t="n">
        <f aca="false">DZ$268+EA$242+EA$211-EA$257+EA$259</f>
        <v>6147646.16149838</v>
      </c>
      <c r="EB268" s="34" t="n">
        <f aca="false">EA$268+EB$242+EB$211-EB$257+EB$259</f>
        <v>6147646.16149838</v>
      </c>
      <c r="EC268" s="34" t="n">
        <f aca="false">EB$268+EC$242+EC$211-EC$257+EC$259</f>
        <v>6147646.16149838</v>
      </c>
      <c r="ED268" s="34" t="n">
        <f aca="false">EC$268+ED$242+ED$211-ED$257+ED$259</f>
        <v>6147646.16149838</v>
      </c>
      <c r="EE268" s="34" t="n">
        <f aca="false">ED$268+EE$242+EE$211-EE$257+EE$259</f>
        <v>6147646.16149838</v>
      </c>
      <c r="EF268" s="34" t="n">
        <f aca="false">EE$268+EF$242+EF$211-EF$257+EF$259</f>
        <v>6147646.16149838</v>
      </c>
      <c r="EG268" s="34" t="n">
        <f aca="false">EF$268+EG$242+EG$211-EG$257+EG$259</f>
        <v>6147646.16149838</v>
      </c>
      <c r="EH268" s="34" t="n">
        <f aca="false">EG$268+EH$242+EH$211-EH$257+EH$259</f>
        <v>6147646.16149838</v>
      </c>
      <c r="EI268" s="34" t="n">
        <f aca="false">EH$268+EI$242+EI$211-EI$257+EI$259</f>
        <v>6147646.16149838</v>
      </c>
      <c r="EJ268" s="34" t="n">
        <f aca="false">EI$268+EJ$242+EJ$211-EJ$257+EJ$259</f>
        <v>6147646.16149838</v>
      </c>
      <c r="EK268" s="34" t="n">
        <f aca="false">EJ$268+EK$242+EK$211-EK$257+EK$259</f>
        <v>6147646.16149838</v>
      </c>
      <c r="EL268" s="34" t="n">
        <f aca="false">EK$268+EL$242+EL$211-EL$257+EL$259</f>
        <v>6147646.16149838</v>
      </c>
      <c r="EM268" s="34" t="n">
        <f aca="false">EL$268+EM$242+EM$211-EM$257+EM$259</f>
        <v>6147646.16149838</v>
      </c>
      <c r="EN268" s="34" t="n">
        <f aca="false">EM$268+EN$242+EN$211-EN$257+EN$259</f>
        <v>6147646.16149838</v>
      </c>
      <c r="EO268" s="34" t="n">
        <f aca="false">EN$268+EO$242+EO$211-EO$257+EO$259</f>
        <v>6147646.16149838</v>
      </c>
      <c r="EP268" s="34" t="n">
        <f aca="false">EO$268+EP$242+EP$211-EP$257+EP$259</f>
        <v>6147646.16149838</v>
      </c>
      <c r="EQ268" s="34" t="n">
        <f aca="false">EP$268+EQ$242+EQ$211-EQ$257+EQ$259</f>
        <v>6147646.16149838</v>
      </c>
      <c r="ER268" s="34" t="n">
        <f aca="false">EQ$268+ER$242+ER$211-ER$257+ER$259</f>
        <v>6147646.16149838</v>
      </c>
      <c r="ES268" s="34" t="n">
        <f aca="false">ER$268+ES$242+ES$211-ES$257+ES$259</f>
        <v>6147646.16149838</v>
      </c>
    </row>
    <row r="269" customFormat="false" ht="15" hidden="false" customHeight="false" outlineLevel="0" collapsed="false">
      <c r="A269" s="2" t="s">
        <v>878</v>
      </c>
      <c r="B269" s="52" t="s">
        <v>759</v>
      </c>
      <c r="C269" s="6" t="s">
        <v>250</v>
      </c>
      <c r="E269" s="53" t="n">
        <f aca="false">MAX(ABS(MAX(F269:ES269)),ABS(MIN(F269:ES269)))</f>
        <v>0</v>
      </c>
      <c r="F269" s="54" t="n">
        <f aca="false">ROUND(F$258+F$213+F$214+F$215+F$222-F$216-F$252-F$268,2)</f>
        <v>0</v>
      </c>
      <c r="G269" s="54" t="n">
        <f aca="false">ROUND(G$258+G$213+G$214+G$215+G$222-G$216-G$252-G$268,2)</f>
        <v>0</v>
      </c>
      <c r="H269" s="54" t="n">
        <f aca="false">ROUND(H$258+H$213+H$214+H$215+H$222-H$216-H$252-H$268,2)</f>
        <v>0</v>
      </c>
      <c r="I269" s="54" t="n">
        <f aca="false">ROUND(I$258+I$213+I$214+I$215+I$222-I$216-I$252-I$268,2)</f>
        <v>0</v>
      </c>
      <c r="J269" s="54" t="n">
        <f aca="false">ROUND(J$258+J$213+J$214+J$215+J$222-J$216-J$252-J$268,2)</f>
        <v>0</v>
      </c>
      <c r="K269" s="54" t="n">
        <f aca="false">ROUND(K$258+K$213+K$214+K$215+K$222-K$216-K$252-K$268,2)</f>
        <v>0</v>
      </c>
      <c r="L269" s="54" t="n">
        <f aca="false">ROUND(L$258+L$213+L$214+L$215+L$222-L$216-L$252-L$268,2)</f>
        <v>0</v>
      </c>
      <c r="M269" s="54" t="n">
        <f aca="false">ROUND(M$258+M$213+M$214+M$215+M$222-M$216-M$252-M$268,2)</f>
        <v>0</v>
      </c>
      <c r="N269" s="54" t="n">
        <f aca="false">ROUND(N$258+N$213+N$214+N$215+N$222-N$216-N$252-N$268,2)</f>
        <v>0</v>
      </c>
      <c r="O269" s="54" t="n">
        <f aca="false">ROUND(O$258+O$213+O$214+O$215+O$222-O$216-O$252-O$268,2)</f>
        <v>0</v>
      </c>
      <c r="P269" s="54" t="n">
        <f aca="false">ROUND(P$258+P$213+P$214+P$215+P$222-P$216-P$252-P$268,2)</f>
        <v>0</v>
      </c>
      <c r="Q269" s="54" t="n">
        <f aca="false">ROUND(Q$258+Q$213+Q$214+Q$215+Q$222-Q$216-Q$252-Q$268,2)</f>
        <v>0</v>
      </c>
      <c r="R269" s="54" t="n">
        <f aca="false">ROUND(R$258+R$213+R$214+R$215+R$222-R$216-R$252-R$268,2)</f>
        <v>0</v>
      </c>
      <c r="S269" s="54" t="n">
        <f aca="false">ROUND(S$258+S$213+S$214+S$215+S$222-S$216-S$252-S$268,2)</f>
        <v>0</v>
      </c>
      <c r="T269" s="54" t="n">
        <f aca="false">ROUND(T$258+T$213+T$214+T$215+T$222-T$216-T$252-T$268,2)</f>
        <v>0</v>
      </c>
      <c r="U269" s="54" t="n">
        <f aca="false">ROUND(U$258+U$213+U$214+U$215+U$222-U$216-U$252-U$268,2)</f>
        <v>0</v>
      </c>
      <c r="V269" s="54" t="n">
        <f aca="false">ROUND(V$258+V$213+V$214+V$215+V$222-V$216-V$252-V$268,2)</f>
        <v>0</v>
      </c>
      <c r="W269" s="54" t="n">
        <f aca="false">ROUND(W$258+W$213+W$214+W$215+W$222-W$216-W$252-W$268,2)</f>
        <v>0</v>
      </c>
      <c r="X269" s="54" t="n">
        <f aca="false">ROUND(X$258+X$213+X$214+X$215+X$222-X$216-X$252-X$268,2)</f>
        <v>0</v>
      </c>
      <c r="Y269" s="54" t="n">
        <f aca="false">ROUND(Y$258+Y$213+Y$214+Y$215+Y$222-Y$216-Y$252-Y$268,2)</f>
        <v>0</v>
      </c>
      <c r="Z269" s="54" t="n">
        <f aca="false">ROUND(Z$258+Z$213+Z$214+Z$215+Z$222-Z$216-Z$252-Z$268,2)</f>
        <v>0</v>
      </c>
      <c r="AA269" s="54" t="n">
        <f aca="false">ROUND(AA$258+AA$213+AA$214+AA$215+AA$222-AA$216-AA$252-AA$268,2)</f>
        <v>0</v>
      </c>
      <c r="AB269" s="54" t="n">
        <f aca="false">ROUND(AB$258+AB$213+AB$214+AB$215+AB$222-AB$216-AB$252-AB$268,2)</f>
        <v>0</v>
      </c>
      <c r="AC269" s="54" t="n">
        <f aca="false">ROUND(AC$258+AC$213+AC$214+AC$215+AC$222-AC$216-AC$252-AC$268,2)</f>
        <v>0</v>
      </c>
      <c r="AD269" s="54" t="n">
        <f aca="false">ROUND(AD$258+AD$213+AD$214+AD$215+AD$222-AD$216-AD$252-AD$268,2)</f>
        <v>0</v>
      </c>
      <c r="AE269" s="54" t="n">
        <f aca="false">ROUND(AE$258+AE$213+AE$214+AE$215+AE$222-AE$216-AE$252-AE$268,2)</f>
        <v>0</v>
      </c>
      <c r="AF269" s="54" t="n">
        <f aca="false">ROUND(AF$258+AF$213+AF$214+AF$215+AF$222-AF$216-AF$252-AF$268,2)</f>
        <v>0</v>
      </c>
      <c r="AG269" s="54" t="n">
        <f aca="false">ROUND(AG$258+AG$213+AG$214+AG$215+AG$222-AG$216-AG$252-AG$268,2)</f>
        <v>0</v>
      </c>
      <c r="AH269" s="54" t="n">
        <f aca="false">ROUND(AH$258+AH$213+AH$214+AH$215+AH$222-AH$216-AH$252-AH$268,2)</f>
        <v>0</v>
      </c>
      <c r="AI269" s="54" t="n">
        <f aca="false">ROUND(AI$258+AI$213+AI$214+AI$215+AI$222-AI$216-AI$252-AI$268,2)</f>
        <v>0</v>
      </c>
      <c r="AJ269" s="54" t="n">
        <f aca="false">ROUND(AJ$258+AJ$213+AJ$214+AJ$215+AJ$222-AJ$216-AJ$252-AJ$268,2)</f>
        <v>0</v>
      </c>
      <c r="AK269" s="54" t="n">
        <f aca="false">ROUND(AK$258+AK$213+AK$214+AK$215+AK$222-AK$216-AK$252-AK$268,2)</f>
        <v>0</v>
      </c>
      <c r="AL269" s="54" t="n">
        <f aca="false">ROUND(AL$258+AL$213+AL$214+AL$215+AL$222-AL$216-AL$252-AL$268,2)</f>
        <v>0</v>
      </c>
      <c r="AM269" s="54" t="n">
        <f aca="false">ROUND(AM$258+AM$213+AM$214+AM$215+AM$222-AM$216-AM$252-AM$268,2)</f>
        <v>0</v>
      </c>
      <c r="AN269" s="54" t="n">
        <f aca="false">ROUND(AN$258+AN$213+AN$214+AN$215+AN$222-AN$216-AN$252-AN$268,2)</f>
        <v>0</v>
      </c>
      <c r="AO269" s="54" t="n">
        <f aca="false">ROUND(AO$258+AO$213+AO$214+AO$215+AO$222-AO$216-AO$252-AO$268,2)</f>
        <v>0</v>
      </c>
      <c r="AP269" s="54" t="n">
        <f aca="false">ROUND(AP$258+AP$213+AP$214+AP$215+AP$222-AP$216-AP$252-AP$268,2)</f>
        <v>0</v>
      </c>
      <c r="AQ269" s="54" t="n">
        <f aca="false">ROUND(AQ$258+AQ$213+AQ$214+AQ$215+AQ$222-AQ$216-AQ$252-AQ$268,2)</f>
        <v>0</v>
      </c>
      <c r="AR269" s="54" t="n">
        <f aca="false">ROUND(AR$258+AR$213+AR$214+AR$215+AR$222-AR$216-AR$252-AR$268,2)</f>
        <v>0</v>
      </c>
      <c r="AS269" s="54" t="n">
        <f aca="false">ROUND(AS$258+AS$213+AS$214+AS$215+AS$222-AS$216-AS$252-AS$268,2)</f>
        <v>0</v>
      </c>
      <c r="AT269" s="54" t="n">
        <f aca="false">ROUND(AT$258+AT$213+AT$214+AT$215+AT$222-AT$216-AT$252-AT$268,2)</f>
        <v>0</v>
      </c>
      <c r="AU269" s="54" t="n">
        <f aca="false">ROUND(AU$258+AU$213+AU$214+AU$215+AU$222-AU$216-AU$252-AU$268,2)</f>
        <v>0</v>
      </c>
      <c r="AV269" s="54" t="n">
        <f aca="false">ROUND(AV$258+AV$213+AV$214+AV$215+AV$222-AV$216-AV$252-AV$268,2)</f>
        <v>0</v>
      </c>
      <c r="AW269" s="54" t="n">
        <f aca="false">ROUND(AW$258+AW$213+AW$214+AW$215+AW$222-AW$216-AW$252-AW$268,2)</f>
        <v>0</v>
      </c>
      <c r="AX269" s="54" t="n">
        <f aca="false">ROUND(AX$258+AX$213+AX$214+AX$215+AX$222-AX$216-AX$252-AX$268,2)</f>
        <v>0</v>
      </c>
      <c r="AY269" s="54" t="n">
        <f aca="false">ROUND(AY$258+AY$213+AY$214+AY$215+AY$222-AY$216-AY$252-AY$268,2)</f>
        <v>0</v>
      </c>
      <c r="AZ269" s="54" t="n">
        <f aca="false">ROUND(AZ$258+AZ$213+AZ$214+AZ$215+AZ$222-AZ$216-AZ$252-AZ$268,2)</f>
        <v>0</v>
      </c>
      <c r="BA269" s="54" t="n">
        <f aca="false">ROUND(BA$258+BA$213+BA$214+BA$215+BA$222-BA$216-BA$252-BA$268,2)</f>
        <v>0</v>
      </c>
      <c r="BB269" s="54" t="n">
        <f aca="false">ROUND(BB$258+BB$213+BB$214+BB$215+BB$222-BB$216-BB$252-BB$268,2)</f>
        <v>0</v>
      </c>
      <c r="BC269" s="54" t="n">
        <f aca="false">ROUND(BC$258+BC$213+BC$214+BC$215+BC$222-BC$216-BC$252-BC$268,2)</f>
        <v>0</v>
      </c>
      <c r="BD269" s="54" t="n">
        <f aca="false">ROUND(BD$258+BD$213+BD$214+BD$215+BD$222-BD$216-BD$252-BD$268,2)</f>
        <v>0</v>
      </c>
      <c r="BE269" s="54" t="n">
        <f aca="false">ROUND(BE$258+BE$213+BE$214+BE$215+BE$222-BE$216-BE$252-BE$268,2)</f>
        <v>0</v>
      </c>
      <c r="BF269" s="54" t="n">
        <f aca="false">ROUND(BF$258+BF$213+BF$214+BF$215+BF$222-BF$216-BF$252-BF$268,2)</f>
        <v>0</v>
      </c>
      <c r="BG269" s="54" t="n">
        <f aca="false">ROUND(BG$258+BG$213+BG$214+BG$215+BG$222-BG$216-BG$252-BG$268,2)</f>
        <v>0</v>
      </c>
      <c r="BH269" s="54" t="n">
        <f aca="false">ROUND(BH$258+BH$213+BH$214+BH$215+BH$222-BH$216-BH$252-BH$268,2)</f>
        <v>0</v>
      </c>
      <c r="BI269" s="54" t="n">
        <f aca="false">ROUND(BI$258+BI$213+BI$214+BI$215+BI$222-BI$216-BI$252-BI$268,2)</f>
        <v>0</v>
      </c>
      <c r="BJ269" s="54" t="n">
        <f aca="false">ROUND(BJ$258+BJ$213+BJ$214+BJ$215+BJ$222-BJ$216-BJ$252-BJ$268,2)</f>
        <v>0</v>
      </c>
      <c r="BK269" s="54" t="n">
        <f aca="false">ROUND(BK$258+BK$213+BK$214+BK$215+BK$222-BK$216-BK$252-BK$268,2)</f>
        <v>0</v>
      </c>
      <c r="BL269" s="54" t="n">
        <f aca="false">ROUND(BL$258+BL$213+BL$214+BL$215+BL$222-BL$216-BL$252-BL$268,2)</f>
        <v>0</v>
      </c>
      <c r="BM269" s="54" t="n">
        <f aca="false">ROUND(BM$258+BM$213+BM$214+BM$215+BM$222-BM$216-BM$252-BM$268,2)</f>
        <v>0</v>
      </c>
      <c r="BN269" s="54" t="n">
        <f aca="false">ROUND(BN$258+BN$213+BN$214+BN$215+BN$222-BN$216-BN$252-BN$268,2)</f>
        <v>0</v>
      </c>
      <c r="BO269" s="54" t="n">
        <f aca="false">ROUND(BO$258+BO$213+BO$214+BO$215+BO$222-BO$216-BO$252-BO$268,2)</f>
        <v>0</v>
      </c>
      <c r="BP269" s="54" t="n">
        <f aca="false">ROUND(BP$258+BP$213+BP$214+BP$215+BP$222-BP$216-BP$252-BP$268,2)</f>
        <v>0</v>
      </c>
      <c r="BQ269" s="54" t="n">
        <f aca="false">ROUND(BQ$258+BQ$213+BQ$214+BQ$215+BQ$222-BQ$216-BQ$252-BQ$268,2)</f>
        <v>0</v>
      </c>
      <c r="BR269" s="54" t="n">
        <f aca="false">ROUND(BR$258+BR$213+BR$214+BR$215+BR$222-BR$216-BR$252-BR$268,2)</f>
        <v>0</v>
      </c>
      <c r="BS269" s="54" t="n">
        <f aca="false">ROUND(BS$258+BS$213+BS$214+BS$215+BS$222-BS$216-BS$252-BS$268,2)</f>
        <v>0</v>
      </c>
      <c r="BT269" s="54" t="n">
        <f aca="false">ROUND(BT$258+BT$213+BT$214+BT$215+BT$222-BT$216-BT$252-BT$268,2)</f>
        <v>0</v>
      </c>
      <c r="BU269" s="54" t="n">
        <f aca="false">ROUND(BU$258+BU$213+BU$214+BU$215+BU$222-BU$216-BU$252-BU$268,2)</f>
        <v>0</v>
      </c>
      <c r="BV269" s="54" t="n">
        <f aca="false">ROUND(BV$258+BV$213+BV$214+BV$215+BV$222-BV$216-BV$252-BV$268,2)</f>
        <v>0</v>
      </c>
      <c r="BW269" s="54" t="n">
        <f aca="false">ROUND(BW$258+BW$213+BW$214+BW$215+BW$222-BW$216-BW$252-BW$268,2)</f>
        <v>0</v>
      </c>
      <c r="BX269" s="54" t="n">
        <f aca="false">ROUND(BX$258+BX$213+BX$214+BX$215+BX$222-BX$216-BX$252-BX$268,2)</f>
        <v>0</v>
      </c>
      <c r="BY269" s="54" t="n">
        <f aca="false">ROUND(BY$258+BY$213+BY$214+BY$215+BY$222-BY$216-BY$252-BY$268,2)</f>
        <v>0</v>
      </c>
      <c r="BZ269" s="54" t="n">
        <f aca="false">ROUND(BZ$258+BZ$213+BZ$214+BZ$215+BZ$222-BZ$216-BZ$252-BZ$268,2)</f>
        <v>0</v>
      </c>
      <c r="CA269" s="54" t="n">
        <f aca="false">ROUND(CA$258+CA$213+CA$214+CA$215+CA$222-CA$216-CA$252-CA$268,2)</f>
        <v>0</v>
      </c>
      <c r="CB269" s="54" t="n">
        <f aca="false">ROUND(CB$258+CB$213+CB$214+CB$215+CB$222-CB$216-CB$252-CB$268,2)</f>
        <v>0</v>
      </c>
      <c r="CC269" s="54" t="n">
        <f aca="false">ROUND(CC$258+CC$213+CC$214+CC$215+CC$222-CC$216-CC$252-CC$268,2)</f>
        <v>0</v>
      </c>
      <c r="CD269" s="54" t="n">
        <f aca="false">ROUND(CD$258+CD$213+CD$214+CD$215+CD$222-CD$216-CD$252-CD$268,2)</f>
        <v>0</v>
      </c>
      <c r="CE269" s="54" t="n">
        <f aca="false">ROUND(CE$258+CE$213+CE$214+CE$215+CE$222-CE$216-CE$252-CE$268,2)</f>
        <v>0</v>
      </c>
      <c r="CF269" s="54" t="n">
        <f aca="false">ROUND(CF$258+CF$213+CF$214+CF$215+CF$222-CF$216-CF$252-CF$268,2)</f>
        <v>0</v>
      </c>
      <c r="CG269" s="54" t="n">
        <f aca="false">ROUND(CG$258+CG$213+CG$214+CG$215+CG$222-CG$216-CG$252-CG$268,2)</f>
        <v>0</v>
      </c>
      <c r="CH269" s="54" t="n">
        <f aca="false">ROUND(CH$258+CH$213+CH$214+CH$215+CH$222-CH$216-CH$252-CH$268,2)</f>
        <v>0</v>
      </c>
      <c r="CI269" s="54" t="n">
        <f aca="false">ROUND(CI$258+CI$213+CI$214+CI$215+CI$222-CI$216-CI$252-CI$268,2)</f>
        <v>0</v>
      </c>
      <c r="CJ269" s="54" t="n">
        <f aca="false">ROUND(CJ$258+CJ$213+CJ$214+CJ$215+CJ$222-CJ$216-CJ$252-CJ$268,2)</f>
        <v>0</v>
      </c>
      <c r="CK269" s="54" t="n">
        <f aca="false">ROUND(CK$258+CK$213+CK$214+CK$215+CK$222-CK$216-CK$252-CK$268,2)</f>
        <v>0</v>
      </c>
      <c r="CL269" s="54" t="n">
        <f aca="false">ROUND(CL$258+CL$213+CL$214+CL$215+CL$222-CL$216-CL$252-CL$268,2)</f>
        <v>0</v>
      </c>
      <c r="CM269" s="54" t="n">
        <f aca="false">ROUND(CM$258+CM$213+CM$214+CM$215+CM$222-CM$216-CM$252-CM$268,2)</f>
        <v>0</v>
      </c>
      <c r="CN269" s="54" t="n">
        <f aca="false">ROUND(CN$258+CN$213+CN$214+CN$215+CN$222-CN$216-CN$252-CN$268,2)</f>
        <v>0</v>
      </c>
      <c r="CO269" s="54" t="n">
        <f aca="false">ROUND(CO$258+CO$213+CO$214+CO$215+CO$222-CO$216-CO$252-CO$268,2)</f>
        <v>0</v>
      </c>
      <c r="CP269" s="54" t="n">
        <f aca="false">ROUND(CP$258+CP$213+CP$214+CP$215+CP$222-CP$216-CP$252-CP$268,2)</f>
        <v>0</v>
      </c>
      <c r="CQ269" s="54" t="n">
        <f aca="false">ROUND(CQ$258+CQ$213+CQ$214+CQ$215+CQ$222-CQ$216-CQ$252-CQ$268,2)</f>
        <v>0</v>
      </c>
      <c r="CR269" s="54" t="n">
        <f aca="false">ROUND(CR$258+CR$213+CR$214+CR$215+CR$222-CR$216-CR$252-CR$268,2)</f>
        <v>0</v>
      </c>
      <c r="CS269" s="54" t="n">
        <f aca="false">ROUND(CS$258+CS$213+CS$214+CS$215+CS$222-CS$216-CS$252-CS$268,2)</f>
        <v>0</v>
      </c>
      <c r="CT269" s="54" t="n">
        <f aca="false">ROUND(CT$258+CT$213+CT$214+CT$215+CT$222-CT$216-CT$252-CT$268,2)</f>
        <v>0</v>
      </c>
      <c r="CU269" s="54" t="n">
        <f aca="false">ROUND(CU$258+CU$213+CU$214+CU$215+CU$222-CU$216-CU$252-CU$268,2)</f>
        <v>0</v>
      </c>
      <c r="CV269" s="54" t="n">
        <f aca="false">ROUND(CV$258+CV$213+CV$214+CV$215+CV$222-CV$216-CV$252-CV$268,2)</f>
        <v>0</v>
      </c>
      <c r="CW269" s="54" t="n">
        <f aca="false">ROUND(CW$258+CW$213+CW$214+CW$215+CW$222-CW$216-CW$252-CW$268,2)</f>
        <v>0</v>
      </c>
      <c r="CX269" s="54" t="n">
        <f aca="false">ROUND(CX$258+CX$213+CX$214+CX$215+CX$222-CX$216-CX$252-CX$268,2)</f>
        <v>0</v>
      </c>
      <c r="CY269" s="54" t="n">
        <f aca="false">ROUND(CY$258+CY$213+CY$214+CY$215+CY$222-CY$216-CY$252-CY$268,2)</f>
        <v>0</v>
      </c>
      <c r="CZ269" s="54" t="n">
        <f aca="false">ROUND(CZ$258+CZ$213+CZ$214+CZ$215+CZ$222-CZ$216-CZ$252-CZ$268,2)</f>
        <v>0</v>
      </c>
      <c r="DA269" s="54" t="n">
        <f aca="false">ROUND(DA$258+DA$213+DA$214+DA$215+DA$222-DA$216-DA$252-DA$268,2)</f>
        <v>0</v>
      </c>
      <c r="DB269" s="54" t="n">
        <f aca="false">ROUND(DB$258+DB$213+DB$214+DB$215+DB$222-DB$216-DB$252-DB$268,2)</f>
        <v>0</v>
      </c>
      <c r="DC269" s="54" t="n">
        <f aca="false">ROUND(DC$258+DC$213+DC$214+DC$215+DC$222-DC$216-DC$252-DC$268,2)</f>
        <v>0</v>
      </c>
      <c r="DD269" s="54" t="n">
        <f aca="false">ROUND(DD$258+DD$213+DD$214+DD$215+DD$222-DD$216-DD$252-DD$268,2)</f>
        <v>0</v>
      </c>
      <c r="DE269" s="54" t="n">
        <f aca="false">ROUND(DE$258+DE$213+DE$214+DE$215+DE$222-DE$216-DE$252-DE$268,2)</f>
        <v>0</v>
      </c>
      <c r="DF269" s="54" t="n">
        <f aca="false">ROUND(DF$258+DF$213+DF$214+DF$215+DF$222-DF$216-DF$252-DF$268,2)</f>
        <v>0</v>
      </c>
      <c r="DG269" s="54" t="n">
        <f aca="false">ROUND(DG$258+DG$213+DG$214+DG$215+DG$222-DG$216-DG$252-DG$268,2)</f>
        <v>0</v>
      </c>
      <c r="DH269" s="54" t="n">
        <f aca="false">ROUND(DH$258+DH$213+DH$214+DH$215+DH$222-DH$216-DH$252-DH$268,2)</f>
        <v>0</v>
      </c>
      <c r="DI269" s="54" t="n">
        <f aca="false">ROUND(DI$258+DI$213+DI$214+DI$215+DI$222-DI$216-DI$252-DI$268,2)</f>
        <v>0</v>
      </c>
      <c r="DJ269" s="54" t="n">
        <f aca="false">ROUND(DJ$258+DJ$213+DJ$214+DJ$215+DJ$222-DJ$216-DJ$252-DJ$268,2)</f>
        <v>0</v>
      </c>
      <c r="DK269" s="54" t="n">
        <f aca="false">ROUND(DK$258+DK$213+DK$214+DK$215+DK$222-DK$216-DK$252-DK$268,2)</f>
        <v>0</v>
      </c>
      <c r="DL269" s="54" t="n">
        <f aca="false">ROUND(DL$258+DL$213+DL$214+DL$215+DL$222-DL$216-DL$252-DL$268,2)</f>
        <v>0</v>
      </c>
      <c r="DM269" s="54" t="n">
        <f aca="false">ROUND(DM$258+DM$213+DM$214+DM$215+DM$222-DM$216-DM$252-DM$268,2)</f>
        <v>0</v>
      </c>
      <c r="DN269" s="54" t="n">
        <f aca="false">ROUND(DN$258+DN$213+DN$214+DN$215+DN$222-DN$216-DN$252-DN$268,2)</f>
        <v>0</v>
      </c>
      <c r="DO269" s="54" t="n">
        <f aca="false">ROUND(DO$258+DO$213+DO$214+DO$215+DO$222-DO$216-DO$252-DO$268,2)</f>
        <v>0</v>
      </c>
      <c r="DP269" s="54" t="n">
        <f aca="false">ROUND(DP$258+DP$213+DP$214+DP$215+DP$222-DP$216-DP$252-DP$268,2)</f>
        <v>0</v>
      </c>
      <c r="DQ269" s="54" t="n">
        <f aca="false">ROUND(DQ$258+DQ$213+DQ$214+DQ$215+DQ$222-DQ$216-DQ$252-DQ$268,2)</f>
        <v>0</v>
      </c>
      <c r="DR269" s="54" t="n">
        <f aca="false">ROUND(DR$258+DR$213+DR$214+DR$215+DR$222-DR$216-DR$252-DR$268,2)</f>
        <v>0</v>
      </c>
      <c r="DS269" s="54" t="n">
        <f aca="false">ROUND(DS$258+DS$213+DS$214+DS$215+DS$222-DS$216-DS$252-DS$268,2)</f>
        <v>0</v>
      </c>
      <c r="DT269" s="54" t="n">
        <f aca="false">ROUND(DT$258+DT$213+DT$214+DT$215+DT$222-DT$216-DT$252-DT$268,2)</f>
        <v>0</v>
      </c>
      <c r="DU269" s="54" t="n">
        <f aca="false">ROUND(DU$258+DU$213+DU$214+DU$215+DU$222-DU$216-DU$252-DU$268,2)</f>
        <v>0</v>
      </c>
      <c r="DV269" s="54" t="n">
        <f aca="false">ROUND(DV$258+DV$213+DV$214+DV$215+DV$222-DV$216-DV$252-DV$268,2)</f>
        <v>0</v>
      </c>
      <c r="DW269" s="54" t="n">
        <f aca="false">ROUND(DW$258+DW$213+DW$214+DW$215+DW$222-DW$216-DW$252-DW$268,2)</f>
        <v>0</v>
      </c>
      <c r="DX269" s="54" t="n">
        <f aca="false">ROUND(DX$258+DX$213+DX$214+DX$215+DX$222-DX$216-DX$252-DX$268,2)</f>
        <v>0</v>
      </c>
      <c r="DY269" s="54" t="n">
        <f aca="false">ROUND(DY$258+DY$213+DY$214+DY$215+DY$222-DY$216-DY$252-DY$268,2)</f>
        <v>0</v>
      </c>
      <c r="DZ269" s="54" t="n">
        <f aca="false">ROUND(DZ$258+DZ$213+DZ$214+DZ$215+DZ$222-DZ$216-DZ$252-DZ$268,2)</f>
        <v>0</v>
      </c>
      <c r="EA269" s="54" t="n">
        <f aca="false">ROUND(EA$258+EA$213+EA$214+EA$215+EA$222-EA$216-EA$252-EA$268,2)</f>
        <v>0</v>
      </c>
      <c r="EB269" s="54" t="n">
        <f aca="false">ROUND(EB$258+EB$213+EB$214+EB$215+EB$222-EB$216-EB$252-EB$268,2)</f>
        <v>0</v>
      </c>
      <c r="EC269" s="54" t="n">
        <f aca="false">ROUND(EC$258+EC$213+EC$214+EC$215+EC$222-EC$216-EC$252-EC$268,2)</f>
        <v>0</v>
      </c>
      <c r="ED269" s="54" t="n">
        <f aca="false">ROUND(ED$258+ED$213+ED$214+ED$215+ED$222-ED$216-ED$252-ED$268,2)</f>
        <v>0</v>
      </c>
      <c r="EE269" s="54" t="n">
        <f aca="false">ROUND(EE$258+EE$213+EE$214+EE$215+EE$222-EE$216-EE$252-EE$268,2)</f>
        <v>0</v>
      </c>
      <c r="EF269" s="54" t="n">
        <f aca="false">ROUND(EF$258+EF$213+EF$214+EF$215+EF$222-EF$216-EF$252-EF$268,2)</f>
        <v>0</v>
      </c>
      <c r="EG269" s="54" t="n">
        <f aca="false">ROUND(EG$258+EG$213+EG$214+EG$215+EG$222-EG$216-EG$252-EG$268,2)</f>
        <v>0</v>
      </c>
      <c r="EH269" s="54" t="n">
        <f aca="false">ROUND(EH$258+EH$213+EH$214+EH$215+EH$222-EH$216-EH$252-EH$268,2)</f>
        <v>0</v>
      </c>
      <c r="EI269" s="54" t="n">
        <f aca="false">ROUND(EI$258+EI$213+EI$214+EI$215+EI$222-EI$216-EI$252-EI$268,2)</f>
        <v>0</v>
      </c>
      <c r="EJ269" s="54" t="n">
        <f aca="false">ROUND(EJ$258+EJ$213+EJ$214+EJ$215+EJ$222-EJ$216-EJ$252-EJ$268,2)</f>
        <v>0</v>
      </c>
      <c r="EK269" s="54" t="n">
        <f aca="false">ROUND(EK$258+EK$213+EK$214+EK$215+EK$222-EK$216-EK$252-EK$268,2)</f>
        <v>0</v>
      </c>
      <c r="EL269" s="54" t="n">
        <f aca="false">ROUND(EL$258+EL$213+EL$214+EL$215+EL$222-EL$216-EL$252-EL$268,2)</f>
        <v>0</v>
      </c>
      <c r="EM269" s="54" t="n">
        <f aca="false">ROUND(EM$258+EM$213+EM$214+EM$215+EM$222-EM$216-EM$252-EM$268,2)</f>
        <v>0</v>
      </c>
      <c r="EN269" s="54" t="n">
        <f aca="false">ROUND(EN$258+EN$213+EN$214+EN$215+EN$222-EN$216-EN$252-EN$268,2)</f>
        <v>0</v>
      </c>
      <c r="EO269" s="54" t="n">
        <f aca="false">ROUND(EO$258+EO$213+EO$214+EO$215+EO$222-EO$216-EO$252-EO$268,2)</f>
        <v>0</v>
      </c>
      <c r="EP269" s="54" t="n">
        <f aca="false">ROUND(EP$258+EP$213+EP$214+EP$215+EP$222-EP$216-EP$252-EP$268,2)</f>
        <v>0</v>
      </c>
      <c r="EQ269" s="54" t="n">
        <f aca="false">ROUND(EQ$258+EQ$213+EQ$214+EQ$215+EQ$222-EQ$216-EQ$252-EQ$268,2)</f>
        <v>0</v>
      </c>
      <c r="ER269" s="54" t="n">
        <f aca="false">ROUND(ER$258+ER$213+ER$214+ER$215+ER$222-ER$216-ER$252-ER$268,2)</f>
        <v>0</v>
      </c>
      <c r="ES269" s="54" t="n">
        <f aca="false">ROUND(ES$258+ES$213+ES$214+ES$215+ES$222-ES$216-ES$252-ES$268,2)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879</v>
      </c>
    </row>
    <row r="2" customFormat="false" ht="15" hidden="false" customHeight="false" outlineLevel="0" collapsed="false">
      <c r="A2" s="57"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880</v>
      </c>
      <c r="B4" s="4"/>
      <c r="C4" s="4"/>
      <c r="D4" s="4"/>
      <c r="E4" s="4"/>
      <c r="F4" s="4"/>
      <c r="G4" s="4"/>
      <c r="H4" s="4"/>
      <c r="I4" s="4"/>
      <c r="J4" s="4"/>
      <c r="K4" s="4"/>
      <c r="L4" s="4"/>
      <c r="M4" s="4"/>
      <c r="N4" s="4"/>
      <c r="O4" s="4"/>
    </row>
    <row r="5" customFormat="false" ht="30" hidden="false" customHeight="true" outlineLevel="0" collapsed="false">
      <c r="A5" s="5"/>
      <c r="B5" s="5" t="s">
        <v>881</v>
      </c>
      <c r="C5" s="5" t="s">
        <v>36</v>
      </c>
      <c r="D5" s="5" t="s">
        <v>882</v>
      </c>
      <c r="E5" s="5" t="s">
        <v>883</v>
      </c>
      <c r="F5" s="5" t="s">
        <v>46</v>
      </c>
    </row>
    <row r="6" customFormat="false" ht="15" hidden="false" customHeight="false" outlineLevel="0" collapsed="false">
      <c r="B6" s="6" t="s">
        <v>884</v>
      </c>
      <c r="C6" s="58" t="n">
        <f aca="false">SUMIFS(Calculo!$F$45:$ES$45,Calculo!$F$6:$ES$6,1)</f>
        <v>4850000</v>
      </c>
      <c r="D6" s="59" t="n">
        <f aca="false">SUMIFS(Calculo!$F$175:$ES$175,Calculo!$F$6:$ES$6,1)</f>
        <v>4850000</v>
      </c>
      <c r="E6" s="34" t="n">
        <f aca="false">IF(AND(ISNUMBER(C6),ISNUMBER(D6)),D6-C6,"")</f>
        <v>0</v>
      </c>
      <c r="F6" s="2"/>
    </row>
    <row r="7" customFormat="false" ht="15" hidden="false" customHeight="false" outlineLevel="0" collapsed="false">
      <c r="B7" s="6" t="s">
        <v>885</v>
      </c>
      <c r="C7" s="58" t="n">
        <f aca="false">Calculo!$E$45</f>
        <v>81222447.7216454</v>
      </c>
      <c r="D7" s="59" t="n">
        <f aca="false">Calculo!$E$175</f>
        <v>81222447.7216454</v>
      </c>
      <c r="E7" s="34" t="n">
        <f aca="false">IF(AND(ISNUMBER(C7),ISNUMBER(D7)),D7-C7,"")</f>
        <v>0</v>
      </c>
      <c r="F7" s="2"/>
    </row>
    <row r="8" customFormat="false" ht="15" hidden="false" customHeight="false" outlineLevel="0" collapsed="false">
      <c r="B8" s="6" t="s">
        <v>886</v>
      </c>
      <c r="C8" s="58" t="n">
        <f aca="false">SUMIFS(Calculo!$F$76:$ES$76,Calculo!$F$6:$ES$6,1)</f>
        <v>509970.005707077</v>
      </c>
      <c r="D8" s="59" t="n">
        <f aca="false">SUMIFS(Calculo!$F$206:$ES$206,Calculo!$F$6:$ES$6,1)</f>
        <v>509970.005707077</v>
      </c>
      <c r="E8" s="34" t="n">
        <f aca="false">IF(AND(ISNUMBER(C8),ISNUMBER(D8)),D8-C8,"")</f>
        <v>0</v>
      </c>
      <c r="F8" s="2"/>
    </row>
    <row r="9" customFormat="false" ht="15" hidden="false" customHeight="false" outlineLevel="0" collapsed="false">
      <c r="B9" s="6" t="s">
        <v>887</v>
      </c>
      <c r="C9" s="58" t="n">
        <f aca="false">Calculo!$E$76</f>
        <v>16309504.016261</v>
      </c>
      <c r="D9" s="59" t="n">
        <f aca="false">Calculo!$E$206</f>
        <v>16309504.016261</v>
      </c>
      <c r="E9" s="34" t="n">
        <f aca="false">IF(AND(ISNUMBER(C9),ISNUMBER(D9)),D9-C9,"")</f>
        <v>0</v>
      </c>
      <c r="F9" s="2"/>
    </row>
    <row r="10" customFormat="false" ht="15" hidden="false" customHeight="false" outlineLevel="0" collapsed="false">
      <c r="B10" s="6" t="s">
        <v>888</v>
      </c>
      <c r="C10" s="60" t="n">
        <f aca="false">IF(Calculo!$E$45=0,"",Calculo!$E$76/Calculo!$E$45)</f>
        <v>0.200800449552502</v>
      </c>
      <c r="D10" s="61" t="n">
        <f aca="false">IF(Calculo!$E$175=0,"",Calculo!$E$206/Calculo!$E$175)</f>
        <v>0.200800449552502</v>
      </c>
      <c r="E10" s="35" t="n">
        <f aca="false">IF(AND(ISNUMBER(C10),ISNUMBER(D10)),D10-C10,"")</f>
        <v>0</v>
      </c>
      <c r="F10" s="2"/>
    </row>
    <row r="11" customFormat="false" ht="15" hidden="false" customHeight="false" outlineLevel="0" collapsed="false">
      <c r="B11" s="6" t="s">
        <v>889</v>
      </c>
      <c r="C11" s="58" t="n">
        <f aca="false">Calculo!$E$81</f>
        <v>14751245.7980366</v>
      </c>
      <c r="D11" s="59" t="n">
        <f aca="false">Calculo!$E$211</f>
        <v>14751245.7980366</v>
      </c>
      <c r="E11" s="34" t="n">
        <f aca="false">IF(AND(ISNUMBER(C11),ISNUMBER(D11)),D11-C11,"")</f>
        <v>0</v>
      </c>
      <c r="F11" s="2"/>
    </row>
    <row r="12" customFormat="false" ht="15" hidden="false" customHeight="false" outlineLevel="0" collapsed="false">
      <c r="B12" s="6" t="s">
        <v>890</v>
      </c>
      <c r="C12" s="58" t="n">
        <f aca="false">Calculo!$E$91</f>
        <v>755044.09</v>
      </c>
      <c r="D12" s="59" t="n">
        <f aca="false">Calculo!$E$221</f>
        <v>755044.09</v>
      </c>
      <c r="E12" s="34" t="n">
        <f aca="false">IF(AND(ISNUMBER(C12),ISNUMBER(D12)),D12-C12,"")</f>
        <v>0</v>
      </c>
      <c r="F12" s="2" t="s">
        <v>891</v>
      </c>
    </row>
    <row r="13" customFormat="false" ht="15" hidden="false" customHeight="false" outlineLevel="0" collapsed="false">
      <c r="B13" s="6" t="s">
        <v>892</v>
      </c>
      <c r="C13" s="58" t="n">
        <f aca="false">MAX(0,-MIN(Calculo!$F$95:$ES$95))</f>
        <v>3207787.01305363</v>
      </c>
      <c r="D13" s="59" t="n">
        <f aca="false">MAX(0,-MIN(Calculo!$F$225:$ES$225))</f>
        <v>3207787.01305363</v>
      </c>
      <c r="E13" s="34" t="n">
        <f aca="false">IF(AND(ISNUMBER(C13),ISNUMBER(D13)),D13-C13,"")</f>
        <v>0</v>
      </c>
      <c r="F13" s="2" t="s">
        <v>893</v>
      </c>
    </row>
    <row r="14" customFormat="false" ht="15" hidden="false" customHeight="false" outlineLevel="0" collapsed="false">
      <c r="B14" s="6" t="s">
        <v>894</v>
      </c>
      <c r="C14" s="62" t="n">
        <f aca="false">IF(MIN(Calculo!$F$95:$ES$95)&gt;=0,"",MATCH(MIN(Calculo!$F$95:$ES$95),Calculo!$F$95:$ES$95,0))</f>
        <v>13</v>
      </c>
      <c r="D14" s="63" t="n">
        <f aca="false">IF(MIN(Calculo!$F$225:$ES$225)&gt;=0,"",MATCH(MIN(Calculo!$F$225:$ES$225),Calculo!$F$225:$ES$225,0))</f>
        <v>13</v>
      </c>
      <c r="E14" s="19" t="n">
        <f aca="false">IF(AND(ISNUMBER(C14),ISNUMBER(D14)),D14-C14,"")</f>
        <v>0</v>
      </c>
      <c r="F14" s="2"/>
    </row>
    <row r="15" customFormat="false" ht="15" hidden="false" customHeight="false" outlineLevel="0" collapsed="false">
      <c r="B15" s="6" t="s">
        <v>707</v>
      </c>
      <c r="C15" s="58" t="n">
        <f aca="false">Calculo!$E$112</f>
        <v>1139710</v>
      </c>
      <c r="D15" s="59" t="n">
        <f aca="false">Calculo!$E$242</f>
        <v>1139710</v>
      </c>
      <c r="E15" s="34" t="n">
        <f aca="false">IF(AND(ISNUMBER(C15),ISNUMBER(D15)),D15-C15,"")</f>
        <v>0</v>
      </c>
      <c r="F15" s="2"/>
    </row>
    <row r="16" customFormat="false" ht="15" hidden="false" customHeight="false" outlineLevel="0" collapsed="false">
      <c r="B16" s="6" t="s">
        <v>895</v>
      </c>
      <c r="C16" s="58" t="n">
        <f aca="false">Calculo!$E$131</f>
        <v>311740.118672618</v>
      </c>
      <c r="D16" s="59" t="n">
        <f aca="false">Calculo!$E$261</f>
        <v>311740.118672618</v>
      </c>
      <c r="E16" s="34" t="n">
        <f aca="false">IF(AND(ISNUMBER(C16),ISNUMBER(D16)),D16-C16,"")</f>
        <v>0</v>
      </c>
      <c r="F16" s="2" t="s">
        <v>896</v>
      </c>
    </row>
    <row r="17" customFormat="false" ht="15" hidden="false" customHeight="false" outlineLevel="0" collapsed="false">
      <c r="B17" s="6" t="s">
        <v>897</v>
      </c>
      <c r="C17" s="58" t="n">
        <f aca="false">Calculo!$E$122</f>
        <v>2791587</v>
      </c>
      <c r="D17" s="59" t="n">
        <f aca="false">Calculo!$E$252</f>
        <v>2791587</v>
      </c>
      <c r="E17" s="34" t="n">
        <f aca="false">IF(AND(ISNUMBER(C17),ISNUMBER(D17)),D17-C17,"")</f>
        <v>0</v>
      </c>
      <c r="F17" s="2" t="s">
        <v>898</v>
      </c>
    </row>
    <row r="18" customFormat="false" ht="15" hidden="false" customHeight="false" outlineLevel="0" collapsed="false">
      <c r="B18" s="6" t="s">
        <v>899</v>
      </c>
      <c r="C18" s="58" t="n">
        <f aca="false">Calculo!$E$119</f>
        <v>0</v>
      </c>
      <c r="D18" s="59" t="n">
        <f aca="false">Calculo!$E$249</f>
        <v>0</v>
      </c>
      <c r="E18" s="34" t="n">
        <f aca="false">IF(AND(ISNUMBER(C18),ISNUMBER(D18)),D18-C18,"")</f>
        <v>0</v>
      </c>
      <c r="F18" s="2" t="s">
        <v>900</v>
      </c>
    </row>
    <row r="19" customFormat="false" ht="15" hidden="false" customHeight="false" outlineLevel="0" collapsed="false">
      <c r="B19" s="6" t="s">
        <v>901</v>
      </c>
      <c r="C19" s="58" t="n">
        <f aca="false">Calculo!$E$79</f>
        <v>813214.128224454</v>
      </c>
      <c r="D19" s="59" t="n">
        <f aca="false">Calculo!$E$209</f>
        <v>813214.128224454</v>
      </c>
      <c r="E19" s="34" t="n">
        <f aca="false">IF(AND(ISNUMBER(C19),ISNUMBER(D19)),D19-C19,"")</f>
        <v>0</v>
      </c>
      <c r="F19" s="2"/>
    </row>
    <row r="20" customFormat="false" ht="15" hidden="false" customHeight="false" outlineLevel="0" collapsed="false">
      <c r="B20" s="6" t="s">
        <v>902</v>
      </c>
      <c r="C20" s="64" t="n">
        <f aca="false">IF(MAX(Calculo!$F$122:$ES$122)&lt;1,"Sin deuda",IF(INDEX(Calculo!$F$122:$ES$122,1,MIN(144,Fin))&gt;1,"No cancela en el horizonte",(_xlfn.MAXIFS(Calculo!$F$4:$ES$4,Calculo!$F$122:$ES$122,"&gt;1")+1)/12))</f>
        <v>5</v>
      </c>
      <c r="D20" s="65" t="n">
        <f aca="false">IF(MAX(Calculo!$F$252:$ES$252)&lt;1,"Sin deuda",IF(INDEX(Calculo!$F$252:$ES$252,1,MIN(144,Fin))&gt;1,"No cancela en el horizonte",(_xlfn.MAXIFS(Calculo!$F$4:$ES$4,Calculo!$F$252:$ES$252,"&gt;1")+1)/12))</f>
        <v>5</v>
      </c>
      <c r="E20" s="36" t="n">
        <f aca="false">IF(AND(ISNUMBER(C20),ISNUMBER(D20)),D20-C20,"")</f>
        <v>0</v>
      </c>
      <c r="F20" s="2" t="s">
        <v>903</v>
      </c>
    </row>
    <row r="21" customFormat="false" ht="15" hidden="false" customHeight="false" outlineLevel="0" collapsed="false">
      <c r="B21" s="6" t="s">
        <v>904</v>
      </c>
      <c r="C21" s="58" t="n">
        <f aca="false">MIN(Calculo!$F$128:$ES$128)</f>
        <v>-311740.118672618</v>
      </c>
      <c r="D21" s="59" t="n">
        <f aca="false">MIN(Calculo!$F$258:$ES$258)</f>
        <v>-311740.118672618</v>
      </c>
      <c r="E21" s="34" t="n">
        <f aca="false">IF(AND(ISNUMBER(C21),ISNUMBER(D21)),D21-C21,"")</f>
        <v>0</v>
      </c>
      <c r="F21" s="2" t="s">
        <v>905</v>
      </c>
    </row>
    <row r="22" customFormat="false" ht="15" hidden="false" customHeight="false" outlineLevel="0" collapsed="false">
      <c r="B22" s="6" t="s">
        <v>906</v>
      </c>
      <c r="C22" s="58" t="n">
        <f aca="false">Calculo!$E$130</f>
        <v>373700.713193166</v>
      </c>
      <c r="D22" s="59" t="n">
        <f aca="false">Calculo!$E$260</f>
        <v>373700.713193166</v>
      </c>
      <c r="E22" s="34" t="n">
        <f aca="false">IF(AND(ISNUMBER(C22),ISNUMBER(D22)),D22-C22,"")</f>
        <v>0</v>
      </c>
      <c r="F22" s="2" t="s">
        <v>907</v>
      </c>
    </row>
    <row r="23" customFormat="false" ht="15" hidden="false" customHeight="false" outlineLevel="0" collapsed="false">
      <c r="B23" s="6" t="s">
        <v>908</v>
      </c>
      <c r="C23" s="62" t="n">
        <f aca="false">COUNTIF(Calculo!$F$130:$ES$130,"&gt;0.5")</f>
        <v>12</v>
      </c>
      <c r="D23" s="63" t="n">
        <f aca="false">COUNTIF(Calculo!$F$260:$ES$260,"&gt;0.5")</f>
        <v>12</v>
      </c>
      <c r="E23" s="19" t="n">
        <f aca="false">IF(AND(ISNUMBER(C23),ISNUMBER(D23)),D23-C23,"")</f>
        <v>0</v>
      </c>
      <c r="F23" s="2"/>
    </row>
    <row r="24" customFormat="false" ht="15" hidden="false" customHeight="false" outlineLevel="0" collapsed="false">
      <c r="B24" s="6" t="s">
        <v>909</v>
      </c>
      <c r="C24" s="66" t="n">
        <f aca="false">IF(COUNTIFS(D101:O101,"&gt;1",D69:O69,"&gt;="&amp;(ROUNDUP(P_Inicio/12,0)+1))=0,"Sin deuda",_xlfn.MINIFS(D102:O102,D101:O101,"&gt;1",D69:O69,"&gt;="&amp;(ROUNDUP(P_Inicio/12,0)+1)))</f>
        <v>0.399863944695061</v>
      </c>
      <c r="D24" s="67" t="n">
        <f aca="false">IF(COUNTIFS(D67:O67,"&gt;1",D69:O69,"&gt;="&amp;(ROUNDUP(V_Inicio/12,0)+1))=0,"Sin deuda",_xlfn.MINIFS(D68:O68,D67:O67,"&gt;1",D69:O69,"&gt;="&amp;(ROUNDUP(V_Inicio/12,0)+1)))</f>
        <v>0.399863944695061</v>
      </c>
      <c r="E24" s="68" t="n">
        <f aca="false">IF(AND(ISNUMBER(C24),ISNUMBER(D24)),D24-C24,"")</f>
        <v>0</v>
      </c>
      <c r="F24" s="2" t="s">
        <v>910</v>
      </c>
    </row>
    <row r="25" customFormat="false" ht="15" hidden="false" customHeight="false" outlineLevel="0" collapsed="false">
      <c r="B25" s="6" t="s">
        <v>911</v>
      </c>
      <c r="C25" s="58" t="n">
        <f aca="false">SUMPRODUCT(Calculo!$F$94:$ES$94,Calculo!$F$133:$ES$133)</f>
        <v>6989921.75871111</v>
      </c>
      <c r="D25" s="59" t="n">
        <f aca="false">SUMPRODUCT(Calculo!$F$224:$ES$224,Calculo!$F$263:$ES$263)</f>
        <v>6989921.75871111</v>
      </c>
      <c r="E25" s="34" t="n">
        <f aca="false">IF(AND(ISNUMBER(C25),ISNUMBER(D25)),D25-C25,"")</f>
        <v>0</v>
      </c>
      <c r="F25" s="2" t="s">
        <v>912</v>
      </c>
    </row>
    <row r="26" customFormat="false" ht="15" hidden="false" customHeight="false" outlineLevel="0" collapsed="false">
      <c r="B26" s="6" t="s">
        <v>913</v>
      </c>
      <c r="C26" s="69" t="n">
        <f aca="false">IF(COUNTIF(Calculo!$F$94:$ES$94,"&lt;0")=0,"No existe",IF(COUNTIF(Calculo!$F$94:$ES$94,"&gt;0")=0,"No existe",IFERROR((1+IRR(Calculo!$F$94:$ES$94,0.01))^12-1,IFERROR((1+IRR(Calculo!$F$94:$ES$94,-0.01))^12-1,"No converge"))))</f>
        <v>0.349257269740243</v>
      </c>
      <c r="D26" s="70" t="n">
        <f aca="false">IF(COUNTIF(Calculo!$F$224:$ES$224,"&lt;0")=0,"No existe",IF(COUNTIF(Calculo!$F$224:$ES$224,"&gt;0")=0,"No existe",IFERROR((1+IRR(Calculo!$F$224:$ES$224,0.01))^12-1,IFERROR((1+IRR(Calculo!$F$224:$ES$224,-0.01))^12-1,"No converge"))))</f>
        <v>0.349257269740243</v>
      </c>
      <c r="E26" s="33" t="n">
        <f aca="false">IF(AND(ISNUMBER(C26),ISNUMBER(D26)),D26-C26,"")</f>
        <v>0</v>
      </c>
      <c r="F26" s="2"/>
    </row>
    <row r="27" customFormat="false" ht="15" hidden="false" customHeight="false" outlineLevel="0" collapsed="false">
      <c r="B27" s="6" t="s">
        <v>914</v>
      </c>
      <c r="C27" s="58" t="n">
        <f aca="false">SUMPRODUCT(Calculo!$F$135:$ES$135,Calculo!$F$134:$ES$134)</f>
        <v>3695678.09104638</v>
      </c>
      <c r="D27" s="59" t="n">
        <f aca="false">SUMPRODUCT(Calculo!$F$265:$ES$265,Calculo!$F$264:$ES$264)</f>
        <v>3695678.09104638</v>
      </c>
      <c r="E27" s="34" t="n">
        <f aca="false">IF(AND(ISNUMBER(C27),ISNUMBER(D27)),D27-C27,"")</f>
        <v>0</v>
      </c>
      <c r="F27" s="2" t="s">
        <v>915</v>
      </c>
    </row>
    <row r="28" customFormat="false" ht="15" hidden="false" customHeight="false" outlineLevel="0" collapsed="false">
      <c r="B28" s="6" t="s">
        <v>916</v>
      </c>
      <c r="C28" s="69" t="n">
        <f aca="false">IF(COUNTIF(Calculo!$F$135:$ES$135,"&lt;0")=0,"No existe",IF(COUNTIF(Calculo!$F$135:$ES$135,"&gt;0")=0,"No existe",IFERROR((1+IRR(Calculo!$F$135:$ES$135,0.01))^12-1,IFERROR((1+IRR(Calculo!$F$135:$ES$135,-0.01))^12-1,"No converge"))))</f>
        <v>0.436297177538501</v>
      </c>
      <c r="D28" s="70" t="n">
        <f aca="false">IF(COUNTIF(Calculo!$F$265:$ES$265,"&lt;0")=0,"No existe",IF(COUNTIF(Calculo!$F$265:$ES$265,"&gt;0")=0,"No existe",IFERROR((1+IRR(Calculo!$F$265:$ES$265,0.01))^12-1,IFERROR((1+IRR(Calculo!$F$265:$ES$265,-0.01))^12-1,"No converge"))))</f>
        <v>0.436297177538501</v>
      </c>
      <c r="E28" s="33" t="n">
        <f aca="false">IF(AND(ISNUMBER(C28),ISNUMBER(D28)),D28-C28,"")</f>
        <v>0</v>
      </c>
      <c r="F28" s="2"/>
    </row>
    <row r="29" customFormat="false" ht="15" hidden="false" customHeight="false" outlineLevel="0" collapsed="false">
      <c r="B29" s="6" t="s">
        <v>917</v>
      </c>
      <c r="C29" s="64" t="n">
        <f aca="false">IF(MAX(Calculo!$F$137:$ES$137)=0,"No recupera",MAX(Calculo!$F$137:$ES$137)/12)</f>
        <v>4.12764300579957</v>
      </c>
      <c r="D29" s="65" t="n">
        <f aca="false">IF(MAX(Calculo!$F$267:$ES$267)=0,"No recupera",MAX(Calculo!$F$267:$ES$267)/12)</f>
        <v>4.12764300579957</v>
      </c>
      <c r="E29" s="36" t="n">
        <f aca="false">IF(AND(ISNUMBER(C29),ISNUMBER(D29)),D29-C29,"")</f>
        <v>0</v>
      </c>
      <c r="F29" s="2"/>
    </row>
    <row r="30" customFormat="false" ht="15" hidden="false" customHeight="false" outlineLevel="0" collapsed="false">
      <c r="B30" s="6" t="s">
        <v>918</v>
      </c>
      <c r="C30" s="64" t="n">
        <f aca="false">Calculo!$E$139</f>
        <v>0</v>
      </c>
      <c r="D30" s="65" t="n">
        <f aca="false">Calculo!$E$269</f>
        <v>0</v>
      </c>
      <c r="E30" s="36" t="n">
        <f aca="false">IF(AND(ISNUMBER(C30),ISNUMBER(D30)),D30-C30,"")</f>
        <v>0</v>
      </c>
      <c r="F30" s="2"/>
    </row>
    <row r="32" customFormat="false" ht="15" hidden="false" customHeight="false" outlineLevel="0" collapsed="false">
      <c r="B32" s="2" t="s">
        <v>919</v>
      </c>
      <c r="C32" s="34" t="n">
        <f aca="false">IF(pub_VAN="","",pub_VAN)</f>
        <v>4588736</v>
      </c>
      <c r="D32" s="33" t="n">
        <f aca="false">IF(pub_TIR="","",pub_TIR)</f>
        <v>0.2261</v>
      </c>
      <c r="F32" s="2" t="s">
        <v>920</v>
      </c>
    </row>
    <row r="34" customFormat="false" ht="15" hidden="false" customHeight="false" outlineLevel="0" collapsed="false">
      <c r="A34" s="3" t="s">
        <v>921</v>
      </c>
      <c r="B34" s="4"/>
      <c r="C34" s="4"/>
      <c r="D34" s="4"/>
      <c r="E34" s="4"/>
      <c r="F34" s="4"/>
      <c r="G34" s="4"/>
      <c r="H34" s="4"/>
      <c r="I34" s="4"/>
      <c r="J34" s="4"/>
      <c r="K34" s="4"/>
      <c r="L34" s="4"/>
      <c r="M34" s="4"/>
      <c r="N34" s="4"/>
      <c r="O34" s="4"/>
    </row>
    <row r="35" customFormat="false" ht="15" hidden="false" customHeight="false" outlineLevel="0" collapsed="false">
      <c r="A35" s="5"/>
      <c r="B35" s="5" t="s">
        <v>922</v>
      </c>
      <c r="C35" s="5" t="s">
        <v>291</v>
      </c>
      <c r="D35" s="5" t="s">
        <v>194</v>
      </c>
      <c r="E35" s="5" t="s">
        <v>195</v>
      </c>
      <c r="F35" s="5" t="s">
        <v>196</v>
      </c>
      <c r="G35" s="5" t="s">
        <v>197</v>
      </c>
      <c r="H35" s="5" t="s">
        <v>198</v>
      </c>
      <c r="I35" s="5" t="s">
        <v>199</v>
      </c>
      <c r="J35" s="5" t="s">
        <v>200</v>
      </c>
      <c r="K35" s="5" t="s">
        <v>201</v>
      </c>
      <c r="L35" s="5" t="s">
        <v>202</v>
      </c>
      <c r="M35" s="5" t="s">
        <v>203</v>
      </c>
      <c r="N35" s="5" t="s">
        <v>923</v>
      </c>
      <c r="O35" s="5" t="s">
        <v>924</v>
      </c>
    </row>
    <row r="36" customFormat="false" ht="15" hidden="false" customHeight="false" outlineLevel="0" collapsed="false">
      <c r="B36" s="2" t="s">
        <v>925</v>
      </c>
      <c r="D36" s="71" t="str">
        <f aca="false">IF(Corte&gt;=12,"Real",IF(Corte&gt;0,"Real+Proy.","Proyección"))</f>
        <v>Proyección</v>
      </c>
      <c r="E36" s="71" t="str">
        <f aca="false">IF(Corte&gt;=24,"Real",IF(Corte&gt;12,"Real+Proy.","Proyección"))</f>
        <v>Proyección</v>
      </c>
      <c r="F36" s="71" t="str">
        <f aca="false">IF(Corte&gt;=36,"Real",IF(Corte&gt;24,"Real+Proy.","Proyección"))</f>
        <v>Proyección</v>
      </c>
      <c r="G36" s="71" t="str">
        <f aca="false">IF(Corte&gt;=48,"Real",IF(Corte&gt;36,"Real+Proy.","Proyección"))</f>
        <v>Proyección</v>
      </c>
      <c r="H36" s="71" t="str">
        <f aca="false">IF(Corte&gt;=60,"Real",IF(Corte&gt;48,"Real+Proy.","Proyección"))</f>
        <v>Proyección</v>
      </c>
      <c r="I36" s="71" t="str">
        <f aca="false">IF(Corte&gt;=72,"Real",IF(Corte&gt;60,"Real+Proy.","Proyección"))</f>
        <v>Proyección</v>
      </c>
      <c r="J36" s="71" t="str">
        <f aca="false">IF(Corte&gt;=84,"Real",IF(Corte&gt;72,"Real+Proy.","Proyección"))</f>
        <v>Proyección</v>
      </c>
      <c r="K36" s="71" t="str">
        <f aca="false">IF(Corte&gt;=96,"Real",IF(Corte&gt;84,"Real+Proy.","Proyección"))</f>
        <v>Proyección</v>
      </c>
      <c r="L36" s="71" t="str">
        <f aca="false">IF(Corte&gt;=108,"Real",IF(Corte&gt;96,"Real+Proy.","Proyección"))</f>
        <v>Proyección</v>
      </c>
      <c r="M36" s="71" t="str">
        <f aca="false">IF(Corte&gt;=120,"Real",IF(Corte&gt;108,"Real+Proy.","Proyección"))</f>
        <v>Proyección</v>
      </c>
      <c r="N36" s="71" t="str">
        <f aca="false">IF(Corte&gt;=132,"Real",IF(Corte&gt;120,"Real+Proy.","Proyección"))</f>
        <v>Proyección</v>
      </c>
      <c r="O36" s="71" t="str">
        <f aca="false">IF(Corte&gt;=144,"Real",IF(Corte&gt;132,"Real+Proy.","Proyección"))</f>
        <v>Proyección</v>
      </c>
    </row>
    <row r="37" customFormat="false" ht="15" hidden="false" customHeight="false" outlineLevel="0" collapsed="false">
      <c r="B37" s="2" t="s">
        <v>926</v>
      </c>
      <c r="D37" s="72" t="str">
        <f aca="false">IF(n_Fecha1="","",YEAR(EOMONTH(n_Fecha1,0)))</f>
        <v/>
      </c>
      <c r="E37" s="72" t="str">
        <f aca="false">IF(n_Fecha1="","",YEAR(EOMONTH(n_Fecha1,12)))</f>
        <v/>
      </c>
      <c r="F37" s="72" t="str">
        <f aca="false">IF(n_Fecha1="","",YEAR(EOMONTH(n_Fecha1,24)))</f>
        <v/>
      </c>
      <c r="G37" s="72" t="str">
        <f aca="false">IF(n_Fecha1="","",YEAR(EOMONTH(n_Fecha1,36)))</f>
        <v/>
      </c>
      <c r="H37" s="72" t="str">
        <f aca="false">IF(n_Fecha1="","",YEAR(EOMONTH(n_Fecha1,48)))</f>
        <v/>
      </c>
      <c r="I37" s="72" t="str">
        <f aca="false">IF(n_Fecha1="","",YEAR(EOMONTH(n_Fecha1,60)))</f>
        <v/>
      </c>
      <c r="J37" s="72" t="str">
        <f aca="false">IF(n_Fecha1="","",YEAR(EOMONTH(n_Fecha1,72)))</f>
        <v/>
      </c>
      <c r="K37" s="72" t="str">
        <f aca="false">IF(n_Fecha1="","",YEAR(EOMONTH(n_Fecha1,84)))</f>
        <v/>
      </c>
      <c r="L37" s="72" t="str">
        <f aca="false">IF(n_Fecha1="","",YEAR(EOMONTH(n_Fecha1,96)))</f>
        <v/>
      </c>
      <c r="M37" s="72" t="str">
        <f aca="false">IF(n_Fecha1="","",YEAR(EOMONTH(n_Fecha1,108)))</f>
        <v/>
      </c>
      <c r="N37" s="72" t="str">
        <f aca="false">IF(n_Fecha1="","",YEAR(EOMONTH(n_Fecha1,120)))</f>
        <v/>
      </c>
      <c r="O37" s="72" t="str">
        <f aca="false">IF(n_Fecha1="","",YEAR(EOMONTH(n_Fecha1,132)))</f>
        <v/>
      </c>
    </row>
    <row r="38" customFormat="false" ht="15" hidden="false" customHeight="false" outlineLevel="0" collapsed="false">
      <c r="A38" s="2" t="s">
        <v>927</v>
      </c>
      <c r="B38" s="52" t="s">
        <v>248</v>
      </c>
      <c r="C38" s="40" t="n">
        <f aca="false">SUM(D38:O38)</f>
        <v>81222447.7216454</v>
      </c>
      <c r="D38" s="10" t="n">
        <f aca="false">SUMIFS(Calculo!$F$175:$ES$175,Calculo!$F$6:$ES$6,1)</f>
        <v>4850000</v>
      </c>
      <c r="E38" s="10" t="n">
        <f aca="false">SUMIFS(Calculo!$F$175:$ES$175,Calculo!$F$6:$ES$6,2)</f>
        <v>6181200</v>
      </c>
      <c r="F38" s="10" t="n">
        <f aca="false">SUMIFS(Calculo!$F$175:$ES$175,Calculo!$F$6:$ES$6,3)</f>
        <v>7538539</v>
      </c>
      <c r="G38" s="10" t="n">
        <f aca="false">SUMIFS(Calculo!$F$175:$ES$175,Calculo!$F$6:$ES$6,4)</f>
        <v>8685437.43</v>
      </c>
      <c r="H38" s="10" t="n">
        <f aca="false">SUMIFS(Calculo!$F$175:$ES$175,Calculo!$F$6:$ES$6,5)</f>
        <v>8772291.8043</v>
      </c>
      <c r="I38" s="10" t="n">
        <f aca="false">SUMIFS(Calculo!$F$175:$ES$175,Calculo!$F$6:$ES$6,6)</f>
        <v>8860014.722343</v>
      </c>
      <c r="J38" s="10" t="n">
        <f aca="false">SUMIFS(Calculo!$F$175:$ES$175,Calculo!$F$6:$ES$6,7)</f>
        <v>8948614.86956643</v>
      </c>
      <c r="K38" s="10" t="n">
        <f aca="false">SUMIFS(Calculo!$F$175:$ES$175,Calculo!$F$6:$ES$6,8)</f>
        <v>9038101.01826209</v>
      </c>
      <c r="L38" s="10" t="n">
        <f aca="false">SUMIFS(Calculo!$F$175:$ES$175,Calculo!$F$6:$ES$6,9)</f>
        <v>9128482.02844472</v>
      </c>
      <c r="M38" s="10" t="n">
        <f aca="false">SUMIFS(Calculo!$F$175:$ES$175,Calculo!$F$6:$ES$6,10)</f>
        <v>9219766.84872916</v>
      </c>
      <c r="N38" s="10" t="n">
        <f aca="false">SUMIFS(Calculo!$F$175:$ES$175,Calculo!$F$6:$ES$6,11)</f>
        <v>0</v>
      </c>
      <c r="O38" s="10" t="n">
        <f aca="false">SUMIFS(Calculo!$F$175:$ES$175,Calculo!$F$6:$ES$6,12)</f>
        <v>0</v>
      </c>
    </row>
    <row r="39" customFormat="false" ht="15" hidden="false" customHeight="false" outlineLevel="0" collapsed="false">
      <c r="A39" s="2" t="s">
        <v>928</v>
      </c>
      <c r="B39" s="6" t="s">
        <v>625</v>
      </c>
      <c r="C39" s="40" t="n">
        <f aca="false">SUM(D39:O39)</f>
        <v>39318093.38356</v>
      </c>
      <c r="D39" s="34" t="n">
        <f aca="false">SUMIFS(Calculo!$F$197:$ES$197,Calculo!$F$6:$ES$6,1)</f>
        <v>2390070</v>
      </c>
      <c r="E39" s="34" t="n">
        <f aca="false">SUMIFS(Calculo!$F$197:$ES$197,Calculo!$F$6:$ES$6,2)</f>
        <v>3037306.5</v>
      </c>
      <c r="F39" s="34" t="n">
        <f aca="false">SUMIFS(Calculo!$F$197:$ES$197,Calculo!$F$6:$ES$6,3)</f>
        <v>3692696.28</v>
      </c>
      <c r="G39" s="34" t="n">
        <f aca="false">SUMIFS(Calculo!$F$197:$ES$197,Calculo!$F$6:$ES$6,4)</f>
        <v>4231505.57985</v>
      </c>
      <c r="H39" s="34" t="n">
        <f aca="false">SUMIFS(Calculo!$F$197:$ES$197,Calculo!$F$6:$ES$6,5)</f>
        <v>4258549.4356485</v>
      </c>
      <c r="I39" s="34" t="n">
        <f aca="false">SUMIFS(Calculo!$F$197:$ES$197,Calculo!$F$6:$ES$6,6)</f>
        <v>4285863.73000499</v>
      </c>
      <c r="J39" s="34" t="n">
        <f aca="false">SUMIFS(Calculo!$F$197:$ES$197,Calculo!$F$6:$ES$6,7)</f>
        <v>4313451.16730504</v>
      </c>
      <c r="K39" s="34" t="n">
        <f aca="false">SUMIFS(Calculo!$F$197:$ES$197,Calculo!$F$6:$ES$6,8)</f>
        <v>4341314.47897808</v>
      </c>
      <c r="L39" s="34" t="n">
        <f aca="false">SUMIFS(Calculo!$F$197:$ES$197,Calculo!$F$6:$ES$6,9)</f>
        <v>4369456.42376787</v>
      </c>
      <c r="M39" s="34" t="n">
        <f aca="false">SUMIFS(Calculo!$F$197:$ES$197,Calculo!$F$6:$ES$6,10)</f>
        <v>4397879.78800555</v>
      </c>
      <c r="N39" s="34" t="n">
        <f aca="false">SUMIFS(Calculo!$F$197:$ES$197,Calculo!$F$6:$ES$6,11)</f>
        <v>0</v>
      </c>
      <c r="O39" s="34" t="n">
        <f aca="false">SUMIFS(Calculo!$F$197:$ES$197,Calculo!$F$6:$ES$6,12)</f>
        <v>0</v>
      </c>
    </row>
    <row r="40" customFormat="false" ht="15" hidden="false" customHeight="false" outlineLevel="0" collapsed="false">
      <c r="A40" s="2" t="s">
        <v>929</v>
      </c>
      <c r="B40" s="6" t="s">
        <v>627</v>
      </c>
      <c r="C40" s="40" t="n">
        <f aca="false">SUM(D40:O40)</f>
        <v>10172052.5275746</v>
      </c>
      <c r="D40" s="34" t="n">
        <f aca="false">SUMIFS(Calculo!$F$198:$ES$198,Calculo!$F$6:$ES$6,1)</f>
        <v>635639.583055655</v>
      </c>
      <c r="E40" s="34" t="n">
        <f aca="false">SUMIFS(Calculo!$F$198:$ES$198,Calculo!$F$6:$ES$6,2)</f>
        <v>802571.522045655</v>
      </c>
      <c r="F40" s="34" t="n">
        <f aca="false">SUMIFS(Calculo!$F$198:$ES$198,Calculo!$F$6:$ES$6,3)</f>
        <v>970173.181376907</v>
      </c>
      <c r="G40" s="34" t="n">
        <f aca="false">SUMIFS(Calculo!$F$198:$ES$198,Calculo!$F$6:$ES$6,4)</f>
        <v>1105264.93508943</v>
      </c>
      <c r="H40" s="34" t="n">
        <f aca="false">SUMIFS(Calculo!$F$198:$ES$198,Calculo!$F$6:$ES$6,5)</f>
        <v>1106743.50819138</v>
      </c>
      <c r="I40" s="34" t="n">
        <f aca="false">SUMIFS(Calculo!$F$198:$ES$198,Calculo!$F$6:$ES$6,6)</f>
        <v>1107923.80288369</v>
      </c>
      <c r="J40" s="34" t="n">
        <f aca="false">SUMIFS(Calculo!$F$198:$ES$198,Calculo!$F$6:$ES$6,7)</f>
        <v>1109115.90052291</v>
      </c>
      <c r="K40" s="34" t="n">
        <f aca="false">SUMIFS(Calculo!$F$198:$ES$198,Calculo!$F$6:$ES$6,8)</f>
        <v>1110319.91913853</v>
      </c>
      <c r="L40" s="34" t="n">
        <f aca="false">SUMIFS(Calculo!$F$198:$ES$198,Calculo!$F$6:$ES$6,9)</f>
        <v>1111535.9779403</v>
      </c>
      <c r="M40" s="34" t="n">
        <f aca="false">SUMIFS(Calculo!$F$198:$ES$198,Calculo!$F$6:$ES$6,10)</f>
        <v>1112764.19733009</v>
      </c>
      <c r="N40" s="34" t="n">
        <f aca="false">SUMIFS(Calculo!$F$198:$ES$198,Calculo!$F$6:$ES$6,11)</f>
        <v>0</v>
      </c>
      <c r="O40" s="34" t="n">
        <f aca="false">SUMIFS(Calculo!$F$198:$ES$198,Calculo!$F$6:$ES$6,12)</f>
        <v>0</v>
      </c>
    </row>
    <row r="41" customFormat="false" ht="15" hidden="false" customHeight="false" outlineLevel="0" collapsed="false">
      <c r="A41" s="2" t="s">
        <v>930</v>
      </c>
      <c r="B41" s="6" t="s">
        <v>629</v>
      </c>
      <c r="C41" s="40" t="n">
        <f aca="false">SUM(D41:O41)</f>
        <v>6984448.30293321</v>
      </c>
      <c r="D41" s="34" t="n">
        <f aca="false">SUMIFS(Calculo!$F$199:$ES$199,Calculo!$F$6:$ES$6,1)</f>
        <v>636656.648353644</v>
      </c>
      <c r="E41" s="34" t="n">
        <f aca="false">SUMIFS(Calculo!$F$199:$ES$199,Calculo!$F$6:$ES$6,2)</f>
        <v>636656.648353644</v>
      </c>
      <c r="F41" s="34" t="n">
        <f aca="false">SUMIFS(Calculo!$F$199:$ES$199,Calculo!$F$6:$ES$6,3)</f>
        <v>668401.662478849</v>
      </c>
      <c r="G41" s="34" t="n">
        <f aca="false">SUMIFS(Calculo!$F$199:$ES$199,Calculo!$F$6:$ES$6,4)</f>
        <v>693822.092331617</v>
      </c>
      <c r="H41" s="34" t="n">
        <f aca="false">SUMIFS(Calculo!$F$199:$ES$199,Calculo!$F$6:$ES$6,5)</f>
        <v>724818.541902575</v>
      </c>
      <c r="I41" s="34" t="n">
        <f aca="false">SUMIFS(Calculo!$F$199:$ES$199,Calculo!$F$6:$ES$6,6)</f>
        <v>724818.541902575</v>
      </c>
      <c r="J41" s="34" t="n">
        <f aca="false">SUMIFS(Calculo!$F$199:$ES$199,Calculo!$F$6:$ES$6,7)</f>
        <v>724818.541902575</v>
      </c>
      <c r="K41" s="34" t="n">
        <f aca="false">SUMIFS(Calculo!$F$199:$ES$199,Calculo!$F$6:$ES$6,8)</f>
        <v>724818.541902575</v>
      </c>
      <c r="L41" s="34" t="n">
        <f aca="false">SUMIFS(Calculo!$F$199:$ES$199,Calculo!$F$6:$ES$6,9)</f>
        <v>724818.541902575</v>
      </c>
      <c r="M41" s="34" t="n">
        <f aca="false">SUMIFS(Calculo!$F$199:$ES$199,Calculo!$F$6:$ES$6,10)</f>
        <v>724818.541902575</v>
      </c>
      <c r="N41" s="34" t="n">
        <f aca="false">SUMIFS(Calculo!$F$199:$ES$199,Calculo!$F$6:$ES$6,11)</f>
        <v>0</v>
      </c>
      <c r="O41" s="34" t="n">
        <f aca="false">SUMIFS(Calculo!$F$199:$ES$199,Calculo!$F$6:$ES$6,12)</f>
        <v>0</v>
      </c>
    </row>
    <row r="42" customFormat="false" ht="15" hidden="false" customHeight="false" outlineLevel="0" collapsed="false">
      <c r="A42" s="2" t="s">
        <v>931</v>
      </c>
      <c r="B42" s="6" t="s">
        <v>631</v>
      </c>
      <c r="C42" s="40" t="n">
        <f aca="false">SUM(D42:O42)</f>
        <v>3406933.03324133</v>
      </c>
      <c r="D42" s="34" t="n">
        <f aca="false">SUMIFS(Calculo!$F$200:$ES$200,Calculo!$F$6:$ES$6,1)</f>
        <v>238476.137132109</v>
      </c>
      <c r="E42" s="34" t="n">
        <f aca="false">SUMIFS(Calculo!$F$200:$ES$200,Calculo!$F$6:$ES$6,2)</f>
        <v>279808.427921609</v>
      </c>
      <c r="F42" s="34" t="n">
        <f aca="false">SUMIFS(Calculo!$F$200:$ES$200,Calculo!$F$6:$ES$6,3)</f>
        <v>323181.596811232</v>
      </c>
      <c r="G42" s="34" t="n">
        <f aca="false">SUMIFS(Calculo!$F$200:$ES$200,Calculo!$F$6:$ES$6,4)</f>
        <v>358796.744123132</v>
      </c>
      <c r="H42" s="34" t="n">
        <f aca="false">SUMIFS(Calculo!$F$200:$ES$200,Calculo!$F$6:$ES$6,5)</f>
        <v>362434.742650662</v>
      </c>
      <c r="I42" s="34" t="n">
        <f aca="false">SUMIFS(Calculo!$F$200:$ES$200,Calculo!$F$6:$ES$6,6)</f>
        <v>364534.767799139</v>
      </c>
      <c r="J42" s="34" t="n">
        <f aca="false">SUMIFS(Calculo!$F$200:$ES$200,Calculo!$F$6:$ES$6,7)</f>
        <v>366662.546156061</v>
      </c>
      <c r="K42" s="34" t="n">
        <f aca="false">SUMIFS(Calculo!$F$200:$ES$200,Calculo!$F$6:$ES$6,8)</f>
        <v>368818.490312652</v>
      </c>
      <c r="L42" s="34" t="n">
        <f aca="false">SUMIFS(Calculo!$F$200:$ES$200,Calculo!$F$6:$ES$6,9)</f>
        <v>371003.019687231</v>
      </c>
      <c r="M42" s="34" t="n">
        <f aca="false">SUMIFS(Calculo!$F$200:$ES$200,Calculo!$F$6:$ES$6,10)</f>
        <v>373216.560647506</v>
      </c>
      <c r="N42" s="34" t="n">
        <f aca="false">SUMIFS(Calculo!$F$200:$ES$200,Calculo!$F$6:$ES$6,11)</f>
        <v>0</v>
      </c>
      <c r="O42" s="34" t="n">
        <f aca="false">SUMIFS(Calculo!$F$200:$ES$200,Calculo!$F$6:$ES$6,12)</f>
        <v>0</v>
      </c>
    </row>
    <row r="43" customFormat="false" ht="15" hidden="false" customHeight="false" outlineLevel="0" collapsed="false">
      <c r="A43" s="2" t="s">
        <v>932</v>
      </c>
      <c r="B43" s="52" t="s">
        <v>933</v>
      </c>
      <c r="C43" s="40" t="n">
        <f aca="false">SUM(D43:O43)</f>
        <v>21340920.4743363</v>
      </c>
      <c r="D43" s="10" t="n">
        <f aca="false">SUMIFS(Calculo!$F$201:$ES$201,Calculo!$F$6:$ES$6,1)</f>
        <v>949157.631458592</v>
      </c>
      <c r="E43" s="10" t="n">
        <f aca="false">SUMIFS(Calculo!$F$201:$ES$201,Calculo!$F$6:$ES$6,2)</f>
        <v>1424856.90167909</v>
      </c>
      <c r="F43" s="10" t="n">
        <f aca="false">SUMIFS(Calculo!$F$201:$ES$201,Calculo!$F$6:$ES$6,3)</f>
        <v>1884086.27933301</v>
      </c>
      <c r="G43" s="10" t="n">
        <f aca="false">SUMIFS(Calculo!$F$201:$ES$201,Calculo!$F$6:$ES$6,4)</f>
        <v>2296048.07860582</v>
      </c>
      <c r="H43" s="10" t="n">
        <f aca="false">SUMIFS(Calculo!$F$201:$ES$201,Calculo!$F$6:$ES$6,5)</f>
        <v>2319745.57590688</v>
      </c>
      <c r="I43" s="10" t="n">
        <f aca="false">SUMIFS(Calculo!$F$201:$ES$201,Calculo!$F$6:$ES$6,6)</f>
        <v>2376873.87975261</v>
      </c>
      <c r="J43" s="10" t="n">
        <f aca="false">SUMIFS(Calculo!$F$201:$ES$201,Calculo!$F$6:$ES$6,7)</f>
        <v>2434566.71367985</v>
      </c>
      <c r="K43" s="10" t="n">
        <f aca="false">SUMIFS(Calculo!$F$201:$ES$201,Calculo!$F$6:$ES$6,8)</f>
        <v>2492829.58793025</v>
      </c>
      <c r="L43" s="10" t="n">
        <f aca="false">SUMIFS(Calculo!$F$201:$ES$201,Calculo!$F$6:$ES$6,9)</f>
        <v>2551668.06514674</v>
      </c>
      <c r="M43" s="10" t="n">
        <f aca="false">SUMIFS(Calculo!$F$201:$ES$201,Calculo!$F$6:$ES$6,10)</f>
        <v>2611087.76084344</v>
      </c>
      <c r="N43" s="10" t="n">
        <f aca="false">SUMIFS(Calculo!$F$201:$ES$201,Calculo!$F$6:$ES$6,11)</f>
        <v>0</v>
      </c>
      <c r="O43" s="10" t="n">
        <f aca="false">SUMIFS(Calculo!$F$201:$ES$201,Calculo!$F$6:$ES$6,12)</f>
        <v>0</v>
      </c>
    </row>
    <row r="44" customFormat="false" ht="15" hidden="false" customHeight="false" outlineLevel="0" collapsed="false">
      <c r="A44" s="2" t="s">
        <v>934</v>
      </c>
      <c r="B44" s="6" t="s">
        <v>635</v>
      </c>
      <c r="C44" s="40" t="n">
        <f aca="false">SUM(D44:O44)</f>
        <v>1075198.52627014</v>
      </c>
      <c r="D44" s="34" t="n">
        <f aca="false">SUMIFS(Calculo!$F$202:$ES$202,Calculo!$F$6:$ES$6,1)</f>
        <v>107519.852627014</v>
      </c>
      <c r="E44" s="34" t="n">
        <f aca="false">SUMIFS(Calculo!$F$202:$ES$202,Calculo!$F$6:$ES$6,2)</f>
        <v>107519.852627014</v>
      </c>
      <c r="F44" s="34" t="n">
        <f aca="false">SUMIFS(Calculo!$F$202:$ES$202,Calculo!$F$6:$ES$6,3)</f>
        <v>107519.852627014</v>
      </c>
      <c r="G44" s="34" t="n">
        <f aca="false">SUMIFS(Calculo!$F$202:$ES$202,Calculo!$F$6:$ES$6,4)</f>
        <v>107519.852627014</v>
      </c>
      <c r="H44" s="34" t="n">
        <f aca="false">SUMIFS(Calculo!$F$202:$ES$202,Calculo!$F$6:$ES$6,5)</f>
        <v>107519.852627014</v>
      </c>
      <c r="I44" s="34" t="n">
        <f aca="false">SUMIFS(Calculo!$F$202:$ES$202,Calculo!$F$6:$ES$6,6)</f>
        <v>107519.852627014</v>
      </c>
      <c r="J44" s="34" t="n">
        <f aca="false">SUMIFS(Calculo!$F$202:$ES$202,Calculo!$F$6:$ES$6,7)</f>
        <v>107519.852627014</v>
      </c>
      <c r="K44" s="34" t="n">
        <f aca="false">SUMIFS(Calculo!$F$202:$ES$202,Calculo!$F$6:$ES$6,8)</f>
        <v>107519.852627014</v>
      </c>
      <c r="L44" s="34" t="n">
        <f aca="false">SUMIFS(Calculo!$F$202:$ES$202,Calculo!$F$6:$ES$6,9)</f>
        <v>107519.852627014</v>
      </c>
      <c r="M44" s="34" t="n">
        <f aca="false">SUMIFS(Calculo!$F$202:$ES$202,Calculo!$F$6:$ES$6,10)</f>
        <v>107519.852627014</v>
      </c>
      <c r="N44" s="34" t="n">
        <f aca="false">SUMIFS(Calculo!$F$202:$ES$202,Calculo!$F$6:$ES$6,11)</f>
        <v>0</v>
      </c>
      <c r="O44" s="34" t="n">
        <f aca="false">SUMIFS(Calculo!$F$202:$ES$202,Calculo!$F$6:$ES$6,12)</f>
        <v>0</v>
      </c>
    </row>
    <row r="45" customFormat="false" ht="15" hidden="false" customHeight="false" outlineLevel="0" collapsed="false">
      <c r="A45" s="2" t="s">
        <v>935</v>
      </c>
      <c r="B45" s="6" t="s">
        <v>936</v>
      </c>
      <c r="C45" s="40" t="n">
        <f aca="false">SUM(D45:O45)</f>
        <v>3143993.45458867</v>
      </c>
      <c r="D45" s="34" t="n">
        <f aca="false">SUMIFS(Calculo!$F$203:$ES$203,Calculo!$F$6:$ES$6,1)</f>
        <v>283167.773124501</v>
      </c>
      <c r="E45" s="34" t="n">
        <f aca="false">SUMIFS(Calculo!$F$203:$ES$203,Calculo!$F$6:$ES$6,2)</f>
        <v>289568.213124501</v>
      </c>
      <c r="F45" s="34" t="n">
        <f aca="false">SUMIFS(Calculo!$F$203:$ES$203,Calculo!$F$6:$ES$6,3)</f>
        <v>296160.666324501</v>
      </c>
      <c r="G45" s="34" t="n">
        <f aca="false">SUMIFS(Calculo!$F$203:$ES$203,Calculo!$F$6:$ES$6,4)</f>
        <v>302950.893120501</v>
      </c>
      <c r="H45" s="34" t="n">
        <f aca="false">SUMIFS(Calculo!$F$203:$ES$203,Calculo!$F$6:$ES$6,5)</f>
        <v>309944.826720381</v>
      </c>
      <c r="I45" s="34" t="n">
        <f aca="false">SUMIFS(Calculo!$F$203:$ES$203,Calculo!$F$6:$ES$6,6)</f>
        <v>317148.578328258</v>
      </c>
      <c r="J45" s="34" t="n">
        <f aca="false">SUMIFS(Calculo!$F$203:$ES$203,Calculo!$F$6:$ES$6,7)</f>
        <v>324568.44248437</v>
      </c>
      <c r="K45" s="34" t="n">
        <f aca="false">SUMIFS(Calculo!$F$203:$ES$203,Calculo!$F$6:$ES$6,8)</f>
        <v>332210.902565167</v>
      </c>
      <c r="L45" s="34" t="n">
        <f aca="false">SUMIFS(Calculo!$F$203:$ES$203,Calculo!$F$6:$ES$6,9)</f>
        <v>340082.636448387</v>
      </c>
      <c r="M45" s="34" t="n">
        <f aca="false">SUMIFS(Calculo!$F$203:$ES$203,Calculo!$F$6:$ES$6,10)</f>
        <v>348190.522348103</v>
      </c>
      <c r="N45" s="34" t="n">
        <f aca="false">SUMIFS(Calculo!$F$203:$ES$203,Calculo!$F$6:$ES$6,11)</f>
        <v>0</v>
      </c>
      <c r="O45" s="34" t="n">
        <f aca="false">SUMIFS(Calculo!$F$203:$ES$203,Calculo!$F$6:$ES$6,12)</f>
        <v>0</v>
      </c>
    </row>
    <row r="46" customFormat="false" ht="15" hidden="false" customHeight="false" outlineLevel="0" collapsed="false">
      <c r="A46" s="2" t="s">
        <v>937</v>
      </c>
      <c r="B46" s="6" t="s">
        <v>503</v>
      </c>
      <c r="C46" s="40" t="n">
        <f aca="false">SUM(D46:O46)</f>
        <v>812224.477216454</v>
      </c>
      <c r="D46" s="34" t="n">
        <f aca="false">SUMIFS(Calculo!$F$204:$ES$204,Calculo!$F$6:$ES$6,1)</f>
        <v>48500</v>
      </c>
      <c r="E46" s="34" t="n">
        <f aca="false">SUMIFS(Calculo!$F$204:$ES$204,Calculo!$F$6:$ES$6,2)</f>
        <v>61812</v>
      </c>
      <c r="F46" s="34" t="n">
        <f aca="false">SUMIFS(Calculo!$F$204:$ES$204,Calculo!$F$6:$ES$6,3)</f>
        <v>75385.39</v>
      </c>
      <c r="G46" s="34" t="n">
        <f aca="false">SUMIFS(Calculo!$F$204:$ES$204,Calculo!$F$6:$ES$6,4)</f>
        <v>86854.3743</v>
      </c>
      <c r="H46" s="34" t="n">
        <f aca="false">SUMIFS(Calculo!$F$204:$ES$204,Calculo!$F$6:$ES$6,5)</f>
        <v>87722.918043</v>
      </c>
      <c r="I46" s="34" t="n">
        <f aca="false">SUMIFS(Calculo!$F$204:$ES$204,Calculo!$F$6:$ES$6,6)</f>
        <v>88600.14722343</v>
      </c>
      <c r="J46" s="34" t="n">
        <f aca="false">SUMIFS(Calculo!$F$204:$ES$204,Calculo!$F$6:$ES$6,7)</f>
        <v>89486.1486956643</v>
      </c>
      <c r="K46" s="34" t="n">
        <f aca="false">SUMIFS(Calculo!$F$204:$ES$204,Calculo!$F$6:$ES$6,8)</f>
        <v>90381.0101826209</v>
      </c>
      <c r="L46" s="34" t="n">
        <f aca="false">SUMIFS(Calculo!$F$204:$ES$204,Calculo!$F$6:$ES$6,9)</f>
        <v>91284.8202844471</v>
      </c>
      <c r="M46" s="34" t="n">
        <f aca="false">SUMIFS(Calculo!$F$204:$ES$204,Calculo!$F$6:$ES$6,10)</f>
        <v>92197.6684872916</v>
      </c>
      <c r="N46" s="34" t="n">
        <f aca="false">SUMIFS(Calculo!$F$204:$ES$204,Calculo!$F$6:$ES$6,11)</f>
        <v>0</v>
      </c>
      <c r="O46" s="34" t="n">
        <f aca="false">SUMIFS(Calculo!$F$204:$ES$204,Calculo!$F$6:$ES$6,12)</f>
        <v>0</v>
      </c>
    </row>
    <row r="47" customFormat="false" ht="15" hidden="false" customHeight="false" outlineLevel="0" collapsed="false">
      <c r="A47" s="2" t="s">
        <v>938</v>
      </c>
      <c r="B47" s="6" t="s">
        <v>939</v>
      </c>
      <c r="C47" s="40" t="n">
        <f aca="false">SUM(D47:O47)</f>
        <v>0</v>
      </c>
      <c r="D47" s="34" t="n">
        <f aca="false">SUMIFS(Calculo!$F$205:$ES$205,Calculo!$F$6:$ES$6,1)</f>
        <v>0</v>
      </c>
      <c r="E47" s="34" t="n">
        <f aca="false">SUMIFS(Calculo!$F$205:$ES$205,Calculo!$F$6:$ES$6,2)</f>
        <v>0</v>
      </c>
      <c r="F47" s="34" t="n">
        <f aca="false">SUMIFS(Calculo!$F$205:$ES$205,Calculo!$F$6:$ES$6,3)</f>
        <v>0</v>
      </c>
      <c r="G47" s="34" t="n">
        <f aca="false">SUMIFS(Calculo!$F$205:$ES$205,Calculo!$F$6:$ES$6,4)</f>
        <v>0</v>
      </c>
      <c r="H47" s="34" t="n">
        <f aca="false">SUMIFS(Calculo!$F$205:$ES$205,Calculo!$F$6:$ES$6,5)</f>
        <v>0</v>
      </c>
      <c r="I47" s="34" t="n">
        <f aca="false">SUMIFS(Calculo!$F$205:$ES$205,Calculo!$F$6:$ES$6,6)</f>
        <v>0</v>
      </c>
      <c r="J47" s="34" t="n">
        <f aca="false">SUMIFS(Calculo!$F$205:$ES$205,Calculo!$F$6:$ES$6,7)</f>
        <v>0</v>
      </c>
      <c r="K47" s="34" t="n">
        <f aca="false">SUMIFS(Calculo!$F$205:$ES$205,Calculo!$F$6:$ES$6,8)</f>
        <v>0</v>
      </c>
      <c r="L47" s="34" t="n">
        <f aca="false">SUMIFS(Calculo!$F$205:$ES$205,Calculo!$F$6:$ES$6,9)</f>
        <v>0</v>
      </c>
      <c r="M47" s="34" t="n">
        <f aca="false">SUMIFS(Calculo!$F$205:$ES$205,Calculo!$F$6:$ES$6,10)</f>
        <v>0</v>
      </c>
      <c r="N47" s="34" t="n">
        <f aca="false">SUMIFS(Calculo!$F$205:$ES$205,Calculo!$F$6:$ES$6,11)</f>
        <v>0</v>
      </c>
      <c r="O47" s="34" t="n">
        <f aca="false">SUMIFS(Calculo!$F$205:$ES$205,Calculo!$F$6:$ES$6,12)</f>
        <v>0</v>
      </c>
    </row>
    <row r="48" customFormat="false" ht="15" hidden="false" customHeight="false" outlineLevel="0" collapsed="false">
      <c r="A48" s="2" t="s">
        <v>940</v>
      </c>
      <c r="B48" s="52" t="s">
        <v>251</v>
      </c>
      <c r="C48" s="40" t="n">
        <f aca="false">SUM(D48:O48)</f>
        <v>16309504.016261</v>
      </c>
      <c r="D48" s="10" t="n">
        <f aca="false">SUMIFS(Calculo!$F$206:$ES$206,Calculo!$F$6:$ES$6,1)</f>
        <v>509970.005707077</v>
      </c>
      <c r="E48" s="10" t="n">
        <f aca="false">SUMIFS(Calculo!$F$206:$ES$206,Calculo!$F$6:$ES$6,2)</f>
        <v>965956.835927578</v>
      </c>
      <c r="F48" s="10" t="n">
        <f aca="false">SUMIFS(Calculo!$F$206:$ES$206,Calculo!$F$6:$ES$6,3)</f>
        <v>1405020.3703815</v>
      </c>
      <c r="G48" s="10" t="n">
        <f aca="false">SUMIFS(Calculo!$F$206:$ES$206,Calculo!$F$6:$ES$6,4)</f>
        <v>1798722.9585583</v>
      </c>
      <c r="H48" s="10" t="n">
        <f aca="false">SUMIFS(Calculo!$F$206:$ES$206,Calculo!$F$6:$ES$6,5)</f>
        <v>1814557.97851648</v>
      </c>
      <c r="I48" s="10" t="n">
        <f aca="false">SUMIFS(Calculo!$F$206:$ES$206,Calculo!$F$6:$ES$6,6)</f>
        <v>1863605.30157391</v>
      </c>
      <c r="J48" s="10" t="n">
        <f aca="false">SUMIFS(Calculo!$F$206:$ES$206,Calculo!$F$6:$ES$6,7)</f>
        <v>1912992.2698728</v>
      </c>
      <c r="K48" s="10" t="n">
        <f aca="false">SUMIFS(Calculo!$F$206:$ES$206,Calculo!$F$6:$ES$6,8)</f>
        <v>1962717.82255545</v>
      </c>
      <c r="L48" s="10" t="n">
        <f aca="false">SUMIFS(Calculo!$F$206:$ES$206,Calculo!$F$6:$ES$6,9)</f>
        <v>2012780.75578689</v>
      </c>
      <c r="M48" s="10" t="n">
        <f aca="false">SUMIFS(Calculo!$F$206:$ES$206,Calculo!$F$6:$ES$6,10)</f>
        <v>2063179.71738103</v>
      </c>
      <c r="N48" s="10" t="n">
        <f aca="false">SUMIFS(Calculo!$F$206:$ES$206,Calculo!$F$6:$ES$6,11)</f>
        <v>0</v>
      </c>
      <c r="O48" s="10" t="n">
        <f aca="false">SUMIFS(Calculo!$F$206:$ES$206,Calculo!$F$6:$ES$6,12)</f>
        <v>0</v>
      </c>
    </row>
    <row r="49" customFormat="false" ht="15" hidden="false" customHeight="false" outlineLevel="0" collapsed="false">
      <c r="A49" s="2" t="s">
        <v>941</v>
      </c>
      <c r="B49" s="6" t="s">
        <v>942</v>
      </c>
      <c r="C49" s="40" t="n">
        <f aca="false">SUM(D49:O49)</f>
        <v>745044.09</v>
      </c>
      <c r="D49" s="34" t="n">
        <f aca="false">SUMIFS(Calculo!$F$207:$ES$207,Calculo!$F$6:$ES$6,1)</f>
        <v>71592.209</v>
      </c>
      <c r="E49" s="34" t="n">
        <f aca="false">SUMIFS(Calculo!$F$207:$ES$207,Calculo!$F$6:$ES$6,2)</f>
        <v>81592.209</v>
      </c>
      <c r="F49" s="34" t="n">
        <f aca="false">SUMIFS(Calculo!$F$207:$ES$207,Calculo!$F$6:$ES$6,3)</f>
        <v>81592.209</v>
      </c>
      <c r="G49" s="34" t="n">
        <f aca="false">SUMIFS(Calculo!$F$207:$ES$207,Calculo!$F$6:$ES$6,4)</f>
        <v>81592.209</v>
      </c>
      <c r="H49" s="34" t="n">
        <f aca="false">SUMIFS(Calculo!$F$207:$ES$207,Calculo!$F$6:$ES$6,5)</f>
        <v>81592.209</v>
      </c>
      <c r="I49" s="34" t="n">
        <f aca="false">SUMIFS(Calculo!$F$207:$ES$207,Calculo!$F$6:$ES$6,6)</f>
        <v>69416.609</v>
      </c>
      <c r="J49" s="34" t="n">
        <f aca="false">SUMIFS(Calculo!$F$207:$ES$207,Calculo!$F$6:$ES$6,7)</f>
        <v>69416.609</v>
      </c>
      <c r="K49" s="34" t="n">
        <f aca="false">SUMIFS(Calculo!$F$207:$ES$207,Calculo!$F$6:$ES$6,8)</f>
        <v>69416.609</v>
      </c>
      <c r="L49" s="34" t="n">
        <f aca="false">SUMIFS(Calculo!$F$207:$ES$207,Calculo!$F$6:$ES$6,9)</f>
        <v>69416.609</v>
      </c>
      <c r="M49" s="34" t="n">
        <f aca="false">SUMIFS(Calculo!$F$207:$ES$207,Calculo!$F$6:$ES$6,10)</f>
        <v>69416.609</v>
      </c>
      <c r="N49" s="34" t="n">
        <f aca="false">SUMIFS(Calculo!$F$207:$ES$207,Calculo!$F$6:$ES$6,11)</f>
        <v>0</v>
      </c>
      <c r="O49" s="34" t="n">
        <f aca="false">SUMIFS(Calculo!$F$207:$ES$207,Calculo!$F$6:$ES$6,12)</f>
        <v>0</v>
      </c>
    </row>
    <row r="50" customFormat="false" ht="15" hidden="false" customHeight="false" outlineLevel="0" collapsed="false">
      <c r="A50" s="2" t="s">
        <v>943</v>
      </c>
      <c r="B50" s="6" t="s">
        <v>647</v>
      </c>
      <c r="C50" s="40" t="n">
        <f aca="false">SUM(D50:O50)</f>
        <v>813214.128224454</v>
      </c>
      <c r="D50" s="34" t="n">
        <f aca="false">SUMIFS(Calculo!$F$209:$ES$209,Calculo!$F$6:$ES$6,1)</f>
        <v>271101.932431026</v>
      </c>
      <c r="E50" s="34" t="n">
        <f aca="false">SUMIFS(Calculo!$F$209:$ES$209,Calculo!$F$6:$ES$6,2)</f>
        <v>226274.254121452</v>
      </c>
      <c r="F50" s="34" t="n">
        <f aca="false">SUMIFS(Calculo!$F$209:$ES$209,Calculo!$F$6:$ES$6,3)</f>
        <v>169415.972941167</v>
      </c>
      <c r="G50" s="34" t="n">
        <f aca="false">SUMIFS(Calculo!$F$209:$ES$209,Calculo!$F$6:$ES$6,4)</f>
        <v>107223.992796456</v>
      </c>
      <c r="H50" s="34" t="n">
        <f aca="false">SUMIFS(Calculo!$F$209:$ES$209,Calculo!$F$6:$ES$6,5)</f>
        <v>39197.9759343531</v>
      </c>
      <c r="I50" s="34" t="n">
        <f aca="false">SUMIFS(Calculo!$F$209:$ES$209,Calculo!$F$6:$ES$6,6)</f>
        <v>0</v>
      </c>
      <c r="J50" s="34" t="n">
        <f aca="false">SUMIFS(Calculo!$F$209:$ES$209,Calculo!$F$6:$ES$6,7)</f>
        <v>0</v>
      </c>
      <c r="K50" s="34" t="n">
        <f aca="false">SUMIFS(Calculo!$F$209:$ES$209,Calculo!$F$6:$ES$6,8)</f>
        <v>0</v>
      </c>
      <c r="L50" s="34" t="n">
        <f aca="false">SUMIFS(Calculo!$F$209:$ES$209,Calculo!$F$6:$ES$6,9)</f>
        <v>0</v>
      </c>
      <c r="M50" s="34" t="n">
        <f aca="false">SUMIFS(Calculo!$F$209:$ES$209,Calculo!$F$6:$ES$6,10)</f>
        <v>0</v>
      </c>
      <c r="N50" s="34" t="n">
        <f aca="false">SUMIFS(Calculo!$F$209:$ES$209,Calculo!$F$6:$ES$6,11)</f>
        <v>0</v>
      </c>
      <c r="O50" s="34" t="n">
        <f aca="false">SUMIFS(Calculo!$F$209:$ES$209,Calculo!$F$6:$ES$6,12)</f>
        <v>0</v>
      </c>
    </row>
    <row r="51" customFormat="false" ht="15" hidden="false" customHeight="false" outlineLevel="0" collapsed="false">
      <c r="A51" s="2" t="s">
        <v>944</v>
      </c>
      <c r="B51" s="6" t="s">
        <v>649</v>
      </c>
      <c r="C51" s="40" t="n">
        <f aca="false">SUM(D51:O51)</f>
        <v>0</v>
      </c>
      <c r="D51" s="34" t="n">
        <f aca="false">SUMIFS(Calculo!$F$210:$ES$210,Calculo!$F$6:$ES$6,1)</f>
        <v>0</v>
      </c>
      <c r="E51" s="34" t="n">
        <f aca="false">SUMIFS(Calculo!$F$210:$ES$210,Calculo!$F$6:$ES$6,2)</f>
        <v>0</v>
      </c>
      <c r="F51" s="34" t="n">
        <f aca="false">SUMIFS(Calculo!$F$210:$ES$210,Calculo!$F$6:$ES$6,3)</f>
        <v>0</v>
      </c>
      <c r="G51" s="34" t="n">
        <f aca="false">SUMIFS(Calculo!$F$210:$ES$210,Calculo!$F$6:$ES$6,4)</f>
        <v>0</v>
      </c>
      <c r="H51" s="34" t="n">
        <f aca="false">SUMIFS(Calculo!$F$210:$ES$210,Calculo!$F$6:$ES$6,5)</f>
        <v>0</v>
      </c>
      <c r="I51" s="34" t="n">
        <f aca="false">SUMIFS(Calculo!$F$210:$ES$210,Calculo!$F$6:$ES$6,6)</f>
        <v>0</v>
      </c>
      <c r="J51" s="34" t="n">
        <f aca="false">SUMIFS(Calculo!$F$210:$ES$210,Calculo!$F$6:$ES$6,7)</f>
        <v>0</v>
      </c>
      <c r="K51" s="34" t="n">
        <f aca="false">SUMIFS(Calculo!$F$210:$ES$210,Calculo!$F$6:$ES$6,8)</f>
        <v>0</v>
      </c>
      <c r="L51" s="34" t="n">
        <f aca="false">SUMIFS(Calculo!$F$210:$ES$210,Calculo!$F$6:$ES$6,9)</f>
        <v>0</v>
      </c>
      <c r="M51" s="34" t="n">
        <f aca="false">SUMIFS(Calculo!$F$210:$ES$210,Calculo!$F$6:$ES$6,10)</f>
        <v>0</v>
      </c>
      <c r="N51" s="34" t="n">
        <f aca="false">SUMIFS(Calculo!$F$210:$ES$210,Calculo!$F$6:$ES$6,11)</f>
        <v>0</v>
      </c>
      <c r="O51" s="34" t="n">
        <f aca="false">SUMIFS(Calculo!$F$210:$ES$210,Calculo!$F$6:$ES$6,12)</f>
        <v>0</v>
      </c>
    </row>
    <row r="52" customFormat="false" ht="15" hidden="false" customHeight="false" outlineLevel="0" collapsed="false">
      <c r="A52" s="2" t="s">
        <v>945</v>
      </c>
      <c r="B52" s="52" t="s">
        <v>946</v>
      </c>
      <c r="C52" s="40" t="n">
        <f aca="false">SUM(D52:O52)</f>
        <v>14751245.7980366</v>
      </c>
      <c r="D52" s="10" t="n">
        <f aca="false">SUMIFS(Calculo!$F$211:$ES$211,Calculo!$F$6:$ES$6,1)</f>
        <v>167275.864276051</v>
      </c>
      <c r="E52" s="10" t="n">
        <f aca="false">SUMIFS(Calculo!$F$211:$ES$211,Calculo!$F$6:$ES$6,2)</f>
        <v>658090.372806125</v>
      </c>
      <c r="F52" s="10" t="n">
        <f aca="false">SUMIFS(Calculo!$F$211:$ES$211,Calculo!$F$6:$ES$6,3)</f>
        <v>1154012.18844033</v>
      </c>
      <c r="G52" s="10" t="n">
        <f aca="false">SUMIFS(Calculo!$F$211:$ES$211,Calculo!$F$6:$ES$6,4)</f>
        <v>1609906.75676184</v>
      </c>
      <c r="H52" s="10" t="n">
        <f aca="false">SUMIFS(Calculo!$F$211:$ES$211,Calculo!$F$6:$ES$6,5)</f>
        <v>1693767.79358213</v>
      </c>
      <c r="I52" s="10" t="n">
        <f aca="false">SUMIFS(Calculo!$F$211:$ES$211,Calculo!$F$6:$ES$6,6)</f>
        <v>1794188.69257391</v>
      </c>
      <c r="J52" s="10" t="n">
        <f aca="false">SUMIFS(Calculo!$F$211:$ES$211,Calculo!$F$6:$ES$6,7)</f>
        <v>1843575.6608728</v>
      </c>
      <c r="K52" s="10" t="n">
        <f aca="false">SUMIFS(Calculo!$F$211:$ES$211,Calculo!$F$6:$ES$6,8)</f>
        <v>1893301.21355545</v>
      </c>
      <c r="L52" s="10" t="n">
        <f aca="false">SUMIFS(Calculo!$F$211:$ES$211,Calculo!$F$6:$ES$6,9)</f>
        <v>1943364.14678689</v>
      </c>
      <c r="M52" s="10" t="n">
        <f aca="false">SUMIFS(Calculo!$F$211:$ES$211,Calculo!$F$6:$ES$6,10)</f>
        <v>1993763.10838103</v>
      </c>
      <c r="N52" s="10" t="n">
        <f aca="false">SUMIFS(Calculo!$F$211:$ES$211,Calculo!$F$6:$ES$6,11)</f>
        <v>0</v>
      </c>
      <c r="O52" s="10" t="n">
        <f aca="false">SUMIFS(Calculo!$F$211:$ES$211,Calculo!$F$6:$ES$6,12)</f>
        <v>0</v>
      </c>
    </row>
    <row r="53" customFormat="false" ht="15" hidden="false" customHeight="false" outlineLevel="0" collapsed="false">
      <c r="A53" s="2" t="s">
        <v>947</v>
      </c>
      <c r="B53" s="52" t="s">
        <v>948</v>
      </c>
      <c r="C53" s="40" t="n">
        <f aca="false">SUM(D53:O53)</f>
        <v>11809741.4989387</v>
      </c>
      <c r="D53" s="10" t="n">
        <f aca="false">SUMIFS(Calculo!$F$220:$ES$220,Calculo!$F$6:$ES$6,1)</f>
        <v>-1878093.88165195</v>
      </c>
      <c r="E53" s="10" t="n">
        <f aca="false">SUMIFS(Calculo!$F$220:$ES$220,Calculo!$F$6:$ES$6,2)</f>
        <v>310811.391531933</v>
      </c>
      <c r="F53" s="10" t="n">
        <f aca="false">SUMIFS(Calculo!$F$220:$ES$220,Calculo!$F$6:$ES$6,3)</f>
        <v>737693.439749073</v>
      </c>
      <c r="G53" s="10" t="n">
        <f aca="false">SUMIFS(Calculo!$F$220:$ES$220,Calculo!$F$6:$ES$6,4)</f>
        <v>1239913.88862499</v>
      </c>
      <c r="H53" s="10" t="n">
        <f aca="false">SUMIFS(Calculo!$F$220:$ES$220,Calculo!$F$6:$ES$6,5)</f>
        <v>1776448.43081062</v>
      </c>
      <c r="I53" s="10" t="n">
        <f aca="false">SUMIFS(Calculo!$F$220:$ES$220,Calculo!$F$6:$ES$6,6)</f>
        <v>1825880.44510532</v>
      </c>
      <c r="J53" s="10" t="n">
        <f aca="false">SUMIFS(Calculo!$F$220:$ES$220,Calculo!$F$6:$ES$6,7)</f>
        <v>1874902.37664802</v>
      </c>
      <c r="K53" s="10" t="n">
        <f aca="false">SUMIFS(Calculo!$F$220:$ES$220,Calculo!$F$6:$ES$6,8)</f>
        <v>1924259.60486093</v>
      </c>
      <c r="L53" s="10" t="n">
        <f aca="false">SUMIFS(Calculo!$F$220:$ES$220,Calculo!$F$6:$ES$6,9)</f>
        <v>1973950.90383755</v>
      </c>
      <c r="M53" s="10" t="n">
        <f aca="false">SUMIFS(Calculo!$F$220:$ES$220,Calculo!$F$6:$ES$6,10)</f>
        <v>2023974.89942226</v>
      </c>
      <c r="N53" s="10" t="n">
        <f aca="false">SUMIFS(Calculo!$F$220:$ES$220,Calculo!$F$6:$ES$6,11)</f>
        <v>0</v>
      </c>
      <c r="O53" s="10" t="n">
        <f aca="false">SUMIFS(Calculo!$F$220:$ES$220,Calculo!$F$6:$ES$6,12)</f>
        <v>0</v>
      </c>
    </row>
    <row r="54" customFormat="false" ht="15" hidden="false" customHeight="false" outlineLevel="0" collapsed="false">
      <c r="A54" s="2" t="s">
        <v>949</v>
      </c>
      <c r="B54" s="6" t="s">
        <v>506</v>
      </c>
      <c r="C54" s="40" t="n">
        <f aca="false">SUM(D54:O54)</f>
        <v>755044.09</v>
      </c>
      <c r="D54" s="34" t="n">
        <f aca="false">SUMIFS(Calculo!$F$221:$ES$221,Calculo!$F$6:$ES$6,1)</f>
        <v>655044.09</v>
      </c>
      <c r="E54" s="34" t="n">
        <f aca="false">SUMIFS(Calculo!$F$221:$ES$221,Calculo!$F$6:$ES$6,2)</f>
        <v>100000</v>
      </c>
      <c r="F54" s="34" t="n">
        <f aca="false">SUMIFS(Calculo!$F$221:$ES$221,Calculo!$F$6:$ES$6,3)</f>
        <v>0</v>
      </c>
      <c r="G54" s="34" t="n">
        <f aca="false">SUMIFS(Calculo!$F$221:$ES$221,Calculo!$F$6:$ES$6,4)</f>
        <v>0</v>
      </c>
      <c r="H54" s="34" t="n">
        <f aca="false">SUMIFS(Calculo!$F$221:$ES$221,Calculo!$F$6:$ES$6,5)</f>
        <v>0</v>
      </c>
      <c r="I54" s="34" t="n">
        <f aca="false">SUMIFS(Calculo!$F$221:$ES$221,Calculo!$F$6:$ES$6,6)</f>
        <v>0</v>
      </c>
      <c r="J54" s="34" t="n">
        <f aca="false">SUMIFS(Calculo!$F$221:$ES$221,Calculo!$F$6:$ES$6,7)</f>
        <v>0</v>
      </c>
      <c r="K54" s="34" t="n">
        <f aca="false">SUMIFS(Calculo!$F$221:$ES$221,Calculo!$F$6:$ES$6,8)</f>
        <v>0</v>
      </c>
      <c r="L54" s="34" t="n">
        <f aca="false">SUMIFS(Calculo!$F$221:$ES$221,Calculo!$F$6:$ES$6,9)</f>
        <v>0</v>
      </c>
      <c r="M54" s="34" t="n">
        <f aca="false">SUMIFS(Calculo!$F$221:$ES$221,Calculo!$F$6:$ES$6,10)</f>
        <v>0</v>
      </c>
      <c r="N54" s="34" t="n">
        <f aca="false">SUMIFS(Calculo!$F$221:$ES$221,Calculo!$F$6:$ES$6,11)</f>
        <v>0</v>
      </c>
      <c r="O54" s="34" t="n">
        <f aca="false">SUMIFS(Calculo!$F$221:$ES$221,Calculo!$F$6:$ES$6,12)</f>
        <v>0</v>
      </c>
    </row>
    <row r="55" customFormat="false" ht="15" hidden="false" customHeight="false" outlineLevel="0" collapsed="false">
      <c r="A55" s="2" t="s">
        <v>950</v>
      </c>
      <c r="B55" s="52" t="s">
        <v>951</v>
      </c>
      <c r="C55" s="40" t="n">
        <f aca="false">SUM(D55:O55)</f>
        <v>15564459.926261</v>
      </c>
      <c r="D55" s="10" t="n">
        <f aca="false">SUMIFS(Calculo!$F$224:$ES$224,Calculo!$F$6:$ES$6,1)</f>
        <v>-2533137.97165195</v>
      </c>
      <c r="E55" s="10" t="n">
        <f aca="false">SUMIFS(Calculo!$F$224:$ES$224,Calculo!$F$6:$ES$6,2)</f>
        <v>210811.391531933</v>
      </c>
      <c r="F55" s="10" t="n">
        <f aca="false">SUMIFS(Calculo!$F$224:$ES$224,Calculo!$F$6:$ES$6,3)</f>
        <v>737693.439749073</v>
      </c>
      <c r="G55" s="10" t="n">
        <f aca="false">SUMIFS(Calculo!$F$224:$ES$224,Calculo!$F$6:$ES$6,4)</f>
        <v>1239913.88862499</v>
      </c>
      <c r="H55" s="10" t="n">
        <f aca="false">SUMIFS(Calculo!$F$224:$ES$224,Calculo!$F$6:$ES$6,5)</f>
        <v>1776448.43081062</v>
      </c>
      <c r="I55" s="10" t="n">
        <f aca="false">SUMIFS(Calculo!$F$224:$ES$224,Calculo!$F$6:$ES$6,6)</f>
        <v>1825880.44510532</v>
      </c>
      <c r="J55" s="10" t="n">
        <f aca="false">SUMIFS(Calculo!$F$224:$ES$224,Calculo!$F$6:$ES$6,7)</f>
        <v>1874902.37664802</v>
      </c>
      <c r="K55" s="10" t="n">
        <f aca="false">SUMIFS(Calculo!$F$224:$ES$224,Calculo!$F$6:$ES$6,8)</f>
        <v>1924259.60486093</v>
      </c>
      <c r="L55" s="10" t="n">
        <f aca="false">SUMIFS(Calculo!$F$224:$ES$224,Calculo!$F$6:$ES$6,9)</f>
        <v>1973950.90383755</v>
      </c>
      <c r="M55" s="10" t="n">
        <f aca="false">SUMIFS(Calculo!$F$224:$ES$224,Calculo!$F$6:$ES$6,10)</f>
        <v>6533737.41674454</v>
      </c>
      <c r="N55" s="10" t="n">
        <f aca="false">SUMIFS(Calculo!$F$224:$ES$224,Calculo!$F$6:$ES$6,11)</f>
        <v>0</v>
      </c>
      <c r="O55" s="10" t="n">
        <f aca="false">SUMIFS(Calculo!$F$224:$ES$224,Calculo!$F$6:$ES$6,12)</f>
        <v>0</v>
      </c>
    </row>
    <row r="56" customFormat="false" ht="15" hidden="false" customHeight="false" outlineLevel="0" collapsed="false">
      <c r="A56" s="2" t="s">
        <v>952</v>
      </c>
      <c r="B56" s="6" t="s">
        <v>707</v>
      </c>
      <c r="C56" s="40" t="n">
        <f aca="false">SUM(D56:O56)</f>
        <v>1139710</v>
      </c>
      <c r="D56" s="34" t="n">
        <f aca="false">SUMIFS(Calculo!$F$242:$ES$242,Calculo!$F$6:$ES$6,1)</f>
        <v>767782</v>
      </c>
      <c r="E56" s="34" t="n">
        <f aca="false">SUMIFS(Calculo!$F$242:$ES$242,Calculo!$F$6:$ES$6,2)</f>
        <v>371928</v>
      </c>
      <c r="F56" s="34" t="n">
        <f aca="false">SUMIFS(Calculo!$F$242:$ES$242,Calculo!$F$6:$ES$6,3)</f>
        <v>0</v>
      </c>
      <c r="G56" s="34" t="n">
        <f aca="false">SUMIFS(Calculo!$F$242:$ES$242,Calculo!$F$6:$ES$6,4)</f>
        <v>0</v>
      </c>
      <c r="H56" s="34" t="n">
        <f aca="false">SUMIFS(Calculo!$F$242:$ES$242,Calculo!$F$6:$ES$6,5)</f>
        <v>0</v>
      </c>
      <c r="I56" s="34" t="n">
        <f aca="false">SUMIFS(Calculo!$F$242:$ES$242,Calculo!$F$6:$ES$6,6)</f>
        <v>0</v>
      </c>
      <c r="J56" s="34" t="n">
        <f aca="false">SUMIFS(Calculo!$F$242:$ES$242,Calculo!$F$6:$ES$6,7)</f>
        <v>0</v>
      </c>
      <c r="K56" s="34" t="n">
        <f aca="false">SUMIFS(Calculo!$F$242:$ES$242,Calculo!$F$6:$ES$6,8)</f>
        <v>0</v>
      </c>
      <c r="L56" s="34" t="n">
        <f aca="false">SUMIFS(Calculo!$F$242:$ES$242,Calculo!$F$6:$ES$6,9)</f>
        <v>0</v>
      </c>
      <c r="M56" s="34" t="n">
        <f aca="false">SUMIFS(Calculo!$F$242:$ES$242,Calculo!$F$6:$ES$6,10)</f>
        <v>0</v>
      </c>
      <c r="N56" s="34" t="n">
        <f aca="false">SUMIFS(Calculo!$F$242:$ES$242,Calculo!$F$6:$ES$6,11)</f>
        <v>0</v>
      </c>
      <c r="O56" s="34" t="n">
        <f aca="false">SUMIFS(Calculo!$F$242:$ES$242,Calculo!$F$6:$ES$6,12)</f>
        <v>0</v>
      </c>
    </row>
    <row r="57" customFormat="false" ht="15" hidden="false" customHeight="false" outlineLevel="0" collapsed="false">
      <c r="A57" s="2" t="s">
        <v>953</v>
      </c>
      <c r="B57" s="6" t="s">
        <v>703</v>
      </c>
      <c r="C57" s="40" t="n">
        <f aca="false">SUM(D57:O57)</f>
        <v>2791587</v>
      </c>
      <c r="D57" s="34" t="n">
        <f aca="false">SUMIFS(Calculo!$F$250:$ES$250,Calculo!$F$6:$ES$6,1)</f>
        <v>2791587</v>
      </c>
      <c r="E57" s="34" t="n">
        <f aca="false">SUMIFS(Calculo!$F$250:$ES$250,Calculo!$F$6:$ES$6,2)</f>
        <v>0</v>
      </c>
      <c r="F57" s="34" t="n">
        <f aca="false">SUMIFS(Calculo!$F$250:$ES$250,Calculo!$F$6:$ES$6,3)</f>
        <v>0</v>
      </c>
      <c r="G57" s="34" t="n">
        <f aca="false">SUMIFS(Calculo!$F$250:$ES$250,Calculo!$F$6:$ES$6,4)</f>
        <v>0</v>
      </c>
      <c r="H57" s="34" t="n">
        <f aca="false">SUMIFS(Calculo!$F$250:$ES$250,Calculo!$F$6:$ES$6,5)</f>
        <v>0</v>
      </c>
      <c r="I57" s="34" t="n">
        <f aca="false">SUMIFS(Calculo!$F$250:$ES$250,Calculo!$F$6:$ES$6,6)</f>
        <v>0</v>
      </c>
      <c r="J57" s="34" t="n">
        <f aca="false">SUMIFS(Calculo!$F$250:$ES$250,Calculo!$F$6:$ES$6,7)</f>
        <v>0</v>
      </c>
      <c r="K57" s="34" t="n">
        <f aca="false">SUMIFS(Calculo!$F$250:$ES$250,Calculo!$F$6:$ES$6,8)</f>
        <v>0</v>
      </c>
      <c r="L57" s="34" t="n">
        <f aca="false">SUMIFS(Calculo!$F$250:$ES$250,Calculo!$F$6:$ES$6,9)</f>
        <v>0</v>
      </c>
      <c r="M57" s="34" t="n">
        <f aca="false">SUMIFS(Calculo!$F$250:$ES$250,Calculo!$F$6:$ES$6,10)</f>
        <v>0</v>
      </c>
      <c r="N57" s="34" t="n">
        <f aca="false">SUMIFS(Calculo!$F$250:$ES$250,Calculo!$F$6:$ES$6,11)</f>
        <v>0</v>
      </c>
      <c r="O57" s="34" t="n">
        <f aca="false">SUMIFS(Calculo!$F$250:$ES$250,Calculo!$F$6:$ES$6,12)</f>
        <v>0</v>
      </c>
    </row>
    <row r="58" customFormat="false" ht="15" hidden="false" customHeight="false" outlineLevel="0" collapsed="false">
      <c r="A58" s="2" t="s">
        <v>954</v>
      </c>
      <c r="B58" s="6" t="s">
        <v>955</v>
      </c>
      <c r="C58" s="40" t="n">
        <f aca="false">SUM(D58:O58)</f>
        <v>2791587</v>
      </c>
      <c r="D58" s="34" t="n">
        <f aca="false">SUMIFS(Calculo!$F$251:$ES$251,Calculo!$F$6:$ES$6,1)</f>
        <v>257526.352358103</v>
      </c>
      <c r="E58" s="34" t="n">
        <f aca="false">SUMIFS(Calculo!$F$251:$ES$251,Calculo!$F$6:$ES$6,2)</f>
        <v>551018.611753115</v>
      </c>
      <c r="F58" s="34" t="n">
        <f aca="false">SUMIFS(Calculo!$F$251:$ES$251,Calculo!$F$6:$ES$6,3)</f>
        <v>602707.958280647</v>
      </c>
      <c r="G58" s="34" t="n">
        <f aca="false">SUMIFS(Calculo!$F$251:$ES$251,Calculo!$F$6:$ES$6,4)</f>
        <v>659246.122048566</v>
      </c>
      <c r="H58" s="34" t="n">
        <f aca="false">SUMIFS(Calculo!$F$251:$ES$251,Calculo!$F$6:$ES$6,5)</f>
        <v>721087.95555957</v>
      </c>
      <c r="I58" s="34" t="n">
        <f aca="false">SUMIFS(Calculo!$F$251:$ES$251,Calculo!$F$6:$ES$6,6)</f>
        <v>0</v>
      </c>
      <c r="J58" s="34" t="n">
        <f aca="false">SUMIFS(Calculo!$F$251:$ES$251,Calculo!$F$6:$ES$6,7)</f>
        <v>0</v>
      </c>
      <c r="K58" s="34" t="n">
        <f aca="false">SUMIFS(Calculo!$F$251:$ES$251,Calculo!$F$6:$ES$6,8)</f>
        <v>0</v>
      </c>
      <c r="L58" s="34" t="n">
        <f aca="false">SUMIFS(Calculo!$F$251:$ES$251,Calculo!$F$6:$ES$6,9)</f>
        <v>0</v>
      </c>
      <c r="M58" s="34" t="n">
        <f aca="false">SUMIFS(Calculo!$F$251:$ES$251,Calculo!$F$6:$ES$6,10)</f>
        <v>0</v>
      </c>
      <c r="N58" s="34" t="n">
        <f aca="false">SUMIFS(Calculo!$F$251:$ES$251,Calculo!$F$6:$ES$6,11)</f>
        <v>0</v>
      </c>
      <c r="O58" s="34" t="n">
        <f aca="false">SUMIFS(Calculo!$F$251:$ES$251,Calculo!$F$6:$ES$6,12)</f>
        <v>0</v>
      </c>
    </row>
    <row r="59" customFormat="false" ht="15" hidden="false" customHeight="false" outlineLevel="0" collapsed="false">
      <c r="A59" s="2" t="s">
        <v>956</v>
      </c>
      <c r="B59" s="6" t="s">
        <v>957</v>
      </c>
      <c r="C59" s="40" t="n">
        <f aca="false">SUM(D59:O59)</f>
        <v>2791587</v>
      </c>
      <c r="D59" s="34" t="n">
        <f aca="false">SUMIFS(Calculo!$F$241:$ES$241,Calculo!$F$6:$ES$6,1)</f>
        <v>257526.352358103</v>
      </c>
      <c r="E59" s="34" t="n">
        <f aca="false">SUMIFS(Calculo!$F$241:$ES$241,Calculo!$F$6:$ES$6,2)</f>
        <v>551018.611753115</v>
      </c>
      <c r="F59" s="34" t="n">
        <f aca="false">SUMIFS(Calculo!$F$241:$ES$241,Calculo!$F$6:$ES$6,3)</f>
        <v>602707.958280647</v>
      </c>
      <c r="G59" s="34" t="n">
        <f aca="false">SUMIFS(Calculo!$F$241:$ES$241,Calculo!$F$6:$ES$6,4)</f>
        <v>659246.122048566</v>
      </c>
      <c r="H59" s="34" t="n">
        <f aca="false">SUMIFS(Calculo!$F$241:$ES$241,Calculo!$F$6:$ES$6,5)</f>
        <v>721087.95555957</v>
      </c>
      <c r="I59" s="34" t="n">
        <f aca="false">SUMIFS(Calculo!$F$241:$ES$241,Calculo!$F$6:$ES$6,6)</f>
        <v>0</v>
      </c>
      <c r="J59" s="34" t="n">
        <f aca="false">SUMIFS(Calculo!$F$241:$ES$241,Calculo!$F$6:$ES$6,7)</f>
        <v>0</v>
      </c>
      <c r="K59" s="34" t="n">
        <f aca="false">SUMIFS(Calculo!$F$241:$ES$241,Calculo!$F$6:$ES$6,8)</f>
        <v>0</v>
      </c>
      <c r="L59" s="34" t="n">
        <f aca="false">SUMIFS(Calculo!$F$241:$ES$241,Calculo!$F$6:$ES$6,9)</f>
        <v>0</v>
      </c>
      <c r="M59" s="34" t="n">
        <f aca="false">SUMIFS(Calculo!$F$241:$ES$241,Calculo!$F$6:$ES$6,10)</f>
        <v>0</v>
      </c>
      <c r="N59" s="34" t="n">
        <f aca="false">SUMIFS(Calculo!$F$241:$ES$241,Calculo!$F$6:$ES$6,11)</f>
        <v>0</v>
      </c>
      <c r="O59" s="34" t="n">
        <f aca="false">SUMIFS(Calculo!$F$241:$ES$241,Calculo!$F$6:$ES$6,12)</f>
        <v>0</v>
      </c>
    </row>
    <row r="60" customFormat="false" ht="15" hidden="false" customHeight="false" outlineLevel="0" collapsed="false">
      <c r="A60" s="2" t="s">
        <v>958</v>
      </c>
      <c r="B60" s="6" t="s">
        <v>516</v>
      </c>
      <c r="C60" s="40" t="n">
        <f aca="false">SUM(D60:O60)</f>
        <v>9743309.63653819</v>
      </c>
      <c r="D60" s="34" t="n">
        <f aca="false">SUMIFS(Calculo!$F$257:$ES$257,Calculo!$F$6:$ES$6,1)</f>
        <v>0</v>
      </c>
      <c r="E60" s="34" t="n">
        <f aca="false">SUMIFS(Calculo!$F$257:$ES$257,Calculo!$F$6:$ES$6,2)</f>
        <v>0</v>
      </c>
      <c r="F60" s="34" t="n">
        <f aca="false">SUMIFS(Calculo!$F$257:$ES$257,Calculo!$F$6:$ES$6,3)</f>
        <v>0</v>
      </c>
      <c r="G60" s="34" t="n">
        <f aca="false">SUMIFS(Calculo!$F$257:$ES$257,Calculo!$F$6:$ES$6,4)</f>
        <v>0</v>
      </c>
      <c r="H60" s="34" t="n">
        <f aca="false">SUMIFS(Calculo!$F$257:$ES$257,Calculo!$F$6:$ES$6,5)</f>
        <v>804953.378380922</v>
      </c>
      <c r="I60" s="34" t="n">
        <f aca="false">SUMIFS(Calculo!$F$257:$ES$257,Calculo!$F$6:$ES$6,6)</f>
        <v>1463926.54436822</v>
      </c>
      <c r="J60" s="34" t="n">
        <f aca="false">SUMIFS(Calculo!$F$257:$ES$257,Calculo!$F$6:$ES$6,7)</f>
        <v>1794188.69257391</v>
      </c>
      <c r="K60" s="34" t="n">
        <f aca="false">SUMIFS(Calculo!$F$257:$ES$257,Calculo!$F$6:$ES$6,8)</f>
        <v>1843575.6608728</v>
      </c>
      <c r="L60" s="34" t="n">
        <f aca="false">SUMIFS(Calculo!$F$257:$ES$257,Calculo!$F$6:$ES$6,9)</f>
        <v>1893301.21355545</v>
      </c>
      <c r="M60" s="34" t="n">
        <f aca="false">SUMIFS(Calculo!$F$257:$ES$257,Calculo!$F$6:$ES$6,10)</f>
        <v>1943364.14678689</v>
      </c>
      <c r="N60" s="34" t="n">
        <f aca="false">SUMIFS(Calculo!$F$257:$ES$257,Calculo!$F$6:$ES$6,11)</f>
        <v>0</v>
      </c>
      <c r="O60" s="34" t="n">
        <f aca="false">SUMIFS(Calculo!$F$257:$ES$257,Calculo!$F$6:$ES$6,12)</f>
        <v>0</v>
      </c>
    </row>
    <row r="61" customFormat="false" ht="15" hidden="false" customHeight="false" outlineLevel="0" collapsed="false">
      <c r="A61" s="2" t="s">
        <v>959</v>
      </c>
      <c r="B61" s="52" t="s">
        <v>960</v>
      </c>
      <c r="C61" s="40" t="n">
        <f aca="false">INDEX(Calculo!$F$258:$ES$258,1,MIN(144,Fin))</f>
        <v>1637883.64417609</v>
      </c>
      <c r="D61" s="10" t="n">
        <f aca="false">INDEX(Calculo!$F$258:$ES$258,1,MIN(144,12))</f>
        <v>497602.743558918</v>
      </c>
      <c r="E61" s="10" t="n">
        <f aca="false">INDEX(Calculo!$F$258:$ES$258,1,MIN(144,24))</f>
        <v>303049.269216285</v>
      </c>
      <c r="F61" s="10" t="n">
        <f aca="false">INDEX(Calculo!$F$258:$ES$258,1,MIN(144,36))</f>
        <v>268618.777743544</v>
      </c>
      <c r="G61" s="10" t="n">
        <f aca="false">INDEX(Calculo!$F$258:$ES$258,1,MIN(144,48))</f>
        <v>742062.551523509</v>
      </c>
      <c r="H61" s="10" t="n">
        <f aca="false">INDEX(Calculo!$F$258:$ES$258,1,MIN(144,60))</f>
        <v>953271.672459288</v>
      </c>
      <c r="I61" s="10" t="n">
        <f aca="false">INDEX(Calculo!$F$258:$ES$258,1,MIN(144,72))</f>
        <v>1315225.57319639</v>
      </c>
      <c r="J61" s="10" t="n">
        <f aca="false">INDEX(Calculo!$F$258:$ES$258,1,MIN(144,84))</f>
        <v>1395939.25727049</v>
      </c>
      <c r="K61" s="10" t="n">
        <f aca="false">INDEX(Calculo!$F$258:$ES$258,1,MIN(144,96))</f>
        <v>1476623.20125862</v>
      </c>
      <c r="L61" s="10" t="n">
        <f aca="false">INDEX(Calculo!$F$258:$ES$258,1,MIN(144,108))</f>
        <v>1557272.89154073</v>
      </c>
      <c r="M61" s="10" t="n">
        <f aca="false">INDEX(Calculo!$F$258:$ES$258,1,MIN(144,120))</f>
        <v>1637883.64417609</v>
      </c>
      <c r="N61" s="10" t="n">
        <f aca="false">INDEX(Calculo!$F$258:$ES$258,1,MIN(144,132))</f>
        <v>1637883.64417609</v>
      </c>
      <c r="O61" s="10" t="n">
        <f aca="false">INDEX(Calculo!$F$258:$ES$258,1,MIN(144,144))</f>
        <v>1637883.64417609</v>
      </c>
    </row>
    <row r="62" customFormat="false" ht="15" hidden="false" customHeight="false" outlineLevel="0" collapsed="false">
      <c r="A62" s="2" t="s">
        <v>961</v>
      </c>
      <c r="B62" s="6" t="s">
        <v>962</v>
      </c>
      <c r="C62" s="40" t="n">
        <f aca="false">INDEX(Calculo!$F$252:$ES$252,1,MIN(144,Fin))</f>
        <v>0</v>
      </c>
      <c r="D62" s="34" t="n">
        <f aca="false">INDEX(Calculo!$F$252:$ES$252,1,MIN(144,12))</f>
        <v>2534060.6476419</v>
      </c>
      <c r="E62" s="34" t="n">
        <f aca="false">INDEX(Calculo!$F$252:$ES$252,1,MIN(144,24))</f>
        <v>1983042.03588878</v>
      </c>
      <c r="F62" s="34" t="n">
        <f aca="false">INDEX(Calculo!$F$252:$ES$252,1,MIN(144,36))</f>
        <v>1380334.07760814</v>
      </c>
      <c r="G62" s="34" t="n">
        <f aca="false">INDEX(Calculo!$F$252:$ES$252,1,MIN(144,48))</f>
        <v>721087.95555957</v>
      </c>
      <c r="H62" s="34" t="n">
        <f aca="false">INDEX(Calculo!$F$252:$ES$252,1,MIN(144,60))</f>
        <v>0</v>
      </c>
      <c r="I62" s="34" t="n">
        <f aca="false">INDEX(Calculo!$F$252:$ES$252,1,MIN(144,72))</f>
        <v>0</v>
      </c>
      <c r="J62" s="34" t="n">
        <f aca="false">INDEX(Calculo!$F$252:$ES$252,1,MIN(144,84))</f>
        <v>0</v>
      </c>
      <c r="K62" s="34" t="n">
        <f aca="false">INDEX(Calculo!$F$252:$ES$252,1,MIN(144,96))</f>
        <v>0</v>
      </c>
      <c r="L62" s="34" t="n">
        <f aca="false">INDEX(Calculo!$F$252:$ES$252,1,MIN(144,108))</f>
        <v>0</v>
      </c>
      <c r="M62" s="34" t="n">
        <f aca="false">INDEX(Calculo!$F$252:$ES$252,1,MIN(144,120))</f>
        <v>0</v>
      </c>
      <c r="N62" s="34" t="n">
        <f aca="false">INDEX(Calculo!$F$252:$ES$252,1,MIN(144,132))</f>
        <v>0</v>
      </c>
      <c r="O62" s="34" t="n">
        <f aca="false">INDEX(Calculo!$F$252:$ES$252,1,MIN(144,144))</f>
        <v>0</v>
      </c>
    </row>
    <row r="63" customFormat="false" ht="15" hidden="false" customHeight="false" outlineLevel="0" collapsed="false">
      <c r="A63" s="2" t="s">
        <v>963</v>
      </c>
      <c r="B63" s="6" t="s">
        <v>964</v>
      </c>
      <c r="C63" s="40" t="n">
        <f aca="false">INDEX(Calculo!$F$249:$ES$249,1,MIN(144,Fin))</f>
        <v>0</v>
      </c>
      <c r="D63" s="34" t="n">
        <f aca="false">INDEX(Calculo!$F$249:$ES$249,1,MIN(144,12))</f>
        <v>0</v>
      </c>
      <c r="E63" s="34" t="n">
        <f aca="false">INDEX(Calculo!$F$249:$ES$249,1,MIN(144,24))</f>
        <v>0</v>
      </c>
      <c r="F63" s="34" t="n">
        <f aca="false">INDEX(Calculo!$F$249:$ES$249,1,MIN(144,36))</f>
        <v>0</v>
      </c>
      <c r="G63" s="34" t="n">
        <f aca="false">INDEX(Calculo!$F$249:$ES$249,1,MIN(144,48))</f>
        <v>0</v>
      </c>
      <c r="H63" s="34" t="n">
        <f aca="false">INDEX(Calculo!$F$249:$ES$249,1,MIN(144,60))</f>
        <v>0</v>
      </c>
      <c r="I63" s="34" t="n">
        <f aca="false">INDEX(Calculo!$F$249:$ES$249,1,MIN(144,72))</f>
        <v>0</v>
      </c>
      <c r="J63" s="34" t="n">
        <f aca="false">INDEX(Calculo!$F$249:$ES$249,1,MIN(144,84))</f>
        <v>0</v>
      </c>
      <c r="K63" s="34" t="n">
        <f aca="false">INDEX(Calculo!$F$249:$ES$249,1,MIN(144,96))</f>
        <v>0</v>
      </c>
      <c r="L63" s="34" t="n">
        <f aca="false">INDEX(Calculo!$F$249:$ES$249,1,MIN(144,108))</f>
        <v>0</v>
      </c>
      <c r="M63" s="34" t="n">
        <f aca="false">INDEX(Calculo!$F$249:$ES$249,1,MIN(144,120))</f>
        <v>0</v>
      </c>
      <c r="N63" s="34" t="n">
        <f aca="false">INDEX(Calculo!$F$249:$ES$249,1,MIN(144,132))</f>
        <v>0</v>
      </c>
      <c r="O63" s="34" t="n">
        <f aca="false">INDEX(Calculo!$F$249:$ES$249,1,MIN(144,144))</f>
        <v>0</v>
      </c>
    </row>
    <row r="64" customFormat="false" ht="15" hidden="false" customHeight="false" outlineLevel="0" collapsed="false">
      <c r="A64" s="2" t="s">
        <v>965</v>
      </c>
      <c r="B64" s="6" t="s">
        <v>966</v>
      </c>
      <c r="C64" s="40" t="n">
        <f aca="false">INDEX(Calculo!$F$217:$ES$217,1,MIN(144,Fin))</f>
        <v>4499762.51732228</v>
      </c>
      <c r="D64" s="34" t="n">
        <f aca="false">INDEX(Calculo!$F$217:$ES$217,1,MIN(144,12))</f>
        <v>2388063.88735903</v>
      </c>
      <c r="E64" s="34" t="n">
        <f aca="false">INDEX(Calculo!$F$217:$ES$217,1,MIN(144,24))</f>
        <v>3043209.33175467</v>
      </c>
      <c r="F64" s="34" t="n">
        <f aca="false">INDEX(Calculo!$F$217:$ES$217,1,MIN(144,36))</f>
        <v>3710536.2623871</v>
      </c>
      <c r="G64" s="34" t="n">
        <f aca="false">INDEX(Calculo!$F$217:$ES$217,1,MIN(144,48))</f>
        <v>4269345.33232041</v>
      </c>
      <c r="H64" s="34" t="n">
        <f aca="false">INDEX(Calculo!$F$217:$ES$217,1,MIN(144,60))</f>
        <v>4307454.88002627</v>
      </c>
      <c r="I64" s="34" t="n">
        <f aca="false">INDEX(Calculo!$F$217:$ES$217,1,MIN(144,72))</f>
        <v>4345179.73649487</v>
      </c>
      <c r="J64" s="34" t="n">
        <f aca="false">INDEX(Calculo!$F$217:$ES$217,1,MIN(144,84))</f>
        <v>4383269.62971965</v>
      </c>
      <c r="K64" s="34" t="n">
        <f aca="false">INDEX(Calculo!$F$217:$ES$217,1,MIN(144,96))</f>
        <v>4421727.84741417</v>
      </c>
      <c r="L64" s="34" t="n">
        <f aca="false">INDEX(Calculo!$F$217:$ES$217,1,MIN(144,108))</f>
        <v>4460557.6993635</v>
      </c>
      <c r="M64" s="34" t="n">
        <f aca="false">INDEX(Calculo!$F$217:$ES$217,1,MIN(144,120))</f>
        <v>4499762.51732228</v>
      </c>
      <c r="N64" s="34" t="n">
        <f aca="false">INDEX(Calculo!$F$217:$ES$217,1,MIN(144,132))</f>
        <v>4499762.51732228</v>
      </c>
      <c r="O64" s="34" t="n">
        <f aca="false">INDEX(Calculo!$F$217:$ES$217,1,MIN(144,144))</f>
        <v>4499762.51732228</v>
      </c>
    </row>
    <row r="65" customFormat="false" ht="15" hidden="false" customHeight="false" outlineLevel="0" collapsed="false">
      <c r="A65" s="2" t="s">
        <v>967</v>
      </c>
      <c r="B65" s="6" t="s">
        <v>968</v>
      </c>
      <c r="C65" s="40" t="n">
        <f aca="false">MAX(D65:O65)</f>
        <v>373700.713193166</v>
      </c>
      <c r="D65" s="34" t="n">
        <f aca="false">_xlfn.MAXIFS(Calculo!$F$260:$ES$260,Calculo!$F$6:$ES$6,1)</f>
        <v>0</v>
      </c>
      <c r="E65" s="34" t="n">
        <f aca="false">_xlfn.MAXIFS(Calculo!$F$260:$ES$260,Calculo!$F$6:$ES$6,2)</f>
        <v>0</v>
      </c>
      <c r="F65" s="34" t="n">
        <f aca="false">_xlfn.MAXIFS(Calculo!$F$260:$ES$260,Calculo!$F$6:$ES$6,3)</f>
        <v>373700.713193166</v>
      </c>
      <c r="G65" s="34" t="n">
        <f aca="false">_xlfn.MAXIFS(Calculo!$F$260:$ES$260,Calculo!$F$6:$ES$6,4)</f>
        <v>275779.326421708</v>
      </c>
      <c r="H65" s="34" t="n">
        <f aca="false">_xlfn.MAXIFS(Calculo!$F$260:$ES$260,Calculo!$F$6:$ES$6,5)</f>
        <v>0</v>
      </c>
      <c r="I65" s="34" t="n">
        <f aca="false">_xlfn.MAXIFS(Calculo!$F$260:$ES$260,Calculo!$F$6:$ES$6,6)</f>
        <v>0</v>
      </c>
      <c r="J65" s="34" t="n">
        <f aca="false">_xlfn.MAXIFS(Calculo!$F$260:$ES$260,Calculo!$F$6:$ES$6,7)</f>
        <v>0</v>
      </c>
      <c r="K65" s="34" t="n">
        <f aca="false">_xlfn.MAXIFS(Calculo!$F$260:$ES$260,Calculo!$F$6:$ES$6,8)</f>
        <v>0</v>
      </c>
      <c r="L65" s="34" t="n">
        <f aca="false">_xlfn.MAXIFS(Calculo!$F$260:$ES$260,Calculo!$F$6:$ES$6,9)</f>
        <v>0</v>
      </c>
      <c r="M65" s="34" t="n">
        <f aca="false">_xlfn.MAXIFS(Calculo!$F$260:$ES$260,Calculo!$F$6:$ES$6,10)</f>
        <v>0</v>
      </c>
      <c r="N65" s="34" t="n">
        <f aca="false">_xlfn.MAXIFS(Calculo!$F$260:$ES$260,Calculo!$F$6:$ES$6,11)</f>
        <v>0</v>
      </c>
      <c r="O65" s="34" t="n">
        <f aca="false">_xlfn.MAXIFS(Calculo!$F$260:$ES$260,Calculo!$F$6:$ES$6,12)</f>
        <v>0</v>
      </c>
    </row>
    <row r="66" customFormat="false" ht="15" hidden="false" customHeight="false" outlineLevel="0" collapsed="false">
      <c r="A66" s="2" t="s">
        <v>969</v>
      </c>
      <c r="B66" s="6" t="s">
        <v>970</v>
      </c>
      <c r="D66" s="35" t="n">
        <f aca="false">IF(D38=0,"",D48/D38)</f>
        <v>0.105148454784964</v>
      </c>
      <c r="E66" s="35" t="n">
        <f aca="false">IF(E38=0,"",E48/E38)</f>
        <v>0.156273350793952</v>
      </c>
      <c r="F66" s="35" t="n">
        <f aca="false">IF(F38=0,"",F48/F38)</f>
        <v>0.186378338081357</v>
      </c>
      <c r="G66" s="35" t="n">
        <f aca="false">IF(G38=0,"",G48/G38)</f>
        <v>0.20709641547188</v>
      </c>
      <c r="H66" s="35" t="n">
        <f aca="false">IF(H38=0,"",H48/H38)</f>
        <v>0.206851073698554</v>
      </c>
      <c r="I66" s="35" t="n">
        <f aca="false">IF(I38=0,"",I48/I38)</f>
        <v>0.210338849310748</v>
      </c>
      <c r="J66" s="35" t="n">
        <f aca="false">IF(J38=0,"",J48/J38)</f>
        <v>0.213775237593333</v>
      </c>
      <c r="K66" s="35" t="n">
        <f aca="false">IF(K38=0,"",K48/K38)</f>
        <v>0.217160421043054</v>
      </c>
      <c r="L66" s="35" t="n">
        <f aca="false">IF(L38=0,"",L48/L38)</f>
        <v>0.22049457396257</v>
      </c>
      <c r="M66" s="35" t="n">
        <f aca="false">IF(M38=0,"",M48/M38)</f>
        <v>0.22377786241584</v>
      </c>
      <c r="N66" s="35" t="str">
        <f aca="false">IF(N38=0,"",N48/N38)</f>
        <v/>
      </c>
      <c r="O66" s="35" t="str">
        <f aca="false">IF(O38=0,"",O48/O38)</f>
        <v/>
      </c>
    </row>
    <row r="67" customFormat="false" ht="15" hidden="false" customHeight="false" outlineLevel="0" collapsed="false">
      <c r="A67" s="2" t="s">
        <v>971</v>
      </c>
      <c r="B67" s="6" t="s">
        <v>972</v>
      </c>
      <c r="D67" s="34" t="n">
        <f aca="false">D50+D59</f>
        <v>528628.284789129</v>
      </c>
      <c r="E67" s="34" t="n">
        <f aca="false">E50+E59</f>
        <v>777292.865874567</v>
      </c>
      <c r="F67" s="34" t="n">
        <f aca="false">F50+F59</f>
        <v>772123.931221814</v>
      </c>
      <c r="G67" s="34" t="n">
        <f aca="false">G50+G59</f>
        <v>766470.114845022</v>
      </c>
      <c r="H67" s="34" t="n">
        <f aca="false">H50+H59</f>
        <v>760285.931493923</v>
      </c>
      <c r="I67" s="34" t="n">
        <f aca="false">I50+I59</f>
        <v>0</v>
      </c>
      <c r="J67" s="34" t="n">
        <f aca="false">J50+J59</f>
        <v>0</v>
      </c>
      <c r="K67" s="34" t="n">
        <f aca="false">K50+K59</f>
        <v>0</v>
      </c>
      <c r="L67" s="34" t="n">
        <f aca="false">L50+L59</f>
        <v>0</v>
      </c>
      <c r="M67" s="34" t="n">
        <f aca="false">M50+M59</f>
        <v>0</v>
      </c>
      <c r="N67" s="34" t="n">
        <f aca="false">N50+N59</f>
        <v>0</v>
      </c>
      <c r="O67" s="34" t="n">
        <f aca="false">O50+O59</f>
        <v>0</v>
      </c>
    </row>
    <row r="68" customFormat="false" ht="15" hidden="false" customHeight="false" outlineLevel="0" collapsed="false">
      <c r="A68" s="2" t="s">
        <v>973</v>
      </c>
      <c r="B68" s="6" t="s">
        <v>974</v>
      </c>
      <c r="D68" s="68" t="n">
        <f aca="false">IF(D67&gt;1,D53/D67,"")</f>
        <v>-3.5527684304693</v>
      </c>
      <c r="E68" s="68" t="n">
        <f aca="false">IF(E67&gt;1,E53/E67,"")</f>
        <v>0.399863944695061</v>
      </c>
      <c r="F68" s="68" t="n">
        <f aca="false">IF(F67&gt;1,F53/F67,"")</f>
        <v>0.955408076242039</v>
      </c>
      <c r="G68" s="68" t="n">
        <f aca="false">IF(G67&gt;1,G53/G67,"")</f>
        <v>1.6176937164415</v>
      </c>
      <c r="H68" s="68" t="n">
        <f aca="false">IF(H67&gt;1,H53/H67,"")</f>
        <v>2.33655307460444</v>
      </c>
      <c r="I68" s="68" t="str">
        <f aca="false">IF(I67&gt;1,I53/I67,"")</f>
        <v/>
      </c>
      <c r="J68" s="68" t="str">
        <f aca="false">IF(J67&gt;1,J53/J67,"")</f>
        <v/>
      </c>
      <c r="K68" s="68" t="str">
        <f aca="false">IF(K67&gt;1,K53/K67,"")</f>
        <v/>
      </c>
      <c r="L68" s="68" t="str">
        <f aca="false">IF(L67&gt;1,L53/L67,"")</f>
        <v/>
      </c>
      <c r="M68" s="68" t="str">
        <f aca="false">IF(M67&gt;1,M53/M67,"")</f>
        <v/>
      </c>
      <c r="N68" s="68" t="str">
        <f aca="false">IF(N67&gt;1,N53/N67,"")</f>
        <v/>
      </c>
      <c r="O68" s="68" t="str">
        <f aca="false">IF(O67&gt;1,O53/O67,"")</f>
        <v/>
      </c>
    </row>
    <row r="69" customFormat="false" ht="15" hidden="false" customHeight="false" outlineLevel="0" collapsed="false">
      <c r="A69" s="2" t="s">
        <v>975</v>
      </c>
      <c r="B69" s="6" t="s">
        <v>976</v>
      </c>
      <c r="D69" s="19" t="n">
        <f aca="false">1</f>
        <v>1</v>
      </c>
      <c r="E69" s="19" t="n">
        <f aca="false">2</f>
        <v>2</v>
      </c>
      <c r="F69" s="19" t="n">
        <f aca="false">3</f>
        <v>3</v>
      </c>
      <c r="G69" s="19" t="n">
        <f aca="false">4</f>
        <v>4</v>
      </c>
      <c r="H69" s="19" t="n">
        <f aca="false">5</f>
        <v>5</v>
      </c>
      <c r="I69" s="19" t="n">
        <f aca="false">6</f>
        <v>6</v>
      </c>
      <c r="J69" s="19" t="n">
        <f aca="false">7</f>
        <v>7</v>
      </c>
      <c r="K69" s="19" t="n">
        <f aca="false">8</f>
        <v>8</v>
      </c>
      <c r="L69" s="19" t="n">
        <f aca="false">9</f>
        <v>9</v>
      </c>
      <c r="M69" s="19" t="n">
        <f aca="false">10</f>
        <v>10</v>
      </c>
      <c r="N69" s="19" t="n">
        <f aca="false">11</f>
        <v>11</v>
      </c>
      <c r="O69" s="19" t="n">
        <f aca="false">12</f>
        <v>12</v>
      </c>
    </row>
    <row r="70" customFormat="false" ht="15" hidden="false" customHeight="false" outlineLevel="0" collapsed="false">
      <c r="B70" s="11" t="s">
        <v>463</v>
      </c>
    </row>
    <row r="71" customFormat="false" ht="15" hidden="false" customHeight="false" outlineLevel="0" collapsed="false">
      <c r="A71" s="2" t="s">
        <v>977</v>
      </c>
      <c r="B71" s="6" t="str">
        <f aca="false">IF(INDEX(Prod_Nombre,1)="","Producto 1",INDEX(Prod_Nombre,1))</f>
        <v>Gabinetes metálicos 153 kg</v>
      </c>
      <c r="C71" s="40" t="n">
        <f aca="false">SUM(D71:O71)</f>
        <v>192000</v>
      </c>
      <c r="D71" s="34" t="n">
        <f aca="false">SUMIFS(Calculo!$F$151:$ES$151,Calculo!$F$6:$ES$6,1)</f>
        <v>12000</v>
      </c>
      <c r="E71" s="34" t="n">
        <f aca="false">SUMIFS(Calculo!$F$151:$ES$151,Calculo!$F$6:$ES$6,2)</f>
        <v>15000</v>
      </c>
      <c r="F71" s="34" t="n">
        <f aca="false">SUMIFS(Calculo!$F$151:$ES$151,Calculo!$F$6:$ES$6,3)</f>
        <v>18000</v>
      </c>
      <c r="G71" s="34" t="n">
        <f aca="false">SUMIFS(Calculo!$F$151:$ES$151,Calculo!$F$6:$ES$6,4)</f>
        <v>21000</v>
      </c>
      <c r="H71" s="34" t="n">
        <f aca="false">SUMIFS(Calculo!$F$151:$ES$151,Calculo!$F$6:$ES$6,5)</f>
        <v>21000</v>
      </c>
      <c r="I71" s="34" t="n">
        <f aca="false">SUMIFS(Calculo!$F$151:$ES$151,Calculo!$F$6:$ES$6,6)</f>
        <v>21000</v>
      </c>
      <c r="J71" s="34" t="n">
        <f aca="false">SUMIFS(Calculo!$F$151:$ES$151,Calculo!$F$6:$ES$6,7)</f>
        <v>21000</v>
      </c>
      <c r="K71" s="34" t="n">
        <f aca="false">SUMIFS(Calculo!$F$151:$ES$151,Calculo!$F$6:$ES$6,8)</f>
        <v>21000</v>
      </c>
      <c r="L71" s="34" t="n">
        <f aca="false">SUMIFS(Calculo!$F$151:$ES$151,Calculo!$F$6:$ES$6,9)</f>
        <v>21000</v>
      </c>
      <c r="M71" s="34" t="n">
        <f aca="false">SUMIFS(Calculo!$F$151:$ES$151,Calculo!$F$6:$ES$6,10)</f>
        <v>21000</v>
      </c>
      <c r="N71" s="34" t="n">
        <f aca="false">SUMIFS(Calculo!$F$151:$ES$151,Calculo!$F$6:$ES$6,11)</f>
        <v>0</v>
      </c>
      <c r="O71" s="34" t="n">
        <f aca="false">SUMIFS(Calculo!$F$151:$ES$151,Calculo!$F$6:$ES$6,12)</f>
        <v>0</v>
      </c>
    </row>
    <row r="72" customFormat="false" ht="15" hidden="false" customHeight="false" outlineLevel="0" collapsed="false">
      <c r="A72" s="2" t="s">
        <v>978</v>
      </c>
      <c r="B72" s="6" t="str">
        <f aca="false">IF(INDEX(Prod_Nombre,2)="","Producto 2",INDEX(Prod_Nombre,2))</f>
        <v>Cajas metálicas 13 kg</v>
      </c>
      <c r="C72" s="40" t="n">
        <f aca="false">SUM(D72:O72)</f>
        <v>1110000</v>
      </c>
      <c r="D72" s="34" t="n">
        <f aca="false">SUMIFS(Calculo!$F$152:$ES$152,Calculo!$F$6:$ES$6,1)</f>
        <v>70000</v>
      </c>
      <c r="E72" s="34" t="n">
        <f aca="false">SUMIFS(Calculo!$F$152:$ES$152,Calculo!$F$6:$ES$6,2)</f>
        <v>90000</v>
      </c>
      <c r="F72" s="34" t="n">
        <f aca="false">SUMIFS(Calculo!$F$152:$ES$152,Calculo!$F$6:$ES$6,3)</f>
        <v>110000</v>
      </c>
      <c r="G72" s="34" t="n">
        <f aca="false">SUMIFS(Calculo!$F$152:$ES$152,Calculo!$F$6:$ES$6,4)</f>
        <v>120000</v>
      </c>
      <c r="H72" s="34" t="n">
        <f aca="false">SUMIFS(Calculo!$F$152:$ES$152,Calculo!$F$6:$ES$6,5)</f>
        <v>120000</v>
      </c>
      <c r="I72" s="34" t="n">
        <f aca="false">SUMIFS(Calculo!$F$152:$ES$152,Calculo!$F$6:$ES$6,6)</f>
        <v>120000</v>
      </c>
      <c r="J72" s="34" t="n">
        <f aca="false">SUMIFS(Calculo!$F$152:$ES$152,Calculo!$F$6:$ES$6,7)</f>
        <v>120000</v>
      </c>
      <c r="K72" s="34" t="n">
        <f aca="false">SUMIFS(Calculo!$F$152:$ES$152,Calculo!$F$6:$ES$6,8)</f>
        <v>120000</v>
      </c>
      <c r="L72" s="34" t="n">
        <f aca="false">SUMIFS(Calculo!$F$152:$ES$152,Calculo!$F$6:$ES$6,9)</f>
        <v>120000</v>
      </c>
      <c r="M72" s="34" t="n">
        <f aca="false">SUMIFS(Calculo!$F$152:$ES$152,Calculo!$F$6:$ES$6,10)</f>
        <v>120000</v>
      </c>
      <c r="N72" s="34" t="n">
        <f aca="false">SUMIFS(Calculo!$F$152:$ES$152,Calculo!$F$6:$ES$6,11)</f>
        <v>0</v>
      </c>
      <c r="O72" s="34" t="n">
        <f aca="false">SUMIFS(Calculo!$F$152:$ES$152,Calculo!$F$6:$ES$6,12)</f>
        <v>0</v>
      </c>
    </row>
    <row r="73" customFormat="false" ht="15" hidden="false" customHeight="false" outlineLevel="0" collapsed="false">
      <c r="A73" s="2" t="s">
        <v>979</v>
      </c>
      <c r="B73" s="6" t="str">
        <f aca="false">IF(INDEX(Prod_Nombre,3)="","Producto 3",INDEX(Prod_Nombre,3))</f>
        <v>Producto 3</v>
      </c>
      <c r="C73" s="40" t="n">
        <f aca="false">SUM(D73:O73)</f>
        <v>0</v>
      </c>
      <c r="D73" s="34" t="n">
        <f aca="false">SUMIFS(Calculo!$F$153:$ES$153,Calculo!$F$6:$ES$6,1)</f>
        <v>0</v>
      </c>
      <c r="E73" s="34" t="n">
        <f aca="false">SUMIFS(Calculo!$F$153:$ES$153,Calculo!$F$6:$ES$6,2)</f>
        <v>0</v>
      </c>
      <c r="F73" s="34" t="n">
        <f aca="false">SUMIFS(Calculo!$F$153:$ES$153,Calculo!$F$6:$ES$6,3)</f>
        <v>0</v>
      </c>
      <c r="G73" s="34" t="n">
        <f aca="false">SUMIFS(Calculo!$F$153:$ES$153,Calculo!$F$6:$ES$6,4)</f>
        <v>0</v>
      </c>
      <c r="H73" s="34" t="n">
        <f aca="false">SUMIFS(Calculo!$F$153:$ES$153,Calculo!$F$6:$ES$6,5)</f>
        <v>0</v>
      </c>
      <c r="I73" s="34" t="n">
        <f aca="false">SUMIFS(Calculo!$F$153:$ES$153,Calculo!$F$6:$ES$6,6)</f>
        <v>0</v>
      </c>
      <c r="J73" s="34" t="n">
        <f aca="false">SUMIFS(Calculo!$F$153:$ES$153,Calculo!$F$6:$ES$6,7)</f>
        <v>0</v>
      </c>
      <c r="K73" s="34" t="n">
        <f aca="false">SUMIFS(Calculo!$F$153:$ES$153,Calculo!$F$6:$ES$6,8)</f>
        <v>0</v>
      </c>
      <c r="L73" s="34" t="n">
        <f aca="false">SUMIFS(Calculo!$F$153:$ES$153,Calculo!$F$6:$ES$6,9)</f>
        <v>0</v>
      </c>
      <c r="M73" s="34" t="n">
        <f aca="false">SUMIFS(Calculo!$F$153:$ES$153,Calculo!$F$6:$ES$6,10)</f>
        <v>0</v>
      </c>
      <c r="N73" s="34" t="n">
        <f aca="false">SUMIFS(Calculo!$F$153:$ES$153,Calculo!$F$6:$ES$6,11)</f>
        <v>0</v>
      </c>
      <c r="O73" s="34" t="n">
        <f aca="false">SUMIFS(Calculo!$F$153:$ES$153,Calculo!$F$6:$ES$6,12)</f>
        <v>0</v>
      </c>
    </row>
    <row r="74" customFormat="false" ht="15" hidden="false" customHeight="false" outlineLevel="0" collapsed="false">
      <c r="A74" s="2" t="s">
        <v>980</v>
      </c>
      <c r="B74" s="6" t="str">
        <f aca="false">IF(INDEX(Prod_Nombre,4)="","Producto 4",INDEX(Prod_Nombre,4))</f>
        <v>Producto 4</v>
      </c>
      <c r="C74" s="40" t="n">
        <f aca="false">SUM(D74:O74)</f>
        <v>0</v>
      </c>
      <c r="D74" s="34" t="n">
        <f aca="false">SUMIFS(Calculo!$F$154:$ES$154,Calculo!$F$6:$ES$6,1)</f>
        <v>0</v>
      </c>
      <c r="E74" s="34" t="n">
        <f aca="false">SUMIFS(Calculo!$F$154:$ES$154,Calculo!$F$6:$ES$6,2)</f>
        <v>0</v>
      </c>
      <c r="F74" s="34" t="n">
        <f aca="false">SUMIFS(Calculo!$F$154:$ES$154,Calculo!$F$6:$ES$6,3)</f>
        <v>0</v>
      </c>
      <c r="G74" s="34" t="n">
        <f aca="false">SUMIFS(Calculo!$F$154:$ES$154,Calculo!$F$6:$ES$6,4)</f>
        <v>0</v>
      </c>
      <c r="H74" s="34" t="n">
        <f aca="false">SUMIFS(Calculo!$F$154:$ES$154,Calculo!$F$6:$ES$6,5)</f>
        <v>0</v>
      </c>
      <c r="I74" s="34" t="n">
        <f aca="false">SUMIFS(Calculo!$F$154:$ES$154,Calculo!$F$6:$ES$6,6)</f>
        <v>0</v>
      </c>
      <c r="J74" s="34" t="n">
        <f aca="false">SUMIFS(Calculo!$F$154:$ES$154,Calculo!$F$6:$ES$6,7)</f>
        <v>0</v>
      </c>
      <c r="K74" s="34" t="n">
        <f aca="false">SUMIFS(Calculo!$F$154:$ES$154,Calculo!$F$6:$ES$6,8)</f>
        <v>0</v>
      </c>
      <c r="L74" s="34" t="n">
        <f aca="false">SUMIFS(Calculo!$F$154:$ES$154,Calculo!$F$6:$ES$6,9)</f>
        <v>0</v>
      </c>
      <c r="M74" s="34" t="n">
        <f aca="false">SUMIFS(Calculo!$F$154:$ES$154,Calculo!$F$6:$ES$6,10)</f>
        <v>0</v>
      </c>
      <c r="N74" s="34" t="n">
        <f aca="false">SUMIFS(Calculo!$F$154:$ES$154,Calculo!$F$6:$ES$6,11)</f>
        <v>0</v>
      </c>
      <c r="O74" s="34" t="n">
        <f aca="false">SUMIFS(Calculo!$F$154:$ES$154,Calculo!$F$6:$ES$6,12)</f>
        <v>0</v>
      </c>
    </row>
    <row r="75" customFormat="false" ht="15" hidden="false" customHeight="false" outlineLevel="0" collapsed="false">
      <c r="A75" s="2" t="s">
        <v>981</v>
      </c>
      <c r="B75" s="6" t="str">
        <f aca="false">IF(INDEX(Prod_Nombre,5)="","Producto 5",INDEX(Prod_Nombre,5))</f>
        <v>Producto 5</v>
      </c>
      <c r="C75" s="40" t="n">
        <f aca="false">SUM(D75:O75)</f>
        <v>0</v>
      </c>
      <c r="D75" s="34" t="n">
        <f aca="false">SUMIFS(Calculo!$F$155:$ES$155,Calculo!$F$6:$ES$6,1)</f>
        <v>0</v>
      </c>
      <c r="E75" s="34" t="n">
        <f aca="false">SUMIFS(Calculo!$F$155:$ES$155,Calculo!$F$6:$ES$6,2)</f>
        <v>0</v>
      </c>
      <c r="F75" s="34" t="n">
        <f aca="false">SUMIFS(Calculo!$F$155:$ES$155,Calculo!$F$6:$ES$6,3)</f>
        <v>0</v>
      </c>
      <c r="G75" s="34" t="n">
        <f aca="false">SUMIFS(Calculo!$F$155:$ES$155,Calculo!$F$6:$ES$6,4)</f>
        <v>0</v>
      </c>
      <c r="H75" s="34" t="n">
        <f aca="false">SUMIFS(Calculo!$F$155:$ES$155,Calculo!$F$6:$ES$6,5)</f>
        <v>0</v>
      </c>
      <c r="I75" s="34" t="n">
        <f aca="false">SUMIFS(Calculo!$F$155:$ES$155,Calculo!$F$6:$ES$6,6)</f>
        <v>0</v>
      </c>
      <c r="J75" s="34" t="n">
        <f aca="false">SUMIFS(Calculo!$F$155:$ES$155,Calculo!$F$6:$ES$6,7)</f>
        <v>0</v>
      </c>
      <c r="K75" s="34" t="n">
        <f aca="false">SUMIFS(Calculo!$F$155:$ES$155,Calculo!$F$6:$ES$6,8)</f>
        <v>0</v>
      </c>
      <c r="L75" s="34" t="n">
        <f aca="false">SUMIFS(Calculo!$F$155:$ES$155,Calculo!$F$6:$ES$6,9)</f>
        <v>0</v>
      </c>
      <c r="M75" s="34" t="n">
        <f aca="false">SUMIFS(Calculo!$F$155:$ES$155,Calculo!$F$6:$ES$6,10)</f>
        <v>0</v>
      </c>
      <c r="N75" s="34" t="n">
        <f aca="false">SUMIFS(Calculo!$F$155:$ES$155,Calculo!$F$6:$ES$6,11)</f>
        <v>0</v>
      </c>
      <c r="O75" s="34" t="n">
        <f aca="false">SUMIFS(Calculo!$F$155:$ES$155,Calculo!$F$6:$ES$6,12)</f>
        <v>0</v>
      </c>
    </row>
    <row r="76" customFormat="false" ht="15" hidden="false" customHeight="false" outlineLevel="0" collapsed="false">
      <c r="A76" s="2" t="s">
        <v>982</v>
      </c>
      <c r="B76" s="6" t="str">
        <f aca="false">IF(INDEX(Prod_Nombre,6)="","Producto 6",INDEX(Prod_Nombre,6))</f>
        <v>Producto 6</v>
      </c>
      <c r="C76" s="40" t="n">
        <f aca="false">SUM(D76:O76)</f>
        <v>0</v>
      </c>
      <c r="D76" s="34" t="n">
        <f aca="false">SUMIFS(Calculo!$F$156:$ES$156,Calculo!$F$6:$ES$6,1)</f>
        <v>0</v>
      </c>
      <c r="E76" s="34" t="n">
        <f aca="false">SUMIFS(Calculo!$F$156:$ES$156,Calculo!$F$6:$ES$6,2)</f>
        <v>0</v>
      </c>
      <c r="F76" s="34" t="n">
        <f aca="false">SUMIFS(Calculo!$F$156:$ES$156,Calculo!$F$6:$ES$6,3)</f>
        <v>0</v>
      </c>
      <c r="G76" s="34" t="n">
        <f aca="false">SUMIFS(Calculo!$F$156:$ES$156,Calculo!$F$6:$ES$6,4)</f>
        <v>0</v>
      </c>
      <c r="H76" s="34" t="n">
        <f aca="false">SUMIFS(Calculo!$F$156:$ES$156,Calculo!$F$6:$ES$6,5)</f>
        <v>0</v>
      </c>
      <c r="I76" s="34" t="n">
        <f aca="false">SUMIFS(Calculo!$F$156:$ES$156,Calculo!$F$6:$ES$6,6)</f>
        <v>0</v>
      </c>
      <c r="J76" s="34" t="n">
        <f aca="false">SUMIFS(Calculo!$F$156:$ES$156,Calculo!$F$6:$ES$6,7)</f>
        <v>0</v>
      </c>
      <c r="K76" s="34" t="n">
        <f aca="false">SUMIFS(Calculo!$F$156:$ES$156,Calculo!$F$6:$ES$6,8)</f>
        <v>0</v>
      </c>
      <c r="L76" s="34" t="n">
        <f aca="false">SUMIFS(Calculo!$F$156:$ES$156,Calculo!$F$6:$ES$6,9)</f>
        <v>0</v>
      </c>
      <c r="M76" s="34" t="n">
        <f aca="false">SUMIFS(Calculo!$F$156:$ES$156,Calculo!$F$6:$ES$6,10)</f>
        <v>0</v>
      </c>
      <c r="N76" s="34" t="n">
        <f aca="false">SUMIFS(Calculo!$F$156:$ES$156,Calculo!$F$6:$ES$6,11)</f>
        <v>0</v>
      </c>
      <c r="O76" s="34" t="n">
        <f aca="false">SUMIFS(Calculo!$F$156:$ES$156,Calculo!$F$6:$ES$6,12)</f>
        <v>0</v>
      </c>
    </row>
    <row r="77" customFormat="false" ht="15" hidden="false" customHeight="false" outlineLevel="0" collapsed="false">
      <c r="A77" s="2" t="s">
        <v>983</v>
      </c>
      <c r="B77" s="6" t="str">
        <f aca="false">IF(INDEX(Prod_Nombre,7)="","Producto 7",INDEX(Prod_Nombre,7))</f>
        <v>Producto 7</v>
      </c>
      <c r="C77" s="40" t="n">
        <f aca="false">SUM(D77:O77)</f>
        <v>0</v>
      </c>
      <c r="D77" s="34" t="n">
        <f aca="false">SUMIFS(Calculo!$F$157:$ES$157,Calculo!$F$6:$ES$6,1)</f>
        <v>0</v>
      </c>
      <c r="E77" s="34" t="n">
        <f aca="false">SUMIFS(Calculo!$F$157:$ES$157,Calculo!$F$6:$ES$6,2)</f>
        <v>0</v>
      </c>
      <c r="F77" s="34" t="n">
        <f aca="false">SUMIFS(Calculo!$F$157:$ES$157,Calculo!$F$6:$ES$6,3)</f>
        <v>0</v>
      </c>
      <c r="G77" s="34" t="n">
        <f aca="false">SUMIFS(Calculo!$F$157:$ES$157,Calculo!$F$6:$ES$6,4)</f>
        <v>0</v>
      </c>
      <c r="H77" s="34" t="n">
        <f aca="false">SUMIFS(Calculo!$F$157:$ES$157,Calculo!$F$6:$ES$6,5)</f>
        <v>0</v>
      </c>
      <c r="I77" s="34" t="n">
        <f aca="false">SUMIFS(Calculo!$F$157:$ES$157,Calculo!$F$6:$ES$6,6)</f>
        <v>0</v>
      </c>
      <c r="J77" s="34" t="n">
        <f aca="false">SUMIFS(Calculo!$F$157:$ES$157,Calculo!$F$6:$ES$6,7)</f>
        <v>0</v>
      </c>
      <c r="K77" s="34" t="n">
        <f aca="false">SUMIFS(Calculo!$F$157:$ES$157,Calculo!$F$6:$ES$6,8)</f>
        <v>0</v>
      </c>
      <c r="L77" s="34" t="n">
        <f aca="false">SUMIFS(Calculo!$F$157:$ES$157,Calculo!$F$6:$ES$6,9)</f>
        <v>0</v>
      </c>
      <c r="M77" s="34" t="n">
        <f aca="false">SUMIFS(Calculo!$F$157:$ES$157,Calculo!$F$6:$ES$6,10)</f>
        <v>0</v>
      </c>
      <c r="N77" s="34" t="n">
        <f aca="false">SUMIFS(Calculo!$F$157:$ES$157,Calculo!$F$6:$ES$6,11)</f>
        <v>0</v>
      </c>
      <c r="O77" s="34" t="n">
        <f aca="false">SUMIFS(Calculo!$F$157:$ES$157,Calculo!$F$6:$ES$6,12)</f>
        <v>0</v>
      </c>
    </row>
    <row r="78" customFormat="false" ht="15" hidden="false" customHeight="false" outlineLevel="0" collapsed="false">
      <c r="A78" s="2" t="s">
        <v>984</v>
      </c>
      <c r="B78" s="6" t="str">
        <f aca="false">IF(INDEX(Prod_Nombre,8)="","Producto 8",INDEX(Prod_Nombre,8))</f>
        <v>Producto 8</v>
      </c>
      <c r="C78" s="40" t="n">
        <f aca="false">SUM(D78:O78)</f>
        <v>0</v>
      </c>
      <c r="D78" s="34" t="n">
        <f aca="false">SUMIFS(Calculo!$F$158:$ES$158,Calculo!$F$6:$ES$6,1)</f>
        <v>0</v>
      </c>
      <c r="E78" s="34" t="n">
        <f aca="false">SUMIFS(Calculo!$F$158:$ES$158,Calculo!$F$6:$ES$6,2)</f>
        <v>0</v>
      </c>
      <c r="F78" s="34" t="n">
        <f aca="false">SUMIFS(Calculo!$F$158:$ES$158,Calculo!$F$6:$ES$6,3)</f>
        <v>0</v>
      </c>
      <c r="G78" s="34" t="n">
        <f aca="false">SUMIFS(Calculo!$F$158:$ES$158,Calculo!$F$6:$ES$6,4)</f>
        <v>0</v>
      </c>
      <c r="H78" s="34" t="n">
        <f aca="false">SUMIFS(Calculo!$F$158:$ES$158,Calculo!$F$6:$ES$6,5)</f>
        <v>0</v>
      </c>
      <c r="I78" s="34" t="n">
        <f aca="false">SUMIFS(Calculo!$F$158:$ES$158,Calculo!$F$6:$ES$6,6)</f>
        <v>0</v>
      </c>
      <c r="J78" s="34" t="n">
        <f aca="false">SUMIFS(Calculo!$F$158:$ES$158,Calculo!$F$6:$ES$6,7)</f>
        <v>0</v>
      </c>
      <c r="K78" s="34" t="n">
        <f aca="false">SUMIFS(Calculo!$F$158:$ES$158,Calculo!$F$6:$ES$6,8)</f>
        <v>0</v>
      </c>
      <c r="L78" s="34" t="n">
        <f aca="false">SUMIFS(Calculo!$F$158:$ES$158,Calculo!$F$6:$ES$6,9)</f>
        <v>0</v>
      </c>
      <c r="M78" s="34" t="n">
        <f aca="false">SUMIFS(Calculo!$F$158:$ES$158,Calculo!$F$6:$ES$6,10)</f>
        <v>0</v>
      </c>
      <c r="N78" s="34" t="n">
        <f aca="false">SUMIFS(Calculo!$F$158:$ES$158,Calculo!$F$6:$ES$6,11)</f>
        <v>0</v>
      </c>
      <c r="O78" s="34" t="n">
        <f aca="false">SUMIFS(Calculo!$F$158:$ES$158,Calculo!$F$6:$ES$6,12)</f>
        <v>0</v>
      </c>
    </row>
    <row r="79" customFormat="false" ht="15" hidden="false" customHeight="false" outlineLevel="0" collapsed="false">
      <c r="A79" s="2" t="s">
        <v>985</v>
      </c>
      <c r="B79" s="6" t="str">
        <f aca="false">IF(INDEX(Prod_Nombre,9)="","Producto 9",INDEX(Prod_Nombre,9))</f>
        <v>Producto 9</v>
      </c>
      <c r="C79" s="40" t="n">
        <f aca="false">SUM(D79:O79)</f>
        <v>0</v>
      </c>
      <c r="D79" s="34" t="n">
        <f aca="false">SUMIFS(Calculo!$F$159:$ES$159,Calculo!$F$6:$ES$6,1)</f>
        <v>0</v>
      </c>
      <c r="E79" s="34" t="n">
        <f aca="false">SUMIFS(Calculo!$F$159:$ES$159,Calculo!$F$6:$ES$6,2)</f>
        <v>0</v>
      </c>
      <c r="F79" s="34" t="n">
        <f aca="false">SUMIFS(Calculo!$F$159:$ES$159,Calculo!$F$6:$ES$6,3)</f>
        <v>0</v>
      </c>
      <c r="G79" s="34" t="n">
        <f aca="false">SUMIFS(Calculo!$F$159:$ES$159,Calculo!$F$6:$ES$6,4)</f>
        <v>0</v>
      </c>
      <c r="H79" s="34" t="n">
        <f aca="false">SUMIFS(Calculo!$F$159:$ES$159,Calculo!$F$6:$ES$6,5)</f>
        <v>0</v>
      </c>
      <c r="I79" s="34" t="n">
        <f aca="false">SUMIFS(Calculo!$F$159:$ES$159,Calculo!$F$6:$ES$6,6)</f>
        <v>0</v>
      </c>
      <c r="J79" s="34" t="n">
        <f aca="false">SUMIFS(Calculo!$F$159:$ES$159,Calculo!$F$6:$ES$6,7)</f>
        <v>0</v>
      </c>
      <c r="K79" s="34" t="n">
        <f aca="false">SUMIFS(Calculo!$F$159:$ES$159,Calculo!$F$6:$ES$6,8)</f>
        <v>0</v>
      </c>
      <c r="L79" s="34" t="n">
        <f aca="false">SUMIFS(Calculo!$F$159:$ES$159,Calculo!$F$6:$ES$6,9)</f>
        <v>0</v>
      </c>
      <c r="M79" s="34" t="n">
        <f aca="false">SUMIFS(Calculo!$F$159:$ES$159,Calculo!$F$6:$ES$6,10)</f>
        <v>0</v>
      </c>
      <c r="N79" s="34" t="n">
        <f aca="false">SUMIFS(Calculo!$F$159:$ES$159,Calculo!$F$6:$ES$6,11)</f>
        <v>0</v>
      </c>
      <c r="O79" s="34" t="n">
        <f aca="false">SUMIFS(Calculo!$F$159:$ES$159,Calculo!$F$6:$ES$6,12)</f>
        <v>0</v>
      </c>
    </row>
    <row r="80" customFormat="false" ht="15" hidden="false" customHeight="false" outlineLevel="0" collapsed="false">
      <c r="A80" s="2" t="s">
        <v>986</v>
      </c>
      <c r="B80" s="6" t="str">
        <f aca="false">IF(INDEX(Prod_Nombre,10)="","Producto 10",INDEX(Prod_Nombre,10))</f>
        <v>Producto 10</v>
      </c>
      <c r="C80" s="40" t="n">
        <f aca="false">SUM(D80:O80)</f>
        <v>0</v>
      </c>
      <c r="D80" s="34" t="n">
        <f aca="false">SUMIFS(Calculo!$F$160:$ES$160,Calculo!$F$6:$ES$6,1)</f>
        <v>0</v>
      </c>
      <c r="E80" s="34" t="n">
        <f aca="false">SUMIFS(Calculo!$F$160:$ES$160,Calculo!$F$6:$ES$6,2)</f>
        <v>0</v>
      </c>
      <c r="F80" s="34" t="n">
        <f aca="false">SUMIFS(Calculo!$F$160:$ES$160,Calculo!$F$6:$ES$6,3)</f>
        <v>0</v>
      </c>
      <c r="G80" s="34" t="n">
        <f aca="false">SUMIFS(Calculo!$F$160:$ES$160,Calculo!$F$6:$ES$6,4)</f>
        <v>0</v>
      </c>
      <c r="H80" s="34" t="n">
        <f aca="false">SUMIFS(Calculo!$F$160:$ES$160,Calculo!$F$6:$ES$6,5)</f>
        <v>0</v>
      </c>
      <c r="I80" s="34" t="n">
        <f aca="false">SUMIFS(Calculo!$F$160:$ES$160,Calculo!$F$6:$ES$6,6)</f>
        <v>0</v>
      </c>
      <c r="J80" s="34" t="n">
        <f aca="false">SUMIFS(Calculo!$F$160:$ES$160,Calculo!$F$6:$ES$6,7)</f>
        <v>0</v>
      </c>
      <c r="K80" s="34" t="n">
        <f aca="false">SUMIFS(Calculo!$F$160:$ES$160,Calculo!$F$6:$ES$6,8)</f>
        <v>0</v>
      </c>
      <c r="L80" s="34" t="n">
        <f aca="false">SUMIFS(Calculo!$F$160:$ES$160,Calculo!$F$6:$ES$6,9)</f>
        <v>0</v>
      </c>
      <c r="M80" s="34" t="n">
        <f aca="false">SUMIFS(Calculo!$F$160:$ES$160,Calculo!$F$6:$ES$6,10)</f>
        <v>0</v>
      </c>
      <c r="N80" s="34" t="n">
        <f aca="false">SUMIFS(Calculo!$F$160:$ES$160,Calculo!$F$6:$ES$6,11)</f>
        <v>0</v>
      </c>
      <c r="O80" s="34" t="n">
        <f aca="false">SUMIFS(Calculo!$F$160:$ES$160,Calculo!$F$6:$ES$6,12)</f>
        <v>0</v>
      </c>
    </row>
    <row r="81" customFormat="false" ht="15" hidden="false" customHeight="false" outlineLevel="0" collapsed="false">
      <c r="A81" s="2" t="s">
        <v>987</v>
      </c>
      <c r="B81" s="6" t="str">
        <f aca="false">IF(INDEX(Prod_Nombre,11)="","Producto 11",INDEX(Prod_Nombre,11))</f>
        <v>Producto 11</v>
      </c>
      <c r="C81" s="40" t="n">
        <f aca="false">SUM(D81:O81)</f>
        <v>0</v>
      </c>
      <c r="D81" s="34" t="n">
        <f aca="false">SUMIFS(Calculo!$F$161:$ES$161,Calculo!$F$6:$ES$6,1)</f>
        <v>0</v>
      </c>
      <c r="E81" s="34" t="n">
        <f aca="false">SUMIFS(Calculo!$F$161:$ES$161,Calculo!$F$6:$ES$6,2)</f>
        <v>0</v>
      </c>
      <c r="F81" s="34" t="n">
        <f aca="false">SUMIFS(Calculo!$F$161:$ES$161,Calculo!$F$6:$ES$6,3)</f>
        <v>0</v>
      </c>
      <c r="G81" s="34" t="n">
        <f aca="false">SUMIFS(Calculo!$F$161:$ES$161,Calculo!$F$6:$ES$6,4)</f>
        <v>0</v>
      </c>
      <c r="H81" s="34" t="n">
        <f aca="false">SUMIFS(Calculo!$F$161:$ES$161,Calculo!$F$6:$ES$6,5)</f>
        <v>0</v>
      </c>
      <c r="I81" s="34" t="n">
        <f aca="false">SUMIFS(Calculo!$F$161:$ES$161,Calculo!$F$6:$ES$6,6)</f>
        <v>0</v>
      </c>
      <c r="J81" s="34" t="n">
        <f aca="false">SUMIFS(Calculo!$F$161:$ES$161,Calculo!$F$6:$ES$6,7)</f>
        <v>0</v>
      </c>
      <c r="K81" s="34" t="n">
        <f aca="false">SUMIFS(Calculo!$F$161:$ES$161,Calculo!$F$6:$ES$6,8)</f>
        <v>0</v>
      </c>
      <c r="L81" s="34" t="n">
        <f aca="false">SUMIFS(Calculo!$F$161:$ES$161,Calculo!$F$6:$ES$6,9)</f>
        <v>0</v>
      </c>
      <c r="M81" s="34" t="n">
        <f aca="false">SUMIFS(Calculo!$F$161:$ES$161,Calculo!$F$6:$ES$6,10)</f>
        <v>0</v>
      </c>
      <c r="N81" s="34" t="n">
        <f aca="false">SUMIFS(Calculo!$F$161:$ES$161,Calculo!$F$6:$ES$6,11)</f>
        <v>0</v>
      </c>
      <c r="O81" s="34" t="n">
        <f aca="false">SUMIFS(Calculo!$F$161:$ES$161,Calculo!$F$6:$ES$6,12)</f>
        <v>0</v>
      </c>
    </row>
    <row r="82" customFormat="false" ht="15" hidden="false" customHeight="false" outlineLevel="0" collapsed="false">
      <c r="A82" s="2" t="s">
        <v>988</v>
      </c>
      <c r="B82" s="6" t="str">
        <f aca="false">IF(INDEX(Prod_Nombre,12)="","Producto 12",INDEX(Prod_Nombre,12))</f>
        <v>Producto 12</v>
      </c>
      <c r="C82" s="40" t="n">
        <f aca="false">SUM(D82:O82)</f>
        <v>0</v>
      </c>
      <c r="D82" s="34" t="n">
        <f aca="false">SUMIFS(Calculo!$F$162:$ES$162,Calculo!$F$6:$ES$6,1)</f>
        <v>0</v>
      </c>
      <c r="E82" s="34" t="n">
        <f aca="false">SUMIFS(Calculo!$F$162:$ES$162,Calculo!$F$6:$ES$6,2)</f>
        <v>0</v>
      </c>
      <c r="F82" s="34" t="n">
        <f aca="false">SUMIFS(Calculo!$F$162:$ES$162,Calculo!$F$6:$ES$6,3)</f>
        <v>0</v>
      </c>
      <c r="G82" s="34" t="n">
        <f aca="false">SUMIFS(Calculo!$F$162:$ES$162,Calculo!$F$6:$ES$6,4)</f>
        <v>0</v>
      </c>
      <c r="H82" s="34" t="n">
        <f aca="false">SUMIFS(Calculo!$F$162:$ES$162,Calculo!$F$6:$ES$6,5)</f>
        <v>0</v>
      </c>
      <c r="I82" s="34" t="n">
        <f aca="false">SUMIFS(Calculo!$F$162:$ES$162,Calculo!$F$6:$ES$6,6)</f>
        <v>0</v>
      </c>
      <c r="J82" s="34" t="n">
        <f aca="false">SUMIFS(Calculo!$F$162:$ES$162,Calculo!$F$6:$ES$6,7)</f>
        <v>0</v>
      </c>
      <c r="K82" s="34" t="n">
        <f aca="false">SUMIFS(Calculo!$F$162:$ES$162,Calculo!$F$6:$ES$6,8)</f>
        <v>0</v>
      </c>
      <c r="L82" s="34" t="n">
        <f aca="false">SUMIFS(Calculo!$F$162:$ES$162,Calculo!$F$6:$ES$6,9)</f>
        <v>0</v>
      </c>
      <c r="M82" s="34" t="n">
        <f aca="false">SUMIFS(Calculo!$F$162:$ES$162,Calculo!$F$6:$ES$6,10)</f>
        <v>0</v>
      </c>
      <c r="N82" s="34" t="n">
        <f aca="false">SUMIFS(Calculo!$F$162:$ES$162,Calculo!$F$6:$ES$6,11)</f>
        <v>0</v>
      </c>
      <c r="O82" s="34" t="n">
        <f aca="false">SUMIFS(Calculo!$F$162:$ES$162,Calculo!$F$6:$ES$6,12)</f>
        <v>0</v>
      </c>
    </row>
    <row r="84" customFormat="false" ht="15" hidden="false" customHeight="false" outlineLevel="0" collapsed="false">
      <c r="A84" s="3" t="s">
        <v>989</v>
      </c>
      <c r="B84" s="4"/>
      <c r="C84" s="4"/>
      <c r="D84" s="4"/>
      <c r="E84" s="4"/>
      <c r="F84" s="4"/>
      <c r="G84" s="4"/>
      <c r="H84" s="4"/>
      <c r="I84" s="4"/>
      <c r="J84" s="4"/>
      <c r="K84" s="4"/>
      <c r="L84" s="4"/>
      <c r="M84" s="4"/>
      <c r="N84" s="4"/>
      <c r="O84" s="4"/>
    </row>
    <row r="85" customFormat="false" ht="15" hidden="false" customHeight="false" outlineLevel="0" collapsed="false">
      <c r="A85" s="5"/>
      <c r="B85" s="5" t="s">
        <v>922</v>
      </c>
      <c r="C85" s="5" t="s">
        <v>291</v>
      </c>
      <c r="D85" s="5" t="s">
        <v>194</v>
      </c>
      <c r="E85" s="5" t="s">
        <v>195</v>
      </c>
      <c r="F85" s="5" t="s">
        <v>196</v>
      </c>
      <c r="G85" s="5" t="s">
        <v>197</v>
      </c>
      <c r="H85" s="5" t="s">
        <v>198</v>
      </c>
      <c r="I85" s="5" t="s">
        <v>199</v>
      </c>
      <c r="J85" s="5" t="s">
        <v>200</v>
      </c>
      <c r="K85" s="5" t="s">
        <v>201</v>
      </c>
      <c r="L85" s="5" t="s">
        <v>202</v>
      </c>
      <c r="M85" s="5" t="s">
        <v>203</v>
      </c>
      <c r="N85" s="5" t="s">
        <v>923</v>
      </c>
      <c r="O85" s="5" t="s">
        <v>924</v>
      </c>
    </row>
    <row r="86" customFormat="false" ht="15" hidden="false" customHeight="false" outlineLevel="0" collapsed="false">
      <c r="B86" s="2" t="s">
        <v>925</v>
      </c>
      <c r="D86" s="71" t="str">
        <f aca="false">IF(Corte&gt;=12,"Real",IF(Corte&gt;0,"Real+Proy.","Proyección"))</f>
        <v>Proyección</v>
      </c>
      <c r="E86" s="71" t="str">
        <f aca="false">IF(Corte&gt;=24,"Real",IF(Corte&gt;12,"Real+Proy.","Proyección"))</f>
        <v>Proyección</v>
      </c>
      <c r="F86" s="71" t="str">
        <f aca="false">IF(Corte&gt;=36,"Real",IF(Corte&gt;24,"Real+Proy.","Proyección"))</f>
        <v>Proyección</v>
      </c>
      <c r="G86" s="71" t="str">
        <f aca="false">IF(Corte&gt;=48,"Real",IF(Corte&gt;36,"Real+Proy.","Proyección"))</f>
        <v>Proyección</v>
      </c>
      <c r="H86" s="71" t="str">
        <f aca="false">IF(Corte&gt;=60,"Real",IF(Corte&gt;48,"Real+Proy.","Proyección"))</f>
        <v>Proyección</v>
      </c>
      <c r="I86" s="71" t="str">
        <f aca="false">IF(Corte&gt;=72,"Real",IF(Corte&gt;60,"Real+Proy.","Proyección"))</f>
        <v>Proyección</v>
      </c>
      <c r="J86" s="71" t="str">
        <f aca="false">IF(Corte&gt;=84,"Real",IF(Corte&gt;72,"Real+Proy.","Proyección"))</f>
        <v>Proyección</v>
      </c>
      <c r="K86" s="71" t="str">
        <f aca="false">IF(Corte&gt;=96,"Real",IF(Corte&gt;84,"Real+Proy.","Proyección"))</f>
        <v>Proyección</v>
      </c>
      <c r="L86" s="71" t="str">
        <f aca="false">IF(Corte&gt;=108,"Real",IF(Corte&gt;96,"Real+Proy.","Proyección"))</f>
        <v>Proyección</v>
      </c>
      <c r="M86" s="71" t="str">
        <f aca="false">IF(Corte&gt;=120,"Real",IF(Corte&gt;108,"Real+Proy.","Proyección"))</f>
        <v>Proyección</v>
      </c>
      <c r="N86" s="71" t="str">
        <f aca="false">IF(Corte&gt;=132,"Real",IF(Corte&gt;120,"Real+Proy.","Proyección"))</f>
        <v>Proyección</v>
      </c>
      <c r="O86" s="71" t="str">
        <f aca="false">IF(Corte&gt;=144,"Real",IF(Corte&gt;132,"Real+Proy.","Proyección"))</f>
        <v>Proyección</v>
      </c>
    </row>
    <row r="87" customFormat="false" ht="15" hidden="false" customHeight="false" outlineLevel="0" collapsed="false">
      <c r="B87" s="2" t="s">
        <v>926</v>
      </c>
      <c r="D87" s="72" t="str">
        <f aca="false">IF(n_Fecha1="","",YEAR(EOMONTH(n_Fecha1,0)))</f>
        <v/>
      </c>
      <c r="E87" s="72" t="str">
        <f aca="false">IF(n_Fecha1="","",YEAR(EOMONTH(n_Fecha1,12)))</f>
        <v/>
      </c>
      <c r="F87" s="72" t="str">
        <f aca="false">IF(n_Fecha1="","",YEAR(EOMONTH(n_Fecha1,24)))</f>
        <v/>
      </c>
      <c r="G87" s="72" t="str">
        <f aca="false">IF(n_Fecha1="","",YEAR(EOMONTH(n_Fecha1,36)))</f>
        <v/>
      </c>
      <c r="H87" s="72" t="str">
        <f aca="false">IF(n_Fecha1="","",YEAR(EOMONTH(n_Fecha1,48)))</f>
        <v/>
      </c>
      <c r="I87" s="72" t="str">
        <f aca="false">IF(n_Fecha1="","",YEAR(EOMONTH(n_Fecha1,60)))</f>
        <v/>
      </c>
      <c r="J87" s="72" t="str">
        <f aca="false">IF(n_Fecha1="","",YEAR(EOMONTH(n_Fecha1,72)))</f>
        <v/>
      </c>
      <c r="K87" s="72" t="str">
        <f aca="false">IF(n_Fecha1="","",YEAR(EOMONTH(n_Fecha1,84)))</f>
        <v/>
      </c>
      <c r="L87" s="72" t="str">
        <f aca="false">IF(n_Fecha1="","",YEAR(EOMONTH(n_Fecha1,96)))</f>
        <v/>
      </c>
      <c r="M87" s="72" t="str">
        <f aca="false">IF(n_Fecha1="","",YEAR(EOMONTH(n_Fecha1,108)))</f>
        <v/>
      </c>
      <c r="N87" s="72" t="str">
        <f aca="false">IF(n_Fecha1="","",YEAR(EOMONTH(n_Fecha1,120)))</f>
        <v/>
      </c>
      <c r="O87" s="72" t="str">
        <f aca="false">IF(n_Fecha1="","",YEAR(EOMONTH(n_Fecha1,132)))</f>
        <v/>
      </c>
    </row>
    <row r="88" customFormat="false" ht="15" hidden="false" customHeight="false" outlineLevel="0" collapsed="false">
      <c r="A88" s="2" t="s">
        <v>990</v>
      </c>
      <c r="B88" s="52" t="s">
        <v>248</v>
      </c>
      <c r="C88" s="40" t="n">
        <f aca="false">SUM(D88:O88)</f>
        <v>81222447.7216454</v>
      </c>
      <c r="D88" s="10" t="n">
        <f aca="false">SUMIFS(Calculo!$F$45:$ES$45,Calculo!$F$6:$ES$6,1)</f>
        <v>4850000</v>
      </c>
      <c r="E88" s="10" t="n">
        <f aca="false">SUMIFS(Calculo!$F$45:$ES$45,Calculo!$F$6:$ES$6,2)</f>
        <v>6181200</v>
      </c>
      <c r="F88" s="10" t="n">
        <f aca="false">SUMIFS(Calculo!$F$45:$ES$45,Calculo!$F$6:$ES$6,3)</f>
        <v>7538539</v>
      </c>
      <c r="G88" s="10" t="n">
        <f aca="false">SUMIFS(Calculo!$F$45:$ES$45,Calculo!$F$6:$ES$6,4)</f>
        <v>8685437.43</v>
      </c>
      <c r="H88" s="10" t="n">
        <f aca="false">SUMIFS(Calculo!$F$45:$ES$45,Calculo!$F$6:$ES$6,5)</f>
        <v>8772291.8043</v>
      </c>
      <c r="I88" s="10" t="n">
        <f aca="false">SUMIFS(Calculo!$F$45:$ES$45,Calculo!$F$6:$ES$6,6)</f>
        <v>8860014.722343</v>
      </c>
      <c r="J88" s="10" t="n">
        <f aca="false">SUMIFS(Calculo!$F$45:$ES$45,Calculo!$F$6:$ES$6,7)</f>
        <v>8948614.86956643</v>
      </c>
      <c r="K88" s="10" t="n">
        <f aca="false">SUMIFS(Calculo!$F$45:$ES$45,Calculo!$F$6:$ES$6,8)</f>
        <v>9038101.01826209</v>
      </c>
      <c r="L88" s="10" t="n">
        <f aca="false">SUMIFS(Calculo!$F$45:$ES$45,Calculo!$F$6:$ES$6,9)</f>
        <v>9128482.02844472</v>
      </c>
      <c r="M88" s="10" t="n">
        <f aca="false">SUMIFS(Calculo!$F$45:$ES$45,Calculo!$F$6:$ES$6,10)</f>
        <v>9219766.84872916</v>
      </c>
      <c r="N88" s="10" t="n">
        <f aca="false">SUMIFS(Calculo!$F$45:$ES$45,Calculo!$F$6:$ES$6,11)</f>
        <v>0</v>
      </c>
      <c r="O88" s="10" t="n">
        <f aca="false">SUMIFS(Calculo!$F$45:$ES$45,Calculo!$F$6:$ES$6,12)</f>
        <v>0</v>
      </c>
    </row>
    <row r="89" customFormat="false" ht="15" hidden="false" customHeight="false" outlineLevel="0" collapsed="false">
      <c r="A89" s="2" t="s">
        <v>991</v>
      </c>
      <c r="B89" s="52" t="s">
        <v>251</v>
      </c>
      <c r="C89" s="40" t="n">
        <f aca="false">SUM(D89:O89)</f>
        <v>16309504.016261</v>
      </c>
      <c r="D89" s="10" t="n">
        <f aca="false">SUMIFS(Calculo!$F$76:$ES$76,Calculo!$F$6:$ES$6,1)</f>
        <v>509970.005707077</v>
      </c>
      <c r="E89" s="10" t="n">
        <f aca="false">SUMIFS(Calculo!$F$76:$ES$76,Calculo!$F$6:$ES$6,2)</f>
        <v>965956.835927578</v>
      </c>
      <c r="F89" s="10" t="n">
        <f aca="false">SUMIFS(Calculo!$F$76:$ES$76,Calculo!$F$6:$ES$6,3)</f>
        <v>1405020.3703815</v>
      </c>
      <c r="G89" s="10" t="n">
        <f aca="false">SUMIFS(Calculo!$F$76:$ES$76,Calculo!$F$6:$ES$6,4)</f>
        <v>1798722.9585583</v>
      </c>
      <c r="H89" s="10" t="n">
        <f aca="false">SUMIFS(Calculo!$F$76:$ES$76,Calculo!$F$6:$ES$6,5)</f>
        <v>1814557.97851648</v>
      </c>
      <c r="I89" s="10" t="n">
        <f aca="false">SUMIFS(Calculo!$F$76:$ES$76,Calculo!$F$6:$ES$6,6)</f>
        <v>1863605.30157391</v>
      </c>
      <c r="J89" s="10" t="n">
        <f aca="false">SUMIFS(Calculo!$F$76:$ES$76,Calculo!$F$6:$ES$6,7)</f>
        <v>1912992.2698728</v>
      </c>
      <c r="K89" s="10" t="n">
        <f aca="false">SUMIFS(Calculo!$F$76:$ES$76,Calculo!$F$6:$ES$6,8)</f>
        <v>1962717.82255545</v>
      </c>
      <c r="L89" s="10" t="n">
        <f aca="false">SUMIFS(Calculo!$F$76:$ES$76,Calculo!$F$6:$ES$6,9)</f>
        <v>2012780.75578689</v>
      </c>
      <c r="M89" s="10" t="n">
        <f aca="false">SUMIFS(Calculo!$F$76:$ES$76,Calculo!$F$6:$ES$6,10)</f>
        <v>2063179.71738103</v>
      </c>
      <c r="N89" s="10" t="n">
        <f aca="false">SUMIFS(Calculo!$F$76:$ES$76,Calculo!$F$6:$ES$6,11)</f>
        <v>0</v>
      </c>
      <c r="O89" s="10" t="n">
        <f aca="false">SUMIFS(Calculo!$F$76:$ES$76,Calculo!$F$6:$ES$6,12)</f>
        <v>0</v>
      </c>
    </row>
    <row r="90" customFormat="false" ht="15" hidden="false" customHeight="false" outlineLevel="0" collapsed="false">
      <c r="A90" s="2" t="s">
        <v>992</v>
      </c>
      <c r="B90" s="52" t="s">
        <v>946</v>
      </c>
      <c r="C90" s="40" t="n">
        <f aca="false">SUM(D90:O90)</f>
        <v>14751245.7980366</v>
      </c>
      <c r="D90" s="10" t="n">
        <f aca="false">SUMIFS(Calculo!$F$81:$ES$81,Calculo!$F$6:$ES$6,1)</f>
        <v>167275.864276051</v>
      </c>
      <c r="E90" s="10" t="n">
        <f aca="false">SUMIFS(Calculo!$F$81:$ES$81,Calculo!$F$6:$ES$6,2)</f>
        <v>658090.372806125</v>
      </c>
      <c r="F90" s="10" t="n">
        <f aca="false">SUMIFS(Calculo!$F$81:$ES$81,Calculo!$F$6:$ES$6,3)</f>
        <v>1154012.18844033</v>
      </c>
      <c r="G90" s="10" t="n">
        <f aca="false">SUMIFS(Calculo!$F$81:$ES$81,Calculo!$F$6:$ES$6,4)</f>
        <v>1609906.75676184</v>
      </c>
      <c r="H90" s="10" t="n">
        <f aca="false">SUMIFS(Calculo!$F$81:$ES$81,Calculo!$F$6:$ES$6,5)</f>
        <v>1693767.79358213</v>
      </c>
      <c r="I90" s="10" t="n">
        <f aca="false">SUMIFS(Calculo!$F$81:$ES$81,Calculo!$F$6:$ES$6,6)</f>
        <v>1794188.69257391</v>
      </c>
      <c r="J90" s="10" t="n">
        <f aca="false">SUMIFS(Calculo!$F$81:$ES$81,Calculo!$F$6:$ES$6,7)</f>
        <v>1843575.6608728</v>
      </c>
      <c r="K90" s="10" t="n">
        <f aca="false">SUMIFS(Calculo!$F$81:$ES$81,Calculo!$F$6:$ES$6,8)</f>
        <v>1893301.21355545</v>
      </c>
      <c r="L90" s="10" t="n">
        <f aca="false">SUMIFS(Calculo!$F$81:$ES$81,Calculo!$F$6:$ES$6,9)</f>
        <v>1943364.14678689</v>
      </c>
      <c r="M90" s="10" t="n">
        <f aca="false">SUMIFS(Calculo!$F$81:$ES$81,Calculo!$F$6:$ES$6,10)</f>
        <v>1993763.10838103</v>
      </c>
      <c r="N90" s="10" t="n">
        <f aca="false">SUMIFS(Calculo!$F$81:$ES$81,Calculo!$F$6:$ES$6,11)</f>
        <v>0</v>
      </c>
      <c r="O90" s="10" t="n">
        <f aca="false">SUMIFS(Calculo!$F$81:$ES$81,Calculo!$F$6:$ES$6,12)</f>
        <v>0</v>
      </c>
    </row>
    <row r="91" customFormat="false" ht="15" hidden="false" customHeight="false" outlineLevel="0" collapsed="false">
      <c r="A91" s="2" t="s">
        <v>993</v>
      </c>
      <c r="B91" s="6" t="s">
        <v>948</v>
      </c>
      <c r="C91" s="40" t="n">
        <f aca="false">SUM(D91:O91)</f>
        <v>11809741.4989387</v>
      </c>
      <c r="D91" s="34" t="n">
        <f aca="false">SUMIFS(Calculo!$F$90:$ES$90,Calculo!$F$6:$ES$6,1)</f>
        <v>-1878093.88165195</v>
      </c>
      <c r="E91" s="34" t="n">
        <f aca="false">SUMIFS(Calculo!$F$90:$ES$90,Calculo!$F$6:$ES$6,2)</f>
        <v>310811.391531933</v>
      </c>
      <c r="F91" s="34" t="n">
        <f aca="false">SUMIFS(Calculo!$F$90:$ES$90,Calculo!$F$6:$ES$6,3)</f>
        <v>737693.439749073</v>
      </c>
      <c r="G91" s="34" t="n">
        <f aca="false">SUMIFS(Calculo!$F$90:$ES$90,Calculo!$F$6:$ES$6,4)</f>
        <v>1239913.88862499</v>
      </c>
      <c r="H91" s="34" t="n">
        <f aca="false">SUMIFS(Calculo!$F$90:$ES$90,Calculo!$F$6:$ES$6,5)</f>
        <v>1776448.43081062</v>
      </c>
      <c r="I91" s="34" t="n">
        <f aca="false">SUMIFS(Calculo!$F$90:$ES$90,Calculo!$F$6:$ES$6,6)</f>
        <v>1825880.44510532</v>
      </c>
      <c r="J91" s="34" t="n">
        <f aca="false">SUMIFS(Calculo!$F$90:$ES$90,Calculo!$F$6:$ES$6,7)</f>
        <v>1874902.37664802</v>
      </c>
      <c r="K91" s="34" t="n">
        <f aca="false">SUMIFS(Calculo!$F$90:$ES$90,Calculo!$F$6:$ES$6,8)</f>
        <v>1924259.60486093</v>
      </c>
      <c r="L91" s="34" t="n">
        <f aca="false">SUMIFS(Calculo!$F$90:$ES$90,Calculo!$F$6:$ES$6,9)</f>
        <v>1973950.90383755</v>
      </c>
      <c r="M91" s="34" t="n">
        <f aca="false">SUMIFS(Calculo!$F$90:$ES$90,Calculo!$F$6:$ES$6,10)</f>
        <v>2023974.89942226</v>
      </c>
      <c r="N91" s="34" t="n">
        <f aca="false">SUMIFS(Calculo!$F$90:$ES$90,Calculo!$F$6:$ES$6,11)</f>
        <v>0</v>
      </c>
      <c r="O91" s="34" t="n">
        <f aca="false">SUMIFS(Calculo!$F$90:$ES$90,Calculo!$F$6:$ES$6,12)</f>
        <v>0</v>
      </c>
    </row>
    <row r="92" customFormat="false" ht="15" hidden="false" customHeight="false" outlineLevel="0" collapsed="false">
      <c r="A92" s="2" t="s">
        <v>994</v>
      </c>
      <c r="B92" s="6" t="s">
        <v>505</v>
      </c>
      <c r="C92" s="40" t="n">
        <f aca="false">SUM(D92:O92)</f>
        <v>755044.09</v>
      </c>
      <c r="D92" s="34" t="n">
        <f aca="false">SUMIFS(Calculo!$F$91:$ES$91,Calculo!$F$6:$ES$6,1)</f>
        <v>655044.09</v>
      </c>
      <c r="E92" s="34" t="n">
        <f aca="false">SUMIFS(Calculo!$F$91:$ES$91,Calculo!$F$6:$ES$6,2)</f>
        <v>100000</v>
      </c>
      <c r="F92" s="34" t="n">
        <f aca="false">SUMIFS(Calculo!$F$91:$ES$91,Calculo!$F$6:$ES$6,3)</f>
        <v>0</v>
      </c>
      <c r="G92" s="34" t="n">
        <f aca="false">SUMIFS(Calculo!$F$91:$ES$91,Calculo!$F$6:$ES$6,4)</f>
        <v>0</v>
      </c>
      <c r="H92" s="34" t="n">
        <f aca="false">SUMIFS(Calculo!$F$91:$ES$91,Calculo!$F$6:$ES$6,5)</f>
        <v>0</v>
      </c>
      <c r="I92" s="34" t="n">
        <f aca="false">SUMIFS(Calculo!$F$91:$ES$91,Calculo!$F$6:$ES$6,6)</f>
        <v>0</v>
      </c>
      <c r="J92" s="34" t="n">
        <f aca="false">SUMIFS(Calculo!$F$91:$ES$91,Calculo!$F$6:$ES$6,7)</f>
        <v>0</v>
      </c>
      <c r="K92" s="34" t="n">
        <f aca="false">SUMIFS(Calculo!$F$91:$ES$91,Calculo!$F$6:$ES$6,8)</f>
        <v>0</v>
      </c>
      <c r="L92" s="34" t="n">
        <f aca="false">SUMIFS(Calculo!$F$91:$ES$91,Calculo!$F$6:$ES$6,9)</f>
        <v>0</v>
      </c>
      <c r="M92" s="34" t="n">
        <f aca="false">SUMIFS(Calculo!$F$91:$ES$91,Calculo!$F$6:$ES$6,10)</f>
        <v>0</v>
      </c>
      <c r="N92" s="34" t="n">
        <f aca="false">SUMIFS(Calculo!$F$91:$ES$91,Calculo!$F$6:$ES$6,11)</f>
        <v>0</v>
      </c>
      <c r="O92" s="34" t="n">
        <f aca="false">SUMIFS(Calculo!$F$91:$ES$91,Calculo!$F$6:$ES$6,12)</f>
        <v>0</v>
      </c>
    </row>
    <row r="93" customFormat="false" ht="15" hidden="false" customHeight="false" outlineLevel="0" collapsed="false">
      <c r="A93" s="2" t="s">
        <v>995</v>
      </c>
      <c r="B93" s="52" t="s">
        <v>951</v>
      </c>
      <c r="C93" s="40" t="n">
        <f aca="false">SUM(D93:O93)</f>
        <v>15564459.926261</v>
      </c>
      <c r="D93" s="10" t="n">
        <f aca="false">SUMIFS(Calculo!$F$94:$ES$94,Calculo!$F$6:$ES$6,1)</f>
        <v>-2533137.97165195</v>
      </c>
      <c r="E93" s="10" t="n">
        <f aca="false">SUMIFS(Calculo!$F$94:$ES$94,Calculo!$F$6:$ES$6,2)</f>
        <v>210811.391531933</v>
      </c>
      <c r="F93" s="10" t="n">
        <f aca="false">SUMIFS(Calculo!$F$94:$ES$94,Calculo!$F$6:$ES$6,3)</f>
        <v>737693.439749073</v>
      </c>
      <c r="G93" s="10" t="n">
        <f aca="false">SUMIFS(Calculo!$F$94:$ES$94,Calculo!$F$6:$ES$6,4)</f>
        <v>1239913.88862499</v>
      </c>
      <c r="H93" s="10" t="n">
        <f aca="false">SUMIFS(Calculo!$F$94:$ES$94,Calculo!$F$6:$ES$6,5)</f>
        <v>1776448.43081062</v>
      </c>
      <c r="I93" s="10" t="n">
        <f aca="false">SUMIFS(Calculo!$F$94:$ES$94,Calculo!$F$6:$ES$6,6)</f>
        <v>1825880.44510532</v>
      </c>
      <c r="J93" s="10" t="n">
        <f aca="false">SUMIFS(Calculo!$F$94:$ES$94,Calculo!$F$6:$ES$6,7)</f>
        <v>1874902.37664802</v>
      </c>
      <c r="K93" s="10" t="n">
        <f aca="false">SUMIFS(Calculo!$F$94:$ES$94,Calculo!$F$6:$ES$6,8)</f>
        <v>1924259.60486093</v>
      </c>
      <c r="L93" s="10" t="n">
        <f aca="false">SUMIFS(Calculo!$F$94:$ES$94,Calculo!$F$6:$ES$6,9)</f>
        <v>1973950.90383755</v>
      </c>
      <c r="M93" s="10" t="n">
        <f aca="false">SUMIFS(Calculo!$F$94:$ES$94,Calculo!$F$6:$ES$6,10)</f>
        <v>6533737.41674454</v>
      </c>
      <c r="N93" s="10" t="n">
        <f aca="false">SUMIFS(Calculo!$F$94:$ES$94,Calculo!$F$6:$ES$6,11)</f>
        <v>0</v>
      </c>
      <c r="O93" s="10" t="n">
        <f aca="false">SUMIFS(Calculo!$F$94:$ES$94,Calculo!$F$6:$ES$6,12)</f>
        <v>0</v>
      </c>
    </row>
    <row r="94" customFormat="false" ht="15" hidden="false" customHeight="false" outlineLevel="0" collapsed="false">
      <c r="A94" s="2" t="s">
        <v>996</v>
      </c>
      <c r="B94" s="6" t="s">
        <v>707</v>
      </c>
      <c r="C94" s="40" t="n">
        <f aca="false">SUM(D94:O94)</f>
        <v>1139710</v>
      </c>
      <c r="D94" s="34" t="n">
        <f aca="false">SUMIFS(Calculo!$F$112:$ES$112,Calculo!$F$6:$ES$6,1)</f>
        <v>767782</v>
      </c>
      <c r="E94" s="34" t="n">
        <f aca="false">SUMIFS(Calculo!$F$112:$ES$112,Calculo!$F$6:$ES$6,2)</f>
        <v>371928</v>
      </c>
      <c r="F94" s="34" t="n">
        <f aca="false">SUMIFS(Calculo!$F$112:$ES$112,Calculo!$F$6:$ES$6,3)</f>
        <v>0</v>
      </c>
      <c r="G94" s="34" t="n">
        <f aca="false">SUMIFS(Calculo!$F$112:$ES$112,Calculo!$F$6:$ES$6,4)</f>
        <v>0</v>
      </c>
      <c r="H94" s="34" t="n">
        <f aca="false">SUMIFS(Calculo!$F$112:$ES$112,Calculo!$F$6:$ES$6,5)</f>
        <v>0</v>
      </c>
      <c r="I94" s="34" t="n">
        <f aca="false">SUMIFS(Calculo!$F$112:$ES$112,Calculo!$F$6:$ES$6,6)</f>
        <v>0</v>
      </c>
      <c r="J94" s="34" t="n">
        <f aca="false">SUMIFS(Calculo!$F$112:$ES$112,Calculo!$F$6:$ES$6,7)</f>
        <v>0</v>
      </c>
      <c r="K94" s="34" t="n">
        <f aca="false">SUMIFS(Calculo!$F$112:$ES$112,Calculo!$F$6:$ES$6,8)</f>
        <v>0</v>
      </c>
      <c r="L94" s="34" t="n">
        <f aca="false">SUMIFS(Calculo!$F$112:$ES$112,Calculo!$F$6:$ES$6,9)</f>
        <v>0</v>
      </c>
      <c r="M94" s="34" t="n">
        <f aca="false">SUMIFS(Calculo!$F$112:$ES$112,Calculo!$F$6:$ES$6,10)</f>
        <v>0</v>
      </c>
      <c r="N94" s="34" t="n">
        <f aca="false">SUMIFS(Calculo!$F$112:$ES$112,Calculo!$F$6:$ES$6,11)</f>
        <v>0</v>
      </c>
      <c r="O94" s="34" t="n">
        <f aca="false">SUMIFS(Calculo!$F$112:$ES$112,Calculo!$F$6:$ES$6,12)</f>
        <v>0</v>
      </c>
    </row>
    <row r="95" customFormat="false" ht="15" hidden="false" customHeight="false" outlineLevel="0" collapsed="false">
      <c r="A95" s="2" t="s">
        <v>997</v>
      </c>
      <c r="B95" s="6" t="s">
        <v>647</v>
      </c>
      <c r="C95" s="40" t="n">
        <f aca="false">SUM(D95:O95)</f>
        <v>813214.128224454</v>
      </c>
      <c r="D95" s="34" t="n">
        <f aca="false">SUMIFS(Calculo!$F$79:$ES$79,Calculo!$F$6:$ES$6,1)</f>
        <v>271101.932431026</v>
      </c>
      <c r="E95" s="34" t="n">
        <f aca="false">SUMIFS(Calculo!$F$79:$ES$79,Calculo!$F$6:$ES$6,2)</f>
        <v>226274.254121452</v>
      </c>
      <c r="F95" s="34" t="n">
        <f aca="false">SUMIFS(Calculo!$F$79:$ES$79,Calculo!$F$6:$ES$6,3)</f>
        <v>169415.972941167</v>
      </c>
      <c r="G95" s="34" t="n">
        <f aca="false">SUMIFS(Calculo!$F$79:$ES$79,Calculo!$F$6:$ES$6,4)</f>
        <v>107223.992796456</v>
      </c>
      <c r="H95" s="34" t="n">
        <f aca="false">SUMIFS(Calculo!$F$79:$ES$79,Calculo!$F$6:$ES$6,5)</f>
        <v>39197.9759343531</v>
      </c>
      <c r="I95" s="34" t="n">
        <f aca="false">SUMIFS(Calculo!$F$79:$ES$79,Calculo!$F$6:$ES$6,6)</f>
        <v>0</v>
      </c>
      <c r="J95" s="34" t="n">
        <f aca="false">SUMIFS(Calculo!$F$79:$ES$79,Calculo!$F$6:$ES$6,7)</f>
        <v>0</v>
      </c>
      <c r="K95" s="34" t="n">
        <f aca="false">SUMIFS(Calculo!$F$79:$ES$79,Calculo!$F$6:$ES$6,8)</f>
        <v>0</v>
      </c>
      <c r="L95" s="34" t="n">
        <f aca="false">SUMIFS(Calculo!$F$79:$ES$79,Calculo!$F$6:$ES$6,9)</f>
        <v>0</v>
      </c>
      <c r="M95" s="34" t="n">
        <f aca="false">SUMIFS(Calculo!$F$79:$ES$79,Calculo!$F$6:$ES$6,10)</f>
        <v>0</v>
      </c>
      <c r="N95" s="34" t="n">
        <f aca="false">SUMIFS(Calculo!$F$79:$ES$79,Calculo!$F$6:$ES$6,11)</f>
        <v>0</v>
      </c>
      <c r="O95" s="34" t="n">
        <f aca="false">SUMIFS(Calculo!$F$79:$ES$79,Calculo!$F$6:$ES$6,12)</f>
        <v>0</v>
      </c>
    </row>
    <row r="96" customFormat="false" ht="15" hidden="false" customHeight="false" outlineLevel="0" collapsed="false">
      <c r="A96" s="2" t="s">
        <v>998</v>
      </c>
      <c r="B96" s="6" t="s">
        <v>955</v>
      </c>
      <c r="C96" s="40" t="n">
        <f aca="false">SUM(D96:O96)</f>
        <v>2791587</v>
      </c>
      <c r="D96" s="34" t="n">
        <f aca="false">SUMIFS(Calculo!$F$121:$ES$121,Calculo!$F$6:$ES$6,1)</f>
        <v>257526.352358103</v>
      </c>
      <c r="E96" s="34" t="n">
        <f aca="false">SUMIFS(Calculo!$F$121:$ES$121,Calculo!$F$6:$ES$6,2)</f>
        <v>551018.611753115</v>
      </c>
      <c r="F96" s="34" t="n">
        <f aca="false">SUMIFS(Calculo!$F$121:$ES$121,Calculo!$F$6:$ES$6,3)</f>
        <v>602707.958280647</v>
      </c>
      <c r="G96" s="34" t="n">
        <f aca="false">SUMIFS(Calculo!$F$121:$ES$121,Calculo!$F$6:$ES$6,4)</f>
        <v>659246.122048566</v>
      </c>
      <c r="H96" s="34" t="n">
        <f aca="false">SUMIFS(Calculo!$F$121:$ES$121,Calculo!$F$6:$ES$6,5)</f>
        <v>721087.95555957</v>
      </c>
      <c r="I96" s="34" t="n">
        <f aca="false">SUMIFS(Calculo!$F$121:$ES$121,Calculo!$F$6:$ES$6,6)</f>
        <v>0</v>
      </c>
      <c r="J96" s="34" t="n">
        <f aca="false">SUMIFS(Calculo!$F$121:$ES$121,Calculo!$F$6:$ES$6,7)</f>
        <v>0</v>
      </c>
      <c r="K96" s="34" t="n">
        <f aca="false">SUMIFS(Calculo!$F$121:$ES$121,Calculo!$F$6:$ES$6,8)</f>
        <v>0</v>
      </c>
      <c r="L96" s="34" t="n">
        <f aca="false">SUMIFS(Calculo!$F$121:$ES$121,Calculo!$F$6:$ES$6,9)</f>
        <v>0</v>
      </c>
      <c r="M96" s="34" t="n">
        <f aca="false">SUMIFS(Calculo!$F$121:$ES$121,Calculo!$F$6:$ES$6,10)</f>
        <v>0</v>
      </c>
      <c r="N96" s="34" t="n">
        <f aca="false">SUMIFS(Calculo!$F$121:$ES$121,Calculo!$F$6:$ES$6,11)</f>
        <v>0</v>
      </c>
      <c r="O96" s="34" t="n">
        <f aca="false">SUMIFS(Calculo!$F$121:$ES$121,Calculo!$F$6:$ES$6,12)</f>
        <v>0</v>
      </c>
    </row>
    <row r="97" customFormat="false" ht="15" hidden="false" customHeight="false" outlineLevel="0" collapsed="false">
      <c r="A97" s="2" t="s">
        <v>999</v>
      </c>
      <c r="B97" s="6" t="s">
        <v>957</v>
      </c>
      <c r="C97" s="40" t="n">
        <f aca="false">SUM(D97:O97)</f>
        <v>2791587</v>
      </c>
      <c r="D97" s="34" t="n">
        <f aca="false">SUMIFS(Calculo!$F$111:$ES$111,Calculo!$F$6:$ES$6,1)</f>
        <v>257526.352358103</v>
      </c>
      <c r="E97" s="34" t="n">
        <f aca="false">SUMIFS(Calculo!$F$111:$ES$111,Calculo!$F$6:$ES$6,2)</f>
        <v>551018.611753115</v>
      </c>
      <c r="F97" s="34" t="n">
        <f aca="false">SUMIFS(Calculo!$F$111:$ES$111,Calculo!$F$6:$ES$6,3)</f>
        <v>602707.958280647</v>
      </c>
      <c r="G97" s="34" t="n">
        <f aca="false">SUMIFS(Calculo!$F$111:$ES$111,Calculo!$F$6:$ES$6,4)</f>
        <v>659246.122048566</v>
      </c>
      <c r="H97" s="34" t="n">
        <f aca="false">SUMIFS(Calculo!$F$111:$ES$111,Calculo!$F$6:$ES$6,5)</f>
        <v>721087.95555957</v>
      </c>
      <c r="I97" s="34" t="n">
        <f aca="false">SUMIFS(Calculo!$F$111:$ES$111,Calculo!$F$6:$ES$6,6)</f>
        <v>0</v>
      </c>
      <c r="J97" s="34" t="n">
        <f aca="false">SUMIFS(Calculo!$F$111:$ES$111,Calculo!$F$6:$ES$6,7)</f>
        <v>0</v>
      </c>
      <c r="K97" s="34" t="n">
        <f aca="false">SUMIFS(Calculo!$F$111:$ES$111,Calculo!$F$6:$ES$6,8)</f>
        <v>0</v>
      </c>
      <c r="L97" s="34" t="n">
        <f aca="false">SUMIFS(Calculo!$F$111:$ES$111,Calculo!$F$6:$ES$6,9)</f>
        <v>0</v>
      </c>
      <c r="M97" s="34" t="n">
        <f aca="false">SUMIFS(Calculo!$F$111:$ES$111,Calculo!$F$6:$ES$6,10)</f>
        <v>0</v>
      </c>
      <c r="N97" s="34" t="n">
        <f aca="false">SUMIFS(Calculo!$F$111:$ES$111,Calculo!$F$6:$ES$6,11)</f>
        <v>0</v>
      </c>
      <c r="O97" s="34" t="n">
        <f aca="false">SUMIFS(Calculo!$F$111:$ES$111,Calculo!$F$6:$ES$6,12)</f>
        <v>0</v>
      </c>
    </row>
    <row r="98" customFormat="false" ht="15" hidden="false" customHeight="false" outlineLevel="0" collapsed="false">
      <c r="A98" s="2" t="s">
        <v>1000</v>
      </c>
      <c r="B98" s="52" t="s">
        <v>960</v>
      </c>
      <c r="C98" s="40" t="n">
        <f aca="false">INDEX(Calculo!$F$128:$ES$128,1,MIN(144,Fin))</f>
        <v>1637883.64417609</v>
      </c>
      <c r="D98" s="10" t="n">
        <f aca="false">INDEX(Calculo!$F$128:$ES$128,1,MIN(144,12))</f>
        <v>497602.743558918</v>
      </c>
      <c r="E98" s="10" t="n">
        <f aca="false">INDEX(Calculo!$F$128:$ES$128,1,MIN(144,24))</f>
        <v>303049.269216285</v>
      </c>
      <c r="F98" s="10" t="n">
        <f aca="false">INDEX(Calculo!$F$128:$ES$128,1,MIN(144,36))</f>
        <v>268618.777743544</v>
      </c>
      <c r="G98" s="10" t="n">
        <f aca="false">INDEX(Calculo!$F$128:$ES$128,1,MIN(144,48))</f>
        <v>742062.551523509</v>
      </c>
      <c r="H98" s="10" t="n">
        <f aca="false">INDEX(Calculo!$F$128:$ES$128,1,MIN(144,60))</f>
        <v>953271.672459288</v>
      </c>
      <c r="I98" s="10" t="n">
        <f aca="false">INDEX(Calculo!$F$128:$ES$128,1,MIN(144,72))</f>
        <v>1315225.57319639</v>
      </c>
      <c r="J98" s="10" t="n">
        <f aca="false">INDEX(Calculo!$F$128:$ES$128,1,MIN(144,84))</f>
        <v>1395939.25727049</v>
      </c>
      <c r="K98" s="10" t="n">
        <f aca="false">INDEX(Calculo!$F$128:$ES$128,1,MIN(144,96))</f>
        <v>1476623.20125862</v>
      </c>
      <c r="L98" s="10" t="n">
        <f aca="false">INDEX(Calculo!$F$128:$ES$128,1,MIN(144,108))</f>
        <v>1557272.89154073</v>
      </c>
      <c r="M98" s="10" t="n">
        <f aca="false">INDEX(Calculo!$F$128:$ES$128,1,MIN(144,120))</f>
        <v>1637883.64417609</v>
      </c>
      <c r="N98" s="10" t="n">
        <f aca="false">INDEX(Calculo!$F$128:$ES$128,1,MIN(144,132))</f>
        <v>1637883.64417609</v>
      </c>
      <c r="O98" s="10" t="n">
        <f aca="false">INDEX(Calculo!$F$128:$ES$128,1,MIN(144,144))</f>
        <v>1637883.64417609</v>
      </c>
    </row>
    <row r="99" customFormat="false" ht="15" hidden="false" customHeight="false" outlineLevel="0" collapsed="false">
      <c r="A99" s="2" t="s">
        <v>1001</v>
      </c>
      <c r="B99" s="6" t="s">
        <v>962</v>
      </c>
      <c r="C99" s="40" t="n">
        <f aca="false">INDEX(Calculo!$F$122:$ES$122,1,MIN(144,Fin))</f>
        <v>0</v>
      </c>
      <c r="D99" s="34" t="n">
        <f aca="false">INDEX(Calculo!$F$122:$ES$122,1,MIN(144,12))</f>
        <v>2534060.6476419</v>
      </c>
      <c r="E99" s="34" t="n">
        <f aca="false">INDEX(Calculo!$F$122:$ES$122,1,MIN(144,24))</f>
        <v>1983042.03588878</v>
      </c>
      <c r="F99" s="34" t="n">
        <f aca="false">INDEX(Calculo!$F$122:$ES$122,1,MIN(144,36))</f>
        <v>1380334.07760814</v>
      </c>
      <c r="G99" s="34" t="n">
        <f aca="false">INDEX(Calculo!$F$122:$ES$122,1,MIN(144,48))</f>
        <v>721087.95555957</v>
      </c>
      <c r="H99" s="34" t="n">
        <f aca="false">INDEX(Calculo!$F$122:$ES$122,1,MIN(144,60))</f>
        <v>0</v>
      </c>
      <c r="I99" s="34" t="n">
        <f aca="false">INDEX(Calculo!$F$122:$ES$122,1,MIN(144,72))</f>
        <v>0</v>
      </c>
      <c r="J99" s="34" t="n">
        <f aca="false">INDEX(Calculo!$F$122:$ES$122,1,MIN(144,84))</f>
        <v>0</v>
      </c>
      <c r="K99" s="34" t="n">
        <f aca="false">INDEX(Calculo!$F$122:$ES$122,1,MIN(144,96))</f>
        <v>0</v>
      </c>
      <c r="L99" s="34" t="n">
        <f aca="false">INDEX(Calculo!$F$122:$ES$122,1,MIN(144,108))</f>
        <v>0</v>
      </c>
      <c r="M99" s="34" t="n">
        <f aca="false">INDEX(Calculo!$F$122:$ES$122,1,MIN(144,120))</f>
        <v>0</v>
      </c>
      <c r="N99" s="34" t="n">
        <f aca="false">INDEX(Calculo!$F$122:$ES$122,1,MIN(144,132))</f>
        <v>0</v>
      </c>
      <c r="O99" s="34" t="n">
        <f aca="false">INDEX(Calculo!$F$122:$ES$122,1,MIN(144,144))</f>
        <v>0</v>
      </c>
    </row>
    <row r="100" customFormat="false" ht="15" hidden="false" customHeight="false" outlineLevel="0" collapsed="false">
      <c r="A100" s="2" t="s">
        <v>1002</v>
      </c>
      <c r="B100" s="6" t="s">
        <v>966</v>
      </c>
      <c r="C100" s="40" t="n">
        <f aca="false">INDEX(Calculo!$F$87:$ES$87,1,MIN(144,Fin))</f>
        <v>4499762.51732228</v>
      </c>
      <c r="D100" s="34" t="n">
        <f aca="false">INDEX(Calculo!$F$87:$ES$87,1,MIN(144,12))</f>
        <v>2388063.88735903</v>
      </c>
      <c r="E100" s="34" t="n">
        <f aca="false">INDEX(Calculo!$F$87:$ES$87,1,MIN(144,24))</f>
        <v>3043209.33175467</v>
      </c>
      <c r="F100" s="34" t="n">
        <f aca="false">INDEX(Calculo!$F$87:$ES$87,1,MIN(144,36))</f>
        <v>3710536.2623871</v>
      </c>
      <c r="G100" s="34" t="n">
        <f aca="false">INDEX(Calculo!$F$87:$ES$87,1,MIN(144,48))</f>
        <v>4269345.33232041</v>
      </c>
      <c r="H100" s="34" t="n">
        <f aca="false">INDEX(Calculo!$F$87:$ES$87,1,MIN(144,60))</f>
        <v>4307454.88002627</v>
      </c>
      <c r="I100" s="34" t="n">
        <f aca="false">INDEX(Calculo!$F$87:$ES$87,1,MIN(144,72))</f>
        <v>4345179.73649487</v>
      </c>
      <c r="J100" s="34" t="n">
        <f aca="false">INDEX(Calculo!$F$87:$ES$87,1,MIN(144,84))</f>
        <v>4383269.62971965</v>
      </c>
      <c r="K100" s="34" t="n">
        <f aca="false">INDEX(Calculo!$F$87:$ES$87,1,MIN(144,96))</f>
        <v>4421727.84741417</v>
      </c>
      <c r="L100" s="34" t="n">
        <f aca="false">INDEX(Calculo!$F$87:$ES$87,1,MIN(144,108))</f>
        <v>4460557.6993635</v>
      </c>
      <c r="M100" s="34" t="n">
        <f aca="false">INDEX(Calculo!$F$87:$ES$87,1,MIN(144,120))</f>
        <v>4499762.51732228</v>
      </c>
      <c r="N100" s="34" t="n">
        <f aca="false">INDEX(Calculo!$F$87:$ES$87,1,MIN(144,132))</f>
        <v>4499762.51732228</v>
      </c>
      <c r="O100" s="34" t="n">
        <f aca="false">INDEX(Calculo!$F$87:$ES$87,1,MIN(144,144))</f>
        <v>4499762.51732228</v>
      </c>
    </row>
    <row r="101" customFormat="false" ht="15" hidden="false" customHeight="false" outlineLevel="0" collapsed="false">
      <c r="A101" s="2" t="s">
        <v>1003</v>
      </c>
      <c r="B101" s="6" t="s">
        <v>1004</v>
      </c>
      <c r="D101" s="34" t="n">
        <f aca="false">D95+D97</f>
        <v>528628.284789129</v>
      </c>
      <c r="E101" s="34" t="n">
        <f aca="false">E95+E97</f>
        <v>777292.865874567</v>
      </c>
      <c r="F101" s="34" t="n">
        <f aca="false">F95+F97</f>
        <v>772123.931221814</v>
      </c>
      <c r="G101" s="34" t="n">
        <f aca="false">G95+G97</f>
        <v>766470.114845022</v>
      </c>
      <c r="H101" s="34" t="n">
        <f aca="false">H95+H97</f>
        <v>760285.931493923</v>
      </c>
      <c r="I101" s="34" t="n">
        <f aca="false">I95+I97</f>
        <v>0</v>
      </c>
      <c r="J101" s="34" t="n">
        <f aca="false">J95+J97</f>
        <v>0</v>
      </c>
      <c r="K101" s="34" t="n">
        <f aca="false">K95+K97</f>
        <v>0</v>
      </c>
      <c r="L101" s="34" t="n">
        <f aca="false">L95+L97</f>
        <v>0</v>
      </c>
      <c r="M101" s="34" t="n">
        <f aca="false">M95+M97</f>
        <v>0</v>
      </c>
      <c r="N101" s="34" t="n">
        <f aca="false">N95+N97</f>
        <v>0</v>
      </c>
      <c r="O101" s="34" t="n">
        <f aca="false">O95+O97</f>
        <v>0</v>
      </c>
    </row>
    <row r="102" customFormat="false" ht="15" hidden="false" customHeight="false" outlineLevel="0" collapsed="false">
      <c r="A102" s="2" t="s">
        <v>1005</v>
      </c>
      <c r="B102" s="6" t="s">
        <v>1006</v>
      </c>
      <c r="D102" s="68" t="n">
        <f aca="false">IF(D101&gt;1,D91/D101,"")</f>
        <v>-3.5527684304693</v>
      </c>
      <c r="E102" s="68" t="n">
        <f aca="false">IF(E101&gt;1,E91/E101,"")</f>
        <v>0.399863944695061</v>
      </c>
      <c r="F102" s="68" t="n">
        <f aca="false">IF(F101&gt;1,F91/F101,"")</f>
        <v>0.955408076242039</v>
      </c>
      <c r="G102" s="68" t="n">
        <f aca="false">IF(G101&gt;1,G91/G101,"")</f>
        <v>1.6176937164415</v>
      </c>
      <c r="H102" s="68" t="n">
        <f aca="false">IF(H101&gt;1,H91/H101,"")</f>
        <v>2.33655307460444</v>
      </c>
      <c r="I102" s="68" t="str">
        <f aca="false">IF(I101&gt;1,I91/I101,"")</f>
        <v/>
      </c>
      <c r="J102" s="68" t="str">
        <f aca="false">IF(J101&gt;1,J91/J101,"")</f>
        <v/>
      </c>
      <c r="K102" s="68" t="str">
        <f aca="false">IF(K101&gt;1,K91/K101,"")</f>
        <v/>
      </c>
      <c r="L102" s="68" t="str">
        <f aca="false">IF(L101&gt;1,L91/L101,"")</f>
        <v/>
      </c>
      <c r="M102" s="68" t="str">
        <f aca="false">IF(M101&gt;1,M91/M101,"")</f>
        <v/>
      </c>
      <c r="N102" s="68" t="str">
        <f aca="false">IF(N101&gt;1,N91/N101,"")</f>
        <v/>
      </c>
      <c r="O102" s="68" t="str">
        <f aca="false">IF(O101&gt;1,O91/O101,"")</f>
        <v/>
      </c>
    </row>
    <row r="103" customFormat="false" ht="15" hidden="false" customHeight="false" outlineLevel="0" collapsed="false">
      <c r="B103" s="11" t="s">
        <v>463</v>
      </c>
    </row>
    <row r="104" customFormat="false" ht="15" hidden="false" customHeight="false" outlineLevel="0" collapsed="false">
      <c r="A104" s="2" t="s">
        <v>1007</v>
      </c>
      <c r="B104" s="6" t="str">
        <f aca="false">IF(INDEX(Prod_Nombre,1)="","Producto 1",INDEX(Prod_Nombre,1))</f>
        <v>Gabinetes metálicos 153 kg</v>
      </c>
      <c r="C104" s="40" t="n">
        <f aca="false">SUM(D104:O104)</f>
        <v>192000</v>
      </c>
      <c r="D104" s="34" t="n">
        <f aca="false">SUMIFS(Calculo!$F$21:$ES$21,Calculo!$F$6:$ES$6,1)</f>
        <v>12000</v>
      </c>
      <c r="E104" s="34" t="n">
        <f aca="false">SUMIFS(Calculo!$F$21:$ES$21,Calculo!$F$6:$ES$6,2)</f>
        <v>15000</v>
      </c>
      <c r="F104" s="34" t="n">
        <f aca="false">SUMIFS(Calculo!$F$21:$ES$21,Calculo!$F$6:$ES$6,3)</f>
        <v>18000</v>
      </c>
      <c r="G104" s="34" t="n">
        <f aca="false">SUMIFS(Calculo!$F$21:$ES$21,Calculo!$F$6:$ES$6,4)</f>
        <v>21000</v>
      </c>
      <c r="H104" s="34" t="n">
        <f aca="false">SUMIFS(Calculo!$F$21:$ES$21,Calculo!$F$6:$ES$6,5)</f>
        <v>21000</v>
      </c>
      <c r="I104" s="34" t="n">
        <f aca="false">SUMIFS(Calculo!$F$21:$ES$21,Calculo!$F$6:$ES$6,6)</f>
        <v>21000</v>
      </c>
      <c r="J104" s="34" t="n">
        <f aca="false">SUMIFS(Calculo!$F$21:$ES$21,Calculo!$F$6:$ES$6,7)</f>
        <v>21000</v>
      </c>
      <c r="K104" s="34" t="n">
        <f aca="false">SUMIFS(Calculo!$F$21:$ES$21,Calculo!$F$6:$ES$6,8)</f>
        <v>21000</v>
      </c>
      <c r="L104" s="34" t="n">
        <f aca="false">SUMIFS(Calculo!$F$21:$ES$21,Calculo!$F$6:$ES$6,9)</f>
        <v>21000</v>
      </c>
      <c r="M104" s="34" t="n">
        <f aca="false">SUMIFS(Calculo!$F$21:$ES$21,Calculo!$F$6:$ES$6,10)</f>
        <v>21000</v>
      </c>
      <c r="N104" s="34" t="n">
        <f aca="false">SUMIFS(Calculo!$F$21:$ES$21,Calculo!$F$6:$ES$6,11)</f>
        <v>0</v>
      </c>
      <c r="O104" s="34" t="n">
        <f aca="false">SUMIFS(Calculo!$F$21:$ES$21,Calculo!$F$6:$ES$6,12)</f>
        <v>0</v>
      </c>
    </row>
    <row r="105" customFormat="false" ht="15" hidden="false" customHeight="false" outlineLevel="0" collapsed="false">
      <c r="A105" s="2" t="s">
        <v>1008</v>
      </c>
      <c r="B105" s="6" t="str">
        <f aca="false">IF(INDEX(Prod_Nombre,2)="","Producto 2",INDEX(Prod_Nombre,2))</f>
        <v>Cajas metálicas 13 kg</v>
      </c>
      <c r="C105" s="40" t="n">
        <f aca="false">SUM(D105:O105)</f>
        <v>1110000</v>
      </c>
      <c r="D105" s="34" t="n">
        <f aca="false">SUMIFS(Calculo!$F$22:$ES$22,Calculo!$F$6:$ES$6,1)</f>
        <v>70000</v>
      </c>
      <c r="E105" s="34" t="n">
        <f aca="false">SUMIFS(Calculo!$F$22:$ES$22,Calculo!$F$6:$ES$6,2)</f>
        <v>90000</v>
      </c>
      <c r="F105" s="34" t="n">
        <f aca="false">SUMIFS(Calculo!$F$22:$ES$22,Calculo!$F$6:$ES$6,3)</f>
        <v>110000</v>
      </c>
      <c r="G105" s="34" t="n">
        <f aca="false">SUMIFS(Calculo!$F$22:$ES$22,Calculo!$F$6:$ES$6,4)</f>
        <v>120000</v>
      </c>
      <c r="H105" s="34" t="n">
        <f aca="false">SUMIFS(Calculo!$F$22:$ES$22,Calculo!$F$6:$ES$6,5)</f>
        <v>120000</v>
      </c>
      <c r="I105" s="34" t="n">
        <f aca="false">SUMIFS(Calculo!$F$22:$ES$22,Calculo!$F$6:$ES$6,6)</f>
        <v>120000</v>
      </c>
      <c r="J105" s="34" t="n">
        <f aca="false">SUMIFS(Calculo!$F$22:$ES$22,Calculo!$F$6:$ES$6,7)</f>
        <v>120000</v>
      </c>
      <c r="K105" s="34" t="n">
        <f aca="false">SUMIFS(Calculo!$F$22:$ES$22,Calculo!$F$6:$ES$6,8)</f>
        <v>120000</v>
      </c>
      <c r="L105" s="34" t="n">
        <f aca="false">SUMIFS(Calculo!$F$22:$ES$22,Calculo!$F$6:$ES$6,9)</f>
        <v>120000</v>
      </c>
      <c r="M105" s="34" t="n">
        <f aca="false">SUMIFS(Calculo!$F$22:$ES$22,Calculo!$F$6:$ES$6,10)</f>
        <v>120000</v>
      </c>
      <c r="N105" s="34" t="n">
        <f aca="false">SUMIFS(Calculo!$F$22:$ES$22,Calculo!$F$6:$ES$6,11)</f>
        <v>0</v>
      </c>
      <c r="O105" s="34" t="n">
        <f aca="false">SUMIFS(Calculo!$F$22:$ES$22,Calculo!$F$6:$ES$6,12)</f>
        <v>0</v>
      </c>
    </row>
    <row r="106" customFormat="false" ht="15" hidden="false" customHeight="false" outlineLevel="0" collapsed="false">
      <c r="A106" s="2" t="s">
        <v>1009</v>
      </c>
      <c r="B106" s="6" t="str">
        <f aca="false">IF(INDEX(Prod_Nombre,3)="","Producto 3",INDEX(Prod_Nombre,3))</f>
        <v>Producto 3</v>
      </c>
      <c r="C106" s="40" t="n">
        <f aca="false">SUM(D106:O106)</f>
        <v>0</v>
      </c>
      <c r="D106" s="34" t="n">
        <f aca="false">SUMIFS(Calculo!$F$23:$ES$23,Calculo!$F$6:$ES$6,1)</f>
        <v>0</v>
      </c>
      <c r="E106" s="34" t="n">
        <f aca="false">SUMIFS(Calculo!$F$23:$ES$23,Calculo!$F$6:$ES$6,2)</f>
        <v>0</v>
      </c>
      <c r="F106" s="34" t="n">
        <f aca="false">SUMIFS(Calculo!$F$23:$ES$23,Calculo!$F$6:$ES$6,3)</f>
        <v>0</v>
      </c>
      <c r="G106" s="34" t="n">
        <f aca="false">SUMIFS(Calculo!$F$23:$ES$23,Calculo!$F$6:$ES$6,4)</f>
        <v>0</v>
      </c>
      <c r="H106" s="34" t="n">
        <f aca="false">SUMIFS(Calculo!$F$23:$ES$23,Calculo!$F$6:$ES$6,5)</f>
        <v>0</v>
      </c>
      <c r="I106" s="34" t="n">
        <f aca="false">SUMIFS(Calculo!$F$23:$ES$23,Calculo!$F$6:$ES$6,6)</f>
        <v>0</v>
      </c>
      <c r="J106" s="34" t="n">
        <f aca="false">SUMIFS(Calculo!$F$23:$ES$23,Calculo!$F$6:$ES$6,7)</f>
        <v>0</v>
      </c>
      <c r="K106" s="34" t="n">
        <f aca="false">SUMIFS(Calculo!$F$23:$ES$23,Calculo!$F$6:$ES$6,8)</f>
        <v>0</v>
      </c>
      <c r="L106" s="34" t="n">
        <f aca="false">SUMIFS(Calculo!$F$23:$ES$23,Calculo!$F$6:$ES$6,9)</f>
        <v>0</v>
      </c>
      <c r="M106" s="34" t="n">
        <f aca="false">SUMIFS(Calculo!$F$23:$ES$23,Calculo!$F$6:$ES$6,10)</f>
        <v>0</v>
      </c>
      <c r="N106" s="34" t="n">
        <f aca="false">SUMIFS(Calculo!$F$23:$ES$23,Calculo!$F$6:$ES$6,11)</f>
        <v>0</v>
      </c>
      <c r="O106" s="34" t="n">
        <f aca="false">SUMIFS(Calculo!$F$23:$ES$23,Calculo!$F$6:$ES$6,12)</f>
        <v>0</v>
      </c>
    </row>
    <row r="107" customFormat="false" ht="15" hidden="false" customHeight="false" outlineLevel="0" collapsed="false">
      <c r="A107" s="2" t="s">
        <v>1010</v>
      </c>
      <c r="B107" s="6" t="str">
        <f aca="false">IF(INDEX(Prod_Nombre,4)="","Producto 4",INDEX(Prod_Nombre,4))</f>
        <v>Producto 4</v>
      </c>
      <c r="C107" s="40" t="n">
        <f aca="false">SUM(D107:O107)</f>
        <v>0</v>
      </c>
      <c r="D107" s="34" t="n">
        <f aca="false">SUMIFS(Calculo!$F$24:$ES$24,Calculo!$F$6:$ES$6,1)</f>
        <v>0</v>
      </c>
      <c r="E107" s="34" t="n">
        <f aca="false">SUMIFS(Calculo!$F$24:$ES$24,Calculo!$F$6:$ES$6,2)</f>
        <v>0</v>
      </c>
      <c r="F107" s="34" t="n">
        <f aca="false">SUMIFS(Calculo!$F$24:$ES$24,Calculo!$F$6:$ES$6,3)</f>
        <v>0</v>
      </c>
      <c r="G107" s="34" t="n">
        <f aca="false">SUMIFS(Calculo!$F$24:$ES$24,Calculo!$F$6:$ES$6,4)</f>
        <v>0</v>
      </c>
      <c r="H107" s="34" t="n">
        <f aca="false">SUMIFS(Calculo!$F$24:$ES$24,Calculo!$F$6:$ES$6,5)</f>
        <v>0</v>
      </c>
      <c r="I107" s="34" t="n">
        <f aca="false">SUMIFS(Calculo!$F$24:$ES$24,Calculo!$F$6:$ES$6,6)</f>
        <v>0</v>
      </c>
      <c r="J107" s="34" t="n">
        <f aca="false">SUMIFS(Calculo!$F$24:$ES$24,Calculo!$F$6:$ES$6,7)</f>
        <v>0</v>
      </c>
      <c r="K107" s="34" t="n">
        <f aca="false">SUMIFS(Calculo!$F$24:$ES$24,Calculo!$F$6:$ES$6,8)</f>
        <v>0</v>
      </c>
      <c r="L107" s="34" t="n">
        <f aca="false">SUMIFS(Calculo!$F$24:$ES$24,Calculo!$F$6:$ES$6,9)</f>
        <v>0</v>
      </c>
      <c r="M107" s="34" t="n">
        <f aca="false">SUMIFS(Calculo!$F$24:$ES$24,Calculo!$F$6:$ES$6,10)</f>
        <v>0</v>
      </c>
      <c r="N107" s="34" t="n">
        <f aca="false">SUMIFS(Calculo!$F$24:$ES$24,Calculo!$F$6:$ES$6,11)</f>
        <v>0</v>
      </c>
      <c r="O107" s="34" t="n">
        <f aca="false">SUMIFS(Calculo!$F$24:$ES$24,Calculo!$F$6:$ES$6,12)</f>
        <v>0</v>
      </c>
    </row>
    <row r="108" customFormat="false" ht="15" hidden="false" customHeight="false" outlineLevel="0" collapsed="false">
      <c r="A108" s="2" t="s">
        <v>1011</v>
      </c>
      <c r="B108" s="6" t="str">
        <f aca="false">IF(INDEX(Prod_Nombre,5)="","Producto 5",INDEX(Prod_Nombre,5))</f>
        <v>Producto 5</v>
      </c>
      <c r="C108" s="40" t="n">
        <f aca="false">SUM(D108:O108)</f>
        <v>0</v>
      </c>
      <c r="D108" s="34" t="n">
        <f aca="false">SUMIFS(Calculo!$F$25:$ES$25,Calculo!$F$6:$ES$6,1)</f>
        <v>0</v>
      </c>
      <c r="E108" s="34" t="n">
        <f aca="false">SUMIFS(Calculo!$F$25:$ES$25,Calculo!$F$6:$ES$6,2)</f>
        <v>0</v>
      </c>
      <c r="F108" s="34" t="n">
        <f aca="false">SUMIFS(Calculo!$F$25:$ES$25,Calculo!$F$6:$ES$6,3)</f>
        <v>0</v>
      </c>
      <c r="G108" s="34" t="n">
        <f aca="false">SUMIFS(Calculo!$F$25:$ES$25,Calculo!$F$6:$ES$6,4)</f>
        <v>0</v>
      </c>
      <c r="H108" s="34" t="n">
        <f aca="false">SUMIFS(Calculo!$F$25:$ES$25,Calculo!$F$6:$ES$6,5)</f>
        <v>0</v>
      </c>
      <c r="I108" s="34" t="n">
        <f aca="false">SUMIFS(Calculo!$F$25:$ES$25,Calculo!$F$6:$ES$6,6)</f>
        <v>0</v>
      </c>
      <c r="J108" s="34" t="n">
        <f aca="false">SUMIFS(Calculo!$F$25:$ES$25,Calculo!$F$6:$ES$6,7)</f>
        <v>0</v>
      </c>
      <c r="K108" s="34" t="n">
        <f aca="false">SUMIFS(Calculo!$F$25:$ES$25,Calculo!$F$6:$ES$6,8)</f>
        <v>0</v>
      </c>
      <c r="L108" s="34" t="n">
        <f aca="false">SUMIFS(Calculo!$F$25:$ES$25,Calculo!$F$6:$ES$6,9)</f>
        <v>0</v>
      </c>
      <c r="M108" s="34" t="n">
        <f aca="false">SUMIFS(Calculo!$F$25:$ES$25,Calculo!$F$6:$ES$6,10)</f>
        <v>0</v>
      </c>
      <c r="N108" s="34" t="n">
        <f aca="false">SUMIFS(Calculo!$F$25:$ES$25,Calculo!$F$6:$ES$6,11)</f>
        <v>0</v>
      </c>
      <c r="O108" s="34" t="n">
        <f aca="false">SUMIFS(Calculo!$F$25:$ES$25,Calculo!$F$6:$ES$6,12)</f>
        <v>0</v>
      </c>
    </row>
    <row r="109" customFormat="false" ht="15" hidden="false" customHeight="false" outlineLevel="0" collapsed="false">
      <c r="A109" s="2" t="s">
        <v>1012</v>
      </c>
      <c r="B109" s="6" t="str">
        <f aca="false">IF(INDEX(Prod_Nombre,6)="","Producto 6",INDEX(Prod_Nombre,6))</f>
        <v>Producto 6</v>
      </c>
      <c r="C109" s="40" t="n">
        <f aca="false">SUM(D109:O109)</f>
        <v>0</v>
      </c>
      <c r="D109" s="34" t="n">
        <f aca="false">SUMIFS(Calculo!$F$26:$ES$26,Calculo!$F$6:$ES$6,1)</f>
        <v>0</v>
      </c>
      <c r="E109" s="34" t="n">
        <f aca="false">SUMIFS(Calculo!$F$26:$ES$26,Calculo!$F$6:$ES$6,2)</f>
        <v>0</v>
      </c>
      <c r="F109" s="34" t="n">
        <f aca="false">SUMIFS(Calculo!$F$26:$ES$26,Calculo!$F$6:$ES$6,3)</f>
        <v>0</v>
      </c>
      <c r="G109" s="34" t="n">
        <f aca="false">SUMIFS(Calculo!$F$26:$ES$26,Calculo!$F$6:$ES$6,4)</f>
        <v>0</v>
      </c>
      <c r="H109" s="34" t="n">
        <f aca="false">SUMIFS(Calculo!$F$26:$ES$26,Calculo!$F$6:$ES$6,5)</f>
        <v>0</v>
      </c>
      <c r="I109" s="34" t="n">
        <f aca="false">SUMIFS(Calculo!$F$26:$ES$26,Calculo!$F$6:$ES$6,6)</f>
        <v>0</v>
      </c>
      <c r="J109" s="34" t="n">
        <f aca="false">SUMIFS(Calculo!$F$26:$ES$26,Calculo!$F$6:$ES$6,7)</f>
        <v>0</v>
      </c>
      <c r="K109" s="34" t="n">
        <f aca="false">SUMIFS(Calculo!$F$26:$ES$26,Calculo!$F$6:$ES$6,8)</f>
        <v>0</v>
      </c>
      <c r="L109" s="34" t="n">
        <f aca="false">SUMIFS(Calculo!$F$26:$ES$26,Calculo!$F$6:$ES$6,9)</f>
        <v>0</v>
      </c>
      <c r="M109" s="34" t="n">
        <f aca="false">SUMIFS(Calculo!$F$26:$ES$26,Calculo!$F$6:$ES$6,10)</f>
        <v>0</v>
      </c>
      <c r="N109" s="34" t="n">
        <f aca="false">SUMIFS(Calculo!$F$26:$ES$26,Calculo!$F$6:$ES$6,11)</f>
        <v>0</v>
      </c>
      <c r="O109" s="34" t="n">
        <f aca="false">SUMIFS(Calculo!$F$26:$ES$26,Calculo!$F$6:$ES$6,12)</f>
        <v>0</v>
      </c>
    </row>
    <row r="110" customFormat="false" ht="15" hidden="false" customHeight="false" outlineLevel="0" collapsed="false">
      <c r="A110" s="2" t="s">
        <v>1013</v>
      </c>
      <c r="B110" s="6" t="str">
        <f aca="false">IF(INDEX(Prod_Nombre,7)="","Producto 7",INDEX(Prod_Nombre,7))</f>
        <v>Producto 7</v>
      </c>
      <c r="C110" s="40" t="n">
        <f aca="false">SUM(D110:O110)</f>
        <v>0</v>
      </c>
      <c r="D110" s="34" t="n">
        <f aca="false">SUMIFS(Calculo!$F$27:$ES$27,Calculo!$F$6:$ES$6,1)</f>
        <v>0</v>
      </c>
      <c r="E110" s="34" t="n">
        <f aca="false">SUMIFS(Calculo!$F$27:$ES$27,Calculo!$F$6:$ES$6,2)</f>
        <v>0</v>
      </c>
      <c r="F110" s="34" t="n">
        <f aca="false">SUMIFS(Calculo!$F$27:$ES$27,Calculo!$F$6:$ES$6,3)</f>
        <v>0</v>
      </c>
      <c r="G110" s="34" t="n">
        <f aca="false">SUMIFS(Calculo!$F$27:$ES$27,Calculo!$F$6:$ES$6,4)</f>
        <v>0</v>
      </c>
      <c r="H110" s="34" t="n">
        <f aca="false">SUMIFS(Calculo!$F$27:$ES$27,Calculo!$F$6:$ES$6,5)</f>
        <v>0</v>
      </c>
      <c r="I110" s="34" t="n">
        <f aca="false">SUMIFS(Calculo!$F$27:$ES$27,Calculo!$F$6:$ES$6,6)</f>
        <v>0</v>
      </c>
      <c r="J110" s="34" t="n">
        <f aca="false">SUMIFS(Calculo!$F$27:$ES$27,Calculo!$F$6:$ES$6,7)</f>
        <v>0</v>
      </c>
      <c r="K110" s="34" t="n">
        <f aca="false">SUMIFS(Calculo!$F$27:$ES$27,Calculo!$F$6:$ES$6,8)</f>
        <v>0</v>
      </c>
      <c r="L110" s="34" t="n">
        <f aca="false">SUMIFS(Calculo!$F$27:$ES$27,Calculo!$F$6:$ES$6,9)</f>
        <v>0</v>
      </c>
      <c r="M110" s="34" t="n">
        <f aca="false">SUMIFS(Calculo!$F$27:$ES$27,Calculo!$F$6:$ES$6,10)</f>
        <v>0</v>
      </c>
      <c r="N110" s="34" t="n">
        <f aca="false">SUMIFS(Calculo!$F$27:$ES$27,Calculo!$F$6:$ES$6,11)</f>
        <v>0</v>
      </c>
      <c r="O110" s="34" t="n">
        <f aca="false">SUMIFS(Calculo!$F$27:$ES$27,Calculo!$F$6:$ES$6,12)</f>
        <v>0</v>
      </c>
    </row>
    <row r="111" customFormat="false" ht="15" hidden="false" customHeight="false" outlineLevel="0" collapsed="false">
      <c r="A111" s="2" t="s">
        <v>1014</v>
      </c>
      <c r="B111" s="6" t="str">
        <f aca="false">IF(INDEX(Prod_Nombre,8)="","Producto 8",INDEX(Prod_Nombre,8))</f>
        <v>Producto 8</v>
      </c>
      <c r="C111" s="40" t="n">
        <f aca="false">SUM(D111:O111)</f>
        <v>0</v>
      </c>
      <c r="D111" s="34" t="n">
        <f aca="false">SUMIFS(Calculo!$F$28:$ES$28,Calculo!$F$6:$ES$6,1)</f>
        <v>0</v>
      </c>
      <c r="E111" s="34" t="n">
        <f aca="false">SUMIFS(Calculo!$F$28:$ES$28,Calculo!$F$6:$ES$6,2)</f>
        <v>0</v>
      </c>
      <c r="F111" s="34" t="n">
        <f aca="false">SUMIFS(Calculo!$F$28:$ES$28,Calculo!$F$6:$ES$6,3)</f>
        <v>0</v>
      </c>
      <c r="G111" s="34" t="n">
        <f aca="false">SUMIFS(Calculo!$F$28:$ES$28,Calculo!$F$6:$ES$6,4)</f>
        <v>0</v>
      </c>
      <c r="H111" s="34" t="n">
        <f aca="false">SUMIFS(Calculo!$F$28:$ES$28,Calculo!$F$6:$ES$6,5)</f>
        <v>0</v>
      </c>
      <c r="I111" s="34" t="n">
        <f aca="false">SUMIFS(Calculo!$F$28:$ES$28,Calculo!$F$6:$ES$6,6)</f>
        <v>0</v>
      </c>
      <c r="J111" s="34" t="n">
        <f aca="false">SUMIFS(Calculo!$F$28:$ES$28,Calculo!$F$6:$ES$6,7)</f>
        <v>0</v>
      </c>
      <c r="K111" s="34" t="n">
        <f aca="false">SUMIFS(Calculo!$F$28:$ES$28,Calculo!$F$6:$ES$6,8)</f>
        <v>0</v>
      </c>
      <c r="L111" s="34" t="n">
        <f aca="false">SUMIFS(Calculo!$F$28:$ES$28,Calculo!$F$6:$ES$6,9)</f>
        <v>0</v>
      </c>
      <c r="M111" s="34" t="n">
        <f aca="false">SUMIFS(Calculo!$F$28:$ES$28,Calculo!$F$6:$ES$6,10)</f>
        <v>0</v>
      </c>
      <c r="N111" s="34" t="n">
        <f aca="false">SUMIFS(Calculo!$F$28:$ES$28,Calculo!$F$6:$ES$6,11)</f>
        <v>0</v>
      </c>
      <c r="O111" s="34" t="n">
        <f aca="false">SUMIFS(Calculo!$F$28:$ES$28,Calculo!$F$6:$ES$6,12)</f>
        <v>0</v>
      </c>
    </row>
    <row r="112" customFormat="false" ht="15" hidden="false" customHeight="false" outlineLevel="0" collapsed="false">
      <c r="A112" s="2" t="s">
        <v>1015</v>
      </c>
      <c r="B112" s="6" t="str">
        <f aca="false">IF(INDEX(Prod_Nombre,9)="","Producto 9",INDEX(Prod_Nombre,9))</f>
        <v>Producto 9</v>
      </c>
      <c r="C112" s="40" t="n">
        <f aca="false">SUM(D112:O112)</f>
        <v>0</v>
      </c>
      <c r="D112" s="34" t="n">
        <f aca="false">SUMIFS(Calculo!$F$29:$ES$29,Calculo!$F$6:$ES$6,1)</f>
        <v>0</v>
      </c>
      <c r="E112" s="34" t="n">
        <f aca="false">SUMIFS(Calculo!$F$29:$ES$29,Calculo!$F$6:$ES$6,2)</f>
        <v>0</v>
      </c>
      <c r="F112" s="34" t="n">
        <f aca="false">SUMIFS(Calculo!$F$29:$ES$29,Calculo!$F$6:$ES$6,3)</f>
        <v>0</v>
      </c>
      <c r="G112" s="34" t="n">
        <f aca="false">SUMIFS(Calculo!$F$29:$ES$29,Calculo!$F$6:$ES$6,4)</f>
        <v>0</v>
      </c>
      <c r="H112" s="34" t="n">
        <f aca="false">SUMIFS(Calculo!$F$29:$ES$29,Calculo!$F$6:$ES$6,5)</f>
        <v>0</v>
      </c>
      <c r="I112" s="34" t="n">
        <f aca="false">SUMIFS(Calculo!$F$29:$ES$29,Calculo!$F$6:$ES$6,6)</f>
        <v>0</v>
      </c>
      <c r="J112" s="34" t="n">
        <f aca="false">SUMIFS(Calculo!$F$29:$ES$29,Calculo!$F$6:$ES$6,7)</f>
        <v>0</v>
      </c>
      <c r="K112" s="34" t="n">
        <f aca="false">SUMIFS(Calculo!$F$29:$ES$29,Calculo!$F$6:$ES$6,8)</f>
        <v>0</v>
      </c>
      <c r="L112" s="34" t="n">
        <f aca="false">SUMIFS(Calculo!$F$29:$ES$29,Calculo!$F$6:$ES$6,9)</f>
        <v>0</v>
      </c>
      <c r="M112" s="34" t="n">
        <f aca="false">SUMIFS(Calculo!$F$29:$ES$29,Calculo!$F$6:$ES$6,10)</f>
        <v>0</v>
      </c>
      <c r="N112" s="34" t="n">
        <f aca="false">SUMIFS(Calculo!$F$29:$ES$29,Calculo!$F$6:$ES$6,11)</f>
        <v>0</v>
      </c>
      <c r="O112" s="34" t="n">
        <f aca="false">SUMIFS(Calculo!$F$29:$ES$29,Calculo!$F$6:$ES$6,12)</f>
        <v>0</v>
      </c>
    </row>
    <row r="113" customFormat="false" ht="15" hidden="false" customHeight="false" outlineLevel="0" collapsed="false">
      <c r="A113" s="2" t="s">
        <v>1016</v>
      </c>
      <c r="B113" s="6" t="str">
        <f aca="false">IF(INDEX(Prod_Nombre,10)="","Producto 10",INDEX(Prod_Nombre,10))</f>
        <v>Producto 10</v>
      </c>
      <c r="C113" s="40" t="n">
        <f aca="false">SUM(D113:O113)</f>
        <v>0</v>
      </c>
      <c r="D113" s="34" t="n">
        <f aca="false">SUMIFS(Calculo!$F$30:$ES$30,Calculo!$F$6:$ES$6,1)</f>
        <v>0</v>
      </c>
      <c r="E113" s="34" t="n">
        <f aca="false">SUMIFS(Calculo!$F$30:$ES$30,Calculo!$F$6:$ES$6,2)</f>
        <v>0</v>
      </c>
      <c r="F113" s="34" t="n">
        <f aca="false">SUMIFS(Calculo!$F$30:$ES$30,Calculo!$F$6:$ES$6,3)</f>
        <v>0</v>
      </c>
      <c r="G113" s="34" t="n">
        <f aca="false">SUMIFS(Calculo!$F$30:$ES$30,Calculo!$F$6:$ES$6,4)</f>
        <v>0</v>
      </c>
      <c r="H113" s="34" t="n">
        <f aca="false">SUMIFS(Calculo!$F$30:$ES$30,Calculo!$F$6:$ES$6,5)</f>
        <v>0</v>
      </c>
      <c r="I113" s="34" t="n">
        <f aca="false">SUMIFS(Calculo!$F$30:$ES$30,Calculo!$F$6:$ES$6,6)</f>
        <v>0</v>
      </c>
      <c r="J113" s="34" t="n">
        <f aca="false">SUMIFS(Calculo!$F$30:$ES$30,Calculo!$F$6:$ES$6,7)</f>
        <v>0</v>
      </c>
      <c r="K113" s="34" t="n">
        <f aca="false">SUMIFS(Calculo!$F$30:$ES$30,Calculo!$F$6:$ES$6,8)</f>
        <v>0</v>
      </c>
      <c r="L113" s="34" t="n">
        <f aca="false">SUMIFS(Calculo!$F$30:$ES$30,Calculo!$F$6:$ES$6,9)</f>
        <v>0</v>
      </c>
      <c r="M113" s="34" t="n">
        <f aca="false">SUMIFS(Calculo!$F$30:$ES$30,Calculo!$F$6:$ES$6,10)</f>
        <v>0</v>
      </c>
      <c r="N113" s="34" t="n">
        <f aca="false">SUMIFS(Calculo!$F$30:$ES$30,Calculo!$F$6:$ES$6,11)</f>
        <v>0</v>
      </c>
      <c r="O113" s="34" t="n">
        <f aca="false">SUMIFS(Calculo!$F$30:$ES$30,Calculo!$F$6:$ES$6,12)</f>
        <v>0</v>
      </c>
    </row>
    <row r="114" customFormat="false" ht="15" hidden="false" customHeight="false" outlineLevel="0" collapsed="false">
      <c r="A114" s="2" t="s">
        <v>1017</v>
      </c>
      <c r="B114" s="6" t="str">
        <f aca="false">IF(INDEX(Prod_Nombre,11)="","Producto 11",INDEX(Prod_Nombre,11))</f>
        <v>Producto 11</v>
      </c>
      <c r="C114" s="40" t="n">
        <f aca="false">SUM(D114:O114)</f>
        <v>0</v>
      </c>
      <c r="D114" s="34" t="n">
        <f aca="false">SUMIFS(Calculo!$F$31:$ES$31,Calculo!$F$6:$ES$6,1)</f>
        <v>0</v>
      </c>
      <c r="E114" s="34" t="n">
        <f aca="false">SUMIFS(Calculo!$F$31:$ES$31,Calculo!$F$6:$ES$6,2)</f>
        <v>0</v>
      </c>
      <c r="F114" s="34" t="n">
        <f aca="false">SUMIFS(Calculo!$F$31:$ES$31,Calculo!$F$6:$ES$6,3)</f>
        <v>0</v>
      </c>
      <c r="G114" s="34" t="n">
        <f aca="false">SUMIFS(Calculo!$F$31:$ES$31,Calculo!$F$6:$ES$6,4)</f>
        <v>0</v>
      </c>
      <c r="H114" s="34" t="n">
        <f aca="false">SUMIFS(Calculo!$F$31:$ES$31,Calculo!$F$6:$ES$6,5)</f>
        <v>0</v>
      </c>
      <c r="I114" s="34" t="n">
        <f aca="false">SUMIFS(Calculo!$F$31:$ES$31,Calculo!$F$6:$ES$6,6)</f>
        <v>0</v>
      </c>
      <c r="J114" s="34" t="n">
        <f aca="false">SUMIFS(Calculo!$F$31:$ES$31,Calculo!$F$6:$ES$6,7)</f>
        <v>0</v>
      </c>
      <c r="K114" s="34" t="n">
        <f aca="false">SUMIFS(Calculo!$F$31:$ES$31,Calculo!$F$6:$ES$6,8)</f>
        <v>0</v>
      </c>
      <c r="L114" s="34" t="n">
        <f aca="false">SUMIFS(Calculo!$F$31:$ES$31,Calculo!$F$6:$ES$6,9)</f>
        <v>0</v>
      </c>
      <c r="M114" s="34" t="n">
        <f aca="false">SUMIFS(Calculo!$F$31:$ES$31,Calculo!$F$6:$ES$6,10)</f>
        <v>0</v>
      </c>
      <c r="N114" s="34" t="n">
        <f aca="false">SUMIFS(Calculo!$F$31:$ES$31,Calculo!$F$6:$ES$6,11)</f>
        <v>0</v>
      </c>
      <c r="O114" s="34" t="n">
        <f aca="false">SUMIFS(Calculo!$F$31:$ES$31,Calculo!$F$6:$ES$6,12)</f>
        <v>0</v>
      </c>
    </row>
    <row r="115" customFormat="false" ht="15" hidden="false" customHeight="false" outlineLevel="0" collapsed="false">
      <c r="A115" s="2" t="s">
        <v>1018</v>
      </c>
      <c r="B115" s="6" t="str">
        <f aca="false">IF(INDEX(Prod_Nombre,12)="","Producto 12",INDEX(Prod_Nombre,12))</f>
        <v>Producto 12</v>
      </c>
      <c r="C115" s="40" t="n">
        <f aca="false">SUM(D115:O115)</f>
        <v>0</v>
      </c>
      <c r="D115" s="34" t="n">
        <f aca="false">SUMIFS(Calculo!$F$32:$ES$32,Calculo!$F$6:$ES$6,1)</f>
        <v>0</v>
      </c>
      <c r="E115" s="34" t="n">
        <f aca="false">SUMIFS(Calculo!$F$32:$ES$32,Calculo!$F$6:$ES$6,2)</f>
        <v>0</v>
      </c>
      <c r="F115" s="34" t="n">
        <f aca="false">SUMIFS(Calculo!$F$32:$ES$32,Calculo!$F$6:$ES$6,3)</f>
        <v>0</v>
      </c>
      <c r="G115" s="34" t="n">
        <f aca="false">SUMIFS(Calculo!$F$32:$ES$32,Calculo!$F$6:$ES$6,4)</f>
        <v>0</v>
      </c>
      <c r="H115" s="34" t="n">
        <f aca="false">SUMIFS(Calculo!$F$32:$ES$32,Calculo!$F$6:$ES$6,5)</f>
        <v>0</v>
      </c>
      <c r="I115" s="34" t="n">
        <f aca="false">SUMIFS(Calculo!$F$32:$ES$32,Calculo!$F$6:$ES$6,6)</f>
        <v>0</v>
      </c>
      <c r="J115" s="34" t="n">
        <f aca="false">SUMIFS(Calculo!$F$32:$ES$32,Calculo!$F$6:$ES$6,7)</f>
        <v>0</v>
      </c>
      <c r="K115" s="34" t="n">
        <f aca="false">SUMIFS(Calculo!$F$32:$ES$32,Calculo!$F$6:$ES$6,8)</f>
        <v>0</v>
      </c>
      <c r="L115" s="34" t="n">
        <f aca="false">SUMIFS(Calculo!$F$32:$ES$32,Calculo!$F$6:$ES$6,9)</f>
        <v>0</v>
      </c>
      <c r="M115" s="34" t="n">
        <f aca="false">SUMIFS(Calculo!$F$32:$ES$32,Calculo!$F$6:$ES$6,10)</f>
        <v>0</v>
      </c>
      <c r="N115" s="34" t="n">
        <f aca="false">SUMIFS(Calculo!$F$32:$ES$32,Calculo!$F$6:$ES$6,11)</f>
        <v>0</v>
      </c>
      <c r="O115" s="34" t="n">
        <f aca="false">SUMIFS(Calculo!$F$32:$ES$32,Calculo!$F$6:$ES$6,12)</f>
        <v>0</v>
      </c>
    </row>
    <row r="117" customFormat="false" ht="15" hidden="false" customHeight="false" outlineLevel="0" collapsed="false">
      <c r="A117" s="3" t="s">
        <v>1019</v>
      </c>
      <c r="B117" s="4"/>
      <c r="C117" s="4"/>
      <c r="D117" s="4"/>
      <c r="E117" s="4"/>
      <c r="F117" s="4"/>
      <c r="G117" s="4"/>
      <c r="H117" s="4"/>
      <c r="I117" s="4"/>
      <c r="J117" s="4"/>
      <c r="K117" s="4"/>
      <c r="L117" s="4"/>
      <c r="M117" s="4"/>
      <c r="N117" s="4"/>
      <c r="O117" s="4"/>
    </row>
    <row r="118" customFormat="false" ht="15" hidden="false" customHeight="false" outlineLevel="0" collapsed="false">
      <c r="A118" s="5"/>
      <c r="B118" s="5" t="s">
        <v>922</v>
      </c>
      <c r="C118" s="5" t="s">
        <v>291</v>
      </c>
      <c r="D118" s="5" t="s">
        <v>194</v>
      </c>
      <c r="E118" s="5" t="s">
        <v>195</v>
      </c>
      <c r="F118" s="5" t="s">
        <v>196</v>
      </c>
      <c r="G118" s="5" t="s">
        <v>197</v>
      </c>
      <c r="H118" s="5" t="s">
        <v>198</v>
      </c>
      <c r="I118" s="5" t="s">
        <v>199</v>
      </c>
      <c r="J118" s="5" t="s">
        <v>200</v>
      </c>
      <c r="K118" s="5" t="s">
        <v>201</v>
      </c>
      <c r="L118" s="5" t="s">
        <v>202</v>
      </c>
      <c r="M118" s="5" t="s">
        <v>203</v>
      </c>
      <c r="N118" s="5" t="s">
        <v>923</v>
      </c>
      <c r="O118" s="5" t="s">
        <v>924</v>
      </c>
    </row>
    <row r="119" customFormat="false" ht="15" hidden="false" customHeight="false" outlineLevel="0" collapsed="false">
      <c r="B119" s="2" t="s">
        <v>925</v>
      </c>
      <c r="D119" s="71" t="str">
        <f aca="false">IF(Corte&gt;=12,"Real",IF(Corte&gt;0,"Real+Proy.","Proyección"))</f>
        <v>Proyección</v>
      </c>
      <c r="E119" s="71" t="str">
        <f aca="false">IF(Corte&gt;=24,"Real",IF(Corte&gt;12,"Real+Proy.","Proyección"))</f>
        <v>Proyección</v>
      </c>
      <c r="F119" s="71" t="str">
        <f aca="false">IF(Corte&gt;=36,"Real",IF(Corte&gt;24,"Real+Proy.","Proyección"))</f>
        <v>Proyección</v>
      </c>
      <c r="G119" s="71" t="str">
        <f aca="false">IF(Corte&gt;=48,"Real",IF(Corte&gt;36,"Real+Proy.","Proyección"))</f>
        <v>Proyección</v>
      </c>
      <c r="H119" s="71" t="str">
        <f aca="false">IF(Corte&gt;=60,"Real",IF(Corte&gt;48,"Real+Proy.","Proyección"))</f>
        <v>Proyección</v>
      </c>
      <c r="I119" s="71" t="str">
        <f aca="false">IF(Corte&gt;=72,"Real",IF(Corte&gt;60,"Real+Proy.","Proyección"))</f>
        <v>Proyección</v>
      </c>
      <c r="J119" s="71" t="str">
        <f aca="false">IF(Corte&gt;=84,"Real",IF(Corte&gt;72,"Real+Proy.","Proyección"))</f>
        <v>Proyección</v>
      </c>
      <c r="K119" s="71" t="str">
        <f aca="false">IF(Corte&gt;=96,"Real",IF(Corte&gt;84,"Real+Proy.","Proyección"))</f>
        <v>Proyección</v>
      </c>
      <c r="L119" s="71" t="str">
        <f aca="false">IF(Corte&gt;=108,"Real",IF(Corte&gt;96,"Real+Proy.","Proyección"))</f>
        <v>Proyección</v>
      </c>
      <c r="M119" s="71" t="str">
        <f aca="false">IF(Corte&gt;=120,"Real",IF(Corte&gt;108,"Real+Proy.","Proyección"))</f>
        <v>Proyección</v>
      </c>
      <c r="N119" s="71" t="str">
        <f aca="false">IF(Corte&gt;=132,"Real",IF(Corte&gt;120,"Real+Proy.","Proyección"))</f>
        <v>Proyección</v>
      </c>
      <c r="O119" s="71" t="str">
        <f aca="false">IF(Corte&gt;=144,"Real",IF(Corte&gt;132,"Real+Proy.","Proyección"))</f>
        <v>Proyección</v>
      </c>
    </row>
    <row r="120" customFormat="false" ht="15" hidden="false" customHeight="false" outlineLevel="0" collapsed="false">
      <c r="B120" s="2" t="s">
        <v>926</v>
      </c>
      <c r="D120" s="72" t="str">
        <f aca="false">IF(n_Fecha1="","",YEAR(EOMONTH(n_Fecha1,0)))</f>
        <v/>
      </c>
      <c r="E120" s="72" t="str">
        <f aca="false">IF(n_Fecha1="","",YEAR(EOMONTH(n_Fecha1,12)))</f>
        <v/>
      </c>
      <c r="F120" s="72" t="str">
        <f aca="false">IF(n_Fecha1="","",YEAR(EOMONTH(n_Fecha1,24)))</f>
        <v/>
      </c>
      <c r="G120" s="72" t="str">
        <f aca="false">IF(n_Fecha1="","",YEAR(EOMONTH(n_Fecha1,36)))</f>
        <v/>
      </c>
      <c r="H120" s="72" t="str">
        <f aca="false">IF(n_Fecha1="","",YEAR(EOMONTH(n_Fecha1,48)))</f>
        <v/>
      </c>
      <c r="I120" s="72" t="str">
        <f aca="false">IF(n_Fecha1="","",YEAR(EOMONTH(n_Fecha1,60)))</f>
        <v/>
      </c>
      <c r="J120" s="72" t="str">
        <f aca="false">IF(n_Fecha1="","",YEAR(EOMONTH(n_Fecha1,72)))</f>
        <v/>
      </c>
      <c r="K120" s="72" t="str">
        <f aca="false">IF(n_Fecha1="","",YEAR(EOMONTH(n_Fecha1,84)))</f>
        <v/>
      </c>
      <c r="L120" s="72" t="str">
        <f aca="false">IF(n_Fecha1="","",YEAR(EOMONTH(n_Fecha1,96)))</f>
        <v/>
      </c>
      <c r="M120" s="72" t="str">
        <f aca="false">IF(n_Fecha1="","",YEAR(EOMONTH(n_Fecha1,108)))</f>
        <v/>
      </c>
      <c r="N120" s="72" t="str">
        <f aca="false">IF(n_Fecha1="","",YEAR(EOMONTH(n_Fecha1,120)))</f>
        <v/>
      </c>
      <c r="O120" s="72" t="str">
        <f aca="false">IF(n_Fecha1="","",YEAR(EOMONTH(n_Fecha1,132)))</f>
        <v/>
      </c>
    </row>
    <row r="121" customFormat="false" ht="15" hidden="false" customHeight="false" outlineLevel="0" collapsed="false">
      <c r="B121" s="6" t="s">
        <v>248</v>
      </c>
      <c r="C121" s="34" t="n">
        <f aca="false">C38-C88</f>
        <v>0</v>
      </c>
      <c r="D121" s="34" t="n">
        <f aca="false">D38-D88</f>
        <v>0</v>
      </c>
      <c r="E121" s="34" t="n">
        <f aca="false">E38-E88</f>
        <v>0</v>
      </c>
      <c r="F121" s="34" t="n">
        <f aca="false">F38-F88</f>
        <v>0</v>
      </c>
      <c r="G121" s="34" t="n">
        <f aca="false">G38-G88</f>
        <v>0</v>
      </c>
      <c r="H121" s="34" t="n">
        <f aca="false">H38-H88</f>
        <v>0</v>
      </c>
      <c r="I121" s="34" t="n">
        <f aca="false">I38-I88</f>
        <v>0</v>
      </c>
      <c r="J121" s="34" t="n">
        <f aca="false">J38-J88</f>
        <v>0</v>
      </c>
      <c r="K121" s="34" t="n">
        <f aca="false">K38-K88</f>
        <v>0</v>
      </c>
      <c r="L121" s="34" t="n">
        <f aca="false">L38-L88</f>
        <v>0</v>
      </c>
      <c r="M121" s="34" t="n">
        <f aca="false">M38-M88</f>
        <v>0</v>
      </c>
      <c r="N121" s="34" t="n">
        <f aca="false">N38-N88</f>
        <v>0</v>
      </c>
      <c r="O121" s="34" t="n">
        <f aca="false">O38-O88</f>
        <v>0</v>
      </c>
    </row>
    <row r="122" customFormat="false" ht="15" hidden="false" customHeight="false" outlineLevel="0" collapsed="false">
      <c r="B122" s="6" t="s">
        <v>251</v>
      </c>
      <c r="C122" s="34" t="n">
        <f aca="false">C48-C89</f>
        <v>0</v>
      </c>
      <c r="D122" s="34" t="n">
        <f aca="false">D48-D89</f>
        <v>0</v>
      </c>
      <c r="E122" s="34" t="n">
        <f aca="false">E48-E89</f>
        <v>0</v>
      </c>
      <c r="F122" s="34" t="n">
        <f aca="false">F48-F89</f>
        <v>0</v>
      </c>
      <c r="G122" s="34" t="n">
        <f aca="false">G48-G89</f>
        <v>0</v>
      </c>
      <c r="H122" s="34" t="n">
        <f aca="false">H48-H89</f>
        <v>0</v>
      </c>
      <c r="I122" s="34" t="n">
        <f aca="false">I48-I89</f>
        <v>0</v>
      </c>
      <c r="J122" s="34" t="n">
        <f aca="false">J48-J89</f>
        <v>0</v>
      </c>
      <c r="K122" s="34" t="n">
        <f aca="false">K48-K89</f>
        <v>0</v>
      </c>
      <c r="L122" s="34" t="n">
        <f aca="false">L48-L89</f>
        <v>0</v>
      </c>
      <c r="M122" s="34" t="n">
        <f aca="false">M48-M89</f>
        <v>0</v>
      </c>
      <c r="N122" s="34" t="n">
        <f aca="false">N48-N89</f>
        <v>0</v>
      </c>
      <c r="O122" s="34" t="n">
        <f aca="false">O48-O89</f>
        <v>0</v>
      </c>
    </row>
    <row r="123" customFormat="false" ht="15" hidden="false" customHeight="false" outlineLevel="0" collapsed="false">
      <c r="B123" s="6" t="s">
        <v>946</v>
      </c>
      <c r="C123" s="34" t="n">
        <f aca="false">C52-C90</f>
        <v>0</v>
      </c>
      <c r="D123" s="34" t="n">
        <f aca="false">D52-D90</f>
        <v>0</v>
      </c>
      <c r="E123" s="34" t="n">
        <f aca="false">E52-E90</f>
        <v>0</v>
      </c>
      <c r="F123" s="34" t="n">
        <f aca="false">F52-F90</f>
        <v>0</v>
      </c>
      <c r="G123" s="34" t="n">
        <f aca="false">G52-G90</f>
        <v>0</v>
      </c>
      <c r="H123" s="34" t="n">
        <f aca="false">H52-H90</f>
        <v>0</v>
      </c>
      <c r="I123" s="34" t="n">
        <f aca="false">I52-I90</f>
        <v>0</v>
      </c>
      <c r="J123" s="34" t="n">
        <f aca="false">J52-J90</f>
        <v>0</v>
      </c>
      <c r="K123" s="34" t="n">
        <f aca="false">K52-K90</f>
        <v>0</v>
      </c>
      <c r="L123" s="34" t="n">
        <f aca="false">L52-L90</f>
        <v>0</v>
      </c>
      <c r="M123" s="34" t="n">
        <f aca="false">M52-M90</f>
        <v>0</v>
      </c>
      <c r="N123" s="34" t="n">
        <f aca="false">N52-N90</f>
        <v>0</v>
      </c>
      <c r="O123" s="34" t="n">
        <f aca="false">O52-O90</f>
        <v>0</v>
      </c>
    </row>
    <row r="124" customFormat="false" ht="15" hidden="false" customHeight="false" outlineLevel="0" collapsed="false">
      <c r="B124" s="6" t="s">
        <v>505</v>
      </c>
      <c r="C124" s="34" t="n">
        <f aca="false">C54-C92</f>
        <v>0</v>
      </c>
      <c r="D124" s="34" t="n">
        <f aca="false">D54-D92</f>
        <v>0</v>
      </c>
      <c r="E124" s="34" t="n">
        <f aca="false">E54-E92</f>
        <v>0</v>
      </c>
      <c r="F124" s="34" t="n">
        <f aca="false">F54-F92</f>
        <v>0</v>
      </c>
      <c r="G124" s="34" t="n">
        <f aca="false">G54-G92</f>
        <v>0</v>
      </c>
      <c r="H124" s="34" t="n">
        <f aca="false">H54-H92</f>
        <v>0</v>
      </c>
      <c r="I124" s="34" t="n">
        <f aca="false">I54-I92</f>
        <v>0</v>
      </c>
      <c r="J124" s="34" t="n">
        <f aca="false">J54-J92</f>
        <v>0</v>
      </c>
      <c r="K124" s="34" t="n">
        <f aca="false">K54-K92</f>
        <v>0</v>
      </c>
      <c r="L124" s="34" t="n">
        <f aca="false">L54-L92</f>
        <v>0</v>
      </c>
      <c r="M124" s="34" t="n">
        <f aca="false">M54-M92</f>
        <v>0</v>
      </c>
      <c r="N124" s="34" t="n">
        <f aca="false">N54-N92</f>
        <v>0</v>
      </c>
      <c r="O124" s="34" t="n">
        <f aca="false">O54-O92</f>
        <v>0</v>
      </c>
    </row>
    <row r="125" customFormat="false" ht="15" hidden="false" customHeight="false" outlineLevel="0" collapsed="false">
      <c r="B125" s="6" t="s">
        <v>1020</v>
      </c>
      <c r="C125" s="34" t="n">
        <f aca="false">C55-C93</f>
        <v>0</v>
      </c>
      <c r="D125" s="34" t="n">
        <f aca="false">D55-D93</f>
        <v>0</v>
      </c>
      <c r="E125" s="34" t="n">
        <f aca="false">E55-E93</f>
        <v>0</v>
      </c>
      <c r="F125" s="34" t="n">
        <f aca="false">F55-F93</f>
        <v>0</v>
      </c>
      <c r="G125" s="34" t="n">
        <f aca="false">G55-G93</f>
        <v>0</v>
      </c>
      <c r="H125" s="34" t="n">
        <f aca="false">H55-H93</f>
        <v>0</v>
      </c>
      <c r="I125" s="34" t="n">
        <f aca="false">I55-I93</f>
        <v>0</v>
      </c>
      <c r="J125" s="34" t="n">
        <f aca="false">J55-J93</f>
        <v>0</v>
      </c>
      <c r="K125" s="34" t="n">
        <f aca="false">K55-K93</f>
        <v>0</v>
      </c>
      <c r="L125" s="34" t="n">
        <f aca="false">L55-L93</f>
        <v>0</v>
      </c>
      <c r="M125" s="34" t="n">
        <f aca="false">M55-M93</f>
        <v>0</v>
      </c>
      <c r="N125" s="34" t="n">
        <f aca="false">N55-N93</f>
        <v>0</v>
      </c>
      <c r="O125" s="34" t="n">
        <f aca="false">O55-O93</f>
        <v>0</v>
      </c>
    </row>
    <row r="126" customFormat="false" ht="15" hidden="false" customHeight="false" outlineLevel="0" collapsed="false">
      <c r="B126" s="6" t="s">
        <v>960</v>
      </c>
      <c r="C126" s="34" t="n">
        <f aca="false">C61-C98</f>
        <v>0</v>
      </c>
      <c r="D126" s="34" t="n">
        <f aca="false">D61-D98</f>
        <v>0</v>
      </c>
      <c r="E126" s="34" t="n">
        <f aca="false">E61-E98</f>
        <v>0</v>
      </c>
      <c r="F126" s="34" t="n">
        <f aca="false">F61-F98</f>
        <v>0</v>
      </c>
      <c r="G126" s="34" t="n">
        <f aca="false">G61-G98</f>
        <v>0</v>
      </c>
      <c r="H126" s="34" t="n">
        <f aca="false">H61-H98</f>
        <v>0</v>
      </c>
      <c r="I126" s="34" t="n">
        <f aca="false">I61-I98</f>
        <v>0</v>
      </c>
      <c r="J126" s="34" t="n">
        <f aca="false">J61-J98</f>
        <v>0</v>
      </c>
      <c r="K126" s="34" t="n">
        <f aca="false">K61-K98</f>
        <v>0</v>
      </c>
      <c r="L126" s="34" t="n">
        <f aca="false">L61-L98</f>
        <v>0</v>
      </c>
      <c r="M126" s="34" t="n">
        <f aca="false">M61-M98</f>
        <v>0</v>
      </c>
      <c r="N126" s="34" t="n">
        <f aca="false">N61-N98</f>
        <v>0</v>
      </c>
      <c r="O126" s="34" t="n">
        <f aca="false">O61-O98</f>
        <v>0</v>
      </c>
    </row>
    <row r="127" customFormat="false" ht="15" hidden="false" customHeight="false" outlineLevel="0" collapsed="false">
      <c r="B127" s="6" t="s">
        <v>1021</v>
      </c>
      <c r="C127" s="34" t="n">
        <f aca="false">SUM(C71:C82)-SUM(C104:C115)</f>
        <v>0</v>
      </c>
      <c r="D127" s="34" t="n">
        <f aca="false">SUM(D71:D82)-SUM(D104:D115)</f>
        <v>0</v>
      </c>
      <c r="E127" s="34" t="n">
        <f aca="false">SUM(E71:E82)-SUM(E104:E115)</f>
        <v>0</v>
      </c>
      <c r="F127" s="34" t="n">
        <f aca="false">SUM(F71:F82)-SUM(F104:F115)</f>
        <v>0</v>
      </c>
      <c r="G127" s="34" t="n">
        <f aca="false">SUM(G71:G82)-SUM(G104:G115)</f>
        <v>0</v>
      </c>
      <c r="H127" s="34" t="n">
        <f aca="false">SUM(H71:H82)-SUM(H104:H115)</f>
        <v>0</v>
      </c>
      <c r="I127" s="34" t="n">
        <f aca="false">SUM(I71:I82)-SUM(I104:I115)</f>
        <v>0</v>
      </c>
      <c r="J127" s="34" t="n">
        <f aca="false">SUM(J71:J82)-SUM(J104:J115)</f>
        <v>0</v>
      </c>
      <c r="K127" s="34" t="n">
        <f aca="false">SUM(K71:K82)-SUM(K104:K115)</f>
        <v>0</v>
      </c>
      <c r="L127" s="34" t="n">
        <f aca="false">SUM(L71:L82)-SUM(L104:L115)</f>
        <v>0</v>
      </c>
      <c r="M127" s="34" t="n">
        <f aca="false">SUM(M71:M82)-SUM(M104:M115)</f>
        <v>0</v>
      </c>
      <c r="N127" s="34" t="n">
        <f aca="false">SUM(N71:N82)-SUM(N104:N115)</f>
        <v>0</v>
      </c>
      <c r="O127" s="34" t="n">
        <f aca="false">SUM(O71:O82)-SUM(O104:O115)</f>
        <v>0</v>
      </c>
    </row>
    <row r="128" customFormat="false" ht="15" hidden="false" customHeight="false" outlineLevel="0" collapsed="false">
      <c r="B128" s="6" t="s">
        <v>1022</v>
      </c>
      <c r="C128" s="35" t="n">
        <f aca="false">IF(C88=0,"",C121/C88)</f>
        <v>0</v>
      </c>
      <c r="D128" s="35" t="n">
        <f aca="false">IF(D88=0,"",D121/D88)</f>
        <v>0</v>
      </c>
      <c r="E128" s="35" t="n">
        <f aca="false">IF(E88=0,"",E121/E88)</f>
        <v>0</v>
      </c>
      <c r="F128" s="35" t="n">
        <f aca="false">IF(F88=0,"",F121/F88)</f>
        <v>0</v>
      </c>
      <c r="G128" s="35" t="n">
        <f aca="false">IF(G88=0,"",G121/G88)</f>
        <v>0</v>
      </c>
      <c r="H128" s="35" t="n">
        <f aca="false">IF(H88=0,"",H121/H88)</f>
        <v>0</v>
      </c>
      <c r="I128" s="35" t="n">
        <f aca="false">IF(I88=0,"",I121/I88)</f>
        <v>0</v>
      </c>
      <c r="J128" s="35" t="n">
        <f aca="false">IF(J88=0,"",J121/J88)</f>
        <v>0</v>
      </c>
      <c r="K128" s="35" t="n">
        <f aca="false">IF(K88=0,"",K121/K88)</f>
        <v>0</v>
      </c>
      <c r="L128" s="35" t="n">
        <f aca="false">IF(L88=0,"",L121/L88)</f>
        <v>0</v>
      </c>
      <c r="M128" s="35" t="n">
        <f aca="false">IF(M88=0,"",M121/M88)</f>
        <v>0</v>
      </c>
      <c r="N128" s="35" t="str">
        <f aca="false">IF(N88=0,"",N121/N88)</f>
        <v/>
      </c>
      <c r="O128" s="35" t="str">
        <f aca="false">IF(O88=0,"",O121/O88)</f>
        <v/>
      </c>
    </row>
    <row r="130" customFormat="false" ht="15" hidden="false" customHeight="false" outlineLevel="0" collapsed="false">
      <c r="A130" s="3" t="s">
        <v>1023</v>
      </c>
      <c r="B130" s="4"/>
      <c r="C130" s="4"/>
      <c r="D130" s="4"/>
      <c r="E130" s="4"/>
      <c r="F130" s="4"/>
      <c r="G130" s="4"/>
      <c r="H130" s="4"/>
      <c r="I130" s="4"/>
      <c r="J130" s="4"/>
      <c r="K130" s="4"/>
      <c r="L130" s="4"/>
      <c r="M130" s="4"/>
      <c r="N130" s="4"/>
      <c r="O130" s="4"/>
    </row>
    <row r="131" customFormat="false" ht="15" hidden="false" customHeight="false" outlineLevel="0" collapsed="false">
      <c r="A131" s="5"/>
      <c r="B131" s="5" t="s">
        <v>922</v>
      </c>
      <c r="C131" s="5" t="s">
        <v>291</v>
      </c>
      <c r="D131" s="5" t="s">
        <v>194</v>
      </c>
      <c r="E131" s="5" t="s">
        <v>195</v>
      </c>
      <c r="F131" s="5" t="s">
        <v>196</v>
      </c>
      <c r="G131" s="5" t="s">
        <v>197</v>
      </c>
      <c r="H131" s="5" t="s">
        <v>198</v>
      </c>
      <c r="I131" s="5" t="s">
        <v>199</v>
      </c>
      <c r="J131" s="5" t="s">
        <v>200</v>
      </c>
      <c r="K131" s="5" t="s">
        <v>201</v>
      </c>
      <c r="L131" s="5" t="s">
        <v>202</v>
      </c>
      <c r="M131" s="5" t="s">
        <v>203</v>
      </c>
      <c r="N131" s="5" t="s">
        <v>923</v>
      </c>
      <c r="O131" s="5" t="s">
        <v>924</v>
      </c>
    </row>
    <row r="132" customFormat="false" ht="15" hidden="false" customHeight="false" outlineLevel="0" collapsed="false">
      <c r="B132" s="2" t="s">
        <v>925</v>
      </c>
      <c r="D132" s="71" t="str">
        <f aca="false">IF(Corte&gt;=12,"Real",IF(Corte&gt;0,"Real+Proy.","Proyección"))</f>
        <v>Proyección</v>
      </c>
      <c r="E132" s="71" t="str">
        <f aca="false">IF(Corte&gt;=24,"Real",IF(Corte&gt;12,"Real+Proy.","Proyección"))</f>
        <v>Proyección</v>
      </c>
      <c r="F132" s="71" t="str">
        <f aca="false">IF(Corte&gt;=36,"Real",IF(Corte&gt;24,"Real+Proy.","Proyección"))</f>
        <v>Proyección</v>
      </c>
      <c r="G132" s="71" t="str">
        <f aca="false">IF(Corte&gt;=48,"Real",IF(Corte&gt;36,"Real+Proy.","Proyección"))</f>
        <v>Proyección</v>
      </c>
      <c r="H132" s="71" t="str">
        <f aca="false">IF(Corte&gt;=60,"Real",IF(Corte&gt;48,"Real+Proy.","Proyección"))</f>
        <v>Proyección</v>
      </c>
      <c r="I132" s="71" t="str">
        <f aca="false">IF(Corte&gt;=72,"Real",IF(Corte&gt;60,"Real+Proy.","Proyección"))</f>
        <v>Proyección</v>
      </c>
      <c r="J132" s="71" t="str">
        <f aca="false">IF(Corte&gt;=84,"Real",IF(Corte&gt;72,"Real+Proy.","Proyección"))</f>
        <v>Proyección</v>
      </c>
      <c r="K132" s="71" t="str">
        <f aca="false">IF(Corte&gt;=96,"Real",IF(Corte&gt;84,"Real+Proy.","Proyección"))</f>
        <v>Proyección</v>
      </c>
      <c r="L132" s="71" t="str">
        <f aca="false">IF(Corte&gt;=108,"Real",IF(Corte&gt;96,"Real+Proy.","Proyección"))</f>
        <v>Proyección</v>
      </c>
      <c r="M132" s="71" t="str">
        <f aca="false">IF(Corte&gt;=120,"Real",IF(Corte&gt;108,"Real+Proy.","Proyección"))</f>
        <v>Proyección</v>
      </c>
      <c r="N132" s="71" t="str">
        <f aca="false">IF(Corte&gt;=132,"Real",IF(Corte&gt;120,"Real+Proy.","Proyección"))</f>
        <v>Proyección</v>
      </c>
      <c r="O132" s="71" t="str">
        <f aca="false">IF(Corte&gt;=144,"Real",IF(Corte&gt;132,"Real+Proy.","Proyección"))</f>
        <v>Proyección</v>
      </c>
    </row>
    <row r="133" customFormat="false" ht="15" hidden="false" customHeight="false" outlineLevel="0" collapsed="false">
      <c r="B133" s="2" t="s">
        <v>926</v>
      </c>
      <c r="D133" s="72" t="str">
        <f aca="false">IF(n_Fecha1="","",YEAR(EOMONTH(n_Fecha1,0)))</f>
        <v/>
      </c>
      <c r="E133" s="72" t="str">
        <f aca="false">IF(n_Fecha1="","",YEAR(EOMONTH(n_Fecha1,12)))</f>
        <v/>
      </c>
      <c r="F133" s="72" t="str">
        <f aca="false">IF(n_Fecha1="","",YEAR(EOMONTH(n_Fecha1,24)))</f>
        <v/>
      </c>
      <c r="G133" s="72" t="str">
        <f aca="false">IF(n_Fecha1="","",YEAR(EOMONTH(n_Fecha1,36)))</f>
        <v/>
      </c>
      <c r="H133" s="72" t="str">
        <f aca="false">IF(n_Fecha1="","",YEAR(EOMONTH(n_Fecha1,48)))</f>
        <v/>
      </c>
      <c r="I133" s="72" t="str">
        <f aca="false">IF(n_Fecha1="","",YEAR(EOMONTH(n_Fecha1,60)))</f>
        <v/>
      </c>
      <c r="J133" s="72" t="str">
        <f aca="false">IF(n_Fecha1="","",YEAR(EOMONTH(n_Fecha1,72)))</f>
        <v/>
      </c>
      <c r="K133" s="72" t="str">
        <f aca="false">IF(n_Fecha1="","",YEAR(EOMONTH(n_Fecha1,84)))</f>
        <v/>
      </c>
      <c r="L133" s="72" t="str">
        <f aca="false">IF(n_Fecha1="","",YEAR(EOMONTH(n_Fecha1,96)))</f>
        <v/>
      </c>
      <c r="M133" s="72" t="str">
        <f aca="false">IF(n_Fecha1="","",YEAR(EOMONTH(n_Fecha1,108)))</f>
        <v/>
      </c>
      <c r="N133" s="72" t="str">
        <f aca="false">IF(n_Fecha1="","",YEAR(EOMONTH(n_Fecha1,120)))</f>
        <v/>
      </c>
      <c r="O133" s="72" t="str">
        <f aca="false">IF(n_Fecha1="","",YEAR(EOMONTH(n_Fecha1,132)))</f>
        <v/>
      </c>
    </row>
    <row r="134" customFormat="false" ht="15" hidden="false" customHeight="false" outlineLevel="0" collapsed="false">
      <c r="B134" s="6" t="s">
        <v>249</v>
      </c>
      <c r="C134" s="40" t="n">
        <f aca="false">SUM(D134:M134)</f>
        <v>81222448</v>
      </c>
      <c r="D134" s="73" t="n">
        <f aca="false">IF(INDEX(pub_Ventas,1,1)="","",INDEX(pub_Ventas,1,1))</f>
        <v>4850000</v>
      </c>
      <c r="E134" s="73" t="n">
        <f aca="false">IF(INDEX(pub_Ventas,1,2)="","",INDEX(pub_Ventas,1,2))</f>
        <v>6181200</v>
      </c>
      <c r="F134" s="73" t="n">
        <f aca="false">IF(INDEX(pub_Ventas,1,3)="","",INDEX(pub_Ventas,1,3))</f>
        <v>7538539</v>
      </c>
      <c r="G134" s="73" t="n">
        <f aca="false">IF(INDEX(pub_Ventas,1,4)="","",INDEX(pub_Ventas,1,4))</f>
        <v>8685437</v>
      </c>
      <c r="H134" s="73" t="n">
        <f aca="false">IF(INDEX(pub_Ventas,1,5)="","",INDEX(pub_Ventas,1,5))</f>
        <v>8772292</v>
      </c>
      <c r="I134" s="73" t="n">
        <f aca="false">IF(INDEX(pub_Ventas,1,6)="","",INDEX(pub_Ventas,1,6))</f>
        <v>8860015</v>
      </c>
      <c r="J134" s="73" t="n">
        <f aca="false">IF(INDEX(pub_Ventas,1,7)="","",INDEX(pub_Ventas,1,7))</f>
        <v>8948615</v>
      </c>
      <c r="K134" s="73" t="n">
        <f aca="false">IF(INDEX(pub_Ventas,1,8)="","",INDEX(pub_Ventas,1,8))</f>
        <v>9038101</v>
      </c>
      <c r="L134" s="73" t="n">
        <f aca="false">IF(INDEX(pub_Ventas,1,9)="","",INDEX(pub_Ventas,1,9))</f>
        <v>9128482</v>
      </c>
      <c r="M134" s="73" t="n">
        <f aca="false">IF(INDEX(pub_Ventas,1,10)="","",INDEX(pub_Ventas,1,10))</f>
        <v>9219767</v>
      </c>
    </row>
    <row r="135" customFormat="false" ht="15" hidden="false" customHeight="false" outlineLevel="0" collapsed="false">
      <c r="B135" s="6" t="s">
        <v>1024</v>
      </c>
      <c r="D135" s="34" t="n">
        <f aca="false">IF(D134="","",D88-D134)</f>
        <v>0</v>
      </c>
      <c r="E135" s="34" t="n">
        <f aca="false">IF(E134="","",E88-E134)</f>
        <v>0</v>
      </c>
      <c r="F135" s="34" t="n">
        <f aca="false">IF(F134="","",F88-F134)</f>
        <v>0</v>
      </c>
      <c r="G135" s="34" t="n">
        <f aca="false">IF(G134="","",G88-G134)</f>
        <v>0.429999999701977</v>
      </c>
      <c r="H135" s="34" t="n">
        <f aca="false">IF(H134="","",H88-H134)</f>
        <v>-0.195700000971556</v>
      </c>
      <c r="I135" s="34" t="n">
        <f aca="false">IF(I134="","",I88-I134)</f>
        <v>-0.277657000347972</v>
      </c>
      <c r="J135" s="34" t="n">
        <f aca="false">IF(J134="","",J88-J134)</f>
        <v>-0.130433570593596</v>
      </c>
      <c r="K135" s="34" t="n">
        <f aca="false">IF(K134="","",K88-K134)</f>
        <v>0.0182620920240879</v>
      </c>
      <c r="L135" s="34" t="n">
        <f aca="false">IF(L134="","",L88-L134)</f>
        <v>0.0284447148442268</v>
      </c>
      <c r="M135" s="34" t="n">
        <f aca="false">IF(M134="","",M88-M134)</f>
        <v>-0.151270836591721</v>
      </c>
    </row>
    <row r="136" customFormat="false" ht="15" hidden="false" customHeight="false" outlineLevel="0" collapsed="false">
      <c r="B136" s="6" t="s">
        <v>252</v>
      </c>
      <c r="C136" s="40" t="n">
        <f aca="false">SUM(D136:M136)</f>
        <v>17354010</v>
      </c>
      <c r="D136" s="73" t="n">
        <f aca="false">IF(INDEX(pub_EBITDA,1,1)="","",INDEX(pub_EBITDA,1,1))</f>
        <v>573024</v>
      </c>
      <c r="E136" s="73" t="n">
        <f aca="false">IF(INDEX(pub_EBITDA,1,2)="","",INDEX(pub_EBITDA,1,2))</f>
        <v>1029011</v>
      </c>
      <c r="F136" s="73" t="n">
        <f aca="false">IF(INDEX(pub_EBITDA,1,3)="","",INDEX(pub_EBITDA,1,3))</f>
        <v>1479759</v>
      </c>
      <c r="G136" s="73" t="n">
        <f aca="false">IF(INDEX(pub_EBITDA,1,4)="","",INDEX(pub_EBITDA,1,4))</f>
        <v>1886306</v>
      </c>
      <c r="H136" s="73" t="n">
        <f aca="false">IF(INDEX(pub_EBITDA,1,5)="","",INDEX(pub_EBITDA,1,5))</f>
        <v>1914796</v>
      </c>
      <c r="I136" s="73" t="n">
        <f aca="false">IF(INDEX(pub_EBITDA,1,6)="","",INDEX(pub_EBITDA,1,6))</f>
        <v>1973999</v>
      </c>
      <c r="J136" s="73" t="n">
        <f aca="false">IF(INDEX(pub_EBITDA,1,7)="","",INDEX(pub_EBITDA,1,7))</f>
        <v>2033657</v>
      </c>
      <c r="K136" s="73" t="n">
        <f aca="false">IF(INDEX(pub_EBITDA,1,8)="","",INDEX(pub_EBITDA,1,8))</f>
        <v>2093768</v>
      </c>
      <c r="L136" s="73" t="n">
        <f aca="false">IF(INDEX(pub_EBITDA,1,9)="","",INDEX(pub_EBITDA,1,9))</f>
        <v>2154335</v>
      </c>
      <c r="M136" s="73" t="n">
        <f aca="false">IF(INDEX(pub_EBITDA,1,10)="","",INDEX(pub_EBITDA,1,10))</f>
        <v>2215355</v>
      </c>
    </row>
    <row r="137" customFormat="false" ht="15" hidden="false" customHeight="false" outlineLevel="0" collapsed="false">
      <c r="B137" s="6" t="s">
        <v>1024</v>
      </c>
      <c r="D137" s="34" t="n">
        <f aca="false">IF(D136="","",D89-D136)</f>
        <v>-63053.994292923</v>
      </c>
      <c r="E137" s="34" t="n">
        <f aca="false">IF(E136="","",E89-E136)</f>
        <v>-63054.1640724225</v>
      </c>
      <c r="F137" s="34" t="n">
        <f aca="false">IF(F136="","",F89-F136)</f>
        <v>-74738.6296185039</v>
      </c>
      <c r="G137" s="34" t="n">
        <f aca="false">IF(G136="","",G89-G136)</f>
        <v>-87583.0414417</v>
      </c>
      <c r="H137" s="34" t="n">
        <f aca="false">IF(H136="","",H89-H136)</f>
        <v>-100238.021483516</v>
      </c>
      <c r="I137" s="34" t="n">
        <f aca="false">IF(I136="","",I89-I136)</f>
        <v>-110393.698426086</v>
      </c>
      <c r="J137" s="34" t="n">
        <f aca="false">IF(J136="","",J89-J136)</f>
        <v>-120664.730127203</v>
      </c>
      <c r="K137" s="34" t="n">
        <f aca="false">IF(K136="","",K89-K136)</f>
        <v>-131050.17744455</v>
      </c>
      <c r="L137" s="34" t="n">
        <f aca="false">IF(L136="","",L89-L136)</f>
        <v>-141554.244213109</v>
      </c>
      <c r="M137" s="34" t="n">
        <f aca="false">IF(M136="","",M89-M136)</f>
        <v>-152175.282618967</v>
      </c>
    </row>
    <row r="138" customFormat="false" ht="15" hidden="false" customHeight="false" outlineLevel="0" collapsed="false">
      <c r="B138" s="6" t="s">
        <v>254</v>
      </c>
      <c r="C138" s="40" t="n">
        <f aca="false">SUM(D138:M138)</f>
        <v>15945168</v>
      </c>
      <c r="D138" s="73" t="n">
        <f aca="false">IF(INDEX(pub_Utilidad,1,1)="","",INDEX(pub_Utilidad,1,1))</f>
        <v>301922</v>
      </c>
      <c r="E138" s="73" t="n">
        <f aca="false">IF(INDEX(pub_Utilidad,1,2)="","",INDEX(pub_Utilidad,1,2))</f>
        <v>731144</v>
      </c>
      <c r="F138" s="73" t="n">
        <f aca="false">IF(INDEX(pub_Utilidad,1,3)="","",INDEX(pub_Utilidad,1,3))</f>
        <v>1238751</v>
      </c>
      <c r="G138" s="73" t="n">
        <f aca="false">IF(INDEX(pub_Utilidad,1,4)="","",INDEX(pub_Utilidad,1,4))</f>
        <v>1707489</v>
      </c>
      <c r="H138" s="73" t="n">
        <f aca="false">IF(INDEX(pub_Utilidad,1,5)="","",INDEX(pub_Utilidad,1,5))</f>
        <v>1804006</v>
      </c>
      <c r="I138" s="73" t="n">
        <f aca="false">IF(INDEX(pub_Utilidad,1,6)="","",INDEX(pub_Utilidad,1,6))</f>
        <v>1902407</v>
      </c>
      <c r="J138" s="73" t="n">
        <f aca="false">IF(INDEX(pub_Utilidad,1,7)="","",INDEX(pub_Utilidad,1,7))</f>
        <v>1974240</v>
      </c>
      <c r="K138" s="73" t="n">
        <f aca="false">IF(INDEX(pub_Utilidad,1,8)="","",INDEX(pub_Utilidad,1,8))</f>
        <v>2034352</v>
      </c>
      <c r="L138" s="73" t="n">
        <f aca="false">IF(INDEX(pub_Utilidad,1,9)="","",INDEX(pub_Utilidad,1,9))</f>
        <v>2094918</v>
      </c>
      <c r="M138" s="73" t="n">
        <f aca="false">IF(INDEX(pub_Utilidad,1,10)="","",INDEX(pub_Utilidad,1,10))</f>
        <v>2155939</v>
      </c>
    </row>
    <row r="139" customFormat="false" ht="15" hidden="false" customHeight="false" outlineLevel="0" collapsed="false">
      <c r="B139" s="6" t="s">
        <v>1024</v>
      </c>
      <c r="D139" s="34" t="n">
        <f aca="false">IF(D138="","",D90-D138)</f>
        <v>-134646.135723949</v>
      </c>
      <c r="E139" s="34" t="n">
        <f aca="false">IF(E138="","",E90-E138)</f>
        <v>-73053.6271938746</v>
      </c>
      <c r="F139" s="34" t="n">
        <f aca="false">IF(F138="","",F90-F138)</f>
        <v>-84738.8115596711</v>
      </c>
      <c r="G139" s="34" t="n">
        <f aca="false">IF(G138="","",G90-G138)</f>
        <v>-97582.2432381557</v>
      </c>
      <c r="H139" s="34" t="n">
        <f aca="false">IF(H138="","",H90-H138)</f>
        <v>-110238.206417869</v>
      </c>
      <c r="I139" s="34" t="n">
        <f aca="false">IF(I138="","",I90-I138)</f>
        <v>-108218.307426086</v>
      </c>
      <c r="J139" s="34" t="n">
        <f aca="false">IF(J138="","",J90-J138)</f>
        <v>-130664.339127203</v>
      </c>
      <c r="K139" s="34" t="n">
        <f aca="false">IF(K138="","",K90-K138)</f>
        <v>-141050.78644455</v>
      </c>
      <c r="L139" s="34" t="n">
        <f aca="false">IF(L138="","",L90-L138)</f>
        <v>-151553.85321311</v>
      </c>
      <c r="M139" s="34" t="n">
        <f aca="false">IF(M138="","",M90-M138)</f>
        <v>-162175.891618967</v>
      </c>
    </row>
    <row r="142" customFormat="false" ht="15" hidden="false" customHeight="false" outlineLevel="0" collapsed="false">
      <c r="B142" s="2" t="s">
        <v>1025</v>
      </c>
      <c r="D142" s="74" t="s">
        <v>194</v>
      </c>
      <c r="E142" s="74" t="s">
        <v>195</v>
      </c>
      <c r="F142" s="74" t="s">
        <v>196</v>
      </c>
      <c r="G142" s="74" t="s">
        <v>197</v>
      </c>
      <c r="H142" s="74" t="s">
        <v>198</v>
      </c>
      <c r="I142" s="74" t="s">
        <v>199</v>
      </c>
      <c r="J142" s="74" t="s">
        <v>200</v>
      </c>
      <c r="K142" s="74" t="s">
        <v>201</v>
      </c>
      <c r="L142" s="74" t="s">
        <v>202</v>
      </c>
      <c r="M142" s="74" t="s">
        <v>203</v>
      </c>
      <c r="N142" s="74" t="s">
        <v>923</v>
      </c>
      <c r="O142" s="74" t="s">
        <v>924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1026</v>
      </c>
    </row>
    <row r="2" customFormat="false" ht="15" hidden="false" customHeight="false" outlineLevel="0" collapsed="false">
      <c r="A2" s="2" t="s">
        <v>1027</v>
      </c>
    </row>
    <row r="4" customFormat="false" ht="15" hidden="false" customHeight="false" outlineLevel="0" collapsed="false">
      <c r="A4" s="5" t="s">
        <v>95</v>
      </c>
      <c r="B4" s="5" t="s">
        <v>71</v>
      </c>
      <c r="C4" s="5" t="s">
        <v>3</v>
      </c>
      <c r="D4" s="5" t="s">
        <v>1028</v>
      </c>
      <c r="E4" s="5" t="s">
        <v>460</v>
      </c>
      <c r="F4" s="5" t="s">
        <v>1029</v>
      </c>
    </row>
    <row r="5" customFormat="false" ht="15" hidden="false" customHeight="false" outlineLevel="0" collapsed="false">
      <c r="A5" s="6" t="s">
        <v>1030</v>
      </c>
      <c r="B5" s="6" t="s">
        <v>1031</v>
      </c>
      <c r="C5" s="36" t="n">
        <f aca="false">r_ChkP</f>
        <v>0</v>
      </c>
      <c r="D5" s="75" t="n">
        <f aca="false">0</f>
        <v>0</v>
      </c>
      <c r="E5" s="76" t="str">
        <f aca="false">IF(ABS(C5)&lt;0.01,"OK","REVISAR")</f>
        <v>OK</v>
      </c>
      <c r="F5" s="2" t="s">
        <v>1032</v>
      </c>
    </row>
    <row r="6" customFormat="false" ht="15" hidden="false" customHeight="false" outlineLevel="0" collapsed="false">
      <c r="A6" s="6" t="s">
        <v>1033</v>
      </c>
      <c r="B6" s="6" t="s">
        <v>1034</v>
      </c>
      <c r="C6" s="36" t="n">
        <f aca="false">r_ChkV</f>
        <v>0</v>
      </c>
      <c r="D6" s="75" t="n">
        <f aca="false">0</f>
        <v>0</v>
      </c>
      <c r="E6" s="76" t="str">
        <f aca="false">IF(ABS(C6)&lt;0.01,"OK","REVISAR")</f>
        <v>OK</v>
      </c>
      <c r="F6" s="2" t="s">
        <v>1035</v>
      </c>
    </row>
    <row r="7" customFormat="false" ht="15" hidden="false" customHeight="false" outlineLevel="0" collapsed="false">
      <c r="A7" s="6" t="s">
        <v>1036</v>
      </c>
      <c r="B7" s="6" t="s">
        <v>1037</v>
      </c>
      <c r="C7" s="36" t="n">
        <f aca="false">SUMPRODUCT((Calculo!$F$8:$ES$8=1)*(Calculo!$F$175:$ES$175=0))</f>
        <v>0</v>
      </c>
      <c r="D7" s="75" t="n">
        <f aca="false">0</f>
        <v>0</v>
      </c>
      <c r="E7" s="76" t="str">
        <f aca="false">IF(C7=0,"OK","REVISAR")</f>
        <v>OK</v>
      </c>
      <c r="F7" s="2" t="s">
        <v>1038</v>
      </c>
    </row>
    <row r="8" customFormat="false" ht="15" hidden="false" customHeight="false" outlineLevel="0" collapsed="false">
      <c r="A8" s="6" t="s">
        <v>1039</v>
      </c>
      <c r="B8" s="6" t="s">
        <v>1040</v>
      </c>
      <c r="C8" s="36" t="n">
        <f aca="false">SUMPRODUCT((Calculo!$F$8:$ES$8=1)*(Calculo!$F$197:$ES$197+Calculo!$F$199:$ES$199+Calculo!$F$202:$ES$202=0))</f>
        <v>0</v>
      </c>
      <c r="D8" s="75" t="n">
        <f aca="false">0</f>
        <v>0</v>
      </c>
      <c r="E8" s="76" t="str">
        <f aca="false">IF(C8=0,"OK","REVISAR")</f>
        <v>OK</v>
      </c>
      <c r="F8" s="2" t="s">
        <v>1041</v>
      </c>
    </row>
    <row r="9" customFormat="false" ht="15" hidden="false" customHeight="false" outlineLevel="0" collapsed="false">
      <c r="A9" s="6" t="s">
        <v>1042</v>
      </c>
      <c r="B9" s="6" t="s">
        <v>1043</v>
      </c>
      <c r="C9" s="36" t="n">
        <f aca="false">IF(Corte=0,1,IF(ISNUMBER(INDEX(Reales!$F$53:$ES$53,1,Corte)),1,0))</f>
        <v>1</v>
      </c>
      <c r="D9" s="75" t="n">
        <f aca="false">1</f>
        <v>1</v>
      </c>
      <c r="E9" s="76" t="str">
        <f aca="false">IF(C9=1,"OK","REVISAR")</f>
        <v>OK</v>
      </c>
      <c r="F9" s="2" t="s">
        <v>1044</v>
      </c>
    </row>
    <row r="10" customFormat="false" ht="15" hidden="false" customHeight="false" outlineLevel="0" collapsed="false">
      <c r="A10" s="6" t="s">
        <v>1045</v>
      </c>
      <c r="B10" s="6" t="s">
        <v>1046</v>
      </c>
      <c r="C10" s="36" t="n">
        <f aca="false">IF(Corte=0,1,IF(AND(ISNUMBER(INDEX(Reales!$F$54:$ES$54,1,Corte)),ISNUMBER(INDEX(Reales!$F$55:$ES$55,1,Corte)),ISNUMBER(INDEX(Reales!$F$57:$ES$57,1,Corte))),1,0))</f>
        <v>1</v>
      </c>
      <c r="D10" s="75" t="n">
        <f aca="false">1</f>
        <v>1</v>
      </c>
      <c r="E10" s="76" t="str">
        <f aca="false">IF(C10=1,"OK","REVISAR")</f>
        <v>OK</v>
      </c>
      <c r="F10" s="2" t="s">
        <v>1047</v>
      </c>
    </row>
    <row r="11" customFormat="false" ht="15" hidden="false" customHeight="false" outlineLevel="0" collapsed="false">
      <c r="A11" s="6" t="s">
        <v>1048</v>
      </c>
      <c r="B11" s="6" t="s">
        <v>1049</v>
      </c>
      <c r="C11" s="36" t="n">
        <f aca="false">IF(Corte=0,0,IF(ISNUMBER(INDEX(Reales!$F$58:$ES$58,1,Corte)),INDEX(Reales!$F$58:$ES$58,1,Corte)-INDEX(Calculo!$F$252:$ES$252,1,Corte),0))</f>
        <v>0</v>
      </c>
      <c r="D11" s="75" t="n">
        <f aca="false">0</f>
        <v>0</v>
      </c>
      <c r="E11" s="76" t="str">
        <f aca="false">IF(ABS(C11)&lt;1,"OK","REVISAR")</f>
        <v>OK</v>
      </c>
      <c r="F11" s="2" t="s">
        <v>1050</v>
      </c>
    </row>
    <row r="12" customFormat="false" ht="15" hidden="false" customHeight="false" outlineLevel="0" collapsed="false">
      <c r="A12" s="6" t="s">
        <v>1051</v>
      </c>
      <c r="B12" s="6" t="s">
        <v>1052</v>
      </c>
      <c r="C12" s="36" t="n">
        <f aca="false">i_Pagado-SUM(Reales!$F$46:$ES$46)</f>
        <v>0</v>
      </c>
      <c r="D12" s="75" t="n">
        <f aca="false">0</f>
        <v>0</v>
      </c>
      <c r="E12" s="76" t="str">
        <f aca="false">IF(ABS(C12)&lt;1,"OK","REVISAR")</f>
        <v>OK</v>
      </c>
      <c r="F12" s="2" t="s">
        <v>1053</v>
      </c>
    </row>
    <row r="13" customFormat="false" ht="15" hidden="false" customHeight="false" outlineLevel="0" collapsed="false">
      <c r="A13" s="6" t="s">
        <v>1054</v>
      </c>
      <c r="B13" s="6" t="s">
        <v>1055</v>
      </c>
      <c r="C13" s="36" t="n">
        <f aca="false">COUNTIF(TC_O,"&gt;0")+COUNTIF(TC_V,"&gt;0")</f>
        <v>20</v>
      </c>
      <c r="D13" s="75" t="n">
        <f aca="false">20</f>
        <v>20</v>
      </c>
      <c r="E13" s="76" t="str">
        <f aca="false">IF(C13=20,"OK","REVISAR")</f>
        <v>OK</v>
      </c>
      <c r="F13" s="2" t="s">
        <v>1056</v>
      </c>
    </row>
    <row r="14" customFormat="false" ht="15" hidden="false" customHeight="false" outlineLevel="0" collapsed="false">
      <c r="A14" s="6" t="s">
        <v>1057</v>
      </c>
      <c r="B14" s="6" t="s">
        <v>1058</v>
      </c>
      <c r="C14" s="36" t="n">
        <f aca="false">SUM(c_CapExceso)</f>
        <v>0</v>
      </c>
      <c r="D14" s="75" t="n">
        <f aca="false">0</f>
        <v>0</v>
      </c>
      <c r="E14" s="76" t="str">
        <f aca="false">IF(C14=0,"OK","REVISAR")</f>
        <v>OK</v>
      </c>
      <c r="F14" s="2" t="s">
        <v>1059</v>
      </c>
    </row>
    <row r="15" customFormat="false" ht="15" hidden="false" customHeight="false" outlineLevel="0" collapsed="false">
      <c r="A15" s="6" t="s">
        <v>1060</v>
      </c>
      <c r="B15" s="6" t="s">
        <v>1061</v>
      </c>
      <c r="C15" s="36" t="n">
        <f aca="false">SUMPRODUCT((Precio_V=0)*(VolTot_V&gt;0))</f>
        <v>0</v>
      </c>
      <c r="D15" s="75" t="n">
        <f aca="false">0</f>
        <v>0</v>
      </c>
      <c r="E15" s="76" t="str">
        <f aca="false">IF(C15=0,"OK","REVISAR")</f>
        <v>OK</v>
      </c>
      <c r="F15" s="2" t="s">
        <v>1062</v>
      </c>
    </row>
    <row r="16" customFormat="false" ht="15" hidden="false" customHeight="false" outlineLevel="0" collapsed="false">
      <c r="A16" s="6" t="s">
        <v>1063</v>
      </c>
      <c r="B16" s="6" t="s">
        <v>1064</v>
      </c>
      <c r="C16" s="36" t="n">
        <f aca="false">r_DeudaFinP</f>
        <v>0</v>
      </c>
      <c r="D16" s="75" t="n">
        <f aca="false">0</f>
        <v>0</v>
      </c>
      <c r="E16" s="76" t="str">
        <f aca="false">IF(ABS(C16)&lt;1,"OK","REVISAR")</f>
        <v>OK</v>
      </c>
      <c r="F16" s="2" t="s">
        <v>1065</v>
      </c>
    </row>
    <row r="17" customFormat="false" ht="15" hidden="false" customHeight="false" outlineLevel="0" collapsed="false">
      <c r="A17" s="6" t="s">
        <v>1066</v>
      </c>
      <c r="B17" s="6" t="s">
        <v>1067</v>
      </c>
      <c r="C17" s="36" t="n">
        <f aca="false">COUNTIF(Calculo!$F$260:$ES$260,"&gt;0.5")</f>
        <v>12</v>
      </c>
      <c r="D17" s="75" t="n">
        <f aca="false">0</f>
        <v>0</v>
      </c>
      <c r="E17" s="76" t="str">
        <f aca="false">IF(C17=0,"OK","REVISAR")</f>
        <v>REVISAR</v>
      </c>
      <c r="F17" s="2" t="s">
        <v>1068</v>
      </c>
    </row>
    <row r="18" customFormat="false" ht="15" hidden="false" customHeight="false" outlineLevel="0" collapsed="false">
      <c r="A18" s="6" t="s">
        <v>1069</v>
      </c>
      <c r="B18" s="6" t="s">
        <v>1070</v>
      </c>
      <c r="C18" s="36" t="n">
        <f aca="false">IF(n_Etapa="Operación",IF(AND(ISNUMBER(n_InicioReal),Corte&gt;0),1,0),1)</f>
        <v>0</v>
      </c>
      <c r="D18" s="75" t="n">
        <f aca="false">1</f>
        <v>1</v>
      </c>
      <c r="E18" s="76" t="str">
        <f aca="false">IF(C18=1,"OK","REVISAR")</f>
        <v>REVISAR</v>
      </c>
      <c r="F18" s="2" t="s">
        <v>1071</v>
      </c>
    </row>
    <row r="19" customFormat="false" ht="15" hidden="false" customHeight="false" outlineLevel="0" collapsed="false">
      <c r="A19" s="6" t="s">
        <v>1072</v>
      </c>
      <c r="B19" s="6" t="s">
        <v>1073</v>
      </c>
      <c r="C19" s="36" t="n">
        <f aca="false">IF(MAX(Fin,V_Inicio)&lt;=144,1,0)</f>
        <v>1</v>
      </c>
      <c r="D19" s="75" t="n">
        <f aca="false">1</f>
        <v>1</v>
      </c>
      <c r="E19" s="76" t="str">
        <f aca="false">IF(C19=1,"OK","REVISAR")</f>
        <v>OK</v>
      </c>
      <c r="F19" s="2" t="s">
        <v>1074</v>
      </c>
    </row>
    <row r="20" customFormat="false" ht="15" hidden="false" customHeight="false" outlineLevel="0" collapsed="false">
      <c r="A20" s="6" t="s">
        <v>1075</v>
      </c>
      <c r="B20" s="6" t="s">
        <v>1076</v>
      </c>
      <c r="C20" s="36" t="n">
        <f aca="false">c_Modificados</f>
        <v>0</v>
      </c>
      <c r="D20" s="75" t="s">
        <v>1077</v>
      </c>
      <c r="E20" s="76" t="str">
        <f aca="false">IF(TRUE(),"OK","REVISAR")</f>
        <v>OK</v>
      </c>
      <c r="F20" s="2" t="s">
        <v>1078</v>
      </c>
    </row>
    <row r="22" customFormat="false" ht="15" hidden="false" customHeight="false" outlineLevel="0" collapsed="false">
      <c r="B22" s="11" t="s">
        <v>1079</v>
      </c>
      <c r="C22" s="32" t="n">
        <f aca="false">COUNTIF(E5:E20,"REVISAR")</f>
        <v>2</v>
      </c>
    </row>
    <row r="23" customFormat="false" ht="15" hidden="false" customHeight="false" outlineLevel="0" collapsed="false">
      <c r="B23" s="6" t="s">
        <v>1080</v>
      </c>
      <c r="C23" s="32"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1081</v>
      </c>
      <c r="C24" s="34" t="n">
        <f aca="false">INDEX(Calculo!$F$122:$ES$122,1,MIN(144,Fin))</f>
        <v>0</v>
      </c>
    </row>
  </sheetData>
  <conditionalFormatting sqref="E5:E20">
    <cfRule type="cellIs" priority="2" operator="equal" aboveAverage="0" equalAverage="0" bottom="0" percent="0" rank="0" text="" dxfId="2">
      <formula>"OK"</formula>
    </cfRule>
    <cfRule type="cellIs" priority="3" operator="equal" aboveAverage="0" equalAverage="0" bottom="0" percent="0" rank="0" text="" dxfId="3">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2026-10-01T19:54:40Z</dcterms:created>
  <dc:creator>openpyxl</dc:creator>
  <dc:description/>
  <dc:language>en-US</dc:language>
  <cp:lastModifiedBy/>
  <dcterms:modified xsi:type="dcterms:W3CDTF">2026-10-01T19:54:45Z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